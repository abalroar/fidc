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b15a50b7114c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e1bad61de945430f"/>
    <x:sheet xmlns:r="http://schemas.openxmlformats.org/officeDocument/2006/relationships" name="Carteira 101" sheetId="2" r:id="R2408b8a05b334efd"/>
    <x:sheet xmlns:r="http://schemas.openxmlformats.org/officeDocument/2006/relationships" name="Flagships" sheetId="3" r:id="Re041172943c74219"/>
    <x:sheet xmlns:r="http://schemas.openxmlformats.org/officeDocument/2006/relationships" name="Cobertura e lacunas" sheetId="4" r:id="R1d3e65170ade4e05"/>
    <x:sheet xmlns:r="http://schemas.openxmlformats.org/officeDocument/2006/relationships" name="Dicionário" sheetId="5" r:id="Radcb89d1b10d4ad4"/>
    <x:sheet xmlns:r="http://schemas.openxmlformats.org/officeDocument/2006/relationships" name="Fontes manuais" sheetId="6" r:id="R705b463dd0f64d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0000000000000"/>
    <x:numFmt numFmtId="201" formatCode="R$ #,##0.00"/>
    <x:numFmt numFmtId="202" formatCode="0.00%"/>
    <x:numFmt numFmtId="203" formatCode="@"/>
    <x:numFmt numFmtId="204" formatCode="00000000"/>
  </x:numFmts>
  <x:fonts count="13">
    <x:font>
      <x:sz val="11"/>
      <x:name val="Carlito"/>
    </x:font>
    <x:font>
      <x:b/>
      <x:sz val="18"/>
      <x:color rgb="FFFFFFFF"/>
      <x:name val="Arial"/>
    </x:font>
    <x:font>
      <x:sz val="10"/>
      <x:color rgb="FF73787D"/>
      <x:name val="Arial"/>
    </x:font>
    <x:font>
      <x:b/>
      <x:sz val="9"/>
      <x:color rgb="FFFFFFFF"/>
      <x:name val="Arial"/>
    </x:font>
    <x:font>
      <x:b/>
      <x:sz val="18"/>
      <x:color rgb="FF151515"/>
      <x:name val="Arial"/>
    </x:font>
    <x:font>
      <x:b/>
      <x:sz val="10"/>
      <x:color rgb="FFFFFFFF"/>
      <x:name val="Arial"/>
    </x:font>
    <x:font>
      <x:sz val="10"/>
      <x:color rgb="FF30353A"/>
      <x:name val="Arial"/>
    </x:font>
    <x:font>
      <x:b/>
      <x:sz val="10"/>
      <x:color rgb="FF30353A"/>
      <x:name val="Arial"/>
    </x:font>
    <x:font>
      <x:b/>
      <x:sz val="16"/>
      <x:color rgb="FFFFFFFF"/>
      <x:name val="Arial"/>
    </x:font>
    <x:font>
      <x:sz val="8"/>
      <x:color rgb="FF30353A"/>
      <x:name val="Arial"/>
    </x:font>
    <x:font>
      <x:b/>
      <x:sz val="8"/>
      <x:color rgb="FFFFFFFF"/>
      <x:name val="Arial"/>
    </x:font>
    <x:font>
      <x:sz val="9"/>
      <x:color rgb="FF30353A"/>
      <x:name val="Arial"/>
    </x:font>
    <x:font>
      <x:b/>
      <x:sz val="11"/>
      <x:color rgb="FFFFFFFF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151515"/>
      </x:patternFill>
    </x:fill>
    <x:fill>
      <x:patternFill patternType="solid">
        <x:fgColor rgb="FF30353A"/>
      </x:patternFill>
    </x:fill>
    <x:fill>
      <x:patternFill patternType="solid">
        <x:fgColor rgb="FFF5F6F7"/>
      </x:patternFill>
    </x:fill>
    <x:fill>
      <x:patternFill patternType="solid">
        <x:fgColor rgb="FFEC7000"/>
      </x:patternFill>
    </x:fill>
    <x:fill>
      <x:patternFill patternType="solid">
        <x:fgColor rgb="FFFFFFFF"/>
      </x:patternFill>
    </x:fill>
    <x:fill>
      <x:patternFill patternType="solid">
        <x:fgColor rgb="FF7A1F3D"/>
      </x:patternFill>
    </x:fill>
    <x:fill>
      <x:patternFill patternType="solid">
        <x:fgColor rgb="FF2456D6"/>
      </x:patternFill>
    </x:fill>
    <x:fill>
      <x:patternFill patternType="solid">
        <x:fgColor rgb="FFA65A00"/>
      </x:patternFill>
    </x:fill>
    <x:fill>
      <x:patternFill patternType="solid">
        <x:fgColor rgb="FF73787D"/>
      </x:patternFill>
    </x:fill>
  </x:fills>
  <x:borders count="4">
    <x:border/>
    <x:border>
      <x:bottom style="thin">
        <x:color rgb="FFD7DADD"/>
      </x:bottom>
    </x:border>
    <x:border>
      <x:top style="thin">
        <x:color rgb="FFD7DADD"/>
      </x:top>
      <x:bottom style="thin">
        <x:color rgb="FFD7DADD"/>
      </x:bottom>
    </x:border>
    <x:border>
      <x:bottom style="thin">
        <x:color rgb="FF151515"/>
      </x:bottom>
    </x:border>
  </x:borders>
  <x:cellStyleXfs count="1">
    <x:xf numFmtId="0" fontId="0" fillId="0" borderId="0"/>
  </x:cellStyleXfs>
  <x:cellXfs count="1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/>
    <x:xf numFmtId="0" fontId="7" fillId="4" borderId="2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/>
    </x:xf>
    <x:xf numFmtId="0" fontId="9" fillId="0" borderId="2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center" wrapText="1"/>
    </x:xf>
    <x:xf numFmtId="0" fontId="9" fillId="4" borderId="2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horizontal="center"/>
    </x:xf>
    <x:xf numFmtId="0" fontId="10" fillId="2" borderId="0" xfId="0" applyNumberFormat="1" applyFont="1" applyFill="1" applyBorder="1" applyAlignment="1">
      <x:alignment horizontal="center"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horizontal="center"/>
    </x:xf>
    <x:xf numFmtId="0" fontId="10" fillId="5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horizontal="center"/>
    </x:xf>
    <x:xf numFmtId="0" fontId="10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horizontal="center"/>
    </x:xf>
    <x:xf numFmtId="0" fontId="10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  <x:xf numFmtId="0" fontId="10" fillId="9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center"/>
    </x:xf>
    <x:xf numFmtId="0" fontId="10" fillId="10" borderId="0" xfId="0" applyNumberFormat="1" applyFont="1" applyFill="1" applyBorder="1" applyAlignment="1">
      <x:alignment horizontal="center" vertical="center"/>
    </x:xf>
    <x:xf numFmtId="0" fontId="9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4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0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9" fillId="0" borderId="1" xfId="0" applyNumberFormat="1" applyFont="1" applyFill="1" applyBorder="1" applyAlignment="1">
      <x:alignment vertical="center" wrapText="1"/>
    </x:xf>
    <x:xf numFmtId="200" fontId="9" fillId="4" borderId="2" xfId="0" applyNumberFormat="1" applyFont="1" applyFill="1" applyBorder="1" applyAlignment="1">
      <x:alignment vertical="center" wrapText="1"/>
    </x:xf>
    <x:xf numFmtId="200" fontId="9" fillId="0" borderId="2" xfId="0" applyNumberFormat="1" applyFont="1" applyFill="1" applyBorder="1" applyAlignment="1">
      <x:alignment vertical="center" wrapText="1"/>
    </x:xf>
    <x:xf numFmtId="200" fontId="9" fillId="0" borderId="1" xfId="0" applyNumberFormat="1" applyFont="1" applyFill="1" applyBorder="1" applyAlignment="1">
      <x:alignment horizontal="right" vertical="center" wrapText="1"/>
    </x:xf>
    <x:xf numFmtId="200" fontId="9" fillId="4" borderId="2" xfId="0" applyNumberFormat="1" applyFont="1" applyFill="1" applyBorder="1" applyAlignment="1">
      <x:alignment horizontal="right" vertical="center" wrapText="1"/>
    </x:xf>
    <x:xf numFmtId="200" fontId="9" fillId="0" borderId="2" xfId="0" applyNumberFormat="1" applyFont="1" applyFill="1" applyBorder="1" applyAlignment="1">
      <x:alignment horizontal="right" vertical="center" wrapText="1"/>
    </x:xf>
    <x:xf numFmtId="201" fontId="9" fillId="0" borderId="1" xfId="0" applyNumberFormat="1" applyFont="1" applyFill="1" applyBorder="1" applyAlignment="1">
      <x:alignment vertical="center" wrapText="1"/>
    </x:xf>
    <x:xf numFmtId="201" fontId="9" fillId="4" borderId="2" xfId="0" applyNumberFormat="1" applyFont="1" applyFill="1" applyBorder="1" applyAlignment="1">
      <x:alignment vertical="center" wrapText="1"/>
    </x:xf>
    <x:xf numFmtId="201" fontId="9" fillId="0" borderId="2" xfId="0" applyNumberFormat="1" applyFont="1" applyFill="1" applyBorder="1" applyAlignment="1">
      <x:alignment vertical="center" wrapText="1"/>
    </x:xf>
    <x:xf numFmtId="201" fontId="9" fillId="0" borderId="1" xfId="0" applyNumberFormat="1" applyFont="1" applyFill="1" applyBorder="1" applyAlignment="1">
      <x:alignment horizontal="right" vertical="center" wrapText="1"/>
    </x:xf>
    <x:xf numFmtId="201" fontId="9" fillId="4" borderId="2" xfId="0" applyNumberFormat="1" applyFont="1" applyFill="1" applyBorder="1" applyAlignment="1">
      <x:alignment horizontal="right" vertical="center" wrapText="1"/>
    </x:xf>
    <x:xf numFmtId="201" fontId="9" fillId="0" borderId="2" xfId="0" applyNumberFormat="1" applyFont="1" applyFill="1" applyBorder="1" applyAlignment="1">
      <x:alignment horizontal="right" vertical="center" wrapText="1"/>
    </x:xf>
    <x:xf numFmtId="202" fontId="9" fillId="0" borderId="1" xfId="0" applyNumberFormat="1" applyFont="1" applyFill="1" applyBorder="1" applyAlignment="1">
      <x:alignment vertical="center" wrapText="1"/>
    </x:xf>
    <x:xf numFmtId="202" fontId="9" fillId="4" borderId="2" xfId="0" applyNumberFormat="1" applyFont="1" applyFill="1" applyBorder="1" applyAlignment="1">
      <x:alignment vertical="center" wrapText="1"/>
    </x:xf>
    <x:xf numFmtId="202" fontId="9" fillId="0" borderId="2" xfId="0" applyNumberFormat="1" applyFont="1" applyFill="1" applyBorder="1" applyAlignment="1">
      <x:alignment vertical="center" wrapText="1"/>
    </x:xf>
    <x:xf numFmtId="202" fontId="9" fillId="0" borderId="1" xfId="0" applyNumberFormat="1" applyFont="1" applyFill="1" applyBorder="1" applyAlignment="1">
      <x:alignment horizontal="right" vertical="center" wrapText="1"/>
    </x:xf>
    <x:xf numFmtId="202" fontId="9" fillId="4" borderId="2" xfId="0" applyNumberFormat="1" applyFont="1" applyFill="1" applyBorder="1" applyAlignment="1">
      <x:alignment horizontal="right" vertical="center" wrapText="1"/>
    </x:xf>
    <x:xf numFmtId="202" fontId="9" fillId="0" borderId="2" xfId="0" applyNumberFormat="1" applyFont="1" applyFill="1" applyBorder="1" applyAlignment="1">
      <x:alignment horizontal="right"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0" fontId="11" fillId="0" borderId="2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202" fontId="11" fillId="0" borderId="1" xfId="0" applyNumberFormat="1" applyFont="1" applyFill="1" applyBorder="1" applyAlignment="1">
      <x:alignment vertical="center" wrapText="1"/>
    </x:xf>
    <x:xf numFmtId="202" fontId="11" fillId="4" borderId="2" xfId="0" applyNumberFormat="1" applyFont="1" applyFill="1" applyBorder="1" applyAlignment="1">
      <x:alignment vertical="center" wrapText="1"/>
    </x:xf>
    <x:xf numFmtId="202" fontId="11" fillId="0" borderId="2" xfId="0" applyNumberFormat="1" applyFont="1" applyFill="1" applyBorder="1" applyAlignment="1">
      <x:alignment vertical="center" wrapText="1"/>
    </x:xf>
    <x:xf numFmtId="201" fontId="11" fillId="0" borderId="1" xfId="0" applyNumberFormat="1" applyFont="1" applyFill="1" applyBorder="1" applyAlignment="1">
      <x:alignment vertical="center" wrapText="1"/>
    </x:xf>
    <x:xf numFmtId="201" fontId="11" fillId="4" borderId="2" xfId="0" applyNumberFormat="1" applyFont="1" applyFill="1" applyBorder="1" applyAlignment="1">
      <x:alignment vertical="center" wrapText="1"/>
    </x:xf>
    <x:xf numFmtId="201" fontId="11" fillId="0" borderId="2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/>
    <x:xf numFmtId="0" fontId="3" fillId="2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3" fontId="9" fillId="0" borderId="0" xfId="0" applyNumberFormat="1" applyFont="1" applyFill="1" applyBorder="1" applyAlignment="1">
      <x:alignment wrapText="1"/>
    </x:xf>
    <x:xf numFmtId="204" fontId="9" fillId="0" borderId="1" xfId="0" applyNumberFormat="1" applyFont="1" applyFill="1" applyBorder="1" applyAlignment="1">
      <x:alignment vertical="center" wrapText="1"/>
    </x:xf>
    <x:xf numFmtId="204" fontId="9" fillId="4" borderId="2" xfId="0" applyNumberFormat="1" applyFont="1" applyFill="1" applyBorder="1" applyAlignment="1">
      <x:alignment vertical="center" wrapText="1"/>
    </x:xf>
    <x:xf numFmtId="204" fontId="9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6">
    <x:dxf>
      <x:font>
        <x:b/>
        <x:color rgb="FF7A1F3D"/>
      </x:font>
      <x:fill>
        <x:patternFill patternType="solid">
          <x:bgColor rgb="FFF8D7DA"/>
        </x:patternFill>
      </x:fill>
    </x:dxf>
    <x:dxf>
      <x:font>
        <x:b/>
        <x:color rgb="FFA65A00"/>
      </x:font>
      <x:fill>
        <x:patternFill patternType="solid">
          <x:bgColor rgb="FFFFF0D6"/>
        </x:patternFill>
      </x:fill>
    </x:dxf>
    <x:dxf>
      <x:font>
        <x:b/>
        <x:color rgb="FF006B3C"/>
      </x:font>
      <x:fill>
        <x:patternFill patternType="solid">
          <x:bgColor rgb="FFDCEFE2"/>
        </x:patternFill>
      </x:fill>
    </x:dxf>
    <x:dxf>
      <x:font>
        <x:color rgb="FF73787D"/>
      </x:font>
      <x:fill>
        <x:patternFill patternType="solid">
          <x:bgColor rgb="FFF5F6F7"/>
        </x:patternFill>
      </x:fill>
    </x:dxf>
    <x:dxf>
      <x:font>
        <x:b/>
        <x:color rgb="FF30353A"/>
      </x:font>
      <x:fill>
        <x:patternFill patternType="solid">
          <x:bgColor rgb="FFDCEAF7"/>
        </x:patternFill>
      </x:fill>
    </x:dxf>
    <x:dxf>
      <x:font>
        <x:b/>
        <x:color rgb="FF30353A"/>
      </x:font>
      <x:fill>
        <x:patternFill patternType="solid">
          <x:bgColor rgb="FFE3F0DF"/>
        </x:patternFill>
      </x:fill>
    </x:dxf>
    <x:dxf>
      <x:font>
        <x:b/>
        <x:color rgb="FF30353A"/>
      </x:font>
      <x:fill>
        <x:patternFill patternType="solid">
          <x:bgColor rgb="FFDDEEDB"/>
        </x:patternFill>
      </x:fill>
    </x:dxf>
    <x:dxf>
      <x:font>
        <x:b/>
        <x:color rgb="FF30353A"/>
      </x:font>
      <x:fill>
        <x:patternFill patternType="solid">
          <x:bgColor rgb="FFF8E7BF"/>
        </x:patternFill>
      </x:fill>
    </x:dxf>
    <x:dxf>
      <x:font>
        <x:b/>
        <x:color rgb="FF30353A"/>
      </x:font>
      <x:fill>
        <x:patternFill patternType="solid">
          <x:bgColor rgb="FFE8E2F3"/>
        </x:patternFill>
      </x:fill>
    </x:dxf>
    <x:dxf>
      <x:font>
        <x:b/>
        <x:color rgb="FF30353A"/>
      </x:font>
      <x:fill>
        <x:patternFill patternType="solid">
          <x:bgColor rgb="FFF3E0E8"/>
        </x:patternFill>
      </x:fill>
    </x:dxf>
    <x:dxf>
      <x:font>
        <x:b/>
        <x:color rgb="FF30353A"/>
      </x:font>
      <x:fill>
        <x:patternFill patternType="solid">
          <x:bgColor rgb="FFE1E9EF"/>
        </x:patternFill>
      </x:fill>
    </x:dxf>
    <x:dxf>
      <x:font>
        <x:b/>
        <x:color rgb="FF30353A"/>
      </x:font>
      <x:fill>
        <x:patternFill patternType="solid">
          <x:bgColor rgb="FFECE2F1"/>
        </x:patternFill>
      </x:fill>
    </x:dxf>
    <x:dxf>
      <x:font>
        <x:b/>
        <x:color rgb="FF30353A"/>
      </x:font>
      <x:fill>
        <x:patternFill patternType="solid">
          <x:bgColor rgb="FFF1E8D9"/>
        </x:patternFill>
      </x:fill>
    </x:dxf>
    <x:dxf>
      <x:font>
        <x:b/>
        <x:color rgb="FF30353A"/>
      </x:font>
      <x:fill>
        <x:patternFill patternType="solid">
          <x:bgColor rgb="FFDDEDEA"/>
        </x:patternFill>
      </x:fill>
    </x:dxf>
    <x:dxf>
      <x:font>
        <x:b/>
        <x:color rgb="FF30353A"/>
      </x:font>
      <x:fill>
        <x:patternFill patternType="solid">
          <x:bgColor rgb="FFE8ECEF"/>
        </x:patternFill>
      </x:fill>
    </x:dxf>
    <x:dxf>
      <x:font>
        <x:b/>
        <x:color rgb="FF30353A"/>
      </x:font>
      <x:fill>
        <x:patternFill patternType="solid">
          <x:bgColor rgb="FFF1F2F3"/>
        </x:patternFill>
      </x:fill>
    </x:dxf>
    <x:dxf>
      <x:font>
        <x:b/>
        <x:color rgb="FFA65A00"/>
      </x:font>
      <x:fill>
        <x:patternFill patternType="solid">
          <x:bgColor rgb="FFFFF0D6"/>
        </x:patternFill>
      </x:fill>
    </x:dxf>
    <x:dxf>
      <x:font>
        <x:b/>
        <x:color rgb="FF7A1F3D"/>
      </x:font>
      <x:fill>
        <x:patternFill patternType="solid">
          <x:bgColor rgb="FFF8D7DA"/>
        </x:patternFill>
      </x:fill>
    </x:dxf>
    <x:dxf>
      <x:font>
        <x:b/>
        <x:color rgb="FFA65A00"/>
      </x:font>
      <x:fill>
        <x:patternFill patternType="solid">
          <x:bgColor rgb="FFFFF0D6"/>
        </x:patternFill>
      </x:fill>
    </x:dxf>
    <x:dxf>
      <x:font>
        <x:b/>
        <x:color rgb="FF006B3C"/>
      </x:font>
      <x:fill>
        <x:patternFill patternType="solid">
          <x:bgColor rgb="FFDCEFE2"/>
        </x:patternFill>
      </x:fill>
    </x:dxf>
    <x:dxf>
      <x:font>
        <x:color rgb="FF73787D"/>
      </x:font>
      <x:fill>
        <x:patternFill patternType="solid">
          <x:bgColor rgb="FFF5F6F7"/>
        </x:patternFill>
      </x:fill>
    </x:dxf>
    <x:dxf>
      <x:font>
        <x:b/>
        <x:color rgb="FF30353A"/>
      </x:font>
      <x:fill>
        <x:patternFill patternType="solid">
          <x:bgColor rgb="FFDCEAF7"/>
        </x:patternFill>
      </x:fill>
    </x:dxf>
    <x:dxf>
      <x:font>
        <x:b/>
        <x:color rgb="FF30353A"/>
      </x:font>
      <x:fill>
        <x:patternFill patternType="solid">
          <x:bgColor rgb="FFE3F0DF"/>
        </x:patternFill>
      </x:fill>
    </x:dxf>
    <x:dxf>
      <x:font>
        <x:b/>
        <x:color rgb="FF30353A"/>
      </x:font>
      <x:fill>
        <x:patternFill patternType="solid">
          <x:bgColor rgb="FFDDEEDB"/>
        </x:patternFill>
      </x:fill>
    </x:dxf>
    <x:dxf>
      <x:font>
        <x:b/>
        <x:color rgb="FF30353A"/>
      </x:font>
      <x:fill>
        <x:patternFill patternType="solid">
          <x:bgColor rgb="FFF8E7BF"/>
        </x:patternFill>
      </x:fill>
    </x:dxf>
    <x:dxf>
      <x:font>
        <x:b/>
        <x:color rgb="FF30353A"/>
      </x:font>
      <x:fill>
        <x:patternFill patternType="solid">
          <x:bgColor rgb="FFE8E2F3"/>
        </x:patternFill>
      </x:fill>
    </x:dxf>
    <x:dxf>
      <x:font>
        <x:b/>
        <x:color rgb="FF30353A"/>
      </x:font>
      <x:fill>
        <x:patternFill patternType="solid">
          <x:bgColor rgb="FFF3E0E8"/>
        </x:patternFill>
      </x:fill>
    </x:dxf>
    <x:dxf>
      <x:font>
        <x:b/>
        <x:color rgb="FF30353A"/>
      </x:font>
      <x:fill>
        <x:patternFill patternType="solid">
          <x:bgColor rgb="FFE1E9EF"/>
        </x:patternFill>
      </x:fill>
    </x:dxf>
    <x:dxf>
      <x:font>
        <x:b/>
        <x:color rgb="FF30353A"/>
      </x:font>
      <x:fill>
        <x:patternFill patternType="solid">
          <x:bgColor rgb="FFECE2F1"/>
        </x:patternFill>
      </x:fill>
    </x:dxf>
    <x:dxf>
      <x:font>
        <x:b/>
        <x:color rgb="FF30353A"/>
      </x:font>
      <x:fill>
        <x:patternFill patternType="solid">
          <x:bgColor rgb="FFF1E8D9"/>
        </x:patternFill>
      </x:fill>
    </x:dxf>
    <x:dxf>
      <x:font>
        <x:b/>
        <x:color rgb="FF30353A"/>
      </x:font>
      <x:fill>
        <x:patternFill patternType="solid">
          <x:bgColor rgb="FFDDEDEA"/>
        </x:patternFill>
      </x:fill>
    </x:dxf>
    <x:dxf>
      <x:font>
        <x:b/>
        <x:color rgb="FF30353A"/>
      </x:font>
      <x:fill>
        <x:patternFill patternType="solid">
          <x:bgColor rgb="FFE8ECEF"/>
        </x:patternFill>
      </x:fill>
    </x:dxf>
    <x:dxf>
      <x:font>
        <x:b/>
        <x:color rgb="FF30353A"/>
      </x:font>
      <x:fill>
        <x:patternFill patternType="solid">
          <x:bgColor rgb="FFF1F2F3"/>
        </x:patternFill>
      </x:fill>
    </x:dxf>
    <x:dxf>
      <x:font>
        <x:b/>
        <x:color rgb="FFA65A00"/>
      </x:font>
      <x:fill>
        <x:patternFill patternType="solid">
          <x:bgColor rgb="FFFFF0D6"/>
        </x:patternFill>
      </x:fill>
    </x:dxf>
    <x:dxf>
      <x:font>
        <x:b/>
        <x:color rgb="FF006B3C"/>
      </x:font>
      <x:fill>
        <x:patternFill patternType="solid">
          <x:bgColor rgb="FFDCEFE2"/>
        </x:patternFill>
      </x:fill>
    </x:dxf>
    <x:dxf>
      <x:font>
        <x:b/>
        <x:color rgb="FFA65A00"/>
      </x:font>
      <x:fill>
        <x:patternFill patternType="solid"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93b0d919b945b3" /><Relationship Type="http://schemas.openxmlformats.org/officeDocument/2006/relationships/theme" Target="/xl/theme/theme1.xml" Id="R33aeba926e0a4f12" /><Relationship Type="http://schemas.microsoft.com/office/2022/11/relationships/FeaturePropertyBag" Target="/xl/featurePropertyBag/featurePropertyBag.xml" Id="R3f4e56fc36494273" /><Relationship Type="http://schemas.openxmlformats.org/officeDocument/2006/relationships/sharedStrings" Target="/xl/sharedStrings.xml" Id="R3a102aeb16424398" /><Relationship Type="http://schemas.openxmlformats.org/officeDocument/2006/relationships/worksheet" Target="/xl/worksheets/sheet1.xml" Id="Re1bad61de945430f" /><Relationship Type="http://schemas.openxmlformats.org/officeDocument/2006/relationships/worksheet" Target="/xl/worksheets/sheet2.xml" Id="R2408b8a05b334efd" /><Relationship Type="http://schemas.openxmlformats.org/officeDocument/2006/relationships/worksheet" Target="/xl/worksheets/sheet3.xml" Id="Re041172943c74219" /><Relationship Type="http://schemas.openxmlformats.org/officeDocument/2006/relationships/worksheet" Target="/xl/worksheets/sheet4.xml" Id="R1d3e65170ade4e05" /><Relationship Type="http://schemas.openxmlformats.org/officeDocument/2006/relationships/worksheet" Target="/xl/worksheets/sheet5.xml" Id="Radcb89d1b10d4ad4" /><Relationship Type="http://schemas.openxmlformats.org/officeDocument/2006/relationships/worksheet" Target="/xl/worksheets/sheet6.xml" Id="R705b463dd0f64d0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9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</x:cols>
  <x:sheetData>
    <x:row r="1" ht="30" customHeight="1">
      <x:c r="A1" s="2" t="str">
        <x:v>Carteira 101 + Flagships · base analítica manipulável</x:v>
      </x:c>
      <x:c r="B1" s="2"/>
      <x:c r="C1" s="2"/>
      <x:c r="D1" s="2"/>
      <x:c r="E1" s="2"/>
      <x:c r="F1" s="2"/>
      <x:c r="G1" s="2"/>
      <x:c r="H1" s="2"/>
    </x:row>
    <x:row r="2" ht="28.5" customHeight="1">
      <x:c r="A2" s="4" t="str">
        <x:v>Competência 2026-06. Uma linha por CNPJ, com PL e Sub/PL do Informe Mensal, índices da curadoria documental e métricas do dataframe estrutural compartilhado.</x:v>
      </x:c>
      <x:c r="B2" s="4"/>
      <x:c r="C2" s="4"/>
      <x:c r="D2" s="4"/>
      <x:c r="E2" s="4"/>
      <x:c r="F2" s="4"/>
      <x:c r="G2" s="4"/>
      <x:c r="H2" s="4"/>
    </x:row>
    <x:row r="4">
      <x:c r="A4" s="11" t="str">
        <x:v>Carteira 101</x:v>
      </x:c>
      <x:c r="B4" s="11"/>
      <x:c r="C4" s="11" t="str">
        <x:v>Flagships</x:v>
      </x:c>
      <x:c r="D4" s="11"/>
      <x:c r="E4" s="16" t="str">
        <x:v>Mínimo júnior identificado</x:v>
      </x:c>
      <x:c r="F4" s="16"/>
      <x:c r="G4" s="11" t="str">
        <x:v>Folga comparável</x:v>
      </x:c>
      <x:c r="H4" s="11"/>
    </x:row>
    <x:row r="5">
      <x:c r="A5" s="12" t="n">
        <x:v>101</x:v>
      </x:c>
      <x:c r="B5" s="12"/>
      <x:c r="C5" s="12" t="n">
        <x:v>47</x:v>
      </x:c>
      <x:c r="D5" s="12"/>
      <x:c r="E5" s="12" t="str">
        <x:v>83/101</x:v>
      </x:c>
      <x:c r="F5" s="12"/>
      <x:c r="G5" s="12" t="str">
        <x:v>23/101</x:v>
      </x:c>
      <x:c r="H5" s="12"/>
    </x:row>
    <x:row r="6">
      <x:c r="A6" s="12"/>
      <x:c r="B6" s="12"/>
      <x:c r="C6" s="12"/>
      <x:c r="D6" s="12"/>
      <x:c r="E6" s="12"/>
      <x:c r="F6" s="12"/>
      <x:c r="G6" s="12"/>
      <x:c r="H6" s="12"/>
    </x:row>
    <x:row r="9">
      <x:c r="A9" s="22" t="str">
        <x:v>Tema</x:v>
      </x:c>
      <x:c r="B9" s="22" t="str">
        <x:v>Orientação</x:v>
      </x:c>
    </x:row>
    <x:row r="10" ht="36" customHeight="1">
      <x:c r="A10" s="23" t="str">
        <x:v>Como usar</x:v>
      </x:c>
      <x:c r="B10" s="24" t="str">
        <x:v>Filtre Carteira 101 ou Flagships por taxonomia, porte, situação regulatória, folga e campos manuais. Todos os percentuais são valores numéricos formatados como %.</x:v>
      </x:c>
    </x:row>
    <x:row r="11" ht="36" customHeight="1">
      <x:c r="A11" s="23" t="str">
        <x:v>CNPJ</x:v>
      </x:c>
      <x:c r="B11" s="24" t="str">
        <x:v>A coluna CNPJ é numérica e usa o formato 00000000000000. A coluna seguinte preserva a apresentação pontuada.</x:v>
      </x:c>
    </x:row>
    <x:row r="12" ht="36" customHeight="1">
      <x:c r="A12" s="23" t="str">
        <x:v>Folga / falta</x:v>
      </x:c>
      <x:c r="B12" s="24" t="str">
        <x:v>Sub/PL atual menos o índice estrutural usado. O campo permanece N/D quando a equivalência de tranche não está comprovada.</x:v>
      </x:c>
    </x:row>
    <x:row r="13" ht="36" customHeight="1">
      <x:c r="A13" s="23" t="str">
        <x:v>Capacidade até o gatilho</x:v>
      </x:c>
      <x:c r="B13" s="24" t="str">
        <x:v>Fração de perda absorvível antes do piso: (Sub/PL atual − mínimo) / (1 − mínimo). Calculada somente em estruturas comparáveis.</x:v>
      </x:c>
    </x:row>
    <x:row r="14" ht="36" customHeight="1">
      <x:c r="A14" s="23" t="str">
        <x:v>Asterisco (*)</x:v>
      </x:c>
      <x:c r="B14" s="24" t="str">
        <x:v>Indica mínimo calculado ou ajustado, suporte total/combinado, exceção de comparabilidade ou transcrição das fotos fornecidas pelo usuário. A natureza e a fonte permanecem na mesma linha.</x:v>
      </x:c>
    </x:row>
    <x:row r="15" ht="36" customHeight="1">
      <x:c r="A15" s="23" t="str">
        <x:v>Lacunas</x:v>
      </x:c>
      <x:c r="B15" s="24" t="str">
        <x:v>N/D identifica informação não localizada ou não comparável. N/D não representa zero, média ou estimativa.</x:v>
      </x:c>
    </x:row>
    <x:row r="16" ht="36" customHeight="1">
      <x:c r="A16" s="23" t="str">
        <x:v>Precedência</x:v>
      </x:c>
      <x:c r="B16" s="24" t="str">
        <x:v>Documento primário preservado; o complemento manual ocupa somente lacunas e aparece em colunas próprias.</x:v>
      </x:c>
    </x:row>
    <x:row r="17" ht="36" customHeight="1">
      <x:c r="A17" s="23" t="str">
        <x:v>Escopo econômico</x:v>
      </x:c>
      <x:c r="B17" s="24" t="str">
        <x:v>PL representa o patrimônio do veículo. O valor efetivamente encarteirado por posição não está disponível nesta base.</x:v>
      </x:c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.130000114440918" hidden="0" customWidth="1"/>
    <x:col min="2" max="2" width="15.630000114440918" hidden="0" customWidth="1"/>
    <x:col min="3" max="3" width="16.8799991607666" hidden="0" customWidth="1"/>
    <x:col min="4" max="4" width="45" hidden="0" customWidth="1"/>
    <x:col min="5" max="5" width="32.5" hidden="0" customWidth="1"/>
    <x:col min="6" max="6" width="13.130000114440918" hidden="0" customWidth="1"/>
    <x:col min="7" max="7" width="13.130000114440918" hidden="0" customWidth="1"/>
    <x:col min="8" max="8" width="19.3799991607666" hidden="0" customWidth="1"/>
    <x:col min="9" max="9" width="16.25" hidden="0" customWidth="1"/>
    <x:col min="10" max="10" width="18.1299991607666" hidden="0" customWidth="1"/>
    <x:col min="11" max="11" width="18.1299991607666" hidden="0" customWidth="1"/>
    <x:col min="12" max="12" width="13.130000114440918" hidden="0" customWidth="1"/>
    <x:col min="13" max="13" width="32.5" hidden="0" customWidth="1"/>
    <x:col min="14" max="14" width="13.75" hidden="0" customWidth="1"/>
    <x:col min="15" max="15" width="15.630000114440918" hidden="0" customWidth="1"/>
    <x:col min="16" max="16" width="15" hidden="0" customWidth="1"/>
    <x:col min="17" max="17" width="13.130000114440918" hidden="0" customWidth="1"/>
    <x:col min="18" max="18" width="17.5" hidden="0" customWidth="1"/>
    <x:col min="19" max="19" width="16.8799991607666" hidden="0" customWidth="1"/>
    <x:col min="20" max="20" width="19.3799991607666" hidden="0" customWidth="1"/>
    <x:col min="21" max="21" width="21.25" hidden="0" customWidth="1"/>
    <x:col min="22" max="22" width="26.25" hidden="0" customWidth="1"/>
    <x:col min="23" max="23" width="11.25" hidden="0" customWidth="1"/>
    <x:col min="24" max="24" width="52.5" hidden="0" customWidth="1"/>
    <x:col min="25" max="25" width="10.25" hidden="0" customWidth="1"/>
    <x:col min="26" max="26" width="13.130000114440918" hidden="0" customWidth="1"/>
    <x:col min="27" max="27" width="16.8799991607666" hidden="0" customWidth="1"/>
    <x:col min="28" max="28" width="18.1299991607666" hidden="0" customWidth="1"/>
    <x:col min="29" max="29" width="18.75" hidden="0" customWidth="1"/>
    <x:col min="30" max="30" width="23.75" hidden="0" customWidth="1"/>
    <x:col min="31" max="31" width="22.5" hidden="0" customWidth="1"/>
    <x:col min="32" max="32" width="31.25" hidden="0" customWidth="1"/>
    <x:col min="33" max="33" width="18.75" hidden="0" customWidth="1"/>
    <x:col min="34" max="34" width="26.25" hidden="0" customWidth="1"/>
    <x:col min="35" max="35" width="26.25" hidden="0" customWidth="1"/>
    <x:col min="36" max="36" width="27.5" hidden="0" customWidth="1"/>
    <x:col min="37" max="37" width="41.25" hidden="0" customWidth="1"/>
    <x:col min="38" max="38" width="37.5" hidden="0" customWidth="1"/>
    <x:col min="39" max="39" width="21.8799991607666" hidden="0" customWidth="1"/>
    <x:col min="40" max="40" width="45" hidden="0" customWidth="1"/>
    <x:col min="41" max="41" width="16.25" hidden="0" customWidth="1"/>
    <x:col min="42" max="42" width="14.380000114440918" hidden="0" customWidth="1"/>
    <x:col min="43" max="43" width="17.5" hidden="0" customWidth="1"/>
    <x:col min="44" max="44" width="29.3799991607666" hidden="0" customWidth="1"/>
    <x:col min="45" max="45" width="52.5" hidden="0" customWidth="1"/>
    <x:col min="46" max="46" width="57.5" hidden="0" customWidth="1"/>
    <x:col min="47" max="47" width="40" hidden="0" customWidth="1"/>
    <x:col min="48" max="48" width="23.75" hidden="0" customWidth="1"/>
  </x:cols>
  <x:sheetData>
    <x:row r="1" ht="25.5" customHeight="1">
      <x:c r="A1" s="26" t="str">
        <x:v>Carteira 101 · base manipulável de risco estrutural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  <x:c r="AG1" s="26"/>
      <x:c r="AH1" s="26"/>
      <x:c r="AI1" s="26"/>
      <x:c r="AJ1" s="26"/>
      <x:c r="AK1" s="26"/>
      <x:c r="AL1" s="26"/>
      <x:c r="AM1" s="26"/>
      <x:c r="AN1" s="26"/>
      <x:c r="AO1" s="26"/>
      <x:c r="AP1" s="26"/>
      <x:c r="AQ1" s="26"/>
      <x:c r="AR1" s="26"/>
      <x:c r="AS1" s="26"/>
      <x:c r="AT1" s="26"/>
      <x:c r="AU1" s="26"/>
      <x:c r="AV1" s="26"/>
    </x:row>
    <x:row r="2" ht="22.5" customHeight="1">
      <x:c r="A2" s="29" t="str">
        <x:v>101 CNPJs na ordem da base fornecida. Campos estruturais usam a curadoria documental e o dataframe compartilhado; exceções levam * e descrição por linha.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  <x:c r="AA2" s="29"/>
      <x:c r="AB2" s="29"/>
      <x:c r="AC2" s="29"/>
      <x:c r="AD2" s="29"/>
      <x:c r="AE2" s="29"/>
      <x:c r="AF2" s="29"/>
      <x:c r="AG2" s="29"/>
      <x:c r="AH2" s="29"/>
      <x:c r="AI2" s="29"/>
      <x:c r="AJ2" s="29"/>
      <x:c r="AK2" s="29"/>
      <x:c r="AL2" s="29"/>
      <x:c r="AM2" s="29"/>
      <x:c r="AN2" s="29"/>
      <x:c r="AO2" s="29"/>
      <x:c r="AP2" s="29"/>
      <x:c r="AQ2" s="29"/>
      <x:c r="AR2" s="29"/>
      <x:c r="AS2" s="29"/>
      <x:c r="AT2" s="29"/>
      <x:c r="AU2" s="29"/>
      <x:c r="AV2" s="29"/>
    </x:row>
    <x:row r="3" ht="16.5" customHeight="1">
      <x:c r="A3" s="42" t="str">
        <x:v>IDENTIFICAÇÃO</x:v>
      </x:c>
      <x:c r="B3" s="42" t="str">
        <x:v>IDENTIFICAÇÃO</x:v>
      </x:c>
      <x:c r="C3" s="42" t="str">
        <x:v>IDENTIFICAÇÃO</x:v>
      </x:c>
      <x:c r="D3" s="42" t="str">
        <x:v>IDENTIFICAÇÃO</x:v>
      </x:c>
      <x:c r="E3" s="42" t="str">
        <x:v>IDENTIFICAÇÃO</x:v>
      </x:c>
      <x:c r="F3" s="42" t="str">
        <x:v>IDENTIFICAÇÃO</x:v>
      </x:c>
      <x:c r="G3" s="42" t="str">
        <x:v>IDENTIFICAÇÃO</x:v>
      </x:c>
      <x:c r="H3" s="42" t="str">
        <x:v>IDENTIFICAÇÃO</x:v>
      </x:c>
      <x:c r="I3" s="45" t="str">
        <x:v>PORTE E SUBORDINAÇÃO ATUAL</x:v>
      </x:c>
      <x:c r="J3" s="45" t="str">
        <x:v>PORTE E SUBORDINAÇÃO ATUAL</x:v>
      </x:c>
      <x:c r="K3" s="45" t="str">
        <x:v>PORTE E SUBORDINAÇÃO ATUAL</x:v>
      </x:c>
      <x:c r="L3" s="45" t="str">
        <x:v>PORTE E SUBORDINAÇÃO ATUAL</x:v>
      </x:c>
      <x:c r="M3" s="45" t="str">
        <x:v>PORTE E SUBORDINAÇÃO ATUAL</x:v>
      </x:c>
      <x:c r="N3" s="48" t="str">
        <x:v>ÍNDICES DOCUMENTAIS</x:v>
      </x:c>
      <x:c r="O3" s="48" t="str">
        <x:v>ÍNDICES DOCUMENTAIS</x:v>
      </x:c>
      <x:c r="P3" s="48" t="str">
        <x:v>ÍNDICES DOCUMENTAIS</x:v>
      </x:c>
      <x:c r="Q3" s="48" t="str">
        <x:v>ÍNDICES DOCUMENTAIS</x:v>
      </x:c>
      <x:c r="R3" s="48" t="str">
        <x:v>ÍNDICES DOCUMENTAIS</x:v>
      </x:c>
      <x:c r="S3" s="48" t="str">
        <x:v>ÍNDICES DOCUMENTAIS</x:v>
      </x:c>
      <x:c r="T3" s="48" t="str">
        <x:v>ÍNDICES DOCUMENTAIS</x:v>
      </x:c>
      <x:c r="U3" s="48" t="str">
        <x:v>ÍNDICES DOCUMENTAIS</x:v>
      </x:c>
      <x:c r="V3" s="48" t="str">
        <x:v>ÍNDICES DOCUMENTAIS</x:v>
      </x:c>
      <x:c r="W3" s="52" t="str">
        <x:v>COMPARABILIDADE E FOLGA</x:v>
      </x:c>
      <x:c r="X3" s="52" t="str">
        <x:v>COMPARABILIDADE E FOLGA</x:v>
      </x:c>
      <x:c r="Y3" s="52" t="str">
        <x:v>COMPARABILIDADE E FOLGA</x:v>
      </x:c>
      <x:c r="Z3" s="52" t="str">
        <x:v>COMPARABILIDADE E FOLGA</x:v>
      </x:c>
      <x:c r="AA3" s="52" t="str">
        <x:v>COMPARABILIDADE E FOLGA</x:v>
      </x:c>
      <x:c r="AB3" s="52" t="str">
        <x:v>COMPARABILIDADE E FOLGA</x:v>
      </x:c>
      <x:c r="AC3" s="56" t="str">
        <x:v>TAXONOMIA</x:v>
      </x:c>
      <x:c r="AD3" s="56" t="str">
        <x:v>TAXONOMIA</x:v>
      </x:c>
      <x:c r="AE3" s="56" t="str">
        <x:v>TAXONOMIA</x:v>
      </x:c>
      <x:c r="AF3" s="60" t="str">
        <x:v>PARTES E RECEBÍVEL</x:v>
      </x:c>
      <x:c r="AG3" s="60" t="str">
        <x:v>PARTES E RECEBÍVEL</x:v>
      </x:c>
      <x:c r="AH3" s="60" t="str">
        <x:v>PARTES E RECEBÍVEL</x:v>
      </x:c>
      <x:c r="AI3" s="60" t="str">
        <x:v>PARTES E RECEBÍVEL</x:v>
      </x:c>
      <x:c r="AJ3" s="60" t="str">
        <x:v>PARTES E RECEBÍVEL</x:v>
      </x:c>
      <x:c r="AK3" s="60" t="str">
        <x:v>PARTES E RECEBÍVEL</x:v>
      </x:c>
      <x:c r="AL3" s="60" t="str">
        <x:v>PARTES E RECEBÍVEL</x:v>
      </x:c>
      <x:c r="AM3" s="60" t="str">
        <x:v>PARTES E RECEBÍVEL</x:v>
      </x:c>
      <x:c r="AN3" s="60" t="str">
        <x:v>PARTES E RECEBÍVEL</x:v>
      </x:c>
      <x:c r="AO3" s="64" t="str">
        <x:v>RASTREABILIDADE</x:v>
      </x:c>
      <x:c r="AP3" s="64" t="str">
        <x:v>RASTREABILIDADE</x:v>
      </x:c>
      <x:c r="AQ3" s="64" t="str">
        <x:v>RASTREABILIDADE</x:v>
      </x:c>
      <x:c r="AR3" s="64" t="str">
        <x:v>RASTREABILIDADE</x:v>
      </x:c>
      <x:c r="AS3" s="64" t="str">
        <x:v>RASTREABILIDADE</x:v>
      </x:c>
      <x:c r="AT3" s="64" t="str">
        <x:v>RASTREABILIDADE</x:v>
      </x:c>
      <x:c r="AU3" s="42" t="str">
        <x:v>LACUNAS</x:v>
      </x:c>
      <x:c r="AV3" s="42" t="str">
        <x:v>LACUNAS</x:v>
      </x:c>
    </x:row>
    <x:row r="4" ht="25.5" customHeight="1">
      <x:c r="A4" s="32" t="str">
        <x:v>Ordem</x:v>
      </x:c>
      <x:c r="B4" s="32" t="str">
        <x:v>CNPJ</x:v>
      </x:c>
      <x:c r="C4" s="32" t="str">
        <x:v>CNPJ formatado</x:v>
      </x:c>
      <x:c r="D4" s="32" t="str">
        <x:v>Nome completo do fundo (CVM)</x:v>
      </x:c>
      <x:c r="E4" s="32" t="str">
        <x:v>Nome de referência</x:v>
      </x:c>
      <x:c r="F4" s="32" t="str">
        <x:v>Coorte</x:v>
      </x:c>
      <x:c r="G4" s="32" t="str">
        <x:v>Data de referência</x:v>
      </x:c>
      <x:c r="H4" s="32" t="str">
        <x:v>Status da identidade</x:v>
      </x:c>
      <x:c r="I4" s="32" t="str">
        <x:v>PL atual</x:v>
      </x:c>
      <x:c r="J4" s="32" t="str">
        <x:v>PL das classes reportadas</x:v>
      </x:c>
      <x:c r="K4" s="32" t="str">
        <x:v>PL subordinado atual</x:v>
      </x:c>
      <x:c r="L4" s="32" t="str">
        <x:v>Sub / PL atual</x:v>
      </x:c>
      <x:c r="M4" s="32" t="str">
        <x:v>Status do Sub / PL</x:v>
      </x:c>
      <x:c r="N4" s="32" t="str">
        <x:v>Mínimo Jr literal</x:v>
      </x:c>
      <x:c r="O4" s="32" t="str">
        <x:v>Mínimo Jr calculado*</x:v>
      </x:c>
      <x:c r="P4" s="32" t="str">
        <x:v>Mínimo Jr ajustado*</x:v>
      </x:c>
      <x:c r="Q4" s="32" t="str">
        <x:v>Suporte total*</x:v>
      </x:c>
      <x:c r="R4" s="32" t="str">
        <x:v>Suporte Jr + Mezanino*</x:v>
      </x:c>
      <x:c r="S4" s="32" t="str">
        <x:v>Índice estrutural usado</x:v>
      </x:c>
      <x:c r="T4" s="32" t="str">
        <x:v>Índice estrutural exibido</x:v>
      </x:c>
      <x:c r="U4" s="32" t="str">
        <x:v>Natureza do índice</x:v>
      </x:c>
      <x:c r="V4" s="32" t="str">
        <x:v>Fórmula / regra</x:v>
      </x:c>
      <x:c r="W4" s="32" t="str">
        <x:v>Comparável?</x:v>
      </x:c>
      <x:c r="X4" s="32" t="str">
        <x:v>Motivo da comparabilidade</x:v>
      </x:c>
      <x:c r="Y4" s="32" t="str">
        <x:v>Exceção*</x:v>
      </x:c>
      <x:c r="Z4" s="32" t="str">
        <x:v>Folga / falta</x:v>
      </x:c>
      <x:c r="AA4" s="32" t="str">
        <x:v>Capacidade até o gatilho</x:v>
      </x:c>
      <x:c r="AB4" s="32" t="str">
        <x:v>Situação regulatória</x:v>
      </x:c>
      <x:c r="AC4" s="32" t="str">
        <x:v>Tipo</x:v>
      </x:c>
      <x:c r="AD4" s="32" t="str">
        <x:v>Foco</x:v>
      </x:c>
      <x:c r="AE4" s="32" t="str">
        <x:v>Taxonomia estrutural</x:v>
      </x:c>
      <x:c r="AF4" s="32" t="str">
        <x:v>Cedente / Originador literal*</x:v>
      </x:c>
      <x:c r="AG4" s="32" t="str">
        <x:v>Papel literal*</x:v>
      </x:c>
      <x:c r="AH4" s="32" t="str">
        <x:v>Originador*</x:v>
      </x:c>
      <x:c r="AI4" s="32" t="str">
        <x:v>Cedente*</x:v>
      </x:c>
      <x:c r="AJ4" s="32" t="str">
        <x:v>Sacado / devedor*</x:v>
      </x:c>
      <x:c r="AK4" s="32" t="str">
        <x:v>Tipo de recebível*</x:v>
      </x:c>
      <x:c r="AL4" s="32" t="str">
        <x:v>Fonte das partes / recebível</x:v>
      </x:c>
      <x:c r="AM4" s="32" t="str">
        <x:v>Status do complemento manual</x:v>
      </x:c>
      <x:c r="AN4" s="32" t="str">
        <x:v>Observação do complemento manual</x:v>
      </x:c>
      <x:c r="AO4" s="32" t="str">
        <x:v>Documento</x:v>
      </x:c>
      <x:c r="AP4" s="32" t="str">
        <x:v>Data do documento</x:v>
      </x:c>
      <x:c r="AQ4" s="32" t="str">
        <x:v>Página / cláusula</x:v>
      </x:c>
      <x:c r="AR4" s="32" t="str">
        <x:v>Status da curadoria</x:v>
      </x:c>
      <x:c r="AS4" s="32" t="str">
        <x:v>Fonte documental</x:v>
      </x:c>
      <x:c r="AT4" s="32" t="str">
        <x:v>Texto do mínimo</x:v>
      </x:c>
      <x:c r="AU4" s="32" t="str">
        <x:v>Campos não preenchidos</x:v>
      </x:c>
      <x:c r="AV4" s="32" t="str">
        <x:v>Status do preenchimento</x:v>
      </x:c>
    </x:row>
    <x:row r="5" ht="31.5" customHeight="1">
      <x:c r="A5" s="37" t="n">
        <x:v>1</x:v>
      </x:c>
      <x:c r="B5" s="71" t="n">
        <x:v>42462306000100</x:v>
      </x:c>
      <x:c r="C5" s="37" t="str">
        <x:v>42.462.306/0001-00</x:v>
      </x:c>
      <x:c r="D5" s="37" t="str">
        <x:v>IS GREEN SOLFÁCIL II FUNDO DE INVESTIMENTO EM DIREITOS CREDITÓRIOS DE RESPONSABILIDADE LIMITADA</x:v>
      </x:c>
      <x:c r="E5" s="37" t="str">
        <x:v>IS GREEN SOLFACIL II FIDC</x:v>
      </x:c>
      <x:c r="F5" s="37" t="str">
        <x:v>Carteira 101</x:v>
      </x:c>
      <x:c r="G5" s="37" t="str">
        <x:v>2026-06</x:v>
      </x:c>
      <x:c r="H5" s="37" t="str">
        <x:v>localizado</x:v>
      </x:c>
      <x:c r="I5" s="77" t="n">
        <x:v>96077249.15</x:v>
      </x:c>
      <x:c r="J5" s="77" t="n">
        <x:v>96077249.32026216</x:v>
      </x:c>
      <x:c r="K5" s="77" t="n">
        <x:v>23771476.01026215</x:v>
      </x:c>
      <x:c r="L5" s="83" t="n">
        <x:v>0.24742044782265862</x:v>
      </x:c>
      <x:c r="M5" s="37" t="str">
        <x:v>Calculado com classes reportadas e PL oficial reconciliado</x:v>
      </x:c>
      <x:c r="N5" s="83" t="n">
        <x:v>0.045</x:v>
      </x:c>
      <x:c r="O5" s="83" t="str">
        <x:v>N/D</x:v>
      </x:c>
      <x:c r="P5" s="83" t="str">
        <x:v>N/D</x:v>
      </x:c>
      <x:c r="Q5" s="83" t="str">
        <x:v>N/D</x:v>
      </x:c>
      <x:c r="R5" s="83" t="str">
        <x:v>N/D</x:v>
      </x:c>
      <x:c r="S5" s="83" t="n">
        <x:v>0.045</x:v>
      </x:c>
      <x:c r="T5" s="37" t="str">
        <x:v>4,50%</x:v>
      </x:c>
      <x:c r="U5" s="37" t="str">
        <x:v>junior_pl</x:v>
      </x:c>
      <x:c r="V5" s="37" t="str">
        <x:v>direto no regulamento</x:v>
      </x:c>
      <x:c r="W5" s="65" t="b">
        <x:v>0</x:v>
      </x:c>
      <x:c r="X5" s="37" t="str">
        <x:v>Mínimo júnior isolado; a subordinação atual disponível agrega todas as classes subordinadas.</x:v>
      </x:c>
      <x:c r="Y5" s="65" t="b">
        <x:v>0</x:v>
      </x:c>
      <x:c r="Z5" s="83" t="str">
        <x:v>N/D</x:v>
      </x:c>
      <x:c r="AA5" s="83" t="str">
        <x:v>N/D</x:v>
      </x:c>
      <x:c r="AB5" s="37" t="str">
        <x:v>não medido</x:v>
      </x:c>
      <x:c r="AC5" s="37" t="str">
        <x:v>Financeiro</x:v>
      </x:c>
      <x:c r="AD5" s="37" t="str">
        <x:v>Crédito Pessoal</x:v>
      </x:c>
      <x:c r="AE5" s="37" t="str">
        <x:v>Financeiro</x:v>
      </x:c>
      <x:c r="AF5" s="37" t="str">
        <x:v>Solfácil</x:v>
      </x:c>
      <x:c r="AG5" s="37" t="str">
        <x:v>cedente</x:v>
      </x:c>
      <x:c r="AH5" s="37" t="str">
        <x:v>N/D</x:v>
      </x:c>
      <x:c r="AI5" s="37" t="str">
        <x:v>Solfácil</x:v>
      </x:c>
      <x:c r="AJ5" s="37" t="str">
        <x:v>N/D</x:v>
      </x:c>
      <x:c r="AK5" s="37" t="str">
        <x:v>créditos originados para securitização posterior em CRIs</x:v>
      </x:c>
      <x:c r="AL5" s="37" t="str">
        <x:v>IMG_8704.JPG</x:v>
      </x:c>
      <x:c r="AM5" s="37" t="str">
        <x:v>manual_aplicado</x:v>
      </x:c>
      <x:c r="AN5" s="37" t="str">
        <x:v>OBS da foto: FIDC warehouse com finalidade de originar créditos para serem securitizados posteriormente em CRIs a mercado; texto final cortado pela foto.</x:v>
      </x:c>
      <x:c r="AO5" s="37" t="str">
        <x:v>896879</x:v>
      </x:c>
      <x:c r="AP5" s="37" t="str">
        <x:v>2025-05-05</x:v>
      </x:c>
      <x:c r="AQ5" s="37" t="str">
        <x:v>12</x:v>
      </x:c>
      <x:c r="AR5" s="37" t="str">
        <x:v>revisto — mínimo júnior localizado</x:v>
      </x:c>
      <x:c r="AS5" s="37" t="str">
        <x:v>FundosNet/B3; documento 896879; referência 2025-05-05; p. 12</x:v>
      </x:c>
      <x:c r="AT5" s="37" t="str">
        <x:v>Cotas subordinadas júnior / PL, mínimo de 4,5%.</x:v>
      </x:c>
      <x:c r="AU5" s="37" t="str">
        <x:v>originador; sacado/devedor</x:v>
      </x:c>
      <x:c r="AV5" s="37" t="str">
        <x:v>estrutura_incomparavel</x:v>
      </x:c>
    </x:row>
    <x:row r="6" ht="31.5" customHeight="1">
      <x:c r="A6" s="39" t="n">
        <x:v>2</x:v>
      </x:c>
      <x:c r="B6" s="72" t="n">
        <x:v>54810968000102</x:v>
      </x:c>
      <x:c r="C6" s="39" t="str">
        <x:v>54.810.968/0001-02</x:v>
      </x:c>
      <x:c r="D6" s="39" t="str">
        <x:v>ANGÁ FGTS III FUNDO DE INVESTIMENTO EM DIREITOS CREDITÓRIOS</x:v>
      </x:c>
      <x:c r="E6" s="39" t="str">
        <x:v>ANGA FGTS III FUNDO DE INVESTIMENTO EM DIREITOS CR</x:v>
      </x:c>
      <x:c r="F6" s="39" t="str">
        <x:v>Carteira 101</x:v>
      </x:c>
      <x:c r="G6" s="39" t="str">
        <x:v>2026-06</x:v>
      </x:c>
      <x:c r="H6" s="39" t="str">
        <x:v>localizado</x:v>
      </x:c>
      <x:c r="I6" s="78" t="n">
        <x:v>965301307.96</x:v>
      </x:c>
      <x:c r="J6" s="78" t="n">
        <x:v>965301307.9575</x:v>
      </x:c>
      <x:c r="K6" s="78" t="n">
        <x:v>155793966.36</x:v>
      </x:c>
      <x:c r="L6" s="84" t="n">
        <x:v>0.1613941316305103</x:v>
      </x:c>
      <x:c r="M6" s="39" t="str">
        <x:v>Calculado com classes reportadas e PL oficial reconciliado</x:v>
      </x:c>
      <x:c r="N6" s="84" t="n">
        <x:v>0.05</x:v>
      </x:c>
      <x:c r="O6" s="84" t="str">
        <x:v>N/D</x:v>
      </x:c>
      <x:c r="P6" s="84" t="str">
        <x:v>N/D</x:v>
      </x:c>
      <x:c r="Q6" s="84" t="str">
        <x:v>N/D</x:v>
      </x:c>
      <x:c r="R6" s="84" t="str">
        <x:v>N/D</x:v>
      </x:c>
      <x:c r="S6" s="84" t="n">
        <x:v>0.05</x:v>
      </x:c>
      <x:c r="T6" s="39" t="str">
        <x:v>5,0%</x:v>
      </x:c>
      <x:c r="U6" s="39" t="str">
        <x:v>junior_pl</x:v>
      </x:c>
      <x:c r="V6" s="39" t="str">
        <x:v>direto no regulamento</x:v>
      </x:c>
      <x:c r="W6" s="66" t="b">
        <x:v>0</x:v>
      </x:c>
      <x:c r="X6" s="39" t="str">
        <x:v>Mínimo júnior isolado; a subordinação atual disponível agrega todas as classes subordinadas.</x:v>
      </x:c>
      <x:c r="Y6" s="66" t="b">
        <x:v>0</x:v>
      </x:c>
      <x:c r="Z6" s="84" t="str">
        <x:v>N/D</x:v>
      </x:c>
      <x:c r="AA6" s="84" t="str">
        <x:v>N/D</x:v>
      </x:c>
      <x:c r="AB6" s="39" t="str">
        <x:v>não medido</x:v>
      </x:c>
      <x:c r="AC6" s="39" t="str">
        <x:v>Financeiro</x:v>
      </x:c>
      <x:c r="AD6" s="39" t="str">
        <x:v>Crédito Pessoal</x:v>
      </x:c>
      <x:c r="AE6" s="39" t="str">
        <x:v>Consignado FGTS</x:v>
      </x:c>
      <x:c r="AF6" s="39" t="str">
        <x:v>BMG</x:v>
      </x:c>
      <x:c r="AG6" s="39" t="str">
        <x:v>cedente</x:v>
      </x:c>
      <x:c r="AH6" s="39" t="str">
        <x:v>N/D</x:v>
      </x:c>
      <x:c r="AI6" s="39" t="str">
        <x:v>BMG</x:v>
      </x:c>
      <x:c r="AJ6" s="39" t="str">
        <x:v>N/D</x:v>
      </x:c>
      <x:c r="AK6" s="39" t="str">
        <x:v>Crédito FGTS</x:v>
      </x:c>
      <x:c r="AL6" s="39" t="str">
        <x:v>IMG_8704.JPG</x:v>
      </x:c>
      <x:c r="AM6" s="39" t="str">
        <x:v>manual_aplicado</x:v>
      </x:c>
      <x:c r="AN6" s="39" t="str">
        <x:v>Denominação cortada pela largura da coluna na foto.</x:v>
      </x:c>
      <x:c r="AO6" s="39" t="str">
        <x:v>937760</x:v>
      </x:c>
      <x:c r="AP6" s="39" t="str">
        <x:v>2025-04-22</x:v>
      </x:c>
      <x:c r="AQ6" s="39" t="str">
        <x:v>16</x:v>
      </x:c>
      <x:c r="AR6" s="39" t="str">
        <x:v>revisto — mínimo júnior localizado</x:v>
      </x:c>
      <x:c r="AS6" s="39" t="str">
        <x:v>FundosNet/B3; documento 937760; referência 2025-04-22; p. 16</x:v>
      </x:c>
      <x:c r="AT6" s="39" t="str">
        <x:v>Índice de Subordinação Mezanino: cotas júnior / PL, mínimo de 5,0%.</x:v>
      </x:c>
      <x:c r="AU6" s="39" t="str">
        <x:v>originador; sacado/devedor</x:v>
      </x:c>
      <x:c r="AV6" s="39" t="str">
        <x:v>estrutura_incomparavel</x:v>
      </x:c>
    </x:row>
    <x:row r="7" ht="31.5" customHeight="1">
      <x:c r="A7" s="38" t="n">
        <x:v>3</x:v>
      </x:c>
      <x:c r="B7" s="73" t="n">
        <x:v>53270983000142</x:v>
      </x:c>
      <x:c r="C7" s="38" t="str">
        <x:v>53.270.983/0001-42</x:v>
      </x:c>
      <x:c r="D7" s="38" t="str">
        <x:v>ANGÁ FGTS +AG FUNDO DE INVESTIMENTO EM DIREITOS CREDITÓRIOS - RESPONSABILIDADE LIMITADA</x:v>
      </x:c>
      <x:c r="E7" s="38" t="str">
        <x:v>ANGA FGTS MAIS AG FIDC RESPONSABILIDADE LIMITADA</x:v>
      </x:c>
      <x:c r="F7" s="38" t="str">
        <x:v>Carteira 101</x:v>
      </x:c>
      <x:c r="G7" s="38" t="str">
        <x:v>2026-06</x:v>
      </x:c>
      <x:c r="H7" s="38" t="str">
        <x:v>localizado</x:v>
      </x:c>
      <x:c r="I7" s="79" t="n">
        <x:v>71093264.7</x:v>
      </x:c>
      <x:c r="J7" s="79" t="n">
        <x:v>71093264.69995001</x:v>
      </x:c>
      <x:c r="K7" s="79" t="n">
        <x:v>14367405.36995</x:v>
      </x:c>
      <x:c r="L7" s="85" t="n">
        <x:v>0.20209235615466115</x:v>
      </x:c>
      <x:c r="M7" s="38" t="str">
        <x:v>Calculado com classes reportadas e PL oficial reconciliado</x:v>
      </x:c>
      <x:c r="N7" s="85" t="n">
        <x:v>0.08</x:v>
      </x:c>
      <x:c r="O7" s="85" t="str">
        <x:v>N/D</x:v>
      </x:c>
      <x:c r="P7" s="85" t="str">
        <x:v>N/D</x:v>
      </x:c>
      <x:c r="Q7" s="85" t="str">
        <x:v>N/D</x:v>
      </x:c>
      <x:c r="R7" s="85" t="str">
        <x:v>N/D</x:v>
      </x:c>
      <x:c r="S7" s="85" t="n">
        <x:v>0.08</x:v>
      </x:c>
      <x:c r="T7" s="38" t="str">
        <x:v>8,0%</x:v>
      </x:c>
      <x:c r="U7" s="38" t="str">
        <x:v>junior_pl</x:v>
      </x:c>
      <x:c r="V7" s="38" t="str">
        <x:v>direto no regulamento</x:v>
      </x:c>
      <x:c r="W7" s="67" t="b">
        <x:v>0</x:v>
      </x:c>
      <x:c r="X7" s="38" t="str">
        <x:v>Mínimo júnior isolado; a subordinação atual disponível agrega todas as classes subordinadas.</x:v>
      </x:c>
      <x:c r="Y7" s="67" t="b">
        <x:v>0</x:v>
      </x:c>
      <x:c r="Z7" s="85" t="str">
        <x:v>N/D</x:v>
      </x:c>
      <x:c r="AA7" s="85" t="str">
        <x:v>N/D</x:v>
      </x:c>
      <x:c r="AB7" s="38" t="str">
        <x:v>não medido</x:v>
      </x:c>
      <x:c r="AC7" s="38" t="str">
        <x:v>Financeiro</x:v>
      </x:c>
      <x:c r="AD7" s="38" t="str">
        <x:v>Crédito Pessoal</x:v>
      </x:c>
      <x:c r="AE7" s="38" t="str">
        <x:v>Consignado FGTS</x:v>
      </x:c>
      <x:c r="AF7" s="38" t="str">
        <x:v>QI Tech</x:v>
      </x:c>
      <x:c r="AG7" s="38" t="str">
        <x:v>cedente</x:v>
      </x:c>
      <x:c r="AH7" s="38" t="str">
        <x:v>N/D</x:v>
      </x:c>
      <x:c r="AI7" s="38" t="str">
        <x:v>QI Tech</x:v>
      </x:c>
      <x:c r="AJ7" s="38" t="str">
        <x:v>N/D</x:v>
      </x:c>
      <x:c r="AK7" s="38" t="str">
        <x:v>N/D</x:v>
      </x:c>
      <x:c r="AL7" s="38" t="str">
        <x:v>IMG_8704.JPG</x:v>
      </x:c>
      <x:c r="AM7" s="38" t="str">
        <x:v>manual_aplicado</x:v>
      </x:c>
      <x:c r="AN7" s="38" t="str">
        <x:v>N/D</x:v>
      </x:c>
      <x:c r="AO7" s="38" t="str">
        <x:v>881263</x:v>
      </x:c>
      <x:c r="AP7" s="38" t="str">
        <x:v>2025-04-03</x:v>
      </x:c>
      <x:c r="AQ7" s="38" t="str">
        <x:v>14</x:v>
      </x:c>
      <x:c r="AR7" s="38" t="str">
        <x:v>revisto — mínimo júnior localizado</x:v>
      </x:c>
      <x:c r="AS7" s="38" t="str">
        <x:v>FundosNet/B3; documento 881263; referência 2025-04-03; p. 14</x:v>
      </x:c>
      <x:c r="AT7" s="38" t="str">
        <x:v>Índice de Subordinação Mezanino: cotas júnior / PL, mínimo de 8,0%.</x:v>
      </x:c>
      <x:c r="AU7" s="38" t="str">
        <x:v>originador; sacado/devedor; tipo de recebível</x:v>
      </x:c>
      <x:c r="AV7" s="38" t="str">
        <x:v>estrutura_incomparavel</x:v>
      </x:c>
    </x:row>
    <x:row r="8" ht="31.5" customHeight="1">
      <x:c r="A8" s="39" t="n">
        <x:v>4</x:v>
      </x:c>
      <x:c r="B8" s="72" t="n">
        <x:v>52968533000165</x:v>
      </x:c>
      <x:c r="C8" s="39" t="str">
        <x:v>52.968.533/0001-65</x:v>
      </x:c>
      <x:c r="D8" s="39" t="str">
        <x:v>MCPO FUNDO DE INVESTIMENTO EM DIREITOS CREDITÓRIOS</x:v>
      </x:c>
      <x:c r="E8" s="39" t="str">
        <x:v>MCPO FUNDO DE INVESTIMENTO EM DIREITOS CREDITORIO</x:v>
      </x:c>
      <x:c r="F8" s="39" t="str">
        <x:v>Carteira 101</x:v>
      </x:c>
      <x:c r="G8" s="39" t="str">
        <x:v>2026-06</x:v>
      </x:c>
      <x:c r="H8" s="39" t="str">
        <x:v>localizado</x:v>
      </x:c>
      <x:c r="I8" s="78" t="n">
        <x:v>113318733.22</x:v>
      </x:c>
      <x:c r="J8" s="78" t="n">
        <x:v>113318733.2248122</x:v>
      </x:c>
      <x:c r="K8" s="78" t="n">
        <x:v>0</x:v>
      </x:c>
      <x:c r="L8" s="84" t="n">
        <x:v>0</x:v>
      </x:c>
      <x:c r="M8" s="39" t="str">
        <x:v>Calculado com classes reportadas e PL oficial reconciliado</x:v>
      </x:c>
      <x:c r="N8" s="84" t="str">
        <x:v>N/D</x:v>
      </x:c>
      <x:c r="O8" s="84" t="str">
        <x:v>N/D</x:v>
      </x:c>
      <x:c r="P8" s="84" t="str">
        <x:v>N/D</x:v>
      </x:c>
      <x:c r="Q8" s="84" t="n">
        <x:v>0.2</x:v>
      </x:c>
      <x:c r="R8" s="84" t="str">
        <x:v>N/D</x:v>
      </x:c>
      <x:c r="S8" s="84" t="n">
        <x:v>0.2</x:v>
      </x:c>
      <x:c r="T8" s="39" t="str">
        <x:v>20,0%*</x:v>
      </x:c>
      <x:c r="U8" s="39" t="str">
        <x:v>suporte_total_pl</x:v>
      </x:c>
      <x:c r="V8" s="39" t="str">
        <x:v>direto no regulamento</x:v>
      </x:c>
      <x:c r="W8" s="66" t="b">
        <x:v>1</x:v>
      </x:c>
      <x:c r="X8" s="39" t="str">
        <x:v>Suporte total ou combinado; não representa mínimo júnior isolado.</x:v>
      </x:c>
      <x:c r="Y8" s="66" t="b">
        <x:v>1</x:v>
      </x:c>
      <x:c r="Z8" s="84" t="n">
        <x:v>-0.2</x:v>
      </x:c>
      <x:c r="AA8" s="84" t="n">
        <x:v>-0.25</x:v>
      </x:c>
      <x:c r="AB8" s="39" t="str">
        <x:v>abaixo do mínimo</x:v>
      </x:c>
      <x:c r="AC8" s="39" t="str">
        <x:v>Financeiro</x:v>
      </x:c>
      <x:c r="AD8" s="39" t="str">
        <x:v>Multicarteira Financeiro</x:v>
      </x:c>
      <x:c r="AE8" s="39" t="str">
        <x:v>Financeiro</x:v>
      </x:c>
      <x:c r="AF8" s="39" t="str">
        <x:v>Maqcampo</x:v>
      </x:c>
      <x:c r="AG8" s="39" t="str">
        <x:v>cedente</x:v>
      </x:c>
      <x:c r="AH8" s="39" t="str">
        <x:v>N/D</x:v>
      </x:c>
      <x:c r="AI8" s="39" t="str">
        <x:v>Maqcampo</x:v>
      </x:c>
      <x:c r="AJ8" s="39" t="str">
        <x:v>N/D</x:v>
      </x:c>
      <x:c r="AK8" s="39" t="str">
        <x:v>N/D</x:v>
      </x:c>
      <x:c r="AL8" s="39" t="str">
        <x:v>IMG_8704.JPG</x:v>
      </x:c>
      <x:c r="AM8" s="39" t="str">
        <x:v>manual_aplicado</x:v>
      </x:c>
      <x:c r="AN8" s="39" t="str">
        <x:v>OBS da foto: atrasos elevados; em discussão de possível solução de parcela dos vencidos.</x:v>
      </x:c>
      <x:c r="AO8" s="39" t="str">
        <x:v>1049185</x:v>
      </x:c>
      <x:c r="AP8" s="39" t="str">
        <x:v>2025-10-14</x:v>
      </x:c>
      <x:c r="AQ8" s="39" t="str">
        <x:v>72</x:v>
      </x:c>
      <x:c r="AR8" s="39" t="str">
        <x:v>revisto — suporte estrutural total localizado</x:v>
      </x:c>
      <x:c r="AS8" s="39" t="str">
        <x:v>FundosNet/B3; documento 1049185; referência 2025-10-14; p. 72</x:v>
      </x:c>
      <x:c r="AT8" s="39" t="str">
        <x:v>N/D</x:v>
      </x:c>
      <x:c r="AU8" s="39" t="str">
        <x:v>originador; sacado/devedor; tipo de recebível</x:v>
      </x:c>
      <x:c r="AV8" s="39" t="str">
        <x:v>completo_para_folga</x:v>
      </x:c>
    </x:row>
    <x:row r="9" ht="31.5" customHeight="1">
      <x:c r="A9" s="38" t="n">
        <x:v>5</x:v>
      </x:c>
      <x:c r="B9" s="73" t="n">
        <x:v>52100879000147</x:v>
      </x:c>
      <x:c r="C9" s="38" t="str">
        <x:v>52.100.879/0001-47</x:v>
      </x:c>
      <x:c r="D9" s="38" t="str">
        <x:v>SOTREQ FUNDO DE INVESTIMENTO EM DIREITOS CREDITÓRIOS - RESPONSABILIDADE LIMITADA</x:v>
      </x:c>
      <x:c r="E9" s="38" t="str">
        <x:v>SOTREQ FUNDO DE INVESTIMENTO EM DIREITOS CREDITORIOS</x:v>
      </x:c>
      <x:c r="F9" s="38" t="str">
        <x:v>Carteira 101</x:v>
      </x:c>
      <x:c r="G9" s="38" t="str">
        <x:v>2026-06</x:v>
      </x:c>
      <x:c r="H9" s="38" t="str">
        <x:v>localizado</x:v>
      </x:c>
      <x:c r="I9" s="79" t="n">
        <x:v>205217344.77</x:v>
      </x:c>
      <x:c r="J9" s="79" t="n">
        <x:v>205217344.77034083</x:v>
      </x:c>
      <x:c r="K9" s="79" t="n">
        <x:v>48419776.33984083</x:v>
      </x:c>
      <x:c r="L9" s="85" t="n">
        <x:v>0.23594387888659177</x:v>
      </x:c>
      <x:c r="M9" s="38" t="str">
        <x:v>Calculado com classes reportadas e PL oficial reconciliado</x:v>
      </x:c>
      <x:c r="N9" s="85" t="str">
        <x:v>N/D</x:v>
      </x:c>
      <x:c r="O9" s="85" t="str">
        <x:v>N/D</x:v>
      </x:c>
      <x:c r="P9" s="85" t="str">
        <x:v>N/D</x:v>
      </x:c>
      <x:c r="Q9" s="85" t="n">
        <x:v>0.25</x:v>
      </x:c>
      <x:c r="R9" s="85" t="str">
        <x:v>N/D</x:v>
      </x:c>
      <x:c r="S9" s="85" t="n">
        <x:v>0.25</x:v>
      </x:c>
      <x:c r="T9" s="38" t="str">
        <x:v>25,0%*</x:v>
      </x:c>
      <x:c r="U9" s="38" t="str">
        <x:v>suporte_total_pl</x:v>
      </x:c>
      <x:c r="V9" s="38" t="str">
        <x:v>direto no regulamento</x:v>
      </x:c>
      <x:c r="W9" s="67" t="b">
        <x:v>1</x:v>
      </x:c>
      <x:c r="X9" s="38" t="str">
        <x:v>Suporte total ou combinado; não representa mínimo júnior isolado.</x:v>
      </x:c>
      <x:c r="Y9" s="67" t="b">
        <x:v>1</x:v>
      </x:c>
      <x:c r="Z9" s="85" t="n">
        <x:v>-0.014056121113408232</x:v>
      </x:c>
      <x:c r="AA9" s="85" t="n">
        <x:v>-0.01874149481787764</x:v>
      </x:c>
      <x:c r="AB9" s="38" t="str">
        <x:v>abaixo do mínimo</x:v>
      </x:c>
      <x:c r="AC9" s="38" t="str">
        <x:v>Financeiro</x:v>
      </x:c>
      <x:c r="AD9" s="38" t="str">
        <x:v>Multicarteira Financeiro</x:v>
      </x:c>
      <x:c r="AE9" s="38" t="str">
        <x:v>Financeiro</x:v>
      </x:c>
      <x:c r="AF9" s="38" t="str">
        <x:v>Sotreq</x:v>
      </x:c>
      <x:c r="AG9" s="38" t="str">
        <x:v>cedente</x:v>
      </x:c>
      <x:c r="AH9" s="38" t="str">
        <x:v>N/D</x:v>
      </x:c>
      <x:c r="AI9" s="38" t="str">
        <x:v>Sotreq</x:v>
      </x:c>
      <x:c r="AJ9" s="38" t="str">
        <x:v>N/D</x:v>
      </x:c>
      <x:c r="AK9" s="38" t="str">
        <x:v>N/D</x:v>
      </x:c>
      <x:c r="AL9" s="38" t="str">
        <x:v>IMG_8704.JPG</x:v>
      </x:c>
      <x:c r="AM9" s="38" t="str">
        <x:v>manual_aplicado</x:v>
      </x:c>
      <x:c r="AN9" s="38" t="str">
        <x:v>Denominação cortada pela largura da coluna na foto.</x:v>
      </x:c>
      <x:c r="AO9" s="38" t="str">
        <x:v>1117315</x:v>
      </x:c>
      <x:c r="AP9" s="38" t="str">
        <x:v>2026-02-06</x:v>
      </x:c>
      <x:c r="AQ9" s="38" t="str">
        <x:v>49</x:v>
      </x:c>
      <x:c r="AR9" s="38" t="str">
        <x:v>revisto — suporte estrutural total localizado</x:v>
      </x:c>
      <x:c r="AS9" s="38" t="str">
        <x:v>FundosNet/B3; documento 1117315; referência 2026-02-06; p. 49</x:v>
      </x:c>
      <x:c r="AT9" s="38" t="str">
        <x:v>N/D</x:v>
      </x:c>
      <x:c r="AU9" s="38" t="str">
        <x:v>originador; sacado/devedor; tipo de recebível</x:v>
      </x:c>
      <x:c r="AV9" s="38" t="str">
        <x:v>completo_para_folga</x:v>
      </x:c>
    </x:row>
    <x:row r="10" ht="31.5" customHeight="1">
      <x:c r="A10" s="39" t="n">
        <x:v>6</x:v>
      </x:c>
      <x:c r="B10" s="72" t="n">
        <x:v>53662209000187</x:v>
      </x:c>
      <x:c r="C10" s="39" t="str">
        <x:v>53.662.209/0001-87</x:v>
      </x:c>
      <x:c r="D10" s="39" t="str">
        <x:v>PNEUCASH FUNDO DE INVESTIMENTO EM DIREITOS CREDITÓRIOS DE CLASSE ÚNICA FECHADA - RESP LTDA</x:v>
      </x:c>
      <x:c r="E10" s="39" t="str">
        <x:v>PNEUCASH FUNDO DE INVESTIMENTO EM DIREITOS CREDITORIOS</x:v>
      </x:c>
      <x:c r="F10" s="39" t="str">
        <x:v>Carteira 101</x:v>
      </x:c>
      <x:c r="G10" s="39" t="str">
        <x:v>2026-06</x:v>
      </x:c>
      <x:c r="H10" s="39" t="str">
        <x:v>localizado</x:v>
      </x:c>
      <x:c r="I10" s="78" t="n">
        <x:v>270289137.35</x:v>
      </x:c>
      <x:c r="J10" s="78" t="n">
        <x:v>265375590.1752325</x:v>
      </x:c>
      <x:c r="K10" s="78" t="n">
        <x:v>94048170.58378404</x:v>
      </x:c>
      <x:c r="L10" s="84" t="str">
        <x:v>N/D</x:v>
      </x:c>
      <x:c r="M10" s="39" t="str">
        <x:v>N/D</x:v>
      </x:c>
      <x:c r="N10" s="84" t="str">
        <x:v>N/D</x:v>
      </x:c>
      <x:c r="O10" s="84" t="str">
        <x:v>N/D</x:v>
      </x:c>
      <x:c r="P10" s="84" t="str">
        <x:v>N/D</x:v>
      </x:c>
      <x:c r="Q10" s="84" t="n">
        <x:v>0.2</x:v>
      </x:c>
      <x:c r="R10" s="84" t="str">
        <x:v>N/D</x:v>
      </x:c>
      <x:c r="S10" s="84" t="n">
        <x:v>0.2</x:v>
      </x:c>
      <x:c r="T10" s="39" t="str">
        <x:v>20,0%*</x:v>
      </x:c>
      <x:c r="U10" s="39" t="str">
        <x:v>suporte_total_pl</x:v>
      </x:c>
      <x:c r="V10" s="39" t="str">
        <x:v>direto no regulamento</x:v>
      </x:c>
      <x:c r="W10" s="66" t="b">
        <x:v>1</x:v>
      </x:c>
      <x:c r="X10" s="39" t="str">
        <x:v>Suporte total ou combinado; não representa mínimo júnior isolado.</x:v>
      </x:c>
      <x:c r="Y10" s="66" t="b">
        <x:v>1</x:v>
      </x:c>
      <x:c r="Z10" s="84" t="str">
        <x:v>N/D</x:v>
      </x:c>
      <x:c r="AA10" s="84" t="str">
        <x:v>N/D</x:v>
      </x:c>
      <x:c r="AB10" s="39" t="str">
        <x:v>não medido</x:v>
      </x:c>
      <x:c r="AC10" s="39" t="str">
        <x:v>Fomento Mercantil</x:v>
      </x:c>
      <x:c r="AD10" s="39" t="str">
        <x:v>Fomento Mercantil</x:v>
      </x:c>
      <x:c r="AE10" s="39" t="str">
        <x:v>Factoring</x:v>
      </x:c>
      <x:c r="AF10" s="39" t="str">
        <x:v>Cantu Store</x:v>
      </x:c>
      <x:c r="AG10" s="39" t="str">
        <x:v>cedente</x:v>
      </x:c>
      <x:c r="AH10" s="39" t="str">
        <x:v>N/D</x:v>
      </x:c>
      <x:c r="AI10" s="39" t="str">
        <x:v>Cantu Store</x:v>
      </x:c>
      <x:c r="AJ10" s="39" t="str">
        <x:v>N/D</x:v>
      </x:c>
      <x:c r="AK10" s="39" t="str">
        <x:v>N/D</x:v>
      </x:c>
      <x:c r="AL10" s="39" t="str">
        <x:v>IMG_8704.JPG</x:v>
      </x:c>
      <x:c r="AM10" s="39" t="str">
        <x:v>manual_aplicado</x:v>
      </x:c>
      <x:c r="AN10" s="39" t="str">
        <x:v>OBS da foto: FIDC pulverizado com 20% de subordinação e baixa inadimplência.</x:v>
      </x:c>
      <x:c r="AO10" s="39" t="str">
        <x:v>1239751</x:v>
      </x:c>
      <x:c r="AP10" s="39" t="str">
        <x:v>2026-06-30</x:v>
      </x:c>
      <x:c r="AQ10" s="39" t="str">
        <x:v>49</x:v>
      </x:c>
      <x:c r="AR10" s="39" t="str">
        <x:v>revisto — suporte estrutural total localizado</x:v>
      </x:c>
      <x:c r="AS10" s="39" t="str">
        <x:v>FundosNet/B3; documento 1239751; referência 2026-06-30; p. 49</x:v>
      </x:c>
      <x:c r="AT10" s="39" t="str">
        <x:v>N/D</x:v>
      </x:c>
      <x:c r="AU10" s="39" t="str">
        <x:v>Sub/PL atual; originador; sacado/devedor; tipo de recebível</x:v>
      </x:c>
      <x:c r="AV10" s="39" t="str">
        <x:v>sub_pl_atual_ausente</x:v>
      </x:c>
    </x:row>
    <x:row r="11" ht="31.5" customHeight="1">
      <x:c r="A11" s="38" t="n">
        <x:v>7</x:v>
      </x:c>
      <x:c r="B11" s="73" t="n">
        <x:v>53577135000180</x:v>
      </x:c>
      <x:c r="C11" s="38" t="str">
        <x:v>53.577.135/0001-80</x:v>
      </x:c>
      <x:c r="D11" s="38" t="str">
        <x:v>ANGÁ FGTS II FUNDO DE INVESTIMENTO EM DIREITOS CREDITÓRIOS - RESPONSABILIDADE LIMITADA</x:v>
      </x:c>
      <x:c r="E11" s="38" t="str">
        <x:v>ANGA FGTS II FUNDO DE INVESTIMENTO EM DIREITOS CR</x:v>
      </x:c>
      <x:c r="F11" s="38" t="str">
        <x:v>Carteira 101</x:v>
      </x:c>
      <x:c r="G11" s="38" t="str">
        <x:v>2026-06</x:v>
      </x:c>
      <x:c r="H11" s="38" t="str">
        <x:v>localizado</x:v>
      </x:c>
      <x:c r="I11" s="79" t="n">
        <x:v>249730019.95</x:v>
      </x:c>
      <x:c r="J11" s="79" t="n">
        <x:v>249730019.9486195</x:v>
      </x:c>
      <x:c r="K11" s="79" t="n">
        <x:v>54940291.73240251</x:v>
      </x:c>
      <x:c r="L11" s="85" t="n">
        <x:v>0.21999874802157326</x:v>
      </x:c>
      <x:c r="M11" s="38" t="str">
        <x:v>Calculado com classes reportadas e PL oficial reconciliado</x:v>
      </x:c>
      <x:c r="N11" s="85" t="n">
        <x:v>0.15</x:v>
      </x:c>
      <x:c r="O11" s="85" t="str">
        <x:v>N/D</x:v>
      </x:c>
      <x:c r="P11" s="85" t="str">
        <x:v>N/D</x:v>
      </x:c>
      <x:c r="Q11" s="85" t="str">
        <x:v>N/D</x:v>
      </x:c>
      <x:c r="R11" s="85" t="str">
        <x:v>N/D</x:v>
      </x:c>
      <x:c r="S11" s="85" t="n">
        <x:v>0.15</x:v>
      </x:c>
      <x:c r="T11" s="38" t="str">
        <x:v>15,0%</x:v>
      </x:c>
      <x:c r="U11" s="38" t="str">
        <x:v>junior_pl</x:v>
      </x:c>
      <x:c r="V11" s="38" t="str">
        <x:v>direto no regulamento</x:v>
      </x:c>
      <x:c r="W11" s="67" t="b">
        <x:v>0</x:v>
      </x:c>
      <x:c r="X11" s="38" t="str">
        <x:v>Mínimo júnior isolado; a subordinação atual disponível agrega todas as classes subordinadas.</x:v>
      </x:c>
      <x:c r="Y11" s="67" t="b">
        <x:v>0</x:v>
      </x:c>
      <x:c r="Z11" s="85" t="str">
        <x:v>N/D</x:v>
      </x:c>
      <x:c r="AA11" s="85" t="str">
        <x:v>N/D</x:v>
      </x:c>
      <x:c r="AB11" s="38" t="str">
        <x:v>não medido</x:v>
      </x:c>
      <x:c r="AC11" s="38" t="str">
        <x:v>Financeiro</x:v>
      </x:c>
      <x:c r="AD11" s="38" t="str">
        <x:v>Crédito Pessoal</x:v>
      </x:c>
      <x:c r="AE11" s="38" t="str">
        <x:v>Consignado FGTS</x:v>
      </x:c>
      <x:c r="AF11" s="38" t="str">
        <x:v>QI Tech</x:v>
      </x:c>
      <x:c r="AG11" s="38" t="str">
        <x:v>cedente</x:v>
      </x:c>
      <x:c r="AH11" s="38" t="str">
        <x:v>N/D</x:v>
      </x:c>
      <x:c r="AI11" s="38" t="str">
        <x:v>QI Tech</x:v>
      </x:c>
      <x:c r="AJ11" s="38" t="str">
        <x:v>N/D</x:v>
      </x:c>
      <x:c r="AK11" s="38" t="str">
        <x:v>Crédito FGTS</x:v>
      </x:c>
      <x:c r="AL11" s="38" t="str">
        <x:v>IMG_8704.JPG</x:v>
      </x:c>
      <x:c r="AM11" s="38" t="str">
        <x:v>manual_aplicado</x:v>
      </x:c>
      <x:c r="AN11" s="38" t="str">
        <x:v>Denominação cortada pela largura da coluna na foto.</x:v>
      </x:c>
      <x:c r="AO11" s="38" t="str">
        <x:v>1224059</x:v>
      </x:c>
      <x:c r="AP11" s="38" t="str">
        <x:v>2026-06-18</x:v>
      </x:c>
      <x:c r="AQ11" s="38" t="str">
        <x:v>17</x:v>
      </x:c>
      <x:c r="AR11" s="38" t="str">
        <x:v>revisto — mínimo júnior localizado</x:v>
      </x:c>
      <x:c r="AS11" s="38" t="str">
        <x:v>FundosNet/B3; documento 1224059; referência 2026-06-18; p. 17</x:v>
      </x:c>
      <x:c r="AT11" s="38" t="str">
        <x:v>Índice de Subordinação Mezanino: cotas júnior / PL, mínimo de 15,0%.</x:v>
      </x:c>
      <x:c r="AU11" s="38" t="str">
        <x:v>originador; sacado/devedor</x:v>
      </x:c>
      <x:c r="AV11" s="38" t="str">
        <x:v>estrutura_incomparavel</x:v>
      </x:c>
    </x:row>
    <x:row r="12" ht="31.5" customHeight="1">
      <x:c r="A12" s="39" t="n">
        <x:v>8</x:v>
      </x:c>
      <x:c r="B12" s="72" t="n">
        <x:v>62626887000185</x:v>
      </x:c>
      <x:c r="C12" s="39" t="str">
        <x:v>62.626.887/0001-85</x:v>
      </x:c>
      <x:c r="D12" s="39" t="str">
        <x:v>SUMUP SMART IV FIDC SEGMENTO MEIOS DE PAGAMENTO DE RESPONSABILIDADE LIMITADA</x:v>
      </x:c>
      <x:c r="E12" s="39" t="str">
        <x:v>TOP 2025 C FIDC RESP LTDA</x:v>
      </x:c>
      <x:c r="F12" s="39" t="str">
        <x:v>Carteira 101</x:v>
      </x:c>
      <x:c r="G12" s="39" t="str">
        <x:v>2026-06</x:v>
      </x:c>
      <x:c r="H12" s="39" t="str">
        <x:v>localizado</x:v>
      </x:c>
      <x:c r="I12" s="78" t="n">
        <x:v>356847386.67</x:v>
      </x:c>
      <x:c r="J12" s="78" t="n">
        <x:v>356847386.66493005</x:v>
      </x:c>
      <x:c r="K12" s="78" t="n">
        <x:v>14184048.109525</x:v>
      </x:c>
      <x:c r="L12" s="84" t="n">
        <x:v>0.03974821909692704</x:v>
      </x:c>
      <x:c r="M12" s="39" t="str">
        <x:v>Calculado com classes reportadas e PL oficial reconciliado</x:v>
      </x:c>
      <x:c r="N12" s="84" t="n">
        <x:v>0.028999999999999998</x:v>
      </x:c>
      <x:c r="O12" s="84" t="str">
        <x:v>N/D</x:v>
      </x:c>
      <x:c r="P12" s="84" t="str">
        <x:v>N/D</x:v>
      </x:c>
      <x:c r="Q12" s="84" t="str">
        <x:v>N/D</x:v>
      </x:c>
      <x:c r="R12" s="84" t="str">
        <x:v>N/D</x:v>
      </x:c>
      <x:c r="S12" s="84" t="n">
        <x:v>0.028999999999999998</x:v>
      </x:c>
      <x:c r="T12" s="39" t="str">
        <x:v>2,90%</x:v>
      </x:c>
      <x:c r="U12" s="39" t="str">
        <x:v>junior_pl</x:v>
      </x:c>
      <x:c r="V12" s="39" t="str">
        <x:v>direto no regulamento</x:v>
      </x:c>
      <x:c r="W12" s="66" t="b">
        <x:v>0</x:v>
      </x:c>
      <x:c r="X12" s="39" t="str">
        <x:v>Mínimo júnior isolado; a subordinação atual disponível agrega todas as classes subordinadas.</x:v>
      </x:c>
      <x:c r="Y12" s="66" t="b">
        <x:v>0</x:v>
      </x:c>
      <x:c r="Z12" s="84" t="str">
        <x:v>N/D</x:v>
      </x:c>
      <x:c r="AA12" s="84" t="str">
        <x:v>N/D</x:v>
      </x:c>
      <x:c r="AB12" s="39" t="str">
        <x:v>não medido</x:v>
      </x:c>
      <x:c r="AC12" s="39" t="str">
        <x:v>Agro, Indústria e Comércio</x:v>
      </x:c>
      <x:c r="AD12" s="39" t="str">
        <x:v>Recebíveis Comerciais</x:v>
      </x:c>
      <x:c r="AE12" s="39" t="str">
        <x:v>Agro / Revenda</x:v>
      </x:c>
      <x:c r="AF12" s="39" t="str">
        <x:v>Sumup IP</x:v>
      </x:c>
      <x:c r="AG12" s="39" t="str">
        <x:v>cedente</x:v>
      </x:c>
      <x:c r="AH12" s="39" t="str">
        <x:v>N/D</x:v>
      </x:c>
      <x:c r="AI12" s="39" t="str">
        <x:v>Sumup IP</x:v>
      </x:c>
      <x:c r="AJ12" s="39" t="str">
        <x:v>N/D</x:v>
      </x:c>
      <x:c r="AK12" s="39" t="str">
        <x:v>N/D</x:v>
      </x:c>
      <x:c r="AL12" s="39" t="str">
        <x:v>IMG_8704.JPG</x:v>
      </x:c>
      <x:c r="AM12" s="39" t="str">
        <x:v>manual_aplicado</x:v>
      </x:c>
      <x:c r="AN12" s="39" t="str">
        <x:v>OBS da foto: Risco Banco Emissor Itaú.</x:v>
      </x:c>
      <x:c r="AO12" s="39" t="str">
        <x:v>1152823</x:v>
      </x:c>
      <x:c r="AP12" s="39" t="str">
        <x:v>2026-03-31</x:v>
      </x:c>
      <x:c r="AQ12" s="39" t="str">
        <x:v>96</x:v>
      </x:c>
      <x:c r="AR12" s="39" t="str">
        <x:v>revisto — mínimo júnior localizado</x:v>
      </x:c>
      <x:c r="AS12" s="39" t="str">
        <x:v>FundosNet/B3; documento 1152823; referência 2026-03-31; p. 96</x:v>
      </x:c>
      <x:c r="AT12" s="39" t="str">
        <x:v>Cotas subordinadas júnior / PL, mínimo de 2,90%.</x:v>
      </x:c>
      <x:c r="AU12" s="39" t="str">
        <x:v>originador; sacado/devedor; tipo de recebível</x:v>
      </x:c>
      <x:c r="AV12" s="39" t="str">
        <x:v>estrutura_incomparavel</x:v>
      </x:c>
    </x:row>
    <x:row r="13" ht="31.5" customHeight="1">
      <x:c r="A13" s="38" t="n">
        <x:v>9</x:v>
      </x:c>
      <x:c r="B13" s="73" t="n">
        <x:v>50098465000103</x:v>
      </x:c>
      <x:c r="C13" s="38" t="str">
        <x:v>50.098.465/0001-03</x:v>
      </x:c>
      <x:c r="D13" s="38" t="str">
        <x:v>CHEMICAL XIII - FUNDO DE INVESTIMENTO EM DIREITOS CREDITÓRIOS - INDÚSTRIA PETROQUÍMICA</x:v>
      </x:c>
      <x:c r="E13" s="38" t="str">
        <x:v>CHEMICAL XIII FUNDO DE INVESTIMENTO EM DIREITOS</x:v>
      </x:c>
      <x:c r="F13" s="38" t="str">
        <x:v>Carteira 101</x:v>
      </x:c>
      <x:c r="G13" s="38" t="str">
        <x:v>2026-06</x:v>
      </x:c>
      <x:c r="H13" s="38" t="str">
        <x:v>localizado</x:v>
      </x:c>
      <x:c r="I13" s="79" t="str">
        <x:v>N/D</x:v>
      </x:c>
      <x:c r="J13" s="79" t="str">
        <x:v>N/D</x:v>
      </x:c>
      <x:c r="K13" s="79" t="str">
        <x:v>N/D</x:v>
      </x:c>
      <x:c r="L13" s="85" t="str">
        <x:v>N/D</x:v>
      </x:c>
      <x:c r="M13" s="38" t="str">
        <x:v>PL oficial ausente em 2026-06</x:v>
      </x:c>
      <x:c r="N13" s="85" t="str">
        <x:v>N/D</x:v>
      </x:c>
      <x:c r="O13" s="85" t="str">
        <x:v>N/D</x:v>
      </x:c>
      <x:c r="P13" s="85" t="str">
        <x:v>N/D</x:v>
      </x:c>
      <x:c r="Q13" s="85" t="str">
        <x:v>N/D</x:v>
      </x:c>
      <x:c r="R13" s="85" t="n">
        <x:v>0.092</x:v>
      </x:c>
      <x:c r="S13" s="85" t="n">
        <x:v>0.092</x:v>
      </x:c>
      <x:c r="T13" s="38" t="str">
        <x:v>9,2%*</x:v>
      </x:c>
      <x:c r="U13" s="38" t="str">
        <x:v>suporte_combinado_pl</x:v>
      </x:c>
      <x:c r="V13" s="38" t="str">
        <x:v>direto no regulamento</x:v>
      </x:c>
      <x:c r="W13" s="67" t="b">
        <x:v>1</x:v>
      </x:c>
      <x:c r="X13" s="38" t="str">
        <x:v>Suporte total ou combinado; não representa mínimo júnior isolado.</x:v>
      </x:c>
      <x:c r="Y13" s="67" t="b">
        <x:v>1</x:v>
      </x:c>
      <x:c r="Z13" s="85" t="str">
        <x:v>N/D</x:v>
      </x:c>
      <x:c r="AA13" s="85" t="str">
        <x:v>N/D</x:v>
      </x:c>
      <x:c r="AB13" s="38" t="str">
        <x:v>não medido</x:v>
      </x:c>
      <x:c r="AC13" s="38" t="str">
        <x:v>Agro, Indústria e Comércio</x:v>
      </x:c>
      <x:c r="AD13" s="38" t="str">
        <x:v>N/D</x:v>
      </x:c>
      <x:c r="AE13" s="38" t="str">
        <x:v>Agro / Revenda</x:v>
      </x:c>
      <x:c r="AF13" s="38" t="str">
        <x:v>Braskem</x:v>
      </x:c>
      <x:c r="AG13" s="38" t="str">
        <x:v>cedente</x:v>
      </x:c>
      <x:c r="AH13" s="38" t="str">
        <x:v>N/D</x:v>
      </x:c>
      <x:c r="AI13" s="38" t="str">
        <x:v>Braskem</x:v>
      </x:c>
      <x:c r="AJ13" s="38" t="str">
        <x:v>N/D</x:v>
      </x:c>
      <x:c r="AK13" s="38" t="str">
        <x:v>N/D</x:v>
      </x:c>
      <x:c r="AL13" s="38" t="str">
        <x:v>IMG_8704.JPG</x:v>
      </x:c>
      <x:c r="AM13" s="38" t="str">
        <x:v>manual_aplicado</x:v>
      </x:c>
      <x:c r="AN13" s="38" t="str">
        <x:v>OBS da foto: baixo nível de inadimplência (0% Over90 nos últimos meses). Denominação cortada.</x:v>
      </x:c>
      <x:c r="AO13" s="38" t="str">
        <x:v>690567</x:v>
      </x:c>
      <x:c r="AP13" s="38" t="str">
        <x:v>2024-07-01</x:v>
      </x:c>
      <x:c r="AQ13" s="38" t="str">
        <x:v>15</x:v>
      </x:c>
      <x:c r="AR13" s="38" t="str">
        <x:v>revisto — suporte estrutural total localizado</x:v>
      </x:c>
      <x:c r="AS13" s="38" t="str">
        <x:v>FundosNet/B3; documento 690567; referência 2024-07-01; p. 15</x:v>
      </x:c>
      <x:c r="AT13" s="38" t="str">
        <x:v>N/D</x:v>
      </x:c>
      <x:c r="AU13" s="38" t="str">
        <x:v>PL atual; Sub/PL atual; originador; sacado/devedor; tipo de recebível</x:v>
      </x:c>
      <x:c r="AV13" s="38" t="str">
        <x:v>sub_pl_atual_ausente</x:v>
      </x:c>
    </x:row>
    <x:row r="14" ht="31.5" customHeight="1">
      <x:c r="A14" s="39" t="n">
        <x:v>10</x:v>
      </x:c>
      <x:c r="B14" s="72" t="n">
        <x:v>48967719000122</x:v>
      </x:c>
      <x:c r="C14" s="39" t="str">
        <x:v>48.967.719/0001-22</x:v>
      </x:c>
      <x:c r="D14" s="39" t="str">
        <x:v>SOULPAY FUNDO DE INVESTIMENTO EM DIREITOS CREDITÓRIOS</x:v>
      </x:c>
      <x:c r="E14" s="39" t="str">
        <x:v>SOULPAY FIDC</x:v>
      </x:c>
      <x:c r="F14" s="39" t="str">
        <x:v>Carteira 101</x:v>
      </x:c>
      <x:c r="G14" s="39" t="str">
        <x:v>2026-06</x:v>
      </x:c>
      <x:c r="H14" s="39" t="str">
        <x:v>localizado</x:v>
      </x:c>
      <x:c r="I14" s="78" t="n">
        <x:v>78431250.09</x:v>
      </x:c>
      <x:c r="J14" s="78" t="n">
        <x:v>78431250.08938673</x:v>
      </x:c>
      <x:c r="K14" s="78" t="n">
        <x:v>4675972.799988379</x:v>
      </x:c>
      <x:c r="L14" s="84" t="n">
        <x:v>0.059618746285730384</x:v>
      </x:c>
      <x:c r="M14" s="39" t="str">
        <x:v>Calculado com classes reportadas e PL oficial reconciliado</x:v>
      </x:c>
      <x:c r="N14" s="84" t="n">
        <x:v>0.05</x:v>
      </x:c>
      <x:c r="O14" s="84" t="str">
        <x:v>N/D</x:v>
      </x:c>
      <x:c r="P14" s="84" t="str">
        <x:v>N/D</x:v>
      </x:c>
      <x:c r="Q14" s="84" t="n">
        <x:v>0.05</x:v>
      </x:c>
      <x:c r="R14" s="84" t="str">
        <x:v>N/D</x:v>
      </x:c>
      <x:c r="S14" s="84" t="n">
        <x:v>0.05</x:v>
      </x:c>
      <x:c r="T14" s="39" t="str">
        <x:v>5,0%</x:v>
      </x:c>
      <x:c r="U14" s="39" t="str">
        <x:v>junior_pl</x:v>
      </x:c>
      <x:c r="V14" s="39" t="str">
        <x:v>direto no regulamento</x:v>
      </x:c>
      <x:c r="W14" s="66" t="b">
        <x:v>1</x:v>
      </x:c>
      <x:c r="X14" s="39" t="str">
        <x:v>Estrutura com uma única classe subordinada; métrica atual e piso usam o total subordinado sobre o PL.</x:v>
      </x:c>
      <x:c r="Y14" s="66" t="b">
        <x:v>0</x:v>
      </x:c>
      <x:c r="Z14" s="84" t="n">
        <x:v>0.009618746285730381</x:v>
      </x:c>
      <x:c r="AA14" s="84" t="n">
        <x:v>0.010124996090242507</x:v>
      </x:c>
      <x:c r="AB14" s="39" t="str">
        <x:v>folga estreita</x:v>
      </x:c>
      <x:c r="AC14" s="39" t="str">
        <x:v>Agro, Indústria e Comércio</x:v>
      </x:c>
      <x:c r="AD14" s="39" t="str">
        <x:v>Recebíveis Comerciais</x:v>
      </x:c>
      <x:c r="AE14" s="39" t="str">
        <x:v>Agro / Revenda</x:v>
      </x:c>
      <x:c r="AF14" s="39" t="str">
        <x:v>Soulpay Soluções de Pagamentos</x:v>
      </x:c>
      <x:c r="AG14" s="39" t="str">
        <x:v>cedente</x:v>
      </x:c>
      <x:c r="AH14" s="39" t="str">
        <x:v>N/D</x:v>
      </x:c>
      <x:c r="AI14" s="39" t="str">
        <x:v>Soulpay Soluções de Pagamentos</x:v>
      </x:c>
      <x:c r="AJ14" s="39" t="str">
        <x:v>N/D</x:v>
      </x:c>
      <x:c r="AK14" s="39" t="str">
        <x:v>N/D</x:v>
      </x:c>
      <x:c r="AL14" s="39" t="str">
        <x:v>IMG_8704.JPG</x:v>
      </x:c>
      <x:c r="AM14" s="39" t="str">
        <x:v>manual_aplicado</x:v>
      </x:c>
      <x:c r="AN14" s="39" t="str">
        <x:v>OBS da foto: Risco Rede.</x:v>
      </x:c>
      <x:c r="AO14" s="39" t="str">
        <x:v>785770</x:v>
      </x:c>
      <x:c r="AP14" s="39" t="str">
        <x:v>2024-11-22</x:v>
      </x:c>
      <x:c r="AQ14" s="39" t="str">
        <x:v>82</x:v>
      </x:c>
      <x:c r="AR14" s="39" t="str">
        <x:v>revisto — mínimo júnior localizado</x:v>
      </x:c>
      <x:c r="AS14" s="39" t="str">
        <x:v>FundosNet/B3; documento 785770; referência 2024-11-22; p. 82</x:v>
      </x:c>
      <x:c r="AT14" s="39" t="str">
        <x:v>Cotas subordinadas júnior / PL, mínimo de 5,0%.</x:v>
      </x:c>
      <x:c r="AU14" s="39" t="str">
        <x:v>originador; sacado/devedor; tipo de recebível</x:v>
      </x:c>
      <x:c r="AV14" s="39" t="str">
        <x:v>completo_para_folga</x:v>
      </x:c>
    </x:row>
    <x:row r="15" ht="31.5" customHeight="1">
      <x:c r="A15" s="38" t="n">
        <x:v>11</x:v>
      </x:c>
      <x:c r="B15" s="73" t="n">
        <x:v>37645417000111</x:v>
      </x:c>
      <x:c r="C15" s="38" t="str">
        <x:v>37.645.417/0001-11</x:v>
      </x:c>
      <x:c r="D15" s="38" t="str">
        <x:v>UBYFOL AGRO III FUNDO DE INVESTIMENTO NAS CADEIAS PRODUTIVAS DO AGRONEGÓCIO - RESP LIMITADA</x:v>
      </x:c>
      <x:c r="E15" s="38" t="str">
        <x:v>UBYFOL AGRO FIDC III</x:v>
      </x:c>
      <x:c r="F15" s="38" t="str">
        <x:v>Carteira 101</x:v>
      </x:c>
      <x:c r="G15" s="38" t="str">
        <x:v>2026-06</x:v>
      </x:c>
      <x:c r="H15" s="38" t="str">
        <x:v>localizado</x:v>
      </x:c>
      <x:c r="I15" s="79" t="str">
        <x:v>N/D</x:v>
      </x:c>
      <x:c r="J15" s="79" t="str">
        <x:v>N/D</x:v>
      </x:c>
      <x:c r="K15" s="79" t="str">
        <x:v>N/D</x:v>
      </x:c>
      <x:c r="L15" s="85" t="str">
        <x:v>N/D</x:v>
      </x:c>
      <x:c r="M15" s="38" t="str">
        <x:v>PL oficial ausente em 2026-06</x:v>
      </x:c>
      <x:c r="N15" s="85" t="n">
        <x:v>0.1</x:v>
      </x:c>
      <x:c r="O15" s="85" t="str">
        <x:v>N/D</x:v>
      </x:c>
      <x:c r="P15" s="85" t="str">
        <x:v>N/D</x:v>
      </x:c>
      <x:c r="Q15" s="85" t="str">
        <x:v>N/D</x:v>
      </x:c>
      <x:c r="R15" s="85" t="str">
        <x:v>N/D</x:v>
      </x:c>
      <x:c r="S15" s="85" t="n">
        <x:v>0.1</x:v>
      </x:c>
      <x:c r="T15" s="38" t="str">
        <x:v>10,0%</x:v>
      </x:c>
      <x:c r="U15" s="38" t="str">
        <x:v>junior_pl</x:v>
      </x:c>
      <x:c r="V15" s="38" t="str">
        <x:v>direto no regulamento</x:v>
      </x:c>
      <x:c r="W15" s="67" t="b">
        <x:v>0</x:v>
      </x:c>
      <x:c r="X15" s="38" t="str">
        <x:v>Mínimo júnior isolado; a subordinação atual disponível agrega todas as classes subordinadas.</x:v>
      </x:c>
      <x:c r="Y15" s="67" t="b">
        <x:v>0</x:v>
      </x:c>
      <x:c r="Z15" s="85" t="str">
        <x:v>N/D</x:v>
      </x:c>
      <x:c r="AA15" s="85" t="str">
        <x:v>N/D</x:v>
      </x:c>
      <x:c r="AB15" s="38" t="str">
        <x:v>não medido</x:v>
      </x:c>
      <x:c r="AC15" s="38" t="str">
        <x:v>Agro, Indústria e Comércio</x:v>
      </x:c>
      <x:c r="AD15" s="38" t="str">
        <x:v>Multicarteira Agro, Indústria e Comércio</x:v>
      </x:c>
      <x:c r="AE15" s="38" t="str">
        <x:v>Agro / Revenda</x:v>
      </x:c>
      <x:c r="AF15" s="38" t="str">
        <x:v>Ubyfol</x:v>
      </x:c>
      <x:c r="AG15" s="38" t="str">
        <x:v>cedente</x:v>
      </x:c>
      <x:c r="AH15" s="38" t="str">
        <x:v>N/D</x:v>
      </x:c>
      <x:c r="AI15" s="38" t="str">
        <x:v>Ubyfol</x:v>
      </x:c>
      <x:c r="AJ15" s="38" t="str">
        <x:v>N/D</x:v>
      </x:c>
      <x:c r="AK15" s="38" t="str">
        <x:v>Insumos Agrícolas - prazo Safra</x:v>
      </x:c>
      <x:c r="AL15" s="38" t="str">
        <x:v>IMG_8704.JPG</x:v>
      </x:c>
      <x:c r="AM15" s="38" t="str">
        <x:v>manual_aplicado</x:v>
      </x:c>
      <x:c r="AN15" s="38" t="str">
        <x:v>N/D</x:v>
      </x:c>
      <x:c r="AO15" s="38" t="str">
        <x:v>1016909</x:v>
      </x:c>
      <x:c r="AP15" s="38" t="str">
        <x:v>2025-10-16</x:v>
      </x:c>
      <x:c r="AQ15" s="38" t="str">
        <x:v>12</x:v>
      </x:c>
      <x:c r="AR15" s="38" t="str">
        <x:v>revisto — mínimo júnior localizado</x:v>
      </x:c>
      <x:c r="AS15" s="38" t="str">
        <x:v>FundosNet/B3; documento 1016909; referência 2025-10-16; p. 12</x:v>
      </x:c>
      <x:c r="AT15" s="38" t="str">
        <x:v>Índice de Subordinação Mínima Mezanino: cotas júnior / PL, mínimo de 10,0%.</x:v>
      </x:c>
      <x:c r="AU15" s="38" t="str">
        <x:v>PL atual; Sub/PL atual; originador; sacado/devedor</x:v>
      </x:c>
      <x:c r="AV15" s="38" t="str">
        <x:v>sub_pl_atual_ausente</x:v>
      </x:c>
    </x:row>
    <x:row r="16" ht="31.5" customHeight="1">
      <x:c r="A16" s="39" t="n">
        <x:v>12</x:v>
      </x:c>
      <x:c r="B16" s="72" t="n">
        <x:v>50832746000130</x:v>
      </x:c>
      <x:c r="C16" s="39" t="str">
        <x:v>50.832.746/0001-30</x:v>
      </x:c>
      <x:c r="D16" s="39" t="str">
        <x:v>BOASAFRA FUNDO DE INVESTIMENTO EM DIREITOS CREDITÓRIOS DO AGRONEGÓCIO RESPONSABILIDADE LIMITADA</x:v>
      </x:c>
      <x:c r="E16" s="39" t="str">
        <x:v>BOASAFRA FIDC DO AGRONEGOCIO</x:v>
      </x:c>
      <x:c r="F16" s="39" t="str">
        <x:v>Carteira 101</x:v>
      </x:c>
      <x:c r="G16" s="39" t="str">
        <x:v>2026-06</x:v>
      </x:c>
      <x:c r="H16" s="39" t="str">
        <x:v>localizado</x:v>
      </x:c>
      <x:c r="I16" s="78" t="str">
        <x:v>N/D</x:v>
      </x:c>
      <x:c r="J16" s="78" t="str">
        <x:v>N/D</x:v>
      </x:c>
      <x:c r="K16" s="78" t="str">
        <x:v>N/D</x:v>
      </x:c>
      <x:c r="L16" s="84" t="str">
        <x:v>N/D</x:v>
      </x:c>
      <x:c r="M16" s="39" t="str">
        <x:v>PL oficial ausente em 2026-06</x:v>
      </x:c>
      <x:c r="N16" s="84" t="n">
        <x:v>0.2</x:v>
      </x:c>
      <x:c r="O16" s="84" t="str">
        <x:v>N/D</x:v>
      </x:c>
      <x:c r="P16" s="84" t="str">
        <x:v>N/D</x:v>
      </x:c>
      <x:c r="Q16" s="84" t="n">
        <x:v>0.3</x:v>
      </x:c>
      <x:c r="R16" s="84" t="str">
        <x:v>N/D</x:v>
      </x:c>
      <x:c r="S16" s="84" t="n">
        <x:v>0.3</x:v>
      </x:c>
      <x:c r="T16" s="39" t="str">
        <x:v>30,0%*</x:v>
      </x:c>
      <x:c r="U16" s="39" t="str">
        <x:v>junior_pl</x:v>
      </x:c>
      <x:c r="V16" s="39" t="str">
        <x:v>direto no regulamento</x:v>
      </x:c>
      <x:c r="W16" s="66" t="b">
        <x:v>0</x:v>
      </x:c>
      <x:c r="X16" s="39" t="str">
        <x:v>Mínimo júnior isolado; a subordinação atual disponível agrega mais de uma classe subordinada ou usa denominador distinto.</x:v>
      </x:c>
      <x:c r="Y16" s="66" t="b">
        <x:v>0</x:v>
      </x:c>
      <x:c r="Z16" s="84" t="str">
        <x:v>N/D</x:v>
      </x:c>
      <x:c r="AA16" s="84" t="str">
        <x:v>N/D</x:v>
      </x:c>
      <x:c r="AB16" s="39" t="str">
        <x:v>não medido</x:v>
      </x:c>
      <x:c r="AC16" s="39" t="str">
        <x:v>Agro, Indústria e Comércio</x:v>
      </x:c>
      <x:c r="AD16" s="39" t="str">
        <x:v>N/D</x:v>
      </x:c>
      <x:c r="AE16" s="39" t="str">
        <x:v>Agro / Revenda</x:v>
      </x:c>
      <x:c r="AF16" s="39" t="str">
        <x:v>Boasafra (ID 5662361)</x:v>
      </x:c>
      <x:c r="AG16" s="39" t="str">
        <x:v>cedente</x:v>
      </x:c>
      <x:c r="AH16" s="39" t="str">
        <x:v>N/D</x:v>
      </x:c>
      <x:c r="AI16" s="39" t="str">
        <x:v>Boasafra (ID 5662361)</x:v>
      </x:c>
      <x:c r="AJ16" s="39" t="str">
        <x:v>N/D</x:v>
      </x:c>
      <x:c r="AK16" s="39" t="str">
        <x:v>Insumos Agrícolas - prazo Safra</x:v>
      </x:c>
      <x:c r="AL16" s="39" t="str">
        <x:v>IMG_8704.JPG</x:v>
      </x:c>
      <x:c r="AM16" s="39" t="str">
        <x:v>manual_aplicado</x:v>
      </x:c>
      <x:c r="AN16" s="39" t="str">
        <x:v>N/D</x:v>
      </x:c>
      <x:c r="AO16" s="39" t="str">
        <x:v>791780</x:v>
      </x:c>
      <x:c r="AP16" s="39" t="str">
        <x:v>2024-11-28</x:v>
      </x:c>
      <x:c r="AQ16" s="39" t="str">
        <x:v>44</x:v>
      </x:c>
      <x:c r="AR16" s="39" t="str">
        <x:v>revisto — mínimo júnior localizado</x:v>
      </x:c>
      <x:c r="AS16" s="39" t="str">
        <x:v>FundosNet/B3; documento 791780; referência 2024-11-28; p. 44</x:v>
      </x:c>
      <x:c r="AT16" s="39" t="str">
        <x:v>Cotas júnior / PL, mínimo de 20,0%; suporte subordinado total mínimo de 30,0%.</x:v>
      </x:c>
      <x:c r="AU16" s="39" t="str">
        <x:v>PL atual; Sub/PL atual; originador; sacado/devedor</x:v>
      </x:c>
      <x:c r="AV16" s="39" t="str">
        <x:v>sub_pl_atual_ausente</x:v>
      </x:c>
    </x:row>
    <x:row r="17" ht="31.5" customHeight="1">
      <x:c r="A17" s="38" t="n">
        <x:v>13</x:v>
      </x:c>
      <x:c r="B17" s="73" t="n">
        <x:v>33076242000118</x:v>
      </x:c>
      <x:c r="C17" s="38" t="str">
        <x:v>33.076.242/0001-18</x:v>
      </x:c>
      <x:c r="D17" s="38" t="str">
        <x:v>WORKCAP AGRO FUNDO DE INVESTIMENTO EM DIREITOS CREDITORIOS RESPONSABILIDADE LIMITADA</x:v>
      </x:c>
      <x:c r="E17" s="38" t="str">
        <x:v>FUNDO DE INVESTIMENTO EM DIREITOS CREDITORIOS ALBA</x:v>
      </x:c>
      <x:c r="F17" s="38" t="str">
        <x:v>Carteira 101</x:v>
      </x:c>
      <x:c r="G17" s="38" t="str">
        <x:v>2026-06</x:v>
      </x:c>
      <x:c r="H17" s="38" t="str">
        <x:v>localizado</x:v>
      </x:c>
      <x:c r="I17" s="79" t="n">
        <x:v>443208155.43</x:v>
      </x:c>
      <x:c r="J17" s="79" t="n">
        <x:v>443208155.44046426</x:v>
      </x:c>
      <x:c r="K17" s="79" t="n">
        <x:v>95622300.24229428</x:v>
      </x:c>
      <x:c r="L17" s="85" t="n">
        <x:v>0.21575031747672072</x:v>
      </x:c>
      <x:c r="M17" s="38" t="str">
        <x:v>Calculado com classes reportadas e PL oficial reconciliado</x:v>
      </x:c>
      <x:c r="N17" s="85" t="n">
        <x:v>0.2</x:v>
      </x:c>
      <x:c r="O17" s="85" t="str">
        <x:v>N/D</x:v>
      </x:c>
      <x:c r="P17" s="85" t="str">
        <x:v>N/D</x:v>
      </x:c>
      <x:c r="Q17" s="85" t="n">
        <x:v>0.2</x:v>
      </x:c>
      <x:c r="R17" s="85" t="str">
        <x:v>N/D</x:v>
      </x:c>
      <x:c r="S17" s="85" t="n">
        <x:v>0.2</x:v>
      </x:c>
      <x:c r="T17" s="38" t="str">
        <x:v>20,0%</x:v>
      </x:c>
      <x:c r="U17" s="38" t="str">
        <x:v>junior_pl</x:v>
      </x:c>
      <x:c r="V17" s="38" t="str">
        <x:v>direto no regulamento</x:v>
      </x:c>
      <x:c r="W17" s="67" t="b">
        <x:v>1</x:v>
      </x:c>
      <x:c r="X17" s="38" t="str">
        <x:v>Estrutura com uma única classe subordinada; métrica atual e piso usam o total subordinado sobre o PL.</x:v>
      </x:c>
      <x:c r="Y17" s="67" t="b">
        <x:v>0</x:v>
      </x:c>
      <x:c r="Z17" s="85" t="n">
        <x:v>0.015750317476720704</x:v>
      </x:c>
      <x:c r="AA17" s="85" t="n">
        <x:v>0.01968789684590088</x:v>
      </x:c>
      <x:c r="AB17" s="38" t="str">
        <x:v>folga estreita</x:v>
      </x:c>
      <x:c r="AC17" s="38" t="str">
        <x:v>Agro, Indústria e Comércio</x:v>
      </x:c>
      <x:c r="AD17" s="38" t="str">
        <x:v>Recebíveis Comerciais</x:v>
      </x:c>
      <x:c r="AE17" s="38" t="str">
        <x:v>Agro / Revenda</x:v>
      </x:c>
      <x:c r="AF17" s="38" t="str">
        <x:v>Albaugh</x:v>
      </x:c>
      <x:c r="AG17" s="38" t="str">
        <x:v>cedente</x:v>
      </x:c>
      <x:c r="AH17" s="38" t="str">
        <x:v>N/D</x:v>
      </x:c>
      <x:c r="AI17" s="38" t="str">
        <x:v>Albaugh</x:v>
      </x:c>
      <x:c r="AJ17" s="38" t="str">
        <x:v>N/D</x:v>
      </x:c>
      <x:c r="AK17" s="38" t="str">
        <x:v>N/D</x:v>
      </x:c>
      <x:c r="AL17" s="38" t="str">
        <x:v>IMG_8704.JPG</x:v>
      </x:c>
      <x:c r="AM17" s="38" t="str">
        <x:v>manual_aplicado</x:v>
      </x:c>
      <x:c r="AN17" s="38" t="str">
        <x:v>OBS legível: evento de avaliação por não pagamento de juros; o identificador de concentração e o restante do texto exigem revisão.</x:v>
      </x:c>
      <x:c r="AO17" s="38" t="str">
        <x:v>1060211</x:v>
      </x:c>
      <x:c r="AP17" s="38" t="str">
        <x:v>2025-12-12</x:v>
      </x:c>
      <x:c r="AQ17" s="38" t="str">
        <x:v>61</x:v>
      </x:c>
      <x:c r="AR17" s="38" t="str">
        <x:v>revisto — mínimo júnior localizado</x:v>
      </x:c>
      <x:c r="AS17" s="38" t="str">
        <x:v>FundosNet/B3; documento 1060211; referência 2025-12-12; p. 61</x:v>
      </x:c>
      <x:c r="AT17" s="38" t="str">
        <x:v>Cotas subordinadas / PL, mínimo de 20,0%; estrutura com uma única classe residual.</x:v>
      </x:c>
      <x:c r="AU17" s="38" t="str">
        <x:v>originador; sacado/devedor; tipo de recebível</x:v>
      </x:c>
      <x:c r="AV17" s="38" t="str">
        <x:v>completo_para_folga</x:v>
      </x:c>
    </x:row>
    <x:row r="18" ht="31.5" customHeight="1">
      <x:c r="A18" s="39" t="n">
        <x:v>14</x:v>
      </x:c>
      <x:c r="B18" s="72" t="n">
        <x:v>44173467000109</x:v>
      </x:c>
      <x:c r="C18" s="39" t="str">
        <x:v>44.173.467/0001-09</x:v>
      </x:c>
      <x:c r="D18" s="39" t="str">
        <x:v>MT INSS RECEIVABLES III FUNDO DE INVESTIMENTO EM DIREITOS CREDITÓRIOS RESPONSABILIDADE</x:v>
      </x:c>
      <x:c r="E18" s="39" t="str">
        <x:v>RECEIVABLES 48 FUNDO DE INVEST INSS MEU TUDO</x:v>
      </x:c>
      <x:c r="F18" s="39" t="str">
        <x:v>Carteira 101</x:v>
      </x:c>
      <x:c r="G18" s="39" t="str">
        <x:v>2026-06</x:v>
      </x:c>
      <x:c r="H18" s="39" t="str">
        <x:v>localizado</x:v>
      </x:c>
      <x:c r="I18" s="78" t="n">
        <x:v>33343874.61</x:v>
      </x:c>
      <x:c r="J18" s="78" t="n">
        <x:v>34539332.55446859</x:v>
      </x:c>
      <x:c r="K18" s="78" t="n">
        <x:v>3842690.0744788502</x:v>
      </x:c>
      <x:c r="L18" s="84" t="str">
        <x:v>N/D</x:v>
      </x:c>
      <x:c r="M18" s="39" t="str">
        <x:v>N/D</x:v>
      </x:c>
      <x:c r="N18" s="84" t="str">
        <x:v>N/D</x:v>
      </x:c>
      <x:c r="O18" s="84" t="n">
        <x:v>0.01</x:v>
      </x:c>
      <x:c r="P18" s="84" t="str">
        <x:v>N/D</x:v>
      </x:c>
      <x:c r="Q18" s="84" t="n">
        <x:v>0.1</x:v>
      </x:c>
      <x:c r="R18" s="84" t="str">
        <x:v>N/D</x:v>
      </x:c>
      <x:c r="S18" s="84" t="n">
        <x:v>0.1</x:v>
      </x:c>
      <x:c r="T18" s="39" t="str">
        <x:v>10,0%*</x:v>
      </x:c>
      <x:c r="U18" s="39" t="str">
        <x:v>junior_pl_calculado</x:v>
      </x:c>
      <x:c r="V18" s="39" t="str">
        <x:v>calculado: 10,0% × 10,0%</x:v>
      </x:c>
      <x:c r="W18" s="66" t="b">
        <x:v>0</x:v>
      </x:c>
      <x:c r="X18" s="39" t="str">
        <x:v>Mínimo júnior isolado; a subordinação atual disponível agrega mais de uma classe subordinada ou usa denominador distinto.</x:v>
      </x:c>
      <x:c r="Y18" s="66" t="b">
        <x:v>1</x:v>
      </x:c>
      <x:c r="Z18" s="84" t="str">
        <x:v>N/D</x:v>
      </x:c>
      <x:c r="AA18" s="84" t="str">
        <x:v>N/D</x:v>
      </x:c>
      <x:c r="AB18" s="39" t="str">
        <x:v>não medido</x:v>
      </x:c>
      <x:c r="AC18" s="39" t="str">
        <x:v>Financeiro</x:v>
      </x:c>
      <x:c r="AD18" s="39" t="str">
        <x:v>Crédito Consignado</x:v>
      </x:c>
      <x:c r="AE18" s="39" t="str">
        <x:v>Consignado INSS</x:v>
      </x:c>
      <x:c r="AF18" s="39" t="str">
        <x:v>Parati</x:v>
      </x:c>
      <x:c r="AG18" s="39" t="str">
        <x:v>cedente</x:v>
      </x:c>
      <x:c r="AH18" s="39" t="str">
        <x:v>N/D</x:v>
      </x:c>
      <x:c r="AI18" s="39" t="str">
        <x:v>Parati</x:v>
      </x:c>
      <x:c r="AJ18" s="39" t="str">
        <x:v>N/D</x:v>
      </x:c>
      <x:c r="AK18" s="39" t="str">
        <x:v>Crédito consignado INSS</x:v>
      </x:c>
      <x:c r="AL18" s="39" t="str">
        <x:v>IMG_8704.JPG</x:v>
      </x:c>
      <x:c r="AM18" s="39" t="str">
        <x:v>manual_aplicado</x:v>
      </x:c>
      <x:c r="AN18" s="39" t="str">
        <x:v>OBS da foto: Rating atual Baa1; se ajustar o rating na base, pode considerar perspectiva estável.</x:v>
      </x:c>
      <x:c r="AO18" s="39" t="str">
        <x:v>791513</x:v>
      </x:c>
      <x:c r="AP18" s="39" t="str">
        <x:v>2024-11-28</x:v>
      </x:c>
      <x:c r="AQ18" s="39" t="str">
        <x:v>19</x:v>
      </x:c>
      <x:c r="AR18" s="39" t="str">
        <x:v>revisto — mínimo júnior localizado</x:v>
      </x:c>
      <x:c r="AS18" s="39" t="str">
        <x:v>FundosNet/B3; documento 791513; referência 2024-11-28; p. 19</x:v>
      </x:c>
      <x:c r="AT18" s="39" t="str">
        <x:v>Mínimo júnior calculado: subordinadas = 10,0% do PL e júnior = 10,0% das subordinadas.</x:v>
      </x:c>
      <x:c r="AU18" s="39" t="str">
        <x:v>Sub/PL atual; originador; sacado/devedor</x:v>
      </x:c>
      <x:c r="AV18" s="39" t="str">
        <x:v>sub_pl_atual_ausente</x:v>
      </x:c>
    </x:row>
    <x:row r="19" ht="31.5" customHeight="1">
      <x:c r="A19" s="38" t="n">
        <x:v>15</x:v>
      </x:c>
      <x:c r="B19" s="73" t="n">
        <x:v>54252144000164</x:v>
      </x:c>
      <x:c r="C19" s="38" t="str">
        <x:v>54.252.144/0001-64</x:v>
      </x:c>
      <x:c r="D19" s="38" t="str">
        <x:v>J17 FGTS FUNDO DE INVESTIMENTO EM DIREITOS CREDITÓRIOS FINANCEIRO - RESPONSABILIDADE LIMITADA</x:v>
      </x:c>
      <x:c r="E19" s="38" t="str">
        <x:v>J17 FGTS FUNDO DE INVESTIMENTO</x:v>
      </x:c>
      <x:c r="F19" s="38" t="str">
        <x:v>Carteira 101</x:v>
      </x:c>
      <x:c r="G19" s="38" t="str">
        <x:v>2026-06</x:v>
      </x:c>
      <x:c r="H19" s="38" t="str">
        <x:v>localizado</x:v>
      </x:c>
      <x:c r="I19" s="79" t="n">
        <x:v>213618399.48</x:v>
      </x:c>
      <x:c r="J19" s="79" t="n">
        <x:v>213618399.4794132</x:v>
      </x:c>
      <x:c r="K19" s="79" t="n">
        <x:v>32103917.629979648</x:v>
      </x:c>
      <x:c r="L19" s="85" t="n">
        <x:v>0.15028629419623274</x:v>
      </x:c>
      <x:c r="M19" s="38" t="str">
        <x:v>Calculado com classes reportadas e PL oficial reconciliado</x:v>
      </x:c>
      <x:c r="N19" s="85" t="n">
        <x:v>0.05</x:v>
      </x:c>
      <x:c r="O19" s="85" t="str">
        <x:v>N/D</x:v>
      </x:c>
      <x:c r="P19" s="85" t="str">
        <x:v>N/D</x:v>
      </x:c>
      <x:c r="Q19" s="85" t="str">
        <x:v>N/D</x:v>
      </x:c>
      <x:c r="R19" s="85" t="str">
        <x:v>N/D</x:v>
      </x:c>
      <x:c r="S19" s="85" t="n">
        <x:v>0.05</x:v>
      </x:c>
      <x:c r="T19" s="38" t="str">
        <x:v>5,0%</x:v>
      </x:c>
      <x:c r="U19" s="38" t="str">
        <x:v>junior_pl</x:v>
      </x:c>
      <x:c r="V19" s="38" t="str">
        <x:v>direto no regulamento</x:v>
      </x:c>
      <x:c r="W19" s="67" t="b">
        <x:v>0</x:v>
      </x:c>
      <x:c r="X19" s="38" t="str">
        <x:v>Mínimo júnior isolado; a subordinação atual disponível agrega todas as classes subordinadas.</x:v>
      </x:c>
      <x:c r="Y19" s="67" t="b">
        <x:v>0</x:v>
      </x:c>
      <x:c r="Z19" s="85" t="str">
        <x:v>N/D</x:v>
      </x:c>
      <x:c r="AA19" s="85" t="str">
        <x:v>N/D</x:v>
      </x:c>
      <x:c r="AB19" s="38" t="str">
        <x:v>não medido</x:v>
      </x:c>
      <x:c r="AC19" s="38" t="str">
        <x:v>Financeiro</x:v>
      </x:c>
      <x:c r="AD19" s="38" t="str">
        <x:v>Crédito Pessoal</x:v>
      </x:c>
      <x:c r="AE19" s="38" t="str">
        <x:v>Consignado FGTS</x:v>
      </x:c>
      <x:c r="AF19" s="38" t="str">
        <x:v>J17</x:v>
      </x:c>
      <x:c r="AG19" s="38" t="str">
        <x:v>cedente</x:v>
      </x:c>
      <x:c r="AH19" s="38" t="str">
        <x:v>N/D</x:v>
      </x:c>
      <x:c r="AI19" s="38" t="str">
        <x:v>J17</x:v>
      </x:c>
      <x:c r="AJ19" s="38" t="str">
        <x:v>N/D</x:v>
      </x:c>
      <x:c r="AK19" s="38" t="str">
        <x:v>FGTS Saque-aniversário</x:v>
      </x:c>
      <x:c r="AL19" s="38" t="str">
        <x:v>IMG_8704.JPG</x:v>
      </x:c>
      <x:c r="AM19" s="38" t="str">
        <x:v>manual_aplicado</x:v>
      </x:c>
      <x:c r="AN19" s="38" t="str">
        <x:v>Denominação cortada pela largura da coluna na foto.</x:v>
      </x:c>
      <x:c r="AO19" s="38" t="str">
        <x:v>1223382</x:v>
      </x:c>
      <x:c r="AP19" s="38" t="str">
        <x:v>2026-06-08</x:v>
      </x:c>
      <x:c r="AQ19" s="38" t="str">
        <x:v>109</x:v>
      </x:c>
      <x:c r="AR19" s="38" t="str">
        <x:v>revisto — mínimo júnior localizado</x:v>
      </x:c>
      <x:c r="AS19" s="38" t="str">
        <x:v>FundosNet/B3; documento 1223382; referência 2026-06-08; p. 109</x:v>
      </x:c>
      <x:c r="AT19" s="38" t="str">
        <x:v>Índice de Subordinação Mezanino: cotas júnior / PL, mínimo de 5,0%.</x:v>
      </x:c>
      <x:c r="AU19" s="38" t="str">
        <x:v>originador; sacado/devedor</x:v>
      </x:c>
      <x:c r="AV19" s="38" t="str">
        <x:v>estrutura_incomparavel</x:v>
      </x:c>
    </x:row>
    <x:row r="20" ht="31.5" customHeight="1">
      <x:c r="A20" s="39" t="n">
        <x:v>16</x:v>
      </x:c>
      <x:c r="B20" s="72" t="n">
        <x:v>48313595000161</x:v>
      </x:c>
      <x:c r="C20" s="39" t="str">
        <x:v>48.313.595/0001-61</x:v>
      </x:c>
      <x:c r="D20" s="39" t="str">
        <x:v>IBBA AGRO BR FUNDO DE INVESTIMENTO EM DIREITOS CREDITÓRIOS</x:v>
      </x:c>
      <x:c r="E20" s="39" t="str">
        <x:v>IBBA AGRO BR FUNDO DE INVESTIMENTO EM DIREITOS CRE</x:v>
      </x:c>
      <x:c r="F20" s="39" t="str">
        <x:v>Carteira 101</x:v>
      </x:c>
      <x:c r="G20" s="39" t="str">
        <x:v>2026-06</x:v>
      </x:c>
      <x:c r="H20" s="39" t="str">
        <x:v>localizado</x:v>
      </x:c>
      <x:c r="I20" s="78" t="n">
        <x:v>609029.22</x:v>
      </x:c>
      <x:c r="J20" s="78" t="n">
        <x:v>609029.2199209237</x:v>
      </x:c>
      <x:c r="K20" s="78" t="n">
        <x:v>609029.2199209237</x:v>
      </x:c>
      <x:c r="L20" s="84" t="n">
        <x:v>0.9999999998701601</x:v>
      </x:c>
      <x:c r="M20" s="39" t="str">
        <x:v>Calculado com classes reportadas e PL oficial reconciliado</x:v>
      </x:c>
      <x:c r="N20" s="84" t="str">
        <x:v>N/D</x:v>
      </x:c>
      <x:c r="O20" s="84" t="str">
        <x:v>N/D</x:v>
      </x:c>
      <x:c r="P20" s="84" t="str">
        <x:v>N/D</x:v>
      </x:c>
      <x:c r="Q20" s="84" t="str">
        <x:v>N/D</x:v>
      </x:c>
      <x:c r="R20" s="84" t="str">
        <x:v>N/D</x:v>
      </x:c>
      <x:c r="S20" s="84" t="str">
        <x:v>N/D</x:v>
      </x:c>
      <x:c r="T20" s="39" t="str">
        <x:v>N/D</x:v>
      </x:c>
      <x:c r="U20" s="39" t="str">
        <x:v>sem_indice</x:v>
      </x:c>
      <x:c r="V20" s="39" t="str">
        <x:v>N/D</x:v>
      </x:c>
      <x:c r="W20" s="66" t="b">
        <x:v>0</x:v>
      </x:c>
      <x:c r="X20" s="39" t="str">
        <x:v>Regulamento revisado sem índice percentual isolável.</x:v>
      </x:c>
      <x:c r="Y20" s="66" t="b">
        <x:v>1</x:v>
      </x:c>
      <x:c r="Z20" s="84" t="str">
        <x:v>N/D</x:v>
      </x:c>
      <x:c r="AA20" s="84" t="str">
        <x:v>N/D</x:v>
      </x:c>
      <x:c r="AB20" s="39" t="str">
        <x:v>não medido</x:v>
      </x:c>
      <x:c r="AC20" s="39" t="str">
        <x:v>Agro, Indústria e Comércio</x:v>
      </x:c>
      <x:c r="AD20" s="39" t="str">
        <x:v>Agronegócio</x:v>
      </x:c>
      <x:c r="AE20" s="39" t="str">
        <x:v>Agro / Revenda</x:v>
      </x:c>
      <x:c r="AF20" s="39" t="str">
        <x:v>Multicedentes</x:v>
      </x:c>
      <x:c r="AG20" s="39" t="str">
        <x:v>cedente</x:v>
      </x:c>
      <x:c r="AH20" s="39" t="str">
        <x:v>N/D</x:v>
      </x:c>
      <x:c r="AI20" s="39" t="str">
        <x:v>Multicedentes</x:v>
      </x:c>
      <x:c r="AJ20" s="39" t="str">
        <x:v>N/D</x:v>
      </x:c>
      <x:c r="AK20" s="39" t="str">
        <x:v>N/D</x:v>
      </x:c>
      <x:c r="AL20" s="39" t="str">
        <x:v>IMG_8704.JPG</x:v>
      </x:c>
      <x:c r="AM20" s="39" t="str">
        <x:v>manual_aplicado</x:v>
      </x:c>
      <x:c r="AN20" s="39" t="str">
        <x:v>OBS da foto: Cota Jr 100% consumida; revisão de rating em out/25; fomos 100% resgatados na SR. Denominação cortada.</x:v>
      </x:c>
      <x:c r="AO20" s="39" t="str">
        <x:v>976737</x:v>
      </x:c>
      <x:c r="AP20" s="39" t="str">
        <x:v>2025-08-22</x:v>
      </x:c>
      <x:c r="AQ20" s="39" t="str">
        <x:v>42</x:v>
      </x:c>
      <x:c r="AR20" s="39" t="str">
        <x:v>revisto — regulamento sem índice percentual isolável</x:v>
      </x:c>
      <x:c r="AS20" s="39" t="str">
        <x:v>FundosNet/B3; documento 976737; referência 2025-08-22; p. 42</x:v>
      </x:c>
      <x:c r="AT20" s="39" t="str">
        <x:v>N/D</x:v>
      </x:c>
      <x:c r="AU20" s="39" t="str">
        <x:v>mínimo estrutural comparável; originador; sacado/devedor; tipo de recebível</x:v>
      </x:c>
      <x:c r="AV20" s="39" t="str">
        <x:v>minimo_estrutural_ausente</x:v>
      </x:c>
    </x:row>
    <x:row r="21" ht="31.5" customHeight="1">
      <x:c r="A21" s="38" t="n">
        <x:v>17</x:v>
      </x:c>
      <x:c r="B21" s="73" t="n">
        <x:v>32526025000110</x:v>
      </x:c>
      <x:c r="C21" s="38" t="str">
        <x:v>32.526.025/0001-10</x:v>
      </x:c>
      <x:c r="D21" s="38" t="str">
        <x:v>COBUCCIO FUNDO DE INVESTIMENTO EM DIREITOS CREDITÓRIOS DE CLASSE ÚNICA FECHADA DE RESPONS LIMITADA</x:v>
      </x:c>
      <x:c r="E21" s="38" t="str">
        <x:v>COBUCCIO FUNDO I F D C NAO P</x:v>
      </x:c>
      <x:c r="F21" s="38" t="str">
        <x:v>Carteira 101</x:v>
      </x:c>
      <x:c r="G21" s="38" t="str">
        <x:v>2026-06</x:v>
      </x:c>
      <x:c r="H21" s="38" t="str">
        <x:v>localizado</x:v>
      </x:c>
      <x:c r="I21" s="79" t="n">
        <x:v>1759550198.61</x:v>
      </x:c>
      <x:c r="J21" s="79" t="n">
        <x:v>1759550198.608294</x:v>
      </x:c>
      <x:c r="K21" s="79" t="n">
        <x:v>1329392835.969682</x:v>
      </x:c>
      <x:c r="L21" s="85" t="n">
        <x:v>0.7555299286260027</x:v>
      </x:c>
      <x:c r="M21" s="38" t="str">
        <x:v>Calculado com classes reportadas e PL oficial reconciliado</x:v>
      </x:c>
      <x:c r="N21" s="85" t="n">
        <x:v>0.75</x:v>
      </x:c>
      <x:c r="O21" s="85" t="str">
        <x:v>N/D</x:v>
      </x:c>
      <x:c r="P21" s="85" t="str">
        <x:v>N/D</x:v>
      </x:c>
      <x:c r="Q21" s="85" t="str">
        <x:v>N/D</x:v>
      </x:c>
      <x:c r="R21" s="85" t="str">
        <x:v>N/D</x:v>
      </x:c>
      <x:c r="S21" s="85" t="n">
        <x:v>0.75</x:v>
      </x:c>
      <x:c r="T21" s="38" t="str">
        <x:v>75,0%</x:v>
      </x:c>
      <x:c r="U21" s="38" t="str">
        <x:v>junior_pl</x:v>
      </x:c>
      <x:c r="V21" s="38" t="str">
        <x:v>direto no regulamento</x:v>
      </x:c>
      <x:c r="W21" s="67" t="b">
        <x:v>0</x:v>
      </x:c>
      <x:c r="X21" s="38" t="str">
        <x:v>Mínimo júnior isolado; a subordinação atual disponível agrega todas as classes subordinadas.</x:v>
      </x:c>
      <x:c r="Y21" s="67" t="b">
        <x:v>0</x:v>
      </x:c>
      <x:c r="Z21" s="85" t="str">
        <x:v>N/D</x:v>
      </x:c>
      <x:c r="AA21" s="85" t="str">
        <x:v>N/D</x:v>
      </x:c>
      <x:c r="AB21" s="38" t="str">
        <x:v>não medido</x:v>
      </x:c>
      <x:c r="AC21" s="38" t="str">
        <x:v>Financeiro</x:v>
      </x:c>
      <x:c r="AD21" s="38" t="str">
        <x:v>Cartão de crédito</x:v>
      </x:c>
      <x:c r="AE21" s="38" t="str">
        <x:v>Financeiro</x:v>
      </x:c>
      <x:c r="AF21" s="38" t="str">
        <x:v>N/D</x:v>
      </x:c>
      <x:c r="AG21" s="38" t="str">
        <x:v>N/D</x:v>
      </x:c>
      <x:c r="AH21" s="38" t="str">
        <x:v>N/D</x:v>
      </x:c>
      <x:c r="AI21" s="38" t="str">
        <x:v>N/D</x:v>
      </x:c>
      <x:c r="AJ21" s="38" t="str">
        <x:v>N/D</x:v>
      </x:c>
      <x:c r="AK21" s="38" t="str">
        <x:v>N/D</x:v>
      </x:c>
      <x:c r="AL21" s="38" t="str">
        <x:v>N/D</x:v>
      </x:c>
      <x:c r="AM21" s="38" t="str">
        <x:v>sem_overlay</x:v>
      </x:c>
      <x:c r="AN21" s="38" t="str">
        <x:v>N/D</x:v>
      </x:c>
      <x:c r="AO21" s="38" t="str">
        <x:v>1186789</x:v>
      </x:c>
      <x:c r="AP21" s="38" t="str">
        <x:v>2026-05-12</x:v>
      </x:c>
      <x:c r="AQ21" s="38" t="str">
        <x:v>57</x:v>
      </x:c>
      <x:c r="AR21" s="38" t="str">
        <x:v>revisto — mínimo júnior localizado</x:v>
      </x:c>
      <x:c r="AS21" s="38" t="str">
        <x:v>FundosNet/B3; documento 1186789; referência 2026-05-12; p. 57</x:v>
      </x:c>
      <x:c r="AT21" s="38" t="str">
        <x:v>Enquanto não houver cota mezanino, cotas júnior / PL, mínimo de 75,0%.</x:v>
      </x:c>
      <x:c r="AU21" s="38" t="str">
        <x:v>originador; cedente; sacado/devedor; tipo de recebível</x:v>
      </x:c>
      <x:c r="AV21" s="38" t="str">
        <x:v>estrutura_incomparavel</x:v>
      </x:c>
    </x:row>
    <x:row r="22" ht="31.5" customHeight="1">
      <x:c r="A22" s="39" t="n">
        <x:v>18</x:v>
      </x:c>
      <x:c r="B22" s="72" t="n">
        <x:v>45523699000102</x:v>
      </x:c>
      <x:c r="C22" s="39" t="str">
        <x:v>45.523.699/0001-02</x:v>
      </x:c>
      <x:c r="D22" s="39" t="str">
        <x:v>VIXTRA FUNDO DE INVESTIMENTO EM DIREITOS CREDITÓRIOS RESPONSABILIDADE LIMITADA</x:v>
      </x:c>
      <x:c r="E22" s="39" t="str">
        <x:v>VIXTRA FUNDO DE INVE E D C RL</x:v>
      </x:c>
      <x:c r="F22" s="39" t="str">
        <x:v>Carteira 101</x:v>
      </x:c>
      <x:c r="G22" s="39" t="str">
        <x:v>2026-06</x:v>
      </x:c>
      <x:c r="H22" s="39" t="str">
        <x:v>localizado</x:v>
      </x:c>
      <x:c r="I22" s="78" t="n">
        <x:v>233574412.44</x:v>
      </x:c>
      <x:c r="J22" s="78" t="n">
        <x:v>233574411.63901857</x:v>
      </x:c>
      <x:c r="K22" s="78" t="n">
        <x:v>89273029.70591252</x:v>
      </x:c>
      <x:c r="L22" s="84" t="n">
        <x:v>0.38220380722929037</x:v>
      </x:c>
      <x:c r="M22" s="39" t="str">
        <x:v>Calculado com classes reportadas e PL oficial reconciliado</x:v>
      </x:c>
      <x:c r="N22" s="84" t="n">
        <x:v>0.1</x:v>
      </x:c>
      <x:c r="O22" s="84" t="str">
        <x:v>N/D</x:v>
      </x:c>
      <x:c r="P22" s="84" t="str">
        <x:v>N/D</x:v>
      </x:c>
      <x:c r="Q22" s="84" t="str">
        <x:v>N/D</x:v>
      </x:c>
      <x:c r="R22" s="84" t="str">
        <x:v>N/D</x:v>
      </x:c>
      <x:c r="S22" s="84" t="n">
        <x:v>0.1</x:v>
      </x:c>
      <x:c r="T22" s="39" t="str">
        <x:v>10,0%</x:v>
      </x:c>
      <x:c r="U22" s="39" t="str">
        <x:v>junior_pl</x:v>
      </x:c>
      <x:c r="V22" s="39" t="str">
        <x:v>direto no regulamento</x:v>
      </x:c>
      <x:c r="W22" s="66" t="b">
        <x:v>0</x:v>
      </x:c>
      <x:c r="X22" s="39" t="str">
        <x:v>Mínimo júnior isolado; a subordinação atual disponível agrega todas as classes subordinadas.</x:v>
      </x:c>
      <x:c r="Y22" s="66" t="b">
        <x:v>0</x:v>
      </x:c>
      <x:c r="Z22" s="84" t="str">
        <x:v>N/D</x:v>
      </x:c>
      <x:c r="AA22" s="84" t="str">
        <x:v>N/D</x:v>
      </x:c>
      <x:c r="AB22" s="39" t="str">
        <x:v>não medido</x:v>
      </x:c>
      <x:c r="AC22" s="39" t="str">
        <x:v>Agro, Indústria e Comércio</x:v>
      </x:c>
      <x:c r="AD22" s="39" t="str">
        <x:v>Recebíveis Comerciais</x:v>
      </x:c>
      <x:c r="AE22" s="39" t="str">
        <x:v>Agro / Revenda</x:v>
      </x:c>
      <x:c r="AF22" s="39" t="str">
        <x:v>Vixtra Tecnologia e Serviços Financeiros</x:v>
      </x:c>
      <x:c r="AG22" s="39" t="str">
        <x:v>cedente</x:v>
      </x:c>
      <x:c r="AH22" s="39" t="str">
        <x:v>N/D</x:v>
      </x:c>
      <x:c r="AI22" s="39" t="str">
        <x:v>Vixtra Tecnologia e Serviços Financeiros</x:v>
      </x:c>
      <x:c r="AJ22" s="39" t="str">
        <x:v>N/D</x:v>
      </x:c>
      <x:c r="AK22" s="39" t="str">
        <x:v>FIDC Trading</x:v>
      </x:c>
      <x:c r="AL22" s="39" t="str">
        <x:v>IMG_8704.JPG</x:v>
      </x:c>
      <x:c r="AM22" s="39" t="str">
        <x:v>manual_aplicado</x:v>
      </x:c>
      <x:c r="AN22" s="39" t="str">
        <x:v>N/D</x:v>
      </x:c>
      <x:c r="AO22" s="39" t="str">
        <x:v>1024756</x:v>
      </x:c>
      <x:c r="AP22" s="39" t="str">
        <x:v>2025-10-30</x:v>
      </x:c>
      <x:c r="AQ22" s="39" t="str">
        <x:v>26</x:v>
      </x:c>
      <x:c r="AR22" s="39" t="str">
        <x:v>revisto — mínimo júnior localizado</x:v>
      </x:c>
      <x:c r="AS22" s="39" t="str">
        <x:v>FundosNet/B3; documento 1024756; referência 2025-10-30; p. 26</x:v>
      </x:c>
      <x:c r="AT22" s="39" t="str">
        <x:v>Cotas subordinadas júnior / PL, mínimo de 10,0%.</x:v>
      </x:c>
      <x:c r="AU22" s="39" t="str">
        <x:v>originador; sacado/devedor</x:v>
      </x:c>
      <x:c r="AV22" s="39" t="str">
        <x:v>estrutura_incomparavel</x:v>
      </x:c>
    </x:row>
    <x:row r="23" ht="31.5" customHeight="1">
      <x:c r="A23" s="38" t="n">
        <x:v>19</x:v>
      </x:c>
      <x:c r="B23" s="73" t="n">
        <x:v>54083697000130</x:v>
      </x:c>
      <x:c r="C23" s="38" t="str">
        <x:v>54.083.697/0001-30</x:v>
      </x:c>
      <x:c r="D23" s="38" t="str">
        <x:v>PERNAMBUCANAS FIDC DE RESPONSABILIDADE LIMITADA</x:v>
      </x:c>
      <x:c r="E23" s="38" t="str">
        <x:v>PERNAMBUCANAS FIDC DE RESPONSABILIDADE LIMITADA</x:v>
      </x:c>
      <x:c r="F23" s="38" t="str">
        <x:v>Carteira 101</x:v>
      </x:c>
      <x:c r="G23" s="38" t="str">
        <x:v>2026-06</x:v>
      </x:c>
      <x:c r="H23" s="38" t="str">
        <x:v>localizado</x:v>
      </x:c>
      <x:c r="I23" s="79" t="n">
        <x:v>226559970.92</x:v>
      </x:c>
      <x:c r="J23" s="79" t="n">
        <x:v>226559970.9200023</x:v>
      </x:c>
      <x:c r="K23" s="79" t="n">
        <x:v>24691026.650002334</x:v>
      </x:c>
      <x:c r="L23" s="85" t="n">
        <x:v>0.10898229969636128</x:v>
      </x:c>
      <x:c r="M23" s="38" t="str">
        <x:v>Calculado com classes reportadas e PL oficial reconciliado</x:v>
      </x:c>
      <x:c r="N23" s="85" t="n">
        <x:v>0.1</x:v>
      </x:c>
      <x:c r="O23" s="85" t="str">
        <x:v>N/D</x:v>
      </x:c>
      <x:c r="P23" s="85" t="str">
        <x:v>N/D</x:v>
      </x:c>
      <x:c r="Q23" s="85" t="n">
        <x:v>0.1</x:v>
      </x:c>
      <x:c r="R23" s="85" t="str">
        <x:v>N/D</x:v>
      </x:c>
      <x:c r="S23" s="85" t="n">
        <x:v>0.1</x:v>
      </x:c>
      <x:c r="T23" s="38" t="str">
        <x:v>10,0%</x:v>
      </x:c>
      <x:c r="U23" s="38" t="str">
        <x:v>junior_pl</x:v>
      </x:c>
      <x:c r="V23" s="38" t="str">
        <x:v>direto no regulamento</x:v>
      </x:c>
      <x:c r="W23" s="67" t="b">
        <x:v>1</x:v>
      </x:c>
      <x:c r="X23" s="38" t="str">
        <x:v>Estrutura com uma única classe subordinada; métrica atual e piso usam o total subordinado sobre o PL.</x:v>
      </x:c>
      <x:c r="Y23" s="67" t="b">
        <x:v>0</x:v>
      </x:c>
      <x:c r="Z23" s="85" t="n">
        <x:v>0.008982299696361273</x:v>
      </x:c>
      <x:c r="AA23" s="85" t="n">
        <x:v>0.00998033299595697</x:v>
      </x:c>
      <x:c r="AB23" s="38" t="str">
        <x:v>folga estreita</x:v>
      </x:c>
      <x:c r="AC23" s="38" t="str">
        <x:v>Agro, Indústria e Comércio</x:v>
      </x:c>
      <x:c r="AD23" s="38" t="str">
        <x:v>Multicarteira Agro, Indústria e Comércio</x:v>
      </x:c>
      <x:c r="AE23" s="38" t="str">
        <x:v>Agro / Revenda</x:v>
      </x:c>
      <x:c r="AF23" s="38" t="str">
        <x:v>Pernambucanas</x:v>
      </x:c>
      <x:c r="AG23" s="38" t="str">
        <x:v>cedente</x:v>
      </x:c>
      <x:c r="AH23" s="38" t="str">
        <x:v>N/D</x:v>
      </x:c>
      <x:c r="AI23" s="38" t="str">
        <x:v>Pernambucanas</x:v>
      </x:c>
      <x:c r="AJ23" s="38" t="str">
        <x:v>N/D</x:v>
      </x:c>
      <x:c r="AK23" s="38" t="str">
        <x:v>N/D</x:v>
      </x:c>
      <x:c r="AL23" s="38" t="str">
        <x:v>IMG_8704.JPG</x:v>
      </x:c>
      <x:c r="AM23" s="38" t="str">
        <x:v>manual_aplicado</x:v>
      </x:c>
      <x:c r="AN23" s="38" t="str">
        <x:v>N/D</x:v>
      </x:c>
      <x:c r="AO23" s="38" t="str">
        <x:v>640301</x:v>
      </x:c>
      <x:c r="AP23" s="38" t="str">
        <x:v>2024-04-12</x:v>
      </x:c>
      <x:c r="AQ23" s="38" t="str">
        <x:v>84</x:v>
      </x:c>
      <x:c r="AR23" s="38" t="str">
        <x:v>revisto — mínimo júnior localizado</x:v>
      </x:c>
      <x:c r="AS23" s="38" t="str">
        <x:v>FundosNet/B3; documento 640301; referência 2024-04-12; p. 84</x:v>
      </x:c>
      <x:c r="AT23" s="38" t="str">
        <x:v>Cotas subordinadas júnior / PL, mínimo de 10,0%.</x:v>
      </x:c>
      <x:c r="AU23" s="38" t="str">
        <x:v>originador; sacado/devedor; tipo de recebível</x:v>
      </x:c>
      <x:c r="AV23" s="38" t="str">
        <x:v>completo_para_folga</x:v>
      </x:c>
    </x:row>
    <x:row r="24" ht="31.5" customHeight="1">
      <x:c r="A24" s="39" t="n">
        <x:v>20</x:v>
      </x:c>
      <x:c r="B24" s="72" t="n">
        <x:v>56936116000191</x:v>
      </x:c>
      <x:c r="C24" s="39" t="str">
        <x:v>56.936.116/0001-91</x:v>
      </x:c>
      <x:c r="D24" s="39" t="str">
        <x:v>FATOR TARKEN FIAGRO</x:v>
      </x:c>
      <x:c r="E24" s="39" t="str">
        <x:v>FATOR TARKEN FUNDO DE INVESTIMENTO EM DIREITOS CRE</x:v>
      </x:c>
      <x:c r="F24" s="39" t="str">
        <x:v>Carteira 101</x:v>
      </x:c>
      <x:c r="G24" s="39" t="str">
        <x:v>2026-06</x:v>
      </x:c>
      <x:c r="H24" s="39" t="str">
        <x:v>localizado</x:v>
      </x:c>
      <x:c r="I24" s="78" t="str">
        <x:v>N/D</x:v>
      </x:c>
      <x:c r="J24" s="78" t="str">
        <x:v>N/D</x:v>
      </x:c>
      <x:c r="K24" s="78" t="str">
        <x:v>N/D</x:v>
      </x:c>
      <x:c r="L24" s="84" t="str">
        <x:v>N/D</x:v>
      </x:c>
      <x:c r="M24" s="39" t="str">
        <x:v>PL oficial ausente em 2026-06</x:v>
      </x:c>
      <x:c r="N24" s="84" t="n">
        <x:v>0.03</x:v>
      </x:c>
      <x:c r="O24" s="84" t="str">
        <x:v>N/D</x:v>
      </x:c>
      <x:c r="P24" s="84" t="str">
        <x:v>N/D</x:v>
      </x:c>
      <x:c r="Q24" s="84" t="str">
        <x:v>N/D</x:v>
      </x:c>
      <x:c r="R24" s="84" t="str">
        <x:v>N/D</x:v>
      </x:c>
      <x:c r="S24" s="84" t="n">
        <x:v>0.03</x:v>
      </x:c>
      <x:c r="T24" s="39" t="str">
        <x:v>3,0%</x:v>
      </x:c>
      <x:c r="U24" s="39" t="str">
        <x:v>junior_pl</x:v>
      </x:c>
      <x:c r="V24" s="39" t="str">
        <x:v>direto no regulamento</x:v>
      </x:c>
      <x:c r="W24" s="66" t="b">
        <x:v>0</x:v>
      </x:c>
      <x:c r="X24" s="39" t="str">
        <x:v>Mínimo júnior isolado; a subordinação atual disponível agrega todas as classes subordinadas.</x:v>
      </x:c>
      <x:c r="Y24" s="66" t="b">
        <x:v>0</x:v>
      </x:c>
      <x:c r="Z24" s="84" t="str">
        <x:v>N/D</x:v>
      </x:c>
      <x:c r="AA24" s="84" t="str">
        <x:v>N/D</x:v>
      </x:c>
      <x:c r="AB24" s="39" t="str">
        <x:v>não medido</x:v>
      </x:c>
      <x:c r="AC24" s="39" t="str">
        <x:v>Agro, Indústria e Comércio</x:v>
      </x:c>
      <x:c r="AD24" s="39" t="str">
        <x:v>Recebíveis Comerciais</x:v>
      </x:c>
      <x:c r="AE24" s="39" t="str">
        <x:v>Agro / Revenda</x:v>
      </x:c>
      <x:c r="AF24" s="39" t="str">
        <x:v>Multicedente</x:v>
      </x:c>
      <x:c r="AG24" s="39" t="str">
        <x:v>cedente</x:v>
      </x:c>
      <x:c r="AH24" s="39" t="str">
        <x:v>N/D</x:v>
      </x:c>
      <x:c r="AI24" s="39" t="str">
        <x:v>Multicedente</x:v>
      </x:c>
      <x:c r="AJ24" s="39" t="str">
        <x:v>N/D</x:v>
      </x:c>
      <x:c r="AK24" s="39" t="str">
        <x:v>N/D</x:v>
      </x:c>
      <x:c r="AL24" s="39" t="str">
        <x:v>IMG_8704.JPG</x:v>
      </x:c>
      <x:c r="AM24" s="39" t="str">
        <x:v>manual_aplicado</x:v>
      </x:c>
      <x:c r="AN24" s="39" t="str">
        <x:v>OBS da foto: conta com seguro de crédito. Denominação cortada.</x:v>
      </x:c>
      <x:c r="AO24" s="39" t="str">
        <x:v>1023213</x:v>
      </x:c>
      <x:c r="AP24" s="39" t="str">
        <x:v>2025-10-27</x:v>
      </x:c>
      <x:c r="AQ24" s="39" t="str">
        <x:v>61</x:v>
      </x:c>
      <x:c r="AR24" s="39" t="str">
        <x:v>revisto — mínimo júnior localizado</x:v>
      </x:c>
      <x:c r="AS24" s="39" t="str">
        <x:v>FundosNet/B3; documento 1023213; referência 2025-10-27; p. 61</x:v>
      </x:c>
      <x:c r="AT24" s="39" t="str">
        <x:v>Índice de Subordinação Mezanino: cotas júnior / PL, mínimo de 3,0%.</x:v>
      </x:c>
      <x:c r="AU24" s="39" t="str">
        <x:v>PL atual; Sub/PL atual; originador; sacado/devedor; tipo de recebível</x:v>
      </x:c>
      <x:c r="AV24" s="39" t="str">
        <x:v>sub_pl_atual_ausente</x:v>
      </x:c>
    </x:row>
    <x:row r="25" ht="31.5" customHeight="1">
      <x:c r="A25" s="38" t="n">
        <x:v>21</x:v>
      </x:c>
      <x:c r="B25" s="73" t="n">
        <x:v>50089559000108</x:v>
      </x:c>
      <x:c r="C25" s="38" t="str">
        <x:v>50.089.559/0001-08</x:v>
      </x:c>
      <x:c r="D25" s="38" t="str">
        <x:v>AGRICONNECTION FIAGRO</x:v>
      </x:c>
      <x:c r="E25" s="38" t="str">
        <x:v>AGRICONNECTION FIAGRO DIREITOS CREDITORIOS</x:v>
      </x:c>
      <x:c r="F25" s="38" t="str">
        <x:v>Carteira 101</x:v>
      </x:c>
      <x:c r="G25" s="38" t="str">
        <x:v>2026-06</x:v>
      </x:c>
      <x:c r="H25" s="38" t="str">
        <x:v>localizado</x:v>
      </x:c>
      <x:c r="I25" s="79" t="str">
        <x:v>N/D</x:v>
      </x:c>
      <x:c r="J25" s="79" t="str">
        <x:v>N/D</x:v>
      </x:c>
      <x:c r="K25" s="79" t="str">
        <x:v>N/D</x:v>
      </x:c>
      <x:c r="L25" s="85" t="str">
        <x:v>N/D</x:v>
      </x:c>
      <x:c r="M25" s="38" t="str">
        <x:v>PL oficial ausente em 2026-06</x:v>
      </x:c>
      <x:c r="N25" s="85" t="n">
        <x:v>0.15</x:v>
      </x:c>
      <x:c r="O25" s="85" t="str">
        <x:v>N/D</x:v>
      </x:c>
      <x:c r="P25" s="85" t="str">
        <x:v>N/D</x:v>
      </x:c>
      <x:c r="Q25" s="85" t="str">
        <x:v>N/D</x:v>
      </x:c>
      <x:c r="R25" s="85" t="str">
        <x:v>N/D</x:v>
      </x:c>
      <x:c r="S25" s="85" t="n">
        <x:v>0.15</x:v>
      </x:c>
      <x:c r="T25" s="38" t="str">
        <x:v>15,0%</x:v>
      </x:c>
      <x:c r="U25" s="38" t="str">
        <x:v>junior_pl</x:v>
      </x:c>
      <x:c r="V25" s="38" t="str">
        <x:v>direto no regulamento</x:v>
      </x:c>
      <x:c r="W25" s="67" t="b">
        <x:v>0</x:v>
      </x:c>
      <x:c r="X25" s="38" t="str">
        <x:v>Mínimo júnior isolado; a subordinação atual disponível agrega todas as classes subordinadas.</x:v>
      </x:c>
      <x:c r="Y25" s="67" t="b">
        <x:v>0</x:v>
      </x:c>
      <x:c r="Z25" s="85" t="str">
        <x:v>N/D</x:v>
      </x:c>
      <x:c r="AA25" s="85" t="str">
        <x:v>N/D</x:v>
      </x:c>
      <x:c r="AB25" s="38" t="str">
        <x:v>não medido</x:v>
      </x:c>
      <x:c r="AC25" s="38" t="str">
        <x:v>Agro, Indústria e Comércio</x:v>
      </x:c>
      <x:c r="AD25" s="38" t="str">
        <x:v>Agronegócio</x:v>
      </x:c>
      <x:c r="AE25" s="38" t="str">
        <x:v>Agro / Revenda</x:v>
      </x:c>
      <x:c r="AF25" s="38" t="str">
        <x:v>Agriconnection</x:v>
      </x:c>
      <x:c r="AG25" s="38" t="str">
        <x:v>cedente</x:v>
      </x:c>
      <x:c r="AH25" s="38" t="str">
        <x:v>N/D</x:v>
      </x:c>
      <x:c r="AI25" s="38" t="str">
        <x:v>Agriconnection</x:v>
      </x:c>
      <x:c r="AJ25" s="38" t="str">
        <x:v>N/D</x:v>
      </x:c>
      <x:c r="AK25" s="38" t="str">
        <x:v>Insumos Agrícolas - prazo Safra</x:v>
      </x:c>
      <x:c r="AL25" s="38" t="str">
        <x:v>IMG_8704.JPG</x:v>
      </x:c>
      <x:c r="AM25" s="38" t="str">
        <x:v>manual_aplicado</x:v>
      </x:c>
      <x:c r="AN25" s="38" t="str">
        <x:v>N/D</x:v>
      </x:c>
      <x:c r="AO25" s="38" t="str">
        <x:v>999633</x:v>
      </x:c>
      <x:c r="AP25" s="38" t="str">
        <x:v>2025-09-26</x:v>
      </x:c>
      <x:c r="AQ25" s="38" t="str">
        <x:v>52</x:v>
      </x:c>
      <x:c r="AR25" s="38" t="str">
        <x:v>revisto — mínimo júnior localizado</x:v>
      </x:c>
      <x:c r="AS25" s="38" t="str">
        <x:v>FundosNet/B3; documento 999633; referência 2025-09-26; p. 52</x:v>
      </x:c>
      <x:c r="AT25" s="38" t="str">
        <x:v>Índice de Subordinação Júnior: cotas júnior / PL, mínimo de 15,0%.</x:v>
      </x:c>
      <x:c r="AU25" s="38" t="str">
        <x:v>PL atual; Sub/PL atual; originador; sacado/devedor</x:v>
      </x:c>
      <x:c r="AV25" s="38" t="str">
        <x:v>sub_pl_atual_ausente</x:v>
      </x:c>
    </x:row>
    <x:row r="26" ht="31.5" customHeight="1">
      <x:c r="A26" s="39" t="n">
        <x:v>22</x:v>
      </x:c>
      <x:c r="B26" s="72" t="n">
        <x:v>57131490000182</x:v>
      </x:c>
      <x:c r="C26" s="39" t="str">
        <x:v>57.131.490/0001-82</x:v>
      </x:c>
      <x:c r="D26" s="39" t="str">
        <x:v>PONTO RURAL FIAGRO RESPONSABILIDADE LIMITADA</x:v>
      </x:c>
      <x:c r="E26" s="39" t="str">
        <x:v>PONTO RURAL FIAGRO FIDC LTDA</x:v>
      </x:c>
      <x:c r="F26" s="39" t="str">
        <x:v>Carteira 101</x:v>
      </x:c>
      <x:c r="G26" s="39" t="str">
        <x:v>2026-06</x:v>
      </x:c>
      <x:c r="H26" s="39" t="str">
        <x:v>localizado</x:v>
      </x:c>
      <x:c r="I26" s="78" t="str">
        <x:v>N/D</x:v>
      </x:c>
      <x:c r="J26" s="78" t="str">
        <x:v>N/D</x:v>
      </x:c>
      <x:c r="K26" s="78" t="str">
        <x:v>N/D</x:v>
      </x:c>
      <x:c r="L26" s="84" t="str">
        <x:v>N/D</x:v>
      </x:c>
      <x:c r="M26" s="39" t="str">
        <x:v>PL oficial ausente em 2026-06</x:v>
      </x:c>
      <x:c r="N26" s="84" t="str">
        <x:v>N/D</x:v>
      </x:c>
      <x:c r="O26" s="84" t="str">
        <x:v>N/D</x:v>
      </x:c>
      <x:c r="P26" s="84" t="str">
        <x:v>N/D</x:v>
      </x:c>
      <x:c r="Q26" s="84" t="n">
        <x:v>0.5</x:v>
      </x:c>
      <x:c r="R26" s="84" t="str">
        <x:v>N/D</x:v>
      </x:c>
      <x:c r="S26" s="84" t="n">
        <x:v>0.5</x:v>
      </x:c>
      <x:c r="T26" s="39" t="str">
        <x:v>50,0%*</x:v>
      </x:c>
      <x:c r="U26" s="39" t="str">
        <x:v>suporte_total_pl</x:v>
      </x:c>
      <x:c r="V26" s="39" t="str">
        <x:v>direto no regulamento</x:v>
      </x:c>
      <x:c r="W26" s="66" t="b">
        <x:v>1</x:v>
      </x:c>
      <x:c r="X26" s="39" t="str">
        <x:v>Suporte total ou combinado; não representa mínimo júnior isolado.</x:v>
      </x:c>
      <x:c r="Y26" s="66" t="b">
        <x:v>1</x:v>
      </x:c>
      <x:c r="Z26" s="84" t="str">
        <x:v>N/D</x:v>
      </x:c>
      <x:c r="AA26" s="84" t="str">
        <x:v>N/D</x:v>
      </x:c>
      <x:c r="AB26" s="39" t="str">
        <x:v>não medido</x:v>
      </x:c>
      <x:c r="AC26" s="39" t="str">
        <x:v>Agro, Indústria e Comércio</x:v>
      </x:c>
      <x:c r="AD26" s="39" t="str">
        <x:v>Recebíveis Comerciais</x:v>
      </x:c>
      <x:c r="AE26" s="39" t="str">
        <x:v>Agro / Revenda</x:v>
      </x:c>
      <x:c r="AF26" s="39" t="str">
        <x:v>PONTO RURAL</x:v>
      </x:c>
      <x:c r="AG26" s="39" t="str">
        <x:v>cedente</x:v>
      </x:c>
      <x:c r="AH26" s="39" t="str">
        <x:v>N/D</x:v>
      </x:c>
      <x:c r="AI26" s="39" t="str">
        <x:v>PONTO RURAL</x:v>
      </x:c>
      <x:c r="AJ26" s="39" t="str">
        <x:v>N/D</x:v>
      </x:c>
      <x:c r="AK26" s="39" t="str">
        <x:v>Insumos Agrícolas - prazo Safra</x:v>
      </x:c>
      <x:c r="AL26" s="39" t="str">
        <x:v>IMG_8704.JPG</x:v>
      </x:c>
      <x:c r="AM26" s="39" t="str">
        <x:v>manual_aplicado</x:v>
      </x:c>
      <x:c r="AN26" s="39" t="str">
        <x:v>N/D</x:v>
      </x:c>
      <x:c r="AO26" s="39" t="str">
        <x:v>995970</x:v>
      </x:c>
      <x:c r="AP26" s="39" t="str">
        <x:v>2025-09-23</x:v>
      </x:c>
      <x:c r="AQ26" s="39" t="str">
        <x:v>39</x:v>
      </x:c>
      <x:c r="AR26" s="39" t="str">
        <x:v>revisto — suporte estrutural total localizado</x:v>
      </x:c>
      <x:c r="AS26" s="39" t="str">
        <x:v>FundosNet/B3; documento 995970; referência 2025-09-23; p. 39</x:v>
      </x:c>
      <x:c r="AT26" s="39" t="str">
        <x:v>N/D</x:v>
      </x:c>
      <x:c r="AU26" s="39" t="str">
        <x:v>PL atual; Sub/PL atual; originador; sacado/devedor</x:v>
      </x:c>
      <x:c r="AV26" s="39" t="str">
        <x:v>sub_pl_atual_ausente</x:v>
      </x:c>
    </x:row>
    <x:row r="27" ht="31.5" customHeight="1">
      <x:c r="A27" s="38" t="n">
        <x:v>23</x:v>
      </x:c>
      <x:c r="B27" s="73" t="n">
        <x:v>47151680000108</x:v>
      </x:c>
      <x:c r="C27" s="38" t="str">
        <x:v>47.151.680/0001-08</x:v>
      </x:c>
      <x:c r="D27" s="38" t="str">
        <x:v>FARM TECH IBBA I FUNDO DE INVESTIMENTO EM DIREITOS CREDITÓRIOS RESPONSABILIDADE LIMITADA</x:v>
      </x:c>
      <x:c r="E27" s="38" t="str">
        <x:v>FARM TECH IBBA I FUNDO DE INVESTIMENTO EM DIREITOS</x:v>
      </x:c>
      <x:c r="F27" s="38" t="str">
        <x:v>Carteira 101</x:v>
      </x:c>
      <x:c r="G27" s="38" t="str">
        <x:v>2026-06</x:v>
      </x:c>
      <x:c r="H27" s="38" t="str">
        <x:v>localizado</x:v>
      </x:c>
      <x:c r="I27" s="79" t="n">
        <x:v>9399387.71</x:v>
      </x:c>
      <x:c r="J27" s="79" t="n">
        <x:v>9408887.7042</x:v>
      </x:c>
      <x:c r="K27" s="79" t="n">
        <x:v>9408887.7042</x:v>
      </x:c>
      <x:c r="L27" s="85" t="n">
        <x:v>1.0010107035152824</x:v>
      </x:c>
      <x:c r="M27" s="38" t="str">
        <x:v>Calculado com classes reportadas e PL oficial reconciliado</x:v>
      </x:c>
      <x:c r="N27" s="85" t="str">
        <x:v>N/D</x:v>
      </x:c>
      <x:c r="O27" s="85" t="str">
        <x:v>N/D</x:v>
      </x:c>
      <x:c r="P27" s="85" t="str">
        <x:v>N/D</x:v>
      </x:c>
      <x:c r="Q27" s="85" t="n">
        <x:v>0.2</x:v>
      </x:c>
      <x:c r="R27" s="85" t="str">
        <x:v>N/D</x:v>
      </x:c>
      <x:c r="S27" s="85" t="n">
        <x:v>0.2</x:v>
      </x:c>
      <x:c r="T27" s="38" t="str">
        <x:v>20,0%*</x:v>
      </x:c>
      <x:c r="U27" s="38" t="str">
        <x:v>suporte_total_pl</x:v>
      </x:c>
      <x:c r="V27" s="38" t="str">
        <x:v>calculado: 1 − 1/1,25</x:v>
      </x:c>
      <x:c r="W27" s="67" t="b">
        <x:v>1</x:v>
      </x:c>
      <x:c r="X27" s="38" t="str">
        <x:v>Suporte total ou combinado; não representa mínimo júnior isolado.</x:v>
      </x:c>
      <x:c r="Y27" s="67" t="b">
        <x:v>1</x:v>
      </x:c>
      <x:c r="Z27" s="85" t="n">
        <x:v>0.8010107035152825</x:v>
      </x:c>
      <x:c r="AA27" s="85" t="n">
        <x:v>1.001263379394103</x:v>
      </x:c>
      <x:c r="AB27" s="38" t="str">
        <x:v>acima do mínimo</x:v>
      </x:c>
      <x:c r="AC27" s="38" t="str">
        <x:v>Agro, Indústria e Comércio</x:v>
      </x:c>
      <x:c r="AD27" s="38" t="str">
        <x:v>Recebíveis Comerciais</x:v>
      </x:c>
      <x:c r="AE27" s="38" t="str">
        <x:v>Agro / Revenda</x:v>
      </x:c>
      <x:c r="AF27" s="38" t="str">
        <x:v>Multicedentes</x:v>
      </x:c>
      <x:c r="AG27" s="38" t="str">
        <x:v>cedente</x:v>
      </x:c>
      <x:c r="AH27" s="38" t="str">
        <x:v>N/D</x:v>
      </x:c>
      <x:c r="AI27" s="38" t="str">
        <x:v>Multicedentes</x:v>
      </x:c>
      <x:c r="AJ27" s="38" t="str">
        <x:v>N/D</x:v>
      </x:c>
      <x:c r="AK27" s="38" t="str">
        <x:v>N/D</x:v>
      </x:c>
      <x:c r="AL27" s="38" t="str">
        <x:v>IMG_8704.JPG</x:v>
      </x:c>
      <x:c r="AM27" s="38" t="str">
        <x:v>manual_aplicado</x:v>
      </x:c>
      <x:c r="AN27" s="38" t="str">
        <x:v>OBS da foto: Multicedente análise FARM; fomos 100% resgatados em out/25. Denominação cortada.</x:v>
      </x:c>
      <x:c r="AO27" s="38" t="str">
        <x:v>993922</x:v>
      </x:c>
      <x:c r="AP27" s="38" t="str">
        <x:v>2025-07-22</x:v>
      </x:c>
      <x:c r="AQ27" s="38" t="str">
        <x:v>6</x:v>
      </x:c>
      <x:c r="AR27" s="38" t="str">
        <x:v>revisto — suporte estrutural total localizado</x:v>
      </x:c>
      <x:c r="AS27" s="38" t="str">
        <x:v>FundosNet/B3; documento 993922; referência 2025-07-22; p. 6</x:v>
      </x:c>
      <x:c r="AT27" s="38" t="str">
        <x:v>N/D</x:v>
      </x:c>
      <x:c r="AU27" s="38" t="str">
        <x:v>originador; sacado/devedor; tipo de recebível</x:v>
      </x:c>
      <x:c r="AV27" s="38" t="str">
        <x:v>completo_para_folga</x:v>
      </x:c>
    </x:row>
    <x:row r="28" ht="31.5" customHeight="1">
      <x:c r="A28" s="39" t="n">
        <x:v>24</x:v>
      </x:c>
      <x:c r="B28" s="72" t="n">
        <x:v>43309233000183</x:v>
      </x:c>
      <x:c r="C28" s="39" t="str">
        <x:v>43.309.233/0001-83</x:v>
      </x:c>
      <x:c r="D28" s="39" t="str">
        <x:v>FUNDO DE INVESTIMENTO EM DIREITOS CREDITÓRIOS LIVERPOOL RESPONSABILIDADE LIMITADA</x:v>
      </x:c>
      <x:c r="E28" s="39" t="str">
        <x:v>FUNDO DE INVESTIMENTO EM DIREITOS CREDITORIOS LIVERPOOL</x:v>
      </x:c>
      <x:c r="F28" s="39" t="str">
        <x:v>Carteira 101</x:v>
      </x:c>
      <x:c r="G28" s="39" t="str">
        <x:v>2026-06</x:v>
      </x:c>
      <x:c r="H28" s="39" t="str">
        <x:v>localizado</x:v>
      </x:c>
      <x:c r="I28" s="78" t="str">
        <x:v>N/D</x:v>
      </x:c>
      <x:c r="J28" s="78" t="str">
        <x:v>N/D</x:v>
      </x:c>
      <x:c r="K28" s="78" t="str">
        <x:v>N/D</x:v>
      </x:c>
      <x:c r="L28" s="84" t="str">
        <x:v>N/D</x:v>
      </x:c>
      <x:c r="M28" s="39" t="str">
        <x:v>PL oficial ausente em 2026-06</x:v>
      </x:c>
      <x:c r="N28" s="84" t="str">
        <x:v>N/D</x:v>
      </x:c>
      <x:c r="O28" s="84" t="str">
        <x:v>N/D</x:v>
      </x:c>
      <x:c r="P28" s="84" t="str">
        <x:v>N/D</x:v>
      </x:c>
      <x:c r="Q28" s="84" t="n">
        <x:v>0.15</x:v>
      </x:c>
      <x:c r="R28" s="84" t="str">
        <x:v>N/D</x:v>
      </x:c>
      <x:c r="S28" s="84" t="n">
        <x:v>0.15</x:v>
      </x:c>
      <x:c r="T28" s="39" t="str">
        <x:v>15,0%*</x:v>
      </x:c>
      <x:c r="U28" s="39" t="str">
        <x:v>suporte_total_pl</x:v>
      </x:c>
      <x:c r="V28" s="39" t="str">
        <x:v>calculado: 1 − 1/1,1764</x:v>
      </x:c>
      <x:c r="W28" s="66" t="b">
        <x:v>1</x:v>
      </x:c>
      <x:c r="X28" s="39" t="str">
        <x:v>Suporte total ou combinado; não representa mínimo júnior isolado.</x:v>
      </x:c>
      <x:c r="Y28" s="66" t="b">
        <x:v>1</x:v>
      </x:c>
      <x:c r="Z28" s="84" t="str">
        <x:v>N/D</x:v>
      </x:c>
      <x:c r="AA28" s="84" t="str">
        <x:v>N/D</x:v>
      </x:c>
      <x:c r="AB28" s="39" t="str">
        <x:v>não medido</x:v>
      </x:c>
      <x:c r="AC28" s="39" t="str">
        <x:v>Agro, Indústria e Comércio</x:v>
      </x:c>
      <x:c r="AD28" s="39" t="str">
        <x:v>Agronegócio</x:v>
      </x:c>
      <x:c r="AE28" s="39" t="str">
        <x:v>Agro / Revenda</x:v>
      </x:c>
      <x:c r="AF28" s="39" t="str">
        <x:v>Adama</x:v>
      </x:c>
      <x:c r="AG28" s="39" t="str">
        <x:v>cedente</x:v>
      </x:c>
      <x:c r="AH28" s="39" t="str">
        <x:v>N/D</x:v>
      </x:c>
      <x:c r="AI28" s="39" t="str">
        <x:v>Adama</x:v>
      </x:c>
      <x:c r="AJ28" s="39" t="str">
        <x:v>N/D</x:v>
      </x:c>
      <x:c r="AK28" s="39" t="str">
        <x:v>Insumos Agrícolas - prazo Safra</x:v>
      </x:c>
      <x:c r="AL28" s="39" t="str">
        <x:v>IMG_8704.JPG</x:v>
      </x:c>
      <x:c r="AM28" s="39" t="str">
        <x:v>manual_aplicado</x:v>
      </x:c>
      <x:c r="AN28" s="39" t="str">
        <x:v>OBS da foto: fomos 100% resgatados em out/25.</x:v>
      </x:c>
      <x:c r="AO28" s="39" t="str">
        <x:v>943032</x:v>
      </x:c>
      <x:c r="AP28" s="39" t="str">
        <x:v>2025-07-09</x:v>
      </x:c>
      <x:c r="AQ28" s="39" t="str">
        <x:v>30</x:v>
      </x:c>
      <x:c r="AR28" s="39" t="str">
        <x:v>revisto — suporte estrutural total localizado</x:v>
      </x:c>
      <x:c r="AS28" s="39" t="str">
        <x:v>FundosNet/B3; documento 943032; referência 2025-07-09; p. 30</x:v>
      </x:c>
      <x:c r="AT28" s="39" t="str">
        <x:v>N/D</x:v>
      </x:c>
      <x:c r="AU28" s="39" t="str">
        <x:v>PL atual; Sub/PL atual; originador; sacado/devedor</x:v>
      </x:c>
      <x:c r="AV28" s="39" t="str">
        <x:v>sub_pl_atual_ausente</x:v>
      </x:c>
    </x:row>
    <x:row r="29" ht="31.5" customHeight="1">
      <x:c r="A29" s="38" t="n">
        <x:v>25</x:v>
      </x:c>
      <x:c r="B29" s="73" t="n">
        <x:v>43616659000180</x:v>
      </x:c>
      <x:c r="C29" s="38" t="str">
        <x:v>43.616.659/0001-80</x:v>
      </x:c>
      <x:c r="D29" s="38" t="str">
        <x:v>TALÓ 1 FUNDO DE INVESTIMENTO EM DIREITOS CREDITÓRIOS RESPONSABILIDADE LIMITADA</x:v>
      </x:c>
      <x:c r="E29" s="38" t="str">
        <x:v>TALO 1 FUNDO DE INVESTIMENTO EM DIREITOS CREDITORIOS</x:v>
      </x:c>
      <x:c r="F29" s="38" t="str">
        <x:v>Carteira 101</x:v>
      </x:c>
      <x:c r="G29" s="38" t="str">
        <x:v>2026-06</x:v>
      </x:c>
      <x:c r="H29" s="38" t="str">
        <x:v>localizado</x:v>
      </x:c>
      <x:c r="I29" s="79" t="n">
        <x:v>7003747.49</x:v>
      </x:c>
      <x:c r="J29" s="79" t="n">
        <x:v>7003747.490086623</x:v>
      </x:c>
      <x:c r="K29" s="79" t="n">
        <x:v>7003747.490086623</x:v>
      </x:c>
      <x:c r="L29" s="85" t="n">
        <x:v>1.0000000000123679</x:v>
      </x:c>
      <x:c r="M29" s="38" t="str">
        <x:v>Calculado com classes reportadas e PL oficial reconciliado</x:v>
      </x:c>
      <x:c r="N29" s="85" t="str">
        <x:v>N/D</x:v>
      </x:c>
      <x:c r="O29" s="85" t="str">
        <x:v>N/D</x:v>
      </x:c>
      <x:c r="P29" s="85" t="str">
        <x:v>N/D</x:v>
      </x:c>
      <x:c r="Q29" s="85" t="n">
        <x:v>0.25</x:v>
      </x:c>
      <x:c r="R29" s="85" t="str">
        <x:v>N/D</x:v>
      </x:c>
      <x:c r="S29" s="85" t="n">
        <x:v>0.25</x:v>
      </x:c>
      <x:c r="T29" s="38" t="str">
        <x:v>25,0%*</x:v>
      </x:c>
      <x:c r="U29" s="38" t="str">
        <x:v>suporte_total_pl</x:v>
      </x:c>
      <x:c r="V29" s="38" t="str">
        <x:v>calculado: 1 − 1/1,3333</x:v>
      </x:c>
      <x:c r="W29" s="67" t="b">
        <x:v>1</x:v>
      </x:c>
      <x:c r="X29" s="38" t="str">
        <x:v>Suporte total ou combinado; não representa mínimo júnior isolado.</x:v>
      </x:c>
      <x:c r="Y29" s="67" t="b">
        <x:v>1</x:v>
      </x:c>
      <x:c r="Z29" s="85" t="n">
        <x:v>0.7500000000123679</x:v>
      </x:c>
      <x:c r="AA29" s="85" t="n">
        <x:v>1.0000000000164906</x:v>
      </x:c>
      <x:c r="AB29" s="38" t="str">
        <x:v>acima do mínimo</x:v>
      </x:c>
      <x:c r="AC29" s="38" t="str">
        <x:v>Agro, Indústria e Comércio</x:v>
      </x:c>
      <x:c r="AD29" s="38" t="str">
        <x:v>Agronegócio</x:v>
      </x:c>
      <x:c r="AE29" s="38" t="str">
        <x:v>Agro / Revenda</x:v>
      </x:c>
      <x:c r="AF29" s="38" t="str">
        <x:v>Yara</x:v>
      </x:c>
      <x:c r="AG29" s="38" t="str">
        <x:v>cedente</x:v>
      </x:c>
      <x:c r="AH29" s="38" t="str">
        <x:v>N/D</x:v>
      </x:c>
      <x:c r="AI29" s="38" t="str">
        <x:v>Yara</x:v>
      </x:c>
      <x:c r="AJ29" s="38" t="str">
        <x:v>N/D</x:v>
      </x:c>
      <x:c r="AK29" s="38" t="str">
        <x:v>N/D</x:v>
      </x:c>
      <x:c r="AL29" s="38" t="str">
        <x:v>IMG_8704.JPG</x:v>
      </x:c>
      <x:c r="AM29" s="38" t="str">
        <x:v>manual_aplicado</x:v>
      </x:c>
      <x:c r="AN29" s="38" t="str">
        <x:v>OBS da foto: subordinação mínima próxima ao limiar (atual Baa3). Denominação cortada.</x:v>
      </x:c>
      <x:c r="AO29" s="38" t="str">
        <x:v>791844</x:v>
      </x:c>
      <x:c r="AP29" s="38" t="str">
        <x:v>2024-11-28</x:v>
      </x:c>
      <x:c r="AQ29" s="38" t="str">
        <x:v>7</x:v>
      </x:c>
      <x:c r="AR29" s="38" t="str">
        <x:v>revisto — suporte estrutural total localizado</x:v>
      </x:c>
      <x:c r="AS29" s="38" t="str">
        <x:v>FundosNet/B3; documento 791844; referência 2024-11-28; p. 7</x:v>
      </x:c>
      <x:c r="AT29" s="38" t="str">
        <x:v>N/D</x:v>
      </x:c>
      <x:c r="AU29" s="38" t="str">
        <x:v>originador; sacado/devedor; tipo de recebível</x:v>
      </x:c>
      <x:c r="AV29" s="38" t="str">
        <x:v>completo_para_folga</x:v>
      </x:c>
    </x:row>
    <x:row r="30" ht="31.5" customHeight="1">
      <x:c r="A30" s="39" t="n">
        <x:v>26</x:v>
      </x:c>
      <x:c r="B30" s="72" t="n">
        <x:v>52343195000176</x:v>
      </x:c>
      <x:c r="C30" s="39" t="str">
        <x:v>52.343.195/0001-76</x:v>
      </x:c>
      <x:c r="D30" s="39" t="str">
        <x:v>FARMTECH SYNGENTA FUNDO DE INVESTIMENTO EM DIREITOS CREDITÓRIOS RESPONSABILIDADE LIMITADA</x:v>
      </x:c>
      <x:c r="E30" s="39" t="str">
        <x:v>FARMTECH SYNGENTA FUNDO DE INVESTIMENTO EM DIREITO</x:v>
      </x:c>
      <x:c r="F30" s="39" t="str">
        <x:v>Carteira 101</x:v>
      </x:c>
      <x:c r="G30" s="39" t="str">
        <x:v>2026-06</x:v>
      </x:c>
      <x:c r="H30" s="39" t="str">
        <x:v>localizado</x:v>
      </x:c>
      <x:c r="I30" s="78" t="str">
        <x:v>N/D</x:v>
      </x:c>
      <x:c r="J30" s="78" t="str">
        <x:v>N/D</x:v>
      </x:c>
      <x:c r="K30" s="78" t="str">
        <x:v>N/D</x:v>
      </x:c>
      <x:c r="L30" s="84" t="str">
        <x:v>N/D</x:v>
      </x:c>
      <x:c r="M30" s="39" t="str">
        <x:v>PL oficial ausente em 2026-06</x:v>
      </x:c>
      <x:c r="N30" s="84" t="str">
        <x:v>N/D</x:v>
      </x:c>
      <x:c r="O30" s="84" t="str">
        <x:v>N/D</x:v>
      </x:c>
      <x:c r="P30" s="84" t="str">
        <x:v>N/D</x:v>
      </x:c>
      <x:c r="Q30" s="84" t="n">
        <x:v>0.15</x:v>
      </x:c>
      <x:c r="R30" s="84" t="str">
        <x:v>N/D</x:v>
      </x:c>
      <x:c r="S30" s="84" t="n">
        <x:v>0.15</x:v>
      </x:c>
      <x:c r="T30" s="39" t="str">
        <x:v>15,0%*</x:v>
      </x:c>
      <x:c r="U30" s="39" t="str">
        <x:v>suporte_total_pl</x:v>
      </x:c>
      <x:c r="V30" s="39" t="str">
        <x:v>calculado: 1 − 1/1,1765</x:v>
      </x:c>
      <x:c r="W30" s="66" t="b">
        <x:v>1</x:v>
      </x:c>
      <x:c r="X30" s="39" t="str">
        <x:v>Suporte total ou combinado; não representa mínimo júnior isolado.</x:v>
      </x:c>
      <x:c r="Y30" s="66" t="b">
        <x:v>1</x:v>
      </x:c>
      <x:c r="Z30" s="84" t="str">
        <x:v>N/D</x:v>
      </x:c>
      <x:c r="AA30" s="84" t="str">
        <x:v>N/D</x:v>
      </x:c>
      <x:c r="AB30" s="39" t="str">
        <x:v>não medido</x:v>
      </x:c>
      <x:c r="AC30" s="39" t="str">
        <x:v>Agro, Indústria e Comércio</x:v>
      </x:c>
      <x:c r="AD30" s="39" t="str">
        <x:v>N/D</x:v>
      </x:c>
      <x:c r="AE30" s="39" t="str">
        <x:v>Agro / Revenda</x:v>
      </x:c>
      <x:c r="AF30" s="39" t="str">
        <x:v>Multicedentes</x:v>
      </x:c>
      <x:c r="AG30" s="39" t="str">
        <x:v>cedente</x:v>
      </x:c>
      <x:c r="AH30" s="39" t="str">
        <x:v>N/D</x:v>
      </x:c>
      <x:c r="AI30" s="39" t="str">
        <x:v>Multicedentes</x:v>
      </x:c>
      <x:c r="AJ30" s="39" t="str">
        <x:v>N/D</x:v>
      </x:c>
      <x:c r="AK30" s="39" t="str">
        <x:v>N/D</x:v>
      </x:c>
      <x:c r="AL30" s="39" t="str">
        <x:v>IMG_8704.JPG</x:v>
      </x:c>
      <x:c r="AM30" s="39" t="str">
        <x:v>manual_aplicado</x:v>
      </x:c>
      <x:c r="AN30" s="39" t="str">
        <x:v>OBS da foto: Multicedente análise FARM. Denominação cortada.</x:v>
      </x:c>
      <x:c r="AO30" s="39" t="str">
        <x:v>791944</x:v>
      </x:c>
      <x:c r="AP30" s="39" t="str">
        <x:v>2024-11-27</x:v>
      </x:c>
      <x:c r="AQ30" s="39" t="str">
        <x:v>7</x:v>
      </x:c>
      <x:c r="AR30" s="39" t="str">
        <x:v>revisto — suporte estrutural total localizado</x:v>
      </x:c>
      <x:c r="AS30" s="39" t="str">
        <x:v>FundosNet/B3; documento 791944; referência 2024-11-27; p. 7</x:v>
      </x:c>
      <x:c r="AT30" s="39" t="str">
        <x:v>N/D</x:v>
      </x:c>
      <x:c r="AU30" s="39" t="str">
        <x:v>PL atual; Sub/PL atual; originador; sacado/devedor; tipo de recebível</x:v>
      </x:c>
      <x:c r="AV30" s="39" t="str">
        <x:v>sub_pl_atual_ausente</x:v>
      </x:c>
    </x:row>
    <x:row r="31" ht="31.5" customHeight="1">
      <x:c r="A31" s="38" t="n">
        <x:v>27</x:v>
      </x:c>
      <x:c r="B31" s="73" t="n">
        <x:v>44574361000117</x:v>
      </x:c>
      <x:c r="C31" s="38" t="str">
        <x:v>44.574.361/0001-17</x:v>
      </x:c>
      <x:c r="D31" s="38" t="str">
        <x:v>FUNDO DE INVESTIMENTO EM DIREITOS CREDITORIOS UPL 02 - RESPONSABILIDADE LIMITADA</x:v>
      </x:c>
      <x:c r="E31" s="38" t="str">
        <x:v>FUNDO DE INVESTIMENTO EM DIREITOS CREDITORIOS UPL</x:v>
      </x:c>
      <x:c r="F31" s="38" t="str">
        <x:v>Carteira 101</x:v>
      </x:c>
      <x:c r="G31" s="38" t="str">
        <x:v>2026-06</x:v>
      </x:c>
      <x:c r="H31" s="38" t="str">
        <x:v>localizado</x:v>
      </x:c>
      <x:c r="I31" s="79" t="n">
        <x:v>482864460.3</x:v>
      </x:c>
      <x:c r="J31" s="79" t="n">
        <x:v>466566839.994366</x:v>
      </x:c>
      <x:c r="K31" s="79" t="n">
        <x:v>60761467.88376599</x:v>
      </x:c>
      <x:c r="L31" s="85" t="str">
        <x:v>N/D</x:v>
      </x:c>
      <x:c r="M31" s="38" t="str">
        <x:v>N/D</x:v>
      </x:c>
      <x:c r="N31" s="85" t="str">
        <x:v>N/D</x:v>
      </x:c>
      <x:c r="O31" s="85" t="str">
        <x:v>N/D</x:v>
      </x:c>
      <x:c r="P31" s="85" t="str">
        <x:v>N/D</x:v>
      </x:c>
      <x:c r="Q31" s="85" t="n">
        <x:v>0.15</x:v>
      </x:c>
      <x:c r="R31" s="85" t="str">
        <x:v>N/D</x:v>
      </x:c>
      <x:c r="S31" s="85" t="n">
        <x:v>0.15</x:v>
      </x:c>
      <x:c r="T31" s="38" t="str">
        <x:v>15,0%*</x:v>
      </x:c>
      <x:c r="U31" s="38" t="str">
        <x:v>suporte_total_pl</x:v>
      </x:c>
      <x:c r="V31" s="38" t="str">
        <x:v>calculado: 1 − 1/1,1764</x:v>
      </x:c>
      <x:c r="W31" s="67" t="b">
        <x:v>1</x:v>
      </x:c>
      <x:c r="X31" s="38" t="str">
        <x:v>Suporte total ou combinado; não representa mínimo júnior isolado.</x:v>
      </x:c>
      <x:c r="Y31" s="67" t="b">
        <x:v>1</x:v>
      </x:c>
      <x:c r="Z31" s="85" t="str">
        <x:v>N/D</x:v>
      </x:c>
      <x:c r="AA31" s="85" t="str">
        <x:v>N/D</x:v>
      </x:c>
      <x:c r="AB31" s="38" t="str">
        <x:v>não medido</x:v>
      </x:c>
      <x:c r="AC31" s="38" t="str">
        <x:v>Agro, Indústria e Comércio</x:v>
      </x:c>
      <x:c r="AD31" s="38" t="str">
        <x:v>Multicarteira Agro, Indústria e Comércio</x:v>
      </x:c>
      <x:c r="AE31" s="38" t="str">
        <x:v>Agro / Revenda</x:v>
      </x:c>
      <x:c r="AF31" s="38" t="str">
        <x:v>UPL</x:v>
      </x:c>
      <x:c r="AG31" s="38" t="str">
        <x:v>cedente</x:v>
      </x:c>
      <x:c r="AH31" s="38" t="str">
        <x:v>N/D</x:v>
      </x:c>
      <x:c r="AI31" s="38" t="str">
        <x:v>UPL</x:v>
      </x:c>
      <x:c r="AJ31" s="38" t="str">
        <x:v>N/D</x:v>
      </x:c>
      <x:c r="AK31" s="38" t="str">
        <x:v>Insumos Agrícolas - prazo Safra</x:v>
      </x:c>
      <x:c r="AL31" s="38" t="str">
        <x:v>IMG_8704.JPG</x:v>
      </x:c>
      <x:c r="AM31" s="38" t="str">
        <x:v>manual_aplicado</x:v>
      </x:c>
      <x:c r="AN31" s="38" t="str">
        <x:v>N/D</x:v>
      </x:c>
      <x:c r="AO31" s="38" t="str">
        <x:v>928360</x:v>
      </x:c>
      <x:c r="AP31" s="38" t="str">
        <x:v>2025-06-12</x:v>
      </x:c>
      <x:c r="AQ31" s="38" t="str">
        <x:v>133</x:v>
      </x:c>
      <x:c r="AR31" s="38" t="str">
        <x:v>revisto — suporte estrutural total localizado</x:v>
      </x:c>
      <x:c r="AS31" s="38" t="str">
        <x:v>FundosNet/B3; documento 928360; referência 2025-06-12; p. 133</x:v>
      </x:c>
      <x:c r="AT31" s="38" t="str">
        <x:v>N/D</x:v>
      </x:c>
      <x:c r="AU31" s="38" t="str">
        <x:v>Sub/PL atual; originador; sacado/devedor</x:v>
      </x:c>
      <x:c r="AV31" s="38" t="str">
        <x:v>sub_pl_atual_ausente</x:v>
      </x:c>
    </x:row>
    <x:row r="32" ht="31.5" customHeight="1">
      <x:c r="A32" s="39" t="n">
        <x:v>28</x:v>
      </x:c>
      <x:c r="B32" s="72" t="n">
        <x:v>45123558000100</x:v>
      </x:c>
      <x:c r="C32" s="39" t="str">
        <x:v>45.123.558/0001-00</x:v>
      </x:c>
      <x:c r="D32" s="39" t="str">
        <x:v>N/D</x:v>
      </x:c>
      <x:c r="E32" s="39" t="str">
        <x:v>CLASSE I DO CANAA FUNDO DE INVESTIMENTO NAS CADEIAS USINA COCAL</x:v>
      </x:c>
      <x:c r="F32" s="39" t="str">
        <x:v>Carteira 101</x:v>
      </x:c>
      <x:c r="G32" s="39" t="str">
        <x:v>2026-06</x:v>
      </x:c>
      <x:c r="H32" s="39" t="str">
        <x:v>fora_base_fidc</x:v>
      </x:c>
      <x:c r="I32" s="78" t="str">
        <x:v>N/D</x:v>
      </x:c>
      <x:c r="J32" s="78" t="str">
        <x:v>N/D</x:v>
      </x:c>
      <x:c r="K32" s="78" t="str">
        <x:v>N/D</x:v>
      </x:c>
      <x:c r="L32" s="84" t="str">
        <x:v>N/D</x:v>
      </x:c>
      <x:c r="M32" s="39" t="str">
        <x:v>PL oficial ausente em 2026-06</x:v>
      </x:c>
      <x:c r="N32" s="84" t="str">
        <x:v>N/D</x:v>
      </x:c>
      <x:c r="O32" s="84" t="str">
        <x:v>N/D</x:v>
      </x:c>
      <x:c r="P32" s="84" t="str">
        <x:v>N/D</x:v>
      </x:c>
      <x:c r="Q32" s="84" t="str">
        <x:v>N/D</x:v>
      </x:c>
      <x:c r="R32" s="84" t="str">
        <x:v>N/D</x:v>
      </x:c>
      <x:c r="S32" s="84" t="str">
        <x:v>N/D</x:v>
      </x:c>
      <x:c r="T32" s="39" t="str">
        <x:v>N/D</x:v>
      </x:c>
      <x:c r="U32" s="39" t="str">
        <x:v>fora_perimetro</x:v>
      </x:c>
      <x:c r="V32" s="39" t="str">
        <x:v>N/D</x:v>
      </x:c>
      <x:c r="W32" s="66" t="b">
        <x:v>0</x:v>
      </x:c>
      <x:c r="X32" s="39" t="str">
        <x:v>Veículo fora do endpoint documental FIDC consultado.</x:v>
      </x:c>
      <x:c r="Y32" s="66" t="b">
        <x:v>1</x:v>
      </x:c>
      <x:c r="Z32" s="84" t="str">
        <x:v>N/D</x:v>
      </x:c>
      <x:c r="AA32" s="84" t="str">
        <x:v>N/D</x:v>
      </x:c>
      <x:c r="AB32" s="39" t="str">
        <x:v>não medido</x:v>
      </x:c>
      <x:c r="AC32" s="39" t="str">
        <x:v>N/D</x:v>
      </x:c>
      <x:c r="AD32" s="39" t="str">
        <x:v>N/D</x:v>
      </x:c>
      <x:c r="AE32" s="39" t="str">
        <x:v>N/D</x:v>
      </x:c>
      <x:c r="AF32" s="39" t="str">
        <x:v>N/D</x:v>
      </x:c>
      <x:c r="AG32" s="39" t="str">
        <x:v>N/D</x:v>
      </x:c>
      <x:c r="AH32" s="39" t="str">
        <x:v>N/D</x:v>
      </x:c>
      <x:c r="AI32" s="39" t="str">
        <x:v>N/D</x:v>
      </x:c>
      <x:c r="AJ32" s="39" t="str">
        <x:v>N/D</x:v>
      </x:c>
      <x:c r="AK32" s="39" t="str">
        <x:v>N/D</x:v>
      </x:c>
      <x:c r="AL32" s="39" t="str">
        <x:v>N/D</x:v>
      </x:c>
      <x:c r="AM32" s="39" t="str">
        <x:v>sem_overlay</x:v>
      </x:c>
      <x:c r="AN32" s="39" t="str">
        <x:v>N/D</x:v>
      </x:c>
      <x:c r="AO32" s="39" t="str">
        <x:v>N/D</x:v>
      </x:c>
      <x:c r="AP32" s="39" t="str">
        <x:v>N/D</x:v>
      </x:c>
      <x:c r="AQ32" s="39" t="str">
        <x:v>N/D</x:v>
      </x:c>
      <x:c r="AR32" s="39" t="str">
        <x:v>fora do perímetro FIDC — regulamento não localizado</x:v>
      </x:c>
      <x:c r="AS32" s="39" t="str">
        <x:v>N/D</x:v>
      </x:c>
      <x:c r="AT32" s="39" t="str">
        <x:v>N/D</x:v>
      </x:c>
      <x:c r="AU32" s="39" t="str">
        <x:v>nome oficial CVM; PL atual; Sub/PL atual; mínimo estrutural comparável; originador; cedente; sacado/devedor; tipo de recebível</x:v>
      </x:c>
      <x:c r="AV32" s="39" t="str">
        <x:v>fora_perimetro</x:v>
      </x:c>
    </x:row>
    <x:row r="33" ht="31.5" customHeight="1">
      <x:c r="A33" s="38" t="n">
        <x:v>29</x:v>
      </x:c>
      <x:c r="B33" s="73" t="n">
        <x:v>50857998000113</x:v>
      </x:c>
      <x:c r="C33" s="38" t="str">
        <x:v>50.857.998/0001-13</x:v>
      </x:c>
      <x:c r="D33" s="38" t="str">
        <x:v>LEO MADEIRAS FIDC SEGMENTO MEIOS DE PAGAMENTO DE RESPONSABILIDADE LIMITADA</x:v>
      </x:c>
      <x:c r="E33" s="38" t="str">
        <x:v>LEO I FUNDO INV DIR CREDITORIOS</x:v>
      </x:c>
      <x:c r="F33" s="38" t="str">
        <x:v>Carteira 101</x:v>
      </x:c>
      <x:c r="G33" s="38" t="str">
        <x:v>2026-06</x:v>
      </x:c>
      <x:c r="H33" s="38" t="str">
        <x:v>localizado</x:v>
      </x:c>
      <x:c r="I33" s="79" t="n">
        <x:v>176969443.65</x:v>
      </x:c>
      <x:c r="J33" s="79" t="n">
        <x:v>176969443.64933208</x:v>
      </x:c>
      <x:c r="K33" s="79" t="n">
        <x:v>22295230.79968528</x:v>
      </x:c>
      <x:c r="L33" s="85" t="n">
        <x:v>0.12598350506079178</x:v>
      </x:c>
      <x:c r="M33" s="38" t="str">
        <x:v>Calculado com classes reportadas e PL oficial reconciliado</x:v>
      </x:c>
      <x:c r="N33" s="85" t="n">
        <x:v>0.05</x:v>
      </x:c>
      <x:c r="O33" s="85" t="str">
        <x:v>N/D</x:v>
      </x:c>
      <x:c r="P33" s="85" t="str">
        <x:v>N/D</x:v>
      </x:c>
      <x:c r="Q33" s="85" t="str">
        <x:v>N/D</x:v>
      </x:c>
      <x:c r="R33" s="85" t="str">
        <x:v>N/D</x:v>
      </x:c>
      <x:c r="S33" s="85" t="n">
        <x:v>0.05</x:v>
      </x:c>
      <x:c r="T33" s="38" t="str">
        <x:v>5,0%</x:v>
      </x:c>
      <x:c r="U33" s="38" t="str">
        <x:v>junior_pl</x:v>
      </x:c>
      <x:c r="V33" s="38" t="str">
        <x:v>direto no regulamento</x:v>
      </x:c>
      <x:c r="W33" s="67" t="b">
        <x:v>0</x:v>
      </x:c>
      <x:c r="X33" s="38" t="str">
        <x:v>Mínimo júnior isolado; a subordinação atual disponível agrega todas as classes subordinadas.</x:v>
      </x:c>
      <x:c r="Y33" s="67" t="b">
        <x:v>0</x:v>
      </x:c>
      <x:c r="Z33" s="85" t="str">
        <x:v>N/D</x:v>
      </x:c>
      <x:c r="AA33" s="85" t="str">
        <x:v>N/D</x:v>
      </x:c>
      <x:c r="AB33" s="38" t="str">
        <x:v>não medido</x:v>
      </x:c>
      <x:c r="AC33" s="38" t="str">
        <x:v>Agro, Indústria e Comércio</x:v>
      </x:c>
      <x:c r="AD33" s="38" t="str">
        <x:v>Recebíveis Comerciais</x:v>
      </x:c>
      <x:c r="AE33" s="38" t="str">
        <x:v>Agro / Revenda</x:v>
      </x:c>
      <x:c r="AF33" s="38" t="str">
        <x:v>N/D</x:v>
      </x:c>
      <x:c r="AG33" s="38" t="str">
        <x:v>N/D</x:v>
      </x:c>
      <x:c r="AH33" s="38" t="str">
        <x:v>N/D</x:v>
      </x:c>
      <x:c r="AI33" s="38" t="str">
        <x:v>N/D</x:v>
      </x:c>
      <x:c r="AJ33" s="38" t="str">
        <x:v>N/D</x:v>
      </x:c>
      <x:c r="AK33" s="38" t="str">
        <x:v>N/D</x:v>
      </x:c>
      <x:c r="AL33" s="38" t="str">
        <x:v>N/D</x:v>
      </x:c>
      <x:c r="AM33" s="38" t="str">
        <x:v>sem_overlay</x:v>
      </x:c>
      <x:c r="AN33" s="38" t="str">
        <x:v>N/D</x:v>
      </x:c>
      <x:c r="AO33" s="38" t="str">
        <x:v>1017825</x:v>
      </x:c>
      <x:c r="AP33" s="38" t="str">
        <x:v>2025-10-06</x:v>
      </x:c>
      <x:c r="AQ33" s="38" t="str">
        <x:v>62</x:v>
      </x:c>
      <x:c r="AR33" s="38" t="str">
        <x:v>revisto — mínimo júnior localizado</x:v>
      </x:c>
      <x:c r="AS33" s="38" t="str">
        <x:v>FundosNet/B3; documento 1017825; referência 2025-10-06; p. 62</x:v>
      </x:c>
      <x:c r="AT33" s="38" t="str">
        <x:v>Índice de Subordinação Mezanino: cotas júnior / PL, mínimo de 5,0%.</x:v>
      </x:c>
      <x:c r="AU33" s="38" t="str">
        <x:v>originador; cedente; sacado/devedor; tipo de recebível</x:v>
      </x:c>
      <x:c r="AV33" s="38" t="str">
        <x:v>estrutura_incomparavel</x:v>
      </x:c>
    </x:row>
    <x:row r="34" ht="31.5" customHeight="1">
      <x:c r="A34" s="39" t="n">
        <x:v>30</x:v>
      </x:c>
      <x:c r="B34" s="72" t="n">
        <x:v>38376526000143</x:v>
      </x:c>
      <x:c r="C34" s="39" t="str">
        <x:v>38.376.526/0001-43</x:v>
      </x:c>
      <x:c r="D34" s="39" t="str">
        <x:v>HOTFUND FUNDO DE INVESTIMENTO EM DIREITOS CREDITÓRIOS SEGMENTO MEIOS DE PAGAMENTO DE RESPONSABILIDAD</x:v>
      </x:c>
      <x:c r="E34" s="39" t="str">
        <x:v>HOTFUND FIDC</x:v>
      </x:c>
      <x:c r="F34" s="39" t="str">
        <x:v>Carteira 101</x:v>
      </x:c>
      <x:c r="G34" s="39" t="str">
        <x:v>2026-06</x:v>
      </x:c>
      <x:c r="H34" s="39" t="str">
        <x:v>localizado</x:v>
      </x:c>
      <x:c r="I34" s="78" t="n">
        <x:v>1702368453.87</x:v>
      </x:c>
      <x:c r="J34" s="78" t="n">
        <x:v>1702368453.8696704</x:v>
      </x:c>
      <x:c r="K34" s="78" t="n">
        <x:v>1300897053.1386704</x:v>
      </x:c>
      <x:c r="L34" s="84" t="n">
        <x:v>0.764168914303679</x:v>
      </x:c>
      <x:c r="M34" s="39" t="str">
        <x:v>Calculado com classes reportadas e PL oficial reconciliado</x:v>
      </x:c>
      <x:c r="N34" s="84" t="n">
        <x:v>0.21</x:v>
      </x:c>
      <x:c r="O34" s="84" t="str">
        <x:v>N/D</x:v>
      </x:c>
      <x:c r="P34" s="84" t="str">
        <x:v>N/D</x:v>
      </x:c>
      <x:c r="Q34" s="84" t="str">
        <x:v>N/D</x:v>
      </x:c>
      <x:c r="R34" s="84" t="str">
        <x:v>N/D</x:v>
      </x:c>
      <x:c r="S34" s="84" t="n">
        <x:v>0.21</x:v>
      </x:c>
      <x:c r="T34" s="39" t="str">
        <x:v>21,0%</x:v>
      </x:c>
      <x:c r="U34" s="39" t="str">
        <x:v>junior_pl</x:v>
      </x:c>
      <x:c r="V34" s="39" t="str">
        <x:v>direto no regulamento</x:v>
      </x:c>
      <x:c r="W34" s="66" t="b">
        <x:v>0</x:v>
      </x:c>
      <x:c r="X34" s="39" t="str">
        <x:v>Mínimo júnior isolado; a subordinação atual disponível agrega todas as classes subordinadas.</x:v>
      </x:c>
      <x:c r="Y34" s="66" t="b">
        <x:v>0</x:v>
      </x:c>
      <x:c r="Z34" s="84" t="str">
        <x:v>N/D</x:v>
      </x:c>
      <x:c r="AA34" s="84" t="str">
        <x:v>N/D</x:v>
      </x:c>
      <x:c r="AB34" s="39" t="str">
        <x:v>não medido</x:v>
      </x:c>
      <x:c r="AC34" s="39" t="str">
        <x:v>Financeiro</x:v>
      </x:c>
      <x:c r="AD34" s="39" t="str">
        <x:v>Adquirência</x:v>
      </x:c>
      <x:c r="AE34" s="39" t="str">
        <x:v>Financeiro</x:v>
      </x:c>
      <x:c r="AF34" s="39" t="str">
        <x:v>Hotmart</x:v>
      </x:c>
      <x:c r="AG34" s="39" t="str">
        <x:v>cedente</x:v>
      </x:c>
      <x:c r="AH34" s="39" t="str">
        <x:v>N/D</x:v>
      </x:c>
      <x:c r="AI34" s="39" t="str">
        <x:v>Hotmart</x:v>
      </x:c>
      <x:c r="AJ34" s="39" t="str">
        <x:v>N/D</x:v>
      </x:c>
      <x:c r="AK34" s="39" t="str">
        <x:v>antecipação de parcelas de criadores de conteúdo</x:v>
      </x:c>
      <x:c r="AL34" s="39" t="str">
        <x:v>IMG_8705.JPG</x:v>
      </x:c>
      <x:c r="AM34" s="39" t="str">
        <x:v>manual_aplicado</x:v>
      </x:c>
      <x:c r="AN34" s="39" t="str">
        <x:v>OBS parcialmente legível: FIDC antecipa recebíveis de funding para a Hotmart antecipar parcelas aos criadores de conteúdo; final cortado pela foto.</x:v>
      </x:c>
      <x:c r="AO34" s="39" t="str">
        <x:v>948252</x:v>
      </x:c>
      <x:c r="AP34" s="39" t="str">
        <x:v>2025-07-02</x:v>
      </x:c>
      <x:c r="AQ34" s="39" t="str">
        <x:v>68</x:v>
      </x:c>
      <x:c r="AR34" s="39" t="str">
        <x:v>revisto — mínimo júnior localizado</x:v>
      </x:c>
      <x:c r="AS34" s="39" t="str">
        <x:v>FundosNet/B3; documento 948252; referência 2025-07-02; p. 68</x:v>
      </x:c>
      <x:c r="AT34" s="39" t="str">
        <x:v>Cotas subordinadas júnior / PL, mínimo de 21,0%.</x:v>
      </x:c>
      <x:c r="AU34" s="39" t="str">
        <x:v>originador; sacado/devedor</x:v>
      </x:c>
      <x:c r="AV34" s="39" t="str">
        <x:v>estrutura_incomparavel</x:v>
      </x:c>
    </x:row>
    <x:row r="35" ht="31.5" customHeight="1">
      <x:c r="A35" s="38" t="n">
        <x:v>31</x:v>
      </x:c>
      <x:c r="B35" s="73" t="n">
        <x:v>45598747000121</x:v>
      </x:c>
      <x:c r="C35" s="38" t="str">
        <x:v>45.598.747/0001-21</x:v>
      </x:c>
      <x:c r="D35" s="38" t="str">
        <x:v>SUMUP SOLO FUNDO DE INVESTIMENTO EM DIREITOS CREDITÓRIOS SEGMENTO MEIOS DE PAGAMENTO DE RESPONSABILI</x:v>
      </x:c>
      <x:c r="E35" s="38" t="str">
        <x:v>FIDC SUMUP</x:v>
      </x:c>
      <x:c r="F35" s="38" t="str">
        <x:v>Carteira 101</x:v>
      </x:c>
      <x:c r="G35" s="38" t="str">
        <x:v>2026-06</x:v>
      </x:c>
      <x:c r="H35" s="38" t="str">
        <x:v>localizado</x:v>
      </x:c>
      <x:c r="I35" s="79" t="n">
        <x:v>378059320.79</x:v>
      </x:c>
      <x:c r="J35" s="79" t="n">
        <x:v>378059320.8573863</x:v>
      </x:c>
      <x:c r="K35" s="79" t="n">
        <x:v>38437128.5999613</x:v>
      </x:c>
      <x:c r="L35" s="85" t="n">
        <x:v>0.10166957005488542</x:v>
      </x:c>
      <x:c r="M35" s="38" t="str">
        <x:v>Calculado com classes reportadas e PL oficial reconciliado</x:v>
      </x:c>
      <x:c r="N35" s="85" t="str">
        <x:v>N/D</x:v>
      </x:c>
      <x:c r="O35" s="85" t="n">
        <x:v>0.047619047619</x:v>
      </x:c>
      <x:c r="P35" s="85" t="str">
        <x:v>N/D</x:v>
      </x:c>
      <x:c r="Q35" s="85" t="n">
        <x:v>0.047619047619</x:v>
      </x:c>
      <x:c r="R35" s="85" t="str">
        <x:v>N/D</x:v>
      </x:c>
      <x:c r="S35" s="85" t="n">
        <x:v>0.047619047619</x:v>
      </x:c>
      <x:c r="T35" s="38" t="str">
        <x:v>4,76%*</x:v>
      </x:c>
      <x:c r="U35" s="38" t="str">
        <x:v>junior_pl_calculado</x:v>
      </x:c>
      <x:c r="V35" s="38" t="str">
        <x:v>calculado: 1 − 1/1,05</x:v>
      </x:c>
      <x:c r="W35" s="67" t="b">
        <x:v>1</x:v>
      </x:c>
      <x:c r="X35" s="38" t="str">
        <x:v>Estrutura com uma única classe subordinada; métrica atual e piso usam o total subordinado sobre o PL.</x:v>
      </x:c>
      <x:c r="Y35" s="67" t="b">
        <x:v>1</x:v>
      </x:c>
      <x:c r="Z35" s="85" t="n">
        <x:v>0.054050522435885415</x:v>
      </x:c>
      <x:c r="AA35" s="85" t="n">
        <x:v>0.05675304855767685</x:v>
      </x:c>
      <x:c r="AB35" s="38" t="str">
        <x:v>acima do mínimo</x:v>
      </x:c>
      <x:c r="AC35" s="38" t="str">
        <x:v>Agro, Indústria e Comércio</x:v>
      </x:c>
      <x:c r="AD35" s="38" t="str">
        <x:v>Recebíveis Comerciais</x:v>
      </x:c>
      <x:c r="AE35" s="38" t="str">
        <x:v>Agro / Revenda</x:v>
      </x:c>
      <x:c r="AF35" s="38" t="str">
        <x:v>Sumup IP</x:v>
      </x:c>
      <x:c r="AG35" s="38" t="str">
        <x:v>cedente</x:v>
      </x:c>
      <x:c r="AH35" s="38" t="str">
        <x:v>N/D</x:v>
      </x:c>
      <x:c r="AI35" s="38" t="str">
        <x:v>Sumup IP</x:v>
      </x:c>
      <x:c r="AJ35" s="38" t="str">
        <x:v>N/D</x:v>
      </x:c>
      <x:c r="AK35" s="38" t="str">
        <x:v>N/D</x:v>
      </x:c>
      <x:c r="AL35" s="38" t="str">
        <x:v>IMG_8705.JPG</x:v>
      </x:c>
      <x:c r="AM35" s="38" t="str">
        <x:v>manual_aplicado</x:v>
      </x:c>
      <x:c r="AN35" s="38" t="str">
        <x:v>OBS da foto: Risco Banco Emissor Itaú.</x:v>
      </x:c>
      <x:c r="AO35" s="38" t="str">
        <x:v>883977</x:v>
      </x:c>
      <x:c r="AP35" s="38" t="str">
        <x:v>2025-04-22</x:v>
      </x:c>
      <x:c r="AQ35" s="38" t="str">
        <x:v>95</x:v>
      </x:c>
      <x:c r="AR35" s="38" t="str">
        <x:v>revisto — mínimo júnior localizado</x:v>
      </x:c>
      <x:c r="AS35" s="38" t="str">
        <x:v>FundosNet/B3; documento 883977; referência 2025-04-22; p. 95</x:v>
      </x:c>
      <x:c r="AT35" s="38" t="str">
        <x:v>Mínimo júnior implícito na relação PL / cotas seniores de 105,0%.</x:v>
      </x:c>
      <x:c r="AU35" s="38" t="str">
        <x:v>originador; sacado/devedor; tipo de recebível</x:v>
      </x:c>
      <x:c r="AV35" s="38" t="str">
        <x:v>completo_para_folga</x:v>
      </x:c>
    </x:row>
    <x:row r="36" ht="31.5" customHeight="1">
      <x:c r="A36" s="39" t="n">
        <x:v>32</x:v>
      </x:c>
      <x:c r="B36" s="72" t="n">
        <x:v>41197066000109</x:v>
      </x:c>
      <x:c r="C36" s="39" t="str">
        <x:v>41.197.066/0001-09</x:v>
      </x:c>
      <x:c r="D36" s="39" t="str">
        <x:v>IFOOD PAGO CRÉDITO I FUNDO DE INVESTIMENTO EM DIREITOS CREDITÓRIOS FINANCEIRO DE RESP LIMITADA</x:v>
      </x:c>
      <x:c r="E36" s="39" t="str">
        <x:v>MOVILEPAY CREDITO I FIDC SEGMENTO FINANCEIRO DE RE</x:v>
      </x:c>
      <x:c r="F36" s="39" t="str">
        <x:v>Carteira 101</x:v>
      </x:c>
      <x:c r="G36" s="39" t="str">
        <x:v>2026-06</x:v>
      </x:c>
      <x:c r="H36" s="39" t="str">
        <x:v>localizado</x:v>
      </x:c>
      <x:c r="I36" s="78" t="n">
        <x:v>657095062.27</x:v>
      </x:c>
      <x:c r="J36" s="78" t="n">
        <x:v>657096870.419419</x:v>
      </x:c>
      <x:c r="K36" s="78" t="n">
        <x:v>239570556.9596191</x:v>
      </x:c>
      <x:c r="L36" s="84" t="n">
        <x:v>0.36459040817016475</x:v>
      </x:c>
      <x:c r="M36" s="39" t="str">
        <x:v>Calculado com classes reportadas e PL oficial reconciliado</x:v>
      </x:c>
      <x:c r="N36" s="84" t="n">
        <x:v>0.1</x:v>
      </x:c>
      <x:c r="O36" s="84" t="str">
        <x:v>N/D</x:v>
      </x:c>
      <x:c r="P36" s="84" t="str">
        <x:v>N/D</x:v>
      </x:c>
      <x:c r="Q36" s="84" t="str">
        <x:v>N/D</x:v>
      </x:c>
      <x:c r="R36" s="84" t="str">
        <x:v>N/D</x:v>
      </x:c>
      <x:c r="S36" s="84" t="n">
        <x:v>0.1</x:v>
      </x:c>
      <x:c r="T36" s="39" t="str">
        <x:v>10,0% → 20,0% (gatilho)</x:v>
      </x:c>
      <x:c r="U36" s="39" t="str">
        <x:v>junior_pl</x:v>
      </x:c>
      <x:c r="V36" s="39" t="str">
        <x:v>direto no regulamento</x:v>
      </x:c>
      <x:c r="W36" s="66" t="b">
        <x:v>0</x:v>
      </x:c>
      <x:c r="X36" s="39" t="str">
        <x:v>Mínimo júnior isolado; a subordinação atual disponível agrega todas as classes subordinadas.</x:v>
      </x:c>
      <x:c r="Y36" s="66" t="b">
        <x:v>0</x:v>
      </x:c>
      <x:c r="Z36" s="84" t="str">
        <x:v>N/D</x:v>
      </x:c>
      <x:c r="AA36" s="84" t="str">
        <x:v>N/D</x:v>
      </x:c>
      <x:c r="AB36" s="39" t="str">
        <x:v>não medido</x:v>
      </x:c>
      <x:c r="AC36" s="39" t="str">
        <x:v>Financeiro</x:v>
      </x:c>
      <x:c r="AD36" s="39" t="str">
        <x:v>Crédito Pessoal</x:v>
      </x:c>
      <x:c r="AE36" s="39" t="str">
        <x:v>Financeiro</x:v>
      </x:c>
      <x:c r="AF36" s="39" t="str">
        <x:v>MovilePay / iFood</x:v>
      </x:c>
      <x:c r="AG36" s="39" t="str">
        <x:v>cedente</x:v>
      </x:c>
      <x:c r="AH36" s="39" t="str">
        <x:v>N/D</x:v>
      </x:c>
      <x:c r="AI36" s="39" t="str">
        <x:v>MovilePay / iFood</x:v>
      </x:c>
      <x:c r="AJ36" s="39" t="str">
        <x:v>N/D</x:v>
      </x:c>
      <x:c r="AK36" s="39" t="str">
        <x:v>CCB PJ - ecossistema iFood</x:v>
      </x:c>
      <x:c r="AL36" s="39" t="str">
        <x:v>IMG_8705.JPG</x:v>
      </x:c>
      <x:c r="AM36" s="39" t="str">
        <x:v>manual_aplicado</x:v>
      </x:c>
      <x:c r="AN36" s="39" t="str">
        <x:v>Denominação cortada pela largura da coluna na foto.</x:v>
      </x:c>
      <x:c r="AO36" s="39" t="str">
        <x:v>1076481</x:v>
      </x:c>
      <x:c r="AP36" s="39" t="str">
        <x:v>2025-12-30</x:v>
      </x:c>
      <x:c r="AQ36" s="39" t="str">
        <x:v>89</x:v>
      </x:c>
      <x:c r="AR36" s="39" t="str">
        <x:v>revisto — mínimo júnior localizado</x:v>
      </x:c>
      <x:c r="AS36" s="39" t="str">
        <x:v>FundosNet/B3; documento 1076481; referência 2025-12-30; p. 89</x:v>
      </x:c>
      <x:c r="AT36" s="39" t="str">
        <x:v>Cotas júnior / PL: 10,0% até o gatilho contratual e 20,0% depois de atingido o novo patamar.</x:v>
      </x:c>
      <x:c r="AU36" s="39" t="str">
        <x:v>originador; sacado/devedor</x:v>
      </x:c>
      <x:c r="AV36" s="39" t="str">
        <x:v>estrutura_incomparavel</x:v>
      </x:c>
    </x:row>
    <x:row r="37" ht="31.5" customHeight="1">
      <x:c r="A37" s="38" t="n">
        <x:v>33</x:v>
      </x:c>
      <x:c r="B37" s="73" t="n">
        <x:v>44124617000194</x:v>
      </x:c>
      <x:c r="C37" s="38" t="str">
        <x:v>44.124.617/0001-94</x:v>
      </x:c>
      <x:c r="D37" s="38" t="str">
        <x:v>CLOUDWALK AKIRA II FIDC SEGMENTO MEIOS DE PAGAMENTO</x:v>
      </x:c>
      <x:c r="E37" s="38" t="str">
        <x:v>CLOUDWALK AKIRA II FUNDO DE INVESTIMENTO EM DIREITO</x:v>
      </x:c>
      <x:c r="F37" s="38" t="str">
        <x:v>Carteira 101</x:v>
      </x:c>
      <x:c r="G37" s="38" t="str">
        <x:v>2026-06</x:v>
      </x:c>
      <x:c r="H37" s="38" t="str">
        <x:v>localizado</x:v>
      </x:c>
      <x:c r="I37" s="79" t="str">
        <x:v>N/D</x:v>
      </x:c>
      <x:c r="J37" s="79" t="str">
        <x:v>N/D</x:v>
      </x:c>
      <x:c r="K37" s="79" t="str">
        <x:v>N/D</x:v>
      </x:c>
      <x:c r="L37" s="85" t="str">
        <x:v>N/D</x:v>
      </x:c>
      <x:c r="M37" s="38" t="str">
        <x:v>PL oficial ausente em 2026-06</x:v>
      </x:c>
      <x:c r="N37" s="85" t="n">
        <x:v>0.05</x:v>
      </x:c>
      <x:c r="O37" s="85" t="str">
        <x:v>N/D</x:v>
      </x:c>
      <x:c r="P37" s="85" t="str">
        <x:v>N/D</x:v>
      </x:c>
      <x:c r="Q37" s="85" t="n">
        <x:v>0.05</x:v>
      </x:c>
      <x:c r="R37" s="85" t="str">
        <x:v>N/D</x:v>
      </x:c>
      <x:c r="S37" s="85" t="n">
        <x:v>0.05</x:v>
      </x:c>
      <x:c r="T37" s="38" t="str">
        <x:v>5,0%</x:v>
      </x:c>
      <x:c r="U37" s="38" t="str">
        <x:v>junior_pl</x:v>
      </x:c>
      <x:c r="V37" s="38" t="str">
        <x:v>direto no regulamento</x:v>
      </x:c>
      <x:c r="W37" s="67" t="b">
        <x:v>1</x:v>
      </x:c>
      <x:c r="X37" s="38" t="str">
        <x:v>Estrutura com uma única classe subordinada; métrica atual e piso usam o total subordinado sobre o PL.</x:v>
      </x:c>
      <x:c r="Y37" s="67" t="b">
        <x:v>0</x:v>
      </x:c>
      <x:c r="Z37" s="85" t="str">
        <x:v>N/D</x:v>
      </x:c>
      <x:c r="AA37" s="85" t="str">
        <x:v>N/D</x:v>
      </x:c>
      <x:c r="AB37" s="38" t="str">
        <x:v>não medido</x:v>
      </x:c>
      <x:c r="AC37" s="38" t="str">
        <x:v>Financeiro</x:v>
      </x:c>
      <x:c r="AD37" s="38" t="str">
        <x:v>Adquirência</x:v>
      </x:c>
      <x:c r="AE37" s="38" t="str">
        <x:v>Adquirência</x:v>
      </x:c>
      <x:c r="AF37" s="38" t="str">
        <x:v>Cloudwalk</x:v>
      </x:c>
      <x:c r="AG37" s="38" t="str">
        <x:v>cedente</x:v>
      </x:c>
      <x:c r="AH37" s="38" t="str">
        <x:v>N/D</x:v>
      </x:c>
      <x:c r="AI37" s="38" t="str">
        <x:v>Cloudwalk</x:v>
      </x:c>
      <x:c r="AJ37" s="38" t="str">
        <x:v>N/D</x:v>
      </x:c>
      <x:c r="AK37" s="38" t="str">
        <x:v>N/D</x:v>
      </x:c>
      <x:c r="AL37" s="38" t="str">
        <x:v>IMG_8705.JPG</x:v>
      </x:c>
      <x:c r="AM37" s="38" t="str">
        <x:v>manual_aplicado</x:v>
      </x:c>
      <x:c r="AN37" s="38" t="str">
        <x:v>OBS da foto: Alongamento discutido recentemente (mas com run-off). Denominação cortada.</x:v>
      </x:c>
      <x:c r="AO37" s="38" t="str">
        <x:v>851798</x:v>
      </x:c>
      <x:c r="AP37" s="38" t="str">
        <x:v>2025-02-28</x:v>
      </x:c>
      <x:c r="AQ37" s="38" t="str">
        <x:v>101–102</x:v>
      </x:c>
      <x:c r="AR37" s="38" t="str">
        <x:v>revisto — mínimo júnior localizado</x:v>
      </x:c>
      <x:c r="AS37" s="38" t="str">
        <x:v>FundosNet/B3; documento 851798; referência 2025-02-28; p. 101–102</x:v>
      </x:c>
      <x:c r="AT37" s="38" t="str">
        <x:v>Cotas subordinadas / PL, mínimo de 5,0%; estrutura com uma única classe residual.</x:v>
      </x:c>
      <x:c r="AU37" s="38" t="str">
        <x:v>PL atual; Sub/PL atual; originador; sacado/devedor; tipo de recebível</x:v>
      </x:c>
      <x:c r="AV37" s="38" t="str">
        <x:v>sub_pl_atual_ausente</x:v>
      </x:c>
    </x:row>
    <x:row r="38" ht="31.5" customHeight="1">
      <x:c r="A38" s="39" t="n">
        <x:v>34</x:v>
      </x:c>
      <x:c r="B38" s="72" t="n">
        <x:v>42085816000105</x:v>
      </x:c>
      <x:c r="C38" s="39" t="str">
        <x:v>42.085.816/0001-05</x:v>
      </x:c>
      <x:c r="D38" s="39" t="str">
        <x:v>CLOUDWALK KICK ASS I FUNDO DE INVESTIMENTO EM DIREITOS CREDITÓRIOS SEGMENTO MEIOS DE PAGAMENTO</x:v>
      </x:c>
      <x:c r="E38" s="39" t="str">
        <x:v>CLOUDWALK KICK ASS I FUNDO DE INVESTIMENTO EM DIRE</x:v>
      </x:c>
      <x:c r="F38" s="39" t="str">
        <x:v>Carteira 101</x:v>
      </x:c>
      <x:c r="G38" s="39" t="str">
        <x:v>2026-06</x:v>
      </x:c>
      <x:c r="H38" s="39" t="str">
        <x:v>localizado</x:v>
      </x:c>
      <x:c r="I38" s="78" t="str">
        <x:v>N/D</x:v>
      </x:c>
      <x:c r="J38" s="78" t="str">
        <x:v>N/D</x:v>
      </x:c>
      <x:c r="K38" s="78" t="str">
        <x:v>N/D</x:v>
      </x:c>
      <x:c r="L38" s="84" t="str">
        <x:v>N/D</x:v>
      </x:c>
      <x:c r="M38" s="39" t="str">
        <x:v>PL oficial ausente em 2026-06</x:v>
      </x:c>
      <x:c r="N38" s="84" t="n">
        <x:v>0.048</x:v>
      </x:c>
      <x:c r="O38" s="84" t="str">
        <x:v>N/D</x:v>
      </x:c>
      <x:c r="P38" s="84" t="str">
        <x:v>N/D</x:v>
      </x:c>
      <x:c r="Q38" s="84" t="n">
        <x:v>0.048</x:v>
      </x:c>
      <x:c r="R38" s="84" t="str">
        <x:v>N/D</x:v>
      </x:c>
      <x:c r="S38" s="84" t="n">
        <x:v>0.048</x:v>
      </x:c>
      <x:c r="T38" s="39" t="str">
        <x:v>4,8%</x:v>
      </x:c>
      <x:c r="U38" s="39" t="str">
        <x:v>junior_pl</x:v>
      </x:c>
      <x:c r="V38" s="39" t="str">
        <x:v>direto no regulamento</x:v>
      </x:c>
      <x:c r="W38" s="66" t="b">
        <x:v>1</x:v>
      </x:c>
      <x:c r="X38" s="39" t="str">
        <x:v>Estrutura com uma única classe subordinada; métrica atual e piso usam o total subordinado sobre o PL.</x:v>
      </x:c>
      <x:c r="Y38" s="66" t="b">
        <x:v>0</x:v>
      </x:c>
      <x:c r="Z38" s="84" t="str">
        <x:v>N/D</x:v>
      </x:c>
      <x:c r="AA38" s="84" t="str">
        <x:v>N/D</x:v>
      </x:c>
      <x:c r="AB38" s="39" t="str">
        <x:v>não medido</x:v>
      </x:c>
      <x:c r="AC38" s="39" t="str">
        <x:v>Financeiro</x:v>
      </x:c>
      <x:c r="AD38" s="39" t="str">
        <x:v>Adquirência</x:v>
      </x:c>
      <x:c r="AE38" s="39" t="str">
        <x:v>Adquirência</x:v>
      </x:c>
      <x:c r="AF38" s="39" t="str">
        <x:v>Cloudwalk IP</x:v>
      </x:c>
      <x:c r="AG38" s="39" t="str">
        <x:v>cedente</x:v>
      </x:c>
      <x:c r="AH38" s="39" t="str">
        <x:v>N/D</x:v>
      </x:c>
      <x:c r="AI38" s="39" t="str">
        <x:v>Cloudwalk IP</x:v>
      </x:c>
      <x:c r="AJ38" s="39" t="str">
        <x:v>N/D</x:v>
      </x:c>
      <x:c r="AK38" s="39" t="str">
        <x:v>N/D</x:v>
      </x:c>
      <x:c r="AL38" s="39" t="str">
        <x:v>IMG_8705.JPG</x:v>
      </x:c>
      <x:c r="AM38" s="39" t="str">
        <x:v>manual_aplicado</x:v>
      </x:c>
      <x:c r="AN38" s="39" t="str">
        <x:v>OBS da foto: Risco Banco Emissor Itaú. Denominação cortada.</x:v>
      </x:c>
      <x:c r="AO38" s="39" t="str">
        <x:v>733165</x:v>
      </x:c>
      <x:c r="AP38" s="39" t="str">
        <x:v>2024-09-05</x:v>
      </x:c>
      <x:c r="AQ38" s="39" t="str">
        <x:v>98</x:v>
      </x:c>
      <x:c r="AR38" s="39" t="str">
        <x:v>revisto — mínimo júnior localizado</x:v>
      </x:c>
      <x:c r="AS38" s="39" t="str">
        <x:v>FundosNet/B3; documento 733165; referência 2024-09-05; p. 98</x:v>
      </x:c>
      <x:c r="AT38" s="39" t="str">
        <x:v>Cotas subordinadas / PL, mínimo de 4,8%; estrutura com uma única classe residual.</x:v>
      </x:c>
      <x:c r="AU38" s="39" t="str">
        <x:v>PL atual; Sub/PL atual; originador; sacado/devedor; tipo de recebível</x:v>
      </x:c>
      <x:c r="AV38" s="39" t="str">
        <x:v>sub_pl_atual_ausente</x:v>
      </x:c>
    </x:row>
    <x:row r="39" ht="31.5" customHeight="1">
      <x:c r="A39" s="38" t="n">
        <x:v>35</x:v>
      </x:c>
      <x:c r="B39" s="73" t="n">
        <x:v>38385876000176</x:v>
      </x:c>
      <x:c r="C39" s="38" t="str">
        <x:v>38.385.876/0001-76</x:v>
      </x:c>
      <x:c r="D39" s="38" t="str">
        <x:v>ESTRATÉGIA EDUCACIONAL FUNDO DE INVESTIMENTO EM DIREITOS CREDITÓRIOS</x:v>
      </x:c>
      <x:c r="E39" s="38" t="str">
        <x:v>ESTRATEGIA EDUCACIONAL FIDC</x:v>
      </x:c>
      <x:c r="F39" s="38" t="str">
        <x:v>Carteira 101</x:v>
      </x:c>
      <x:c r="G39" s="38" t="str">
        <x:v>2026-06</x:v>
      </x:c>
      <x:c r="H39" s="38" t="str">
        <x:v>localizado</x:v>
      </x:c>
      <x:c r="I39" s="79" t="str">
        <x:v>N/D</x:v>
      </x:c>
      <x:c r="J39" s="79" t="str">
        <x:v>N/D</x:v>
      </x:c>
      <x:c r="K39" s="79" t="str">
        <x:v>N/D</x:v>
      </x:c>
      <x:c r="L39" s="85" t="str">
        <x:v>N/D</x:v>
      </x:c>
      <x:c r="M39" s="38" t="str">
        <x:v>PL oficial ausente em 2026-06</x:v>
      </x:c>
      <x:c r="N39" s="85" t="n">
        <x:v>0.1</x:v>
      </x:c>
      <x:c r="O39" s="85" t="str">
        <x:v>N/D</x:v>
      </x:c>
      <x:c r="P39" s="85" t="str">
        <x:v>N/D</x:v>
      </x:c>
      <x:c r="Q39" s="85" t="str">
        <x:v>N/D</x:v>
      </x:c>
      <x:c r="R39" s="85" t="str">
        <x:v>N/D</x:v>
      </x:c>
      <x:c r="S39" s="85" t="n">
        <x:v>0.1</x:v>
      </x:c>
      <x:c r="T39" s="38" t="str">
        <x:v>10,0%</x:v>
      </x:c>
      <x:c r="U39" s="38" t="str">
        <x:v>junior_pl</x:v>
      </x:c>
      <x:c r="V39" s="38" t="str">
        <x:v>direto no regulamento</x:v>
      </x:c>
      <x:c r="W39" s="67" t="b">
        <x:v>0</x:v>
      </x:c>
      <x:c r="X39" s="38" t="str">
        <x:v>Mínimo júnior isolado; a subordinação atual disponível agrega todas as classes subordinadas.</x:v>
      </x:c>
      <x:c r="Y39" s="67" t="b">
        <x:v>0</x:v>
      </x:c>
      <x:c r="Z39" s="85" t="str">
        <x:v>N/D</x:v>
      </x:c>
      <x:c r="AA39" s="85" t="str">
        <x:v>N/D</x:v>
      </x:c>
      <x:c r="AB39" s="38" t="str">
        <x:v>não medido</x:v>
      </x:c>
      <x:c r="AC39" s="38" t="str">
        <x:v>Agro, Indústria e Comércio</x:v>
      </x:c>
      <x:c r="AD39" s="38" t="str">
        <x:v>Recebíveis Comerciais</x:v>
      </x:c>
      <x:c r="AE39" s="38" t="str">
        <x:v>Agro / Revenda</x:v>
      </x:c>
      <x:c r="AF39" s="38" t="str">
        <x:v>Estratégia Concursos</x:v>
      </x:c>
      <x:c r="AG39" s="38" t="str">
        <x:v>cedente</x:v>
      </x:c>
      <x:c r="AH39" s="38" t="str">
        <x:v>N/D</x:v>
      </x:c>
      <x:c r="AI39" s="38" t="str">
        <x:v>Estratégia Concursos</x:v>
      </x:c>
      <x:c r="AJ39" s="38" t="str">
        <x:v>N/D</x:v>
      </x:c>
      <x:c r="AK39" s="38" t="str">
        <x:v>recebíveis de cartão oriundos da venda de planos de cursos preparatórios</x:v>
      </x:c>
      <x:c r="AL39" s="38" t="str">
        <x:v>IMG_8705.JPG</x:v>
      </x:c>
      <x:c r="AM39" s="38" t="str">
        <x:v>manual_aplicado</x:v>
      </x:c>
      <x:c r="AN39" s="38" t="str">
        <x:v>N/D</x:v>
      </x:c>
      <x:c r="AO39" s="38" t="str">
        <x:v>719764</x:v>
      </x:c>
      <x:c r="AP39" s="38" t="str">
        <x:v>2024-08-14</x:v>
      </x:c>
      <x:c r="AQ39" s="38" t="str">
        <x:v>11</x:v>
      </x:c>
      <x:c r="AR39" s="38" t="str">
        <x:v>revisto — mínimo júnior localizado</x:v>
      </x:c>
      <x:c r="AS39" s="38" t="str">
        <x:v>FundosNet/B3; documento 719764; referência 2024-08-14; p. 11</x:v>
      </x:c>
      <x:c r="AT39" s="38" t="str">
        <x:v>Relação Mínima Subordinada: cotas júnior / PL, mínimo de 10,0%.</x:v>
      </x:c>
      <x:c r="AU39" s="38" t="str">
        <x:v>PL atual; Sub/PL atual; originador; sacado/devedor</x:v>
      </x:c>
      <x:c r="AV39" s="38" t="str">
        <x:v>sub_pl_atual_ausente</x:v>
      </x:c>
    </x:row>
    <x:row r="40" ht="31.5" customHeight="1">
      <x:c r="A40" s="39" t="n">
        <x:v>36</x:v>
      </x:c>
      <x:c r="B40" s="72" t="n">
        <x:v>40919667000107</x:v>
      </x:c>
      <x:c r="C40" s="39" t="str">
        <x:v>40.919.667/0001-07</x:v>
      </x:c>
      <x:c r="D40" s="39" t="str">
        <x:v>RECARGAPAY I FUNDO DE INVESTIMENTO EM DIREITOS CREDITÓRIOS</x:v>
      </x:c>
      <x:c r="E40" s="39" t="str">
        <x:v>RECARGAPAY I FUNDO DE INVESTIMENTO EM DIREITOS CRE</x:v>
      </x:c>
      <x:c r="F40" s="39" t="str">
        <x:v>Carteira 101</x:v>
      </x:c>
      <x:c r="G40" s="39" t="str">
        <x:v>2026-06</x:v>
      </x:c>
      <x:c r="H40" s="39" t="str">
        <x:v>localizado</x:v>
      </x:c>
      <x:c r="I40" s="78" t="n">
        <x:v>281538432.34</x:v>
      </x:c>
      <x:c r="J40" s="78" t="n">
        <x:v>281538432.34024817</x:v>
      </x:c>
      <x:c r="K40" s="78" t="n">
        <x:v>275884717.04020566</x:v>
      </x:c>
      <x:c r="L40" s="84" t="n">
        <x:v>0.9799184954863761</x:v>
      </x:c>
      <x:c r="M40" s="39" t="str">
        <x:v>Calculado com classes reportadas e PL oficial reconciliado</x:v>
      </x:c>
      <x:c r="N40" s="84" t="n">
        <x:v>0.5</x:v>
      </x:c>
      <x:c r="O40" s="84" t="str">
        <x:v>N/D</x:v>
      </x:c>
      <x:c r="P40" s="84" t="str">
        <x:v>N/D</x:v>
      </x:c>
      <x:c r="Q40" s="84" t="n">
        <x:v>0.5</x:v>
      </x:c>
      <x:c r="R40" s="84" t="str">
        <x:v>N/D</x:v>
      </x:c>
      <x:c r="S40" s="84" t="n">
        <x:v>0.5</x:v>
      </x:c>
      <x:c r="T40" s="39" t="str">
        <x:v>50,0%</x:v>
      </x:c>
      <x:c r="U40" s="39" t="str">
        <x:v>junior_pl</x:v>
      </x:c>
      <x:c r="V40" s="39" t="str">
        <x:v>direto no regulamento</x:v>
      </x:c>
      <x:c r="W40" s="66" t="b">
        <x:v>1</x:v>
      </x:c>
      <x:c r="X40" s="39" t="str">
        <x:v>Estrutura com uma única classe subordinada; métrica atual e piso usam o total subordinado sobre o PL.</x:v>
      </x:c>
      <x:c r="Y40" s="66" t="b">
        <x:v>0</x:v>
      </x:c>
      <x:c r="Z40" s="84" t="n">
        <x:v>0.4799184954863761</x:v>
      </x:c>
      <x:c r="AA40" s="84" t="n">
        <x:v>0.9598369909727522</x:v>
      </x:c>
      <x:c r="AB40" s="39" t="str">
        <x:v>acima do mínimo</x:v>
      </x:c>
      <x:c r="AC40" s="39" t="str">
        <x:v>Agro, Indústria e Comércio</x:v>
      </x:c>
      <x:c r="AD40" s="39" t="str">
        <x:v>Recebíveis Comerciais</x:v>
      </x:c>
      <x:c r="AE40" s="39" t="str">
        <x:v>Agro / Revenda</x:v>
      </x:c>
      <x:c r="AF40" s="39" t="str">
        <x:v>RecargaPay</x:v>
      </x:c>
      <x:c r="AG40" s="39" t="str">
        <x:v>cedente</x:v>
      </x:c>
      <x:c r="AH40" s="39" t="str">
        <x:v>N/D</x:v>
      </x:c>
      <x:c r="AI40" s="39" t="str">
        <x:v>RecargaPay</x:v>
      </x:c>
      <x:c r="AJ40" s="39" t="str">
        <x:v>N/D</x:v>
      </x:c>
      <x:c r="AK40" s="39" t="str">
        <x:v>recebíveis de cartão</x:v>
      </x:c>
      <x:c r="AL40" s="39" t="str">
        <x:v>IMG_8705.JPG</x:v>
      </x:c>
      <x:c r="AM40" s="39" t="str">
        <x:v>manual_aplicado</x:v>
      </x:c>
      <x:c r="AN40" s="39" t="str">
        <x:v>OBS da foto: FIDC "Bolso próprio", onde a Recarga fez aportes iniciais e utiliza o veículo para antecipar os recebíveis de cartão. Denominação cortada.</x:v>
      </x:c>
      <x:c r="AO40" s="39" t="str">
        <x:v>1118056</x:v>
      </x:c>
      <x:c r="AP40" s="39" t="str">
        <x:v>2026-02-12</x:v>
      </x:c>
      <x:c r="AQ40" s="39" t="str">
        <x:v>31</x:v>
      </x:c>
      <x:c r="AR40" s="39" t="str">
        <x:v>revisto — mínimo júnior localizado</x:v>
      </x:c>
      <x:c r="AS40" s="39" t="str">
        <x:v>FundosNet/B3; documento 1118056; referência 2026-02-12; p. 31</x:v>
      </x:c>
      <x:c r="AT40" s="39" t="str">
        <x:v>Cotas subordinadas / PL, mínimo de 50,0%; estrutura com uma única classe residual.</x:v>
      </x:c>
      <x:c r="AU40" s="39" t="str">
        <x:v>originador; sacado/devedor</x:v>
      </x:c>
      <x:c r="AV40" s="39" t="str">
        <x:v>completo_para_folga</x:v>
      </x:c>
    </x:row>
    <x:row r="41" ht="31.5" customHeight="1">
      <x:c r="A41" s="38" t="n">
        <x:v>37</x:v>
      </x:c>
      <x:c r="B41" s="73" t="n">
        <x:v>42102603000144</x:v>
      </x:c>
      <x:c r="C41" s="38" t="str">
        <x:v>42.102.603/0001-44</x:v>
      </x:c>
      <x:c r="D41" s="38" t="str">
        <x:v>CLOUDWALK KICK ASS II FUNDO DE INVESTIMENTO EM DIREITOS CREDITÓRIOS SEGMENTO MEIOS DE PAGAMENTO</x:v>
      </x:c>
      <x:c r="E41" s="38" t="str">
        <x:v>CLOUDWALK KICK ASS II FUNDO DE INVESTIMENTO EM DIR</x:v>
      </x:c>
      <x:c r="F41" s="38" t="str">
        <x:v>Carteira 101</x:v>
      </x:c>
      <x:c r="G41" s="38" t="str">
        <x:v>2026-06</x:v>
      </x:c>
      <x:c r="H41" s="38" t="str">
        <x:v>localizado</x:v>
      </x:c>
      <x:c r="I41" s="79" t="str">
        <x:v>N/D</x:v>
      </x:c>
      <x:c r="J41" s="79" t="str">
        <x:v>N/D</x:v>
      </x:c>
      <x:c r="K41" s="79" t="str">
        <x:v>N/D</x:v>
      </x:c>
      <x:c r="L41" s="85" t="str">
        <x:v>N/D</x:v>
      </x:c>
      <x:c r="M41" s="38" t="str">
        <x:v>PL oficial ausente em 2026-06</x:v>
      </x:c>
      <x:c r="N41" s="85" t="n">
        <x:v>0.068</x:v>
      </x:c>
      <x:c r="O41" s="85" t="str">
        <x:v>N/D</x:v>
      </x:c>
      <x:c r="P41" s="85" t="str">
        <x:v>N/D</x:v>
      </x:c>
      <x:c r="Q41" s="85" t="n">
        <x:v>0.068</x:v>
      </x:c>
      <x:c r="R41" s="85" t="str">
        <x:v>N/D</x:v>
      </x:c>
      <x:c r="S41" s="85" t="n">
        <x:v>0.068</x:v>
      </x:c>
      <x:c r="T41" s="38" t="str">
        <x:v>6,8%</x:v>
      </x:c>
      <x:c r="U41" s="38" t="str">
        <x:v>junior_pl</x:v>
      </x:c>
      <x:c r="V41" s="38" t="str">
        <x:v>direto no regulamento</x:v>
      </x:c>
      <x:c r="W41" s="67" t="b">
        <x:v>1</x:v>
      </x:c>
      <x:c r="X41" s="38" t="str">
        <x:v>Estrutura com uma única classe subordinada; métrica atual e piso usam o total subordinado sobre o PL.</x:v>
      </x:c>
      <x:c r="Y41" s="67" t="b">
        <x:v>0</x:v>
      </x:c>
      <x:c r="Z41" s="85" t="str">
        <x:v>N/D</x:v>
      </x:c>
      <x:c r="AA41" s="85" t="str">
        <x:v>N/D</x:v>
      </x:c>
      <x:c r="AB41" s="38" t="str">
        <x:v>não medido</x:v>
      </x:c>
      <x:c r="AC41" s="38" t="str">
        <x:v>Financeiro</x:v>
      </x:c>
      <x:c r="AD41" s="38" t="str">
        <x:v>Adquirência</x:v>
      </x:c>
      <x:c r="AE41" s="38" t="str">
        <x:v>Adquirência</x:v>
      </x:c>
      <x:c r="AF41" s="38" t="str">
        <x:v>Cloudwalk</x:v>
      </x:c>
      <x:c r="AG41" s="38" t="str">
        <x:v>cedente</x:v>
      </x:c>
      <x:c r="AH41" s="38" t="str">
        <x:v>N/D</x:v>
      </x:c>
      <x:c r="AI41" s="38" t="str">
        <x:v>Cloudwalk</x:v>
      </x:c>
      <x:c r="AJ41" s="38" t="str">
        <x:v>N/D</x:v>
      </x:c>
      <x:c r="AK41" s="38" t="str">
        <x:v>N/D</x:v>
      </x:c>
      <x:c r="AL41" s="38" t="str">
        <x:v>IMG_8705.JPG</x:v>
      </x:c>
      <x:c r="AM41" s="38" t="str">
        <x:v>manual_aplicado</x:v>
      </x:c>
      <x:c r="AN41" s="38" t="str">
        <x:v>OBS da foto: Alongamento discutido recentemente (mas com run-off). Denominação cortada.</x:v>
      </x:c>
      <x:c r="AO41" s="38" t="str">
        <x:v>733239</x:v>
      </x:c>
      <x:c r="AP41" s="38" t="str">
        <x:v>2024-09-05</x:v>
      </x:c>
      <x:c r="AQ41" s="38" t="str">
        <x:v>99</x:v>
      </x:c>
      <x:c r="AR41" s="38" t="str">
        <x:v>revisto — mínimo júnior localizado</x:v>
      </x:c>
      <x:c r="AS41" s="38" t="str">
        <x:v>FundosNet/B3; documento 733239; referência 2024-09-05; p. 99</x:v>
      </x:c>
      <x:c r="AT41" s="38" t="str">
        <x:v>Cotas subordinadas / PL, mínimo de 6,8%; estrutura com uma única classe residual.</x:v>
      </x:c>
      <x:c r="AU41" s="38" t="str">
        <x:v>PL atual; Sub/PL atual; originador; sacado/devedor; tipo de recebível</x:v>
      </x:c>
      <x:c r="AV41" s="38" t="str">
        <x:v>sub_pl_atual_ausente</x:v>
      </x:c>
    </x:row>
    <x:row r="42" ht="31.5" customHeight="1">
      <x:c r="A42" s="39" t="n">
        <x:v>38</x:v>
      </x:c>
      <x:c r="B42" s="72" t="n">
        <x:v>28169275000172</x:v>
      </x:c>
      <x:c r="C42" s="39" t="str">
        <x:v>28.169.275/0001-72</x:v>
      </x:c>
      <x:c r="D42" s="39" t="str">
        <x:v>FUNDO DE INVESTIMENTO EM DIREITOS CREDITÓRIOS PAGSEGURO I</x:v>
      </x:c>
      <x:c r="E42" s="39" t="str">
        <x:v>FUNDO DE INVESTIMENTO EM DIREITOS CREDITORIOS PAGSEGURO I</x:v>
      </x:c>
      <x:c r="F42" s="39" t="str">
        <x:v>Carteira 101</x:v>
      </x:c>
      <x:c r="G42" s="39" t="str">
        <x:v>2026-06</x:v>
      </x:c>
      <x:c r="H42" s="39" t="str">
        <x:v>localizado</x:v>
      </x:c>
      <x:c r="I42" s="78" t="n">
        <x:v>6234652185.61</x:v>
      </x:c>
      <x:c r="J42" s="78" t="n">
        <x:v>6233925629.525884</x:v>
      </x:c>
      <x:c r="K42" s="78" t="n">
        <x:v>3942647146.695884</x:v>
      </x:c>
      <x:c r="L42" s="84" t="n">
        <x:v>0.6323764388646702</x:v>
      </x:c>
      <x:c r="M42" s="39" t="str">
        <x:v>Calculado com classes reportadas e PL oficial reconciliado</x:v>
      </x:c>
      <x:c r="N42" s="84" t="n">
        <x:v>0.5</x:v>
      </x:c>
      <x:c r="O42" s="84" t="str">
        <x:v>N/D</x:v>
      </x:c>
      <x:c r="P42" s="84" t="str">
        <x:v>N/D</x:v>
      </x:c>
      <x:c r="Q42" s="84" t="str">
        <x:v>N/D</x:v>
      </x:c>
      <x:c r="R42" s="84" t="str">
        <x:v>N/D</x:v>
      </x:c>
      <x:c r="S42" s="84" t="n">
        <x:v>0.5</x:v>
      </x:c>
      <x:c r="T42" s="39" t="str">
        <x:v>50,0%</x:v>
      </x:c>
      <x:c r="U42" s="39" t="str">
        <x:v>junior_pl</x:v>
      </x:c>
      <x:c r="V42" s="39" t="str">
        <x:v>direto no regulamento</x:v>
      </x:c>
      <x:c r="W42" s="66" t="b">
        <x:v>0</x:v>
      </x:c>
      <x:c r="X42" s="39" t="str">
        <x:v>Mínimo júnior isolado; a subordinação atual disponível agrega mais de uma classe subordinada ou usa denominador distinto.</x:v>
      </x:c>
      <x:c r="Y42" s="66" t="b">
        <x:v>0</x:v>
      </x:c>
      <x:c r="Z42" s="84" t="str">
        <x:v>N/D</x:v>
      </x:c>
      <x:c r="AA42" s="84" t="str">
        <x:v>N/D</x:v>
      </x:c>
      <x:c r="AB42" s="39" t="str">
        <x:v>não medido</x:v>
      </x:c>
      <x:c r="AC42" s="39" t="str">
        <x:v>Financeiro</x:v>
      </x:c>
      <x:c r="AD42" s="39" t="str">
        <x:v>Adquirência</x:v>
      </x:c>
      <x:c r="AE42" s="39" t="str">
        <x:v>Adquirência</x:v>
      </x:c>
      <x:c r="AF42" s="39" t="str">
        <x:v>PagSeguro</x:v>
      </x:c>
      <x:c r="AG42" s="39" t="str">
        <x:v>cedente</x:v>
      </x:c>
      <x:c r="AH42" s="39" t="str">
        <x:v>N/D</x:v>
      </x:c>
      <x:c r="AI42" s="39" t="str">
        <x:v>PagSeguro</x:v>
      </x:c>
      <x:c r="AJ42" s="39" t="str">
        <x:v>N/D</x:v>
      </x:c>
      <x:c r="AK42" s="39" t="str">
        <x:v>recebíveis dos ECs</x:v>
      </x:c>
      <x:c r="AL42" s="39" t="str">
        <x:v>IMG_8705.JPG</x:v>
      </x:c>
      <x:c r="AM42" s="39" t="str">
        <x:v>manual_aplicado</x:v>
      </x:c>
      <x:c r="AN42" s="39" t="str">
        <x:v>OBS da foto: compra de recebíveis dos ECs correndo risco da PagSeguro. Denominação cortada.</x:v>
      </x:c>
      <x:c r="AO42" s="39" t="str">
        <x:v>1149521</x:v>
      </x:c>
      <x:c r="AP42" s="39" t="str">
        <x:v>2026-03-25</x:v>
      </x:c>
      <x:c r="AQ42" s="39" t="str">
        <x:v>44</x:v>
      </x:c>
      <x:c r="AR42" s="39" t="str">
        <x:v>revisto — mínimo júnior localizado</x:v>
      </x:c>
      <x:c r="AS42" s="39" t="str">
        <x:v>FundosNet/B3; documento 1149521; referência 2026-03-25; p. 44</x:v>
      </x:c>
      <x:c r="AT42" s="39" t="str">
        <x:v>Cotas subordinadas júnior / PL, mínimo de 50,0%; há classe mezanino.</x:v>
      </x:c>
      <x:c r="AU42" s="39" t="str">
        <x:v>originador; sacado/devedor</x:v>
      </x:c>
      <x:c r="AV42" s="39" t="str">
        <x:v>estrutura_incomparavel</x:v>
      </x:c>
    </x:row>
    <x:row r="43" ht="31.5" customHeight="1">
      <x:c r="A43" s="38" t="n">
        <x:v>39</x:v>
      </x:c>
      <x:c r="B43" s="73" t="n">
        <x:v>38658727000133</x:v>
      </x:c>
      <x:c r="C43" s="38" t="str">
        <x:v>38.658.727/0001-33</x:v>
      </x:c>
      <x:c r="D43" s="38" t="str">
        <x:v>FUNDO DE INVESTIMENTO EM DIREITOS CREDITÓRIOS FORNECEDORES MADEIRA MADEIRA I</x:v>
      </x:c>
      <x:c r="E43" s="38" t="str">
        <x:v>FIDC FORNEC MADEIRA MADEIRA I</x:v>
      </x:c>
      <x:c r="F43" s="38" t="str">
        <x:v>Carteira 101</x:v>
      </x:c>
      <x:c r="G43" s="38" t="str">
        <x:v>2026-06</x:v>
      </x:c>
      <x:c r="H43" s="38" t="str">
        <x:v>localizado</x:v>
      </x:c>
      <x:c r="I43" s="79" t="n">
        <x:v>196699440.04</x:v>
      </x:c>
      <x:c r="J43" s="79" t="n">
        <x:v>196699440.04049316</x:v>
      </x:c>
      <x:c r="K43" s="79" t="n">
        <x:v>92283651.41021584</x:v>
      </x:c>
      <x:c r="L43" s="85" t="n">
        <x:v>0.46916072252899865</x:v>
      </x:c>
      <x:c r="M43" s="38" t="str">
        <x:v>Calculado com classes reportadas e PL oficial reconciliado</x:v>
      </x:c>
      <x:c r="N43" s="85" t="str">
        <x:v>N/D</x:v>
      </x:c>
      <x:c r="O43" s="85" t="n">
        <x:v>0.26665</x:v>
      </x:c>
      <x:c r="P43" s="85" t="str">
        <x:v>N/D</x:v>
      </x:c>
      <x:c r="Q43" s="85" t="n">
        <x:v>0.26665</x:v>
      </x:c>
      <x:c r="R43" s="85" t="str">
        <x:v>N/D</x:v>
      </x:c>
      <x:c r="S43" s="85" t="n">
        <x:v>0.26665</x:v>
      </x:c>
      <x:c r="T43" s="38" t="str">
        <x:v>26,67%*</x:v>
      </x:c>
      <x:c r="U43" s="38" t="str">
        <x:v>junior_pl_calculado</x:v>
      </x:c>
      <x:c r="V43" s="38" t="str">
        <x:v>calculado: 1 − 1/1,3636</x:v>
      </x:c>
      <x:c r="W43" s="67" t="b">
        <x:v>1</x:v>
      </x:c>
      <x:c r="X43" s="38" t="str">
        <x:v>Estrutura com uma única classe subordinada; métrica atual e piso usam o total subordinado sobre o PL.</x:v>
      </x:c>
      <x:c r="Y43" s="67" t="b">
        <x:v>1</x:v>
      </x:c>
      <x:c r="Z43" s="85" t="n">
        <x:v>0.20251072252899865</x:v>
      </x:c>
      <x:c r="AA43" s="85" t="n">
        <x:v>0.276144709250697</x:v>
      </x:c>
      <x:c r="AB43" s="38" t="str">
        <x:v>acima do mínimo</x:v>
      </x:c>
      <x:c r="AC43" s="38" t="str">
        <x:v>Agro, Indústria e Comércio</x:v>
      </x:c>
      <x:c r="AD43" s="38" t="str">
        <x:v>Recebíveis Comerciais</x:v>
      </x:c>
      <x:c r="AE43" s="38" t="str">
        <x:v>Agro / Revenda</x:v>
      </x:c>
      <x:c r="AF43" s="38" t="str">
        <x:v>Fornecedores: Madeira/Madeira</x:v>
      </x:c>
      <x:c r="AG43" s="38" t="str">
        <x:v>cedente</x:v>
      </x:c>
      <x:c r="AH43" s="38" t="str">
        <x:v>N/D</x:v>
      </x:c>
      <x:c r="AI43" s="38" t="str">
        <x:v>Fornecedores: Madeira/Madeira</x:v>
      </x:c>
      <x:c r="AJ43" s="38" t="str">
        <x:v>Madeira/Madeira</x:v>
      </x:c>
      <x:c r="AK43" s="38" t="str">
        <x:v>N/D</x:v>
      </x:c>
      <x:c r="AL43" s="38" t="str">
        <x:v>IMG_8705.JPG</x:v>
      </x:c>
      <x:c r="AM43" s="38" t="str">
        <x:v>manual_aplicado</x:v>
      </x:c>
      <x:c r="AN43" s="38" t="str">
        <x:v>OBS da foto: FIDC Multicedente (Fornecedores) &amp; Monosacado (Madeira/Madeira). O sacado foi desmembrado somente porque a função Monosacado está escrita na fonte.</x:v>
      </x:c>
      <x:c r="AO43" s="38" t="str">
        <x:v>1216296</x:v>
      </x:c>
      <x:c r="AP43" s="38" t="str">
        <x:v>2026-06-05</x:v>
      </x:c>
      <x:c r="AQ43" s="38" t="str">
        <x:v>62</x:v>
      </x:c>
      <x:c r="AR43" s="38" t="str">
        <x:v>revisto — mínimo júnior localizado</x:v>
      </x:c>
      <x:c r="AS43" s="38" t="str">
        <x:v>FundosNet/B3; documento 1216296; referência 2026-06-05; p. 62</x:v>
      </x:c>
      <x:c r="AT43" s="38" t="str">
        <x:v>Mínimo júnior implícito na relação PL / cotas seniores de 136,36%.</x:v>
      </x:c>
      <x:c r="AU43" s="38" t="str">
        <x:v>originador; tipo de recebível</x:v>
      </x:c>
      <x:c r="AV43" s="38" t="str">
        <x:v>completo_para_folga</x:v>
      </x:c>
    </x:row>
    <x:row r="44" ht="31.5" customHeight="1">
      <x:c r="A44" s="39" t="n">
        <x:v>40</x:v>
      </x:c>
      <x:c r="B44" s="72" t="n">
        <x:v>52271464000136</x:v>
      </x:c>
      <x:c r="C44" s="39" t="str">
        <x:v>52.271.464/0001-36</x:v>
      </x:c>
      <x:c r="D44" s="39" t="str">
        <x:v>KIWIFY FUNDO DE INVESTIMENTO EM DIREITOS CREDITÓRIOS SEGMENTO MEIOS DE PAGAMENTO DE RESPONSABILIDADE</x:v>
      </x:c>
      <x:c r="E44" s="39" t="str">
        <x:v>KIWIFY FUNDO DE INVESTIMENTO E</x:v>
      </x:c>
      <x:c r="F44" s="39" t="str">
        <x:v>Carteira 101</x:v>
      </x:c>
      <x:c r="G44" s="39" t="str">
        <x:v>2026-06</x:v>
      </x:c>
      <x:c r="H44" s="39" t="str">
        <x:v>localizado</x:v>
      </x:c>
      <x:c r="I44" s="78" t="n">
        <x:v>347342248.66</x:v>
      </x:c>
      <x:c r="J44" s="78" t="n">
        <x:v>347342248.62347</x:v>
      </x:c>
      <x:c r="K44" s="78" t="n">
        <x:v>70030404.01372002</x:v>
      </x:c>
      <x:c r="L44" s="84" t="n">
        <x:v>0.2016178690726163</x:v>
      </x:c>
      <x:c r="M44" s="39" t="str">
        <x:v>Calculado com classes reportadas e PL oficial reconciliado</x:v>
      </x:c>
      <x:c r="N44" s="84" t="n">
        <x:v>0.06</x:v>
      </x:c>
      <x:c r="O44" s="84" t="str">
        <x:v>N/D</x:v>
      </x:c>
      <x:c r="P44" s="84" t="str">
        <x:v>N/D</x:v>
      </x:c>
      <x:c r="Q44" s="84" t="str">
        <x:v>N/D</x:v>
      </x:c>
      <x:c r="R44" s="84" t="str">
        <x:v>N/D</x:v>
      </x:c>
      <x:c r="S44" s="84" t="n">
        <x:v>0.06</x:v>
      </x:c>
      <x:c r="T44" s="39" t="str">
        <x:v>6,0%</x:v>
      </x:c>
      <x:c r="U44" s="39" t="str">
        <x:v>junior_pl</x:v>
      </x:c>
      <x:c r="V44" s="39" t="str">
        <x:v>direto no regulamento</x:v>
      </x:c>
      <x:c r="W44" s="66" t="b">
        <x:v>0</x:v>
      </x:c>
      <x:c r="X44" s="39" t="str">
        <x:v>Mínimo júnior isolado; a subordinação atual disponível agrega todas as classes subordinadas.</x:v>
      </x:c>
      <x:c r="Y44" s="66" t="b">
        <x:v>0</x:v>
      </x:c>
      <x:c r="Z44" s="84" t="str">
        <x:v>N/D</x:v>
      </x:c>
      <x:c r="AA44" s="84" t="str">
        <x:v>N/D</x:v>
      </x:c>
      <x:c r="AB44" s="39" t="str">
        <x:v>não medido</x:v>
      </x:c>
      <x:c r="AC44" s="39" t="str">
        <x:v>Agro, Indústria e Comércio</x:v>
      </x:c>
      <x:c r="AD44" s="39" t="str">
        <x:v>Recebíveis Comerciais</x:v>
      </x:c>
      <x:c r="AE44" s="39" t="str">
        <x:v>Agro / Revenda</x:v>
      </x:c>
      <x:c r="AF44" s="39" t="str">
        <x:v>N/D</x:v>
      </x:c>
      <x:c r="AG44" s="39" t="str">
        <x:v>N/D</x:v>
      </x:c>
      <x:c r="AH44" s="39" t="str">
        <x:v>N/D</x:v>
      </x:c>
      <x:c r="AI44" s="39" t="str">
        <x:v>N/D</x:v>
      </x:c>
      <x:c r="AJ44" s="39" t="str">
        <x:v>N/D</x:v>
      </x:c>
      <x:c r="AK44" s="39" t="str">
        <x:v>N/D</x:v>
      </x:c>
      <x:c r="AL44" s="39" t="str">
        <x:v>N/D</x:v>
      </x:c>
      <x:c r="AM44" s="39" t="str">
        <x:v>sem_overlay</x:v>
      </x:c>
      <x:c r="AN44" s="39" t="str">
        <x:v>N/D</x:v>
      </x:c>
      <x:c r="AO44" s="39" t="str">
        <x:v>1155755</x:v>
      </x:c>
      <x:c r="AP44" s="39" t="str">
        <x:v>2026-03-18</x:v>
      </x:c>
      <x:c r="AQ44" s="39" t="str">
        <x:v>18</x:v>
      </x:c>
      <x:c r="AR44" s="39" t="str">
        <x:v>revisto — mínimo júnior localizado</x:v>
      </x:c>
      <x:c r="AS44" s="39" t="str">
        <x:v>FundosNet/B3; documento 1155755; referência 2026-03-18; p. 18</x:v>
      </x:c>
      <x:c r="AT44" s="39" t="str">
        <x:v>Cotas subordinadas júnior / PL, mínimo de 6,0%.</x:v>
      </x:c>
      <x:c r="AU44" s="39" t="str">
        <x:v>originador; cedente; sacado/devedor; tipo de recebível</x:v>
      </x:c>
      <x:c r="AV44" s="39" t="str">
        <x:v>estrutura_incomparavel</x:v>
      </x:c>
    </x:row>
    <x:row r="45" ht="31.5" customHeight="1">
      <x:c r="A45" s="38" t="n">
        <x:v>41</x:v>
      </x:c>
      <x:c r="B45" s="73" t="n">
        <x:v>29226654000110</x:v>
      </x:c>
      <x:c r="C45" s="38" t="str">
        <x:v>29.226.654/0001-10</x:v>
      </x:c>
      <x:c r="D45" s="38" t="str">
        <x:v>INVESTCRED FUNDO DE INVESTIMENTO EM DIREITOS CREDITÓRIOS</x:v>
      </x:c>
      <x:c r="E45" s="38" t="str">
        <x:v>INVESTCRED FUNDO DE INVESTIMENTO EM DIREITOS CREDI</x:v>
      </x:c>
      <x:c r="F45" s="38" t="str">
        <x:v>Carteira 101</x:v>
      </x:c>
      <x:c r="G45" s="38" t="str">
        <x:v>2026-06</x:v>
      </x:c>
      <x:c r="H45" s="38" t="str">
        <x:v>localizado</x:v>
      </x:c>
      <x:c r="I45" s="79" t="n">
        <x:v>1193589922.6</x:v>
      </x:c>
      <x:c r="J45" s="79" t="n">
        <x:v>1193589922.6077209</x:v>
      </x:c>
      <x:c r="K45" s="79" t="n">
        <x:v>950612296.4778208</x:v>
      </x:c>
      <x:c r="L45" s="85" t="n">
        <x:v>0.7964312352831361</x:v>
      </x:c>
      <x:c r="M45" s="38" t="str">
        <x:v>Calculado com classes reportadas e PL oficial reconciliado</x:v>
      </x:c>
      <x:c r="N45" s="85" t="str">
        <x:v>N/D</x:v>
      </x:c>
      <x:c r="O45" s="85" t="n">
        <x:v>0.6742671009769999</x:v>
      </x:c>
      <x:c r="P45" s="85" t="str">
        <x:v>N/D</x:v>
      </x:c>
      <x:c r="Q45" s="85" t="n">
        <x:v>0.6742671009769999</x:v>
      </x:c>
      <x:c r="R45" s="85" t="str">
        <x:v>N/D</x:v>
      </x:c>
      <x:c r="S45" s="85" t="n">
        <x:v>0.6742671009769999</x:v>
      </x:c>
      <x:c r="T45" s="38" t="str">
        <x:v>67,43%*</x:v>
      </x:c>
      <x:c r="U45" s="38" t="str">
        <x:v>junior_pl_calculado</x:v>
      </x:c>
      <x:c r="V45" s="38" t="str">
        <x:v>calculado: 1 − 1/3,07</x:v>
      </x:c>
      <x:c r="W45" s="67" t="b">
        <x:v>1</x:v>
      </x:c>
      <x:c r="X45" s="38" t="str">
        <x:v>Estrutura com uma única classe subordinada; métrica atual e piso usam o total subordinado sobre o PL.</x:v>
      </x:c>
      <x:c r="Y45" s="67" t="b">
        <x:v>1</x:v>
      </x:c>
      <x:c r="Z45" s="85" t="n">
        <x:v>0.12216413430613615</x:v>
      </x:c>
      <x:c r="AA45" s="85" t="n">
        <x:v>0.3750438923196091</x:v>
      </x:c>
      <x:c r="AB45" s="38" t="str">
        <x:v>acima do mínimo</x:v>
      </x:c>
      <x:c r="AC45" s="38" t="str">
        <x:v>Agro, Indústria e Comércio</x:v>
      </x:c>
      <x:c r="AD45" s="38" t="str">
        <x:v>Recebíveis Comerciais</x:v>
      </x:c>
      <x:c r="AE45" s="38" t="str">
        <x:v>Agro / Revenda</x:v>
      </x:c>
      <x:c r="AF45" s="38" t="str">
        <x:v>CredSystem</x:v>
      </x:c>
      <x:c r="AG45" s="38" t="str">
        <x:v>cedente</x:v>
      </x:c>
      <x:c r="AH45" s="38" t="str">
        <x:v>N/D</x:v>
      </x:c>
      <x:c r="AI45" s="38" t="str">
        <x:v>CredSystem</x:v>
      </x:c>
      <x:c r="AJ45" s="38" t="str">
        <x:v>N/D</x:v>
      </x:c>
      <x:c r="AK45" s="38" t="str">
        <x:v>Cartão de Crédito - ecossistema Credsystem</x:v>
      </x:c>
      <x:c r="AL45" s="38" t="str">
        <x:v>IMG_8705.JPG</x:v>
      </x:c>
      <x:c r="AM45" s="38" t="str">
        <x:v>manual_aplicado</x:v>
      </x:c>
      <x:c r="AN45" s="38" t="str">
        <x:v>Denominação cortada pela largura da coluna na foto.</x:v>
      </x:c>
      <x:c r="AO45" s="38" t="str">
        <x:v>1023848</x:v>
      </x:c>
      <x:c r="AP45" s="38" t="str">
        <x:v>2025-10-28</x:v>
      </x:c>
      <x:c r="AQ45" s="38" t="str">
        <x:v>3–4; 9–10</x:v>
      </x:c>
      <x:c r="AR45" s="38" t="str">
        <x:v>revisto — mínimo júnior localizado</x:v>
      </x:c>
      <x:c r="AS45" s="38" t="str">
        <x:v>FundosNet/B3; documento 1023848; referência 2025-10-28; p. 3–4; 9–10</x:v>
      </x:c>
      <x:c r="AT45" s="38" t="str">
        <x:v>Mínimo júnior implícito na relação PL / cotas seniores de 307,0%.</x:v>
      </x:c>
      <x:c r="AU45" s="38" t="str">
        <x:v>originador; sacado/devedor</x:v>
      </x:c>
      <x:c r="AV45" s="38" t="str">
        <x:v>completo_para_folga</x:v>
      </x:c>
    </x:row>
    <x:row r="46" ht="31.5" customHeight="1">
      <x:c r="A46" s="39" t="n">
        <x:v>42</x:v>
      </x:c>
      <x:c r="B46" s="72" t="n">
        <x:v>54857414000160</x:v>
      </x:c>
      <x:c r="C46" s="39" t="str">
        <x:v>54.857.414/0001-60</x:v>
      </x:c>
      <x:c r="D46" s="39" t="str">
        <x:v>INDIE MERX RAIZ I CRÉDITO AGRO FIDC DO AGRONEGÓCIO - RESPONSABILIDADE LIMITADA</x:v>
      </x:c>
      <x:c r="E46" s="39" t="str">
        <x:v>INDIE MERX RAIZ I CREDITO AGRO FUNDO DE INVESTIMEN</x:v>
      </x:c>
      <x:c r="F46" s="39" t="str">
        <x:v>Carteira 101</x:v>
      </x:c>
      <x:c r="G46" s="39" t="str">
        <x:v>2026-06</x:v>
      </x:c>
      <x:c r="H46" s="39" t="str">
        <x:v>localizado</x:v>
      </x:c>
      <x:c r="I46" s="78" t="n">
        <x:v>104193325.49</x:v>
      </x:c>
      <x:c r="J46" s="78" t="n">
        <x:v>104193325.48986152</x:v>
      </x:c>
      <x:c r="K46" s="78" t="n">
        <x:v>28701375.90007043</x:v>
      </x:c>
      <x:c r="L46" s="84" t="n">
        <x:v>0.27546271092791885</x:v>
      </x:c>
      <x:c r="M46" s="39" t="str">
        <x:v>Calculado com classes reportadas e PL oficial reconciliado</x:v>
      </x:c>
      <x:c r="N46" s="84" t="n">
        <x:v>0.15</x:v>
      </x:c>
      <x:c r="O46" s="84" t="str">
        <x:v>N/D</x:v>
      </x:c>
      <x:c r="P46" s="84" t="str">
        <x:v>N/D</x:v>
      </x:c>
      <x:c r="Q46" s="84" t="str">
        <x:v>N/D</x:v>
      </x:c>
      <x:c r="R46" s="84" t="str">
        <x:v>N/D</x:v>
      </x:c>
      <x:c r="S46" s="84" t="n">
        <x:v>0.15</x:v>
      </x:c>
      <x:c r="T46" s="39" t="str">
        <x:v>15,0%</x:v>
      </x:c>
      <x:c r="U46" s="39" t="str">
        <x:v>junior_pl</x:v>
      </x:c>
      <x:c r="V46" s="39" t="str">
        <x:v>direto no regulamento</x:v>
      </x:c>
      <x:c r="W46" s="66" t="b">
        <x:v>0</x:v>
      </x:c>
      <x:c r="X46" s="39" t="str">
        <x:v>Mínimo júnior isolado; a subordinação atual disponível agrega todas as classes subordinadas.</x:v>
      </x:c>
      <x:c r="Y46" s="66" t="b">
        <x:v>0</x:v>
      </x:c>
      <x:c r="Z46" s="84" t="str">
        <x:v>N/D</x:v>
      </x:c>
      <x:c r="AA46" s="84" t="str">
        <x:v>N/D</x:v>
      </x:c>
      <x:c r="AB46" s="39" t="str">
        <x:v>não medido</x:v>
      </x:c>
      <x:c r="AC46" s="39" t="str">
        <x:v>Agro, Indústria e Comércio</x:v>
      </x:c>
      <x:c r="AD46" s="39" t="str">
        <x:v>Agronegócio</x:v>
      </x:c>
      <x:c r="AE46" s="39" t="str">
        <x:v>Agro / Revenda</x:v>
      </x:c>
      <x:c r="AF46" s="39" t="str">
        <x:v>Emissão direta de produtor rural</x:v>
      </x:c>
      <x:c r="AG46" s="39" t="str">
        <x:v>cedente</x:v>
      </x:c>
      <x:c r="AH46" s="39" t="str">
        <x:v>N/D</x:v>
      </x:c>
      <x:c r="AI46" s="39" t="str">
        <x:v>Emissão direta de produtor rural</x:v>
      </x:c>
      <x:c r="AJ46" s="39" t="str">
        <x:v>N/D</x:v>
      </x:c>
      <x:c r="AK46" s="39" t="str">
        <x:v>risco produtor rural com passagem SIPAL e Fazendão</x:v>
      </x:c>
      <x:c r="AL46" s="39" t="str">
        <x:v>IMG_8705.JPG</x:v>
      </x:c>
      <x:c r="AM46" s="39" t="str">
        <x:v>manual_aplicado</x:v>
      </x:c>
      <x:c r="AN46" s="39" t="str">
        <x:v>Literal preservado da coluna Cedente do Direito Creditório; OBS continua fora da foto. Denominação cortada.</x:v>
      </x:c>
      <x:c r="AO46" s="39" t="str">
        <x:v>1263627</x:v>
      </x:c>
      <x:c r="AP46" s="39" t="str">
        <x:v>2026-06-01</x:v>
      </x:c>
      <x:c r="AQ46" s="39" t="str">
        <x:v>74</x:v>
      </x:c>
      <x:c r="AR46" s="39" t="str">
        <x:v>revisto — mínimo júnior localizado</x:v>
      </x:c>
      <x:c r="AS46" s="39" t="str">
        <x:v>FundosNet/B3; documento 1263627; referência 2026-06-01; p. 74</x:v>
      </x:c>
      <x:c r="AT46" s="39" t="str">
        <x:v>Índice de Subordinação Mezanino: cotas júnior / PL, mínimo de 15,0%.</x:v>
      </x:c>
      <x:c r="AU46" s="39" t="str">
        <x:v>originador; sacado/devedor</x:v>
      </x:c>
      <x:c r="AV46" s="39" t="str">
        <x:v>estrutura_incomparavel</x:v>
      </x:c>
    </x:row>
    <x:row r="47" ht="31.5" customHeight="1">
      <x:c r="A47" s="38" t="n">
        <x:v>43</x:v>
      </x:c>
      <x:c r="B47" s="73" t="n">
        <x:v>44124465000120</x:v>
      </x:c>
      <x:c r="C47" s="38" t="str">
        <x:v>44.124.465/0001-20</x:v>
      </x:c>
      <x:c r="D47" s="38" t="str">
        <x:v>TMAQ 21 FUNDO DE INVESTIMENTO EM DIREITOS CREDITÓRIOS DE ARRANJOS DE PAGAMENTO DE RESPONSABILIDADE L</x:v>
      </x:c>
      <x:c r="E47" s="38" t="str">
        <x:v>TMAQ21 FUNDO I E D CREDITORIOS</x:v>
      </x:c>
      <x:c r="F47" s="38" t="str">
        <x:v>Carteira 101</x:v>
      </x:c>
      <x:c r="G47" s="38" t="str">
        <x:v>2026-06</x:v>
      </x:c>
      <x:c r="H47" s="38" t="str">
        <x:v>localizado</x:v>
      </x:c>
      <x:c r="I47" s="79" t="str">
        <x:v>N/D</x:v>
      </x:c>
      <x:c r="J47" s="79" t="str">
        <x:v>N/D</x:v>
      </x:c>
      <x:c r="K47" s="79" t="str">
        <x:v>N/D</x:v>
      </x:c>
      <x:c r="L47" s="85" t="str">
        <x:v>N/D</x:v>
      </x:c>
      <x:c r="M47" s="38" t="str">
        <x:v>PL oficial ausente em 2026-06</x:v>
      </x:c>
      <x:c r="N47" s="85" t="n">
        <x:v>0.03</x:v>
      </x:c>
      <x:c r="O47" s="85" t="str">
        <x:v>N/D</x:v>
      </x:c>
      <x:c r="P47" s="85" t="str">
        <x:v>N/D</x:v>
      </x:c>
      <x:c r="Q47" s="85" t="str">
        <x:v>N/D</x:v>
      </x:c>
      <x:c r="R47" s="85" t="str">
        <x:v>N/D</x:v>
      </x:c>
      <x:c r="S47" s="85" t="n">
        <x:v>0.03</x:v>
      </x:c>
      <x:c r="T47" s="38" t="str">
        <x:v>3,0%</x:v>
      </x:c>
      <x:c r="U47" s="38" t="str">
        <x:v>junior_pl</x:v>
      </x:c>
      <x:c r="V47" s="38" t="str">
        <x:v>direto no regulamento</x:v>
      </x:c>
      <x:c r="W47" s="67" t="b">
        <x:v>0</x:v>
      </x:c>
      <x:c r="X47" s="38" t="str">
        <x:v>Mínimo júnior isolado; a subordinação atual disponível agrega todas as classes subordinadas.</x:v>
      </x:c>
      <x:c r="Y47" s="67" t="b">
        <x:v>0</x:v>
      </x:c>
      <x:c r="Z47" s="85" t="str">
        <x:v>N/D</x:v>
      </x:c>
      <x:c r="AA47" s="85" t="str">
        <x:v>N/D</x:v>
      </x:c>
      <x:c r="AB47" s="38" t="str">
        <x:v>não medido</x:v>
      </x:c>
      <x:c r="AC47" s="38" t="str">
        <x:v>Agro, Indústria e Comércio</x:v>
      </x:c>
      <x:c r="AD47" s="38" t="str">
        <x:v>Recebíveis Comerciais</x:v>
      </x:c>
      <x:c r="AE47" s="38" t="str">
        <x:v>Agro / Revenda</x:v>
      </x:c>
      <x:c r="AF47" s="38" t="str">
        <x:v>Ação</x:v>
      </x:c>
      <x:c r="AG47" s="38" t="str">
        <x:v>cedente</x:v>
      </x:c>
      <x:c r="AH47" s="38" t="str">
        <x:v>N/D</x:v>
      </x:c>
      <x:c r="AI47" s="38" t="str">
        <x:v>Ação</x:v>
      </x:c>
      <x:c r="AJ47" s="38" t="str">
        <x:v>N/D</x:v>
      </x:c>
      <x:c r="AK47" s="38" t="str">
        <x:v>Risco Bancos Emissores Diversos</x:v>
      </x:c>
      <x:c r="AL47" s="38" t="str">
        <x:v>IMG_8705.JPG</x:v>
      </x:c>
      <x:c r="AM47" s="38" t="str">
        <x:v>manual_aplicado</x:v>
      </x:c>
      <x:c r="AN47" s="38" t="str">
        <x:v>OBS da foto: lista de concentração pré-aprovada.</x:v>
      </x:c>
      <x:c r="AO47" s="38" t="str">
        <x:v>951239</x:v>
      </x:c>
      <x:c r="AP47" s="38" t="str">
        <x:v>2025-07-08</x:v>
      </x:c>
      <x:c r="AQ47" s="38" t="str">
        <x:v>85</x:v>
      </x:c>
      <x:c r="AR47" s="38" t="str">
        <x:v>revisto — mínimo júnior localizado</x:v>
      </x:c>
      <x:c r="AS47" s="38" t="str">
        <x:v>FundosNet/B3; documento 951239; referência 2025-07-08; p. 85</x:v>
      </x:c>
      <x:c r="AT47" s="38" t="str">
        <x:v>Índice de Subordinação Mezanino: cotas júnior / PL, mínimo de 3,0%.</x:v>
      </x:c>
      <x:c r="AU47" s="38" t="str">
        <x:v>PL atual; Sub/PL atual; originador; sacado/devedor</x:v>
      </x:c>
      <x:c r="AV47" s="38" t="str">
        <x:v>sub_pl_atual_ausente</x:v>
      </x:c>
    </x:row>
    <x:row r="48" ht="31.5" customHeight="1">
      <x:c r="A48" s="39" t="n">
        <x:v>44</x:v>
      </x:c>
      <x:c r="B48" s="72" t="n">
        <x:v>55401645000128</x:v>
      </x:c>
      <x:c r="C48" s="39" t="str">
        <x:v>55.401.645/0001-28</x:v>
      </x:c>
      <x:c r="D48" s="39" t="str">
        <x:v>QUATÁ FDC FGTS FUNDO DE INVESTIMENTO EM DIREITOS CREDITÓRIOS</x:v>
      </x:c>
      <x:c r="E48" s="39" t="str">
        <x:v>QUATA FIDC FGTS FUNDO DE INVESTIMENTO EM DIREITOS</x:v>
      </x:c>
      <x:c r="F48" s="39" t="str">
        <x:v>Carteira 101</x:v>
      </x:c>
      <x:c r="G48" s="39" t="str">
        <x:v>2026-06</x:v>
      </x:c>
      <x:c r="H48" s="39" t="str">
        <x:v>localizado</x:v>
      </x:c>
      <x:c r="I48" s="78" t="n">
        <x:v>225010783.2</x:v>
      </x:c>
      <x:c r="J48" s="78" t="n">
        <x:v>225010782.63194025</x:v>
      </x:c>
      <x:c r="K48" s="78" t="n">
        <x:v>38986834.024159</x:v>
      </x:c>
      <x:c r="L48" s="84" t="n">
        <x:v>0.17326651402971074</x:v>
      </x:c>
      <x:c r="M48" s="39" t="str">
        <x:v>Calculado com classes reportadas e PL oficial reconciliado</x:v>
      </x:c>
      <x:c r="N48" s="84" t="n">
        <x:v>0.03</x:v>
      </x:c>
      <x:c r="O48" s="84" t="str">
        <x:v>N/D</x:v>
      </x:c>
      <x:c r="P48" s="84" t="str">
        <x:v>N/D</x:v>
      </x:c>
      <x:c r="Q48" s="84" t="str">
        <x:v>N/D</x:v>
      </x:c>
      <x:c r="R48" s="84" t="str">
        <x:v>N/D</x:v>
      </x:c>
      <x:c r="S48" s="84" t="n">
        <x:v>0.03</x:v>
      </x:c>
      <x:c r="T48" s="39" t="str">
        <x:v>3,0%</x:v>
      </x:c>
      <x:c r="U48" s="39" t="str">
        <x:v>junior_pl</x:v>
      </x:c>
      <x:c r="V48" s="39" t="str">
        <x:v>direto no regulamento</x:v>
      </x:c>
      <x:c r="W48" s="66" t="b">
        <x:v>0</x:v>
      </x:c>
      <x:c r="X48" s="39" t="str">
        <x:v>Mínimo júnior isolado; a subordinação atual disponível agrega todas as classes subordinadas.</x:v>
      </x:c>
      <x:c r="Y48" s="66" t="b">
        <x:v>0</x:v>
      </x:c>
      <x:c r="Z48" s="84" t="str">
        <x:v>N/D</x:v>
      </x:c>
      <x:c r="AA48" s="84" t="str">
        <x:v>N/D</x:v>
      </x:c>
      <x:c r="AB48" s="39" t="str">
        <x:v>não medido</x:v>
      </x:c>
      <x:c r="AC48" s="39" t="str">
        <x:v>Financeiro</x:v>
      </x:c>
      <x:c r="AD48" s="39" t="str">
        <x:v>Crédito Pessoal</x:v>
      </x:c>
      <x:c r="AE48" s="39" t="str">
        <x:v>Consignado FGTS</x:v>
      </x:c>
      <x:c r="AF48" s="39" t="str">
        <x:v>QI Tech</x:v>
      </x:c>
      <x:c r="AG48" s="39" t="str">
        <x:v>cedente</x:v>
      </x:c>
      <x:c r="AH48" s="39" t="str">
        <x:v>N/D</x:v>
      </x:c>
      <x:c r="AI48" s="39" t="str">
        <x:v>QI Tech</x:v>
      </x:c>
      <x:c r="AJ48" s="39" t="str">
        <x:v>N/D</x:v>
      </x:c>
      <x:c r="AK48" s="39" t="str">
        <x:v>Crédito FGTS</x:v>
      </x:c>
      <x:c r="AL48" s="39" t="str">
        <x:v>IMG_8705.JPG</x:v>
      </x:c>
      <x:c r="AM48" s="39" t="str">
        <x:v>manual_aplicado</x:v>
      </x:c>
      <x:c r="AN48" s="39" t="str">
        <x:v>Denominação cortada pela largura da coluna na foto.</x:v>
      </x:c>
      <x:c r="AO48" s="39" t="str">
        <x:v>1051890</x:v>
      </x:c>
      <x:c r="AP48" s="39" t="str">
        <x:v>2025-12-01</x:v>
      </x:c>
      <x:c r="AQ48" s="39" t="str">
        <x:v>17</x:v>
      </x:c>
      <x:c r="AR48" s="39" t="str">
        <x:v>revisto — mínimo júnior localizado</x:v>
      </x:c>
      <x:c r="AS48" s="39" t="str">
        <x:v>FundosNet/B3; documento 1051890; referência 2025-12-01; p. 17</x:v>
      </x:c>
      <x:c r="AT48" s="39" t="str">
        <x:v>Índice de Subordinação Mezanino: cotas júnior / PL, mínimo de 3,0%.</x:v>
      </x:c>
      <x:c r="AU48" s="39" t="str">
        <x:v>originador; sacado/devedor</x:v>
      </x:c>
      <x:c r="AV48" s="39" t="str">
        <x:v>estrutura_incomparavel</x:v>
      </x:c>
    </x:row>
    <x:row r="49" ht="31.5" customHeight="1">
      <x:c r="A49" s="38" t="n">
        <x:v>45</x:v>
      </x:c>
      <x:c r="B49" s="73" t="n">
        <x:v>63622842000103</x:v>
      </x:c>
      <x:c r="C49" s="38" t="str">
        <x:v>63.622.842/0001-03</x:v>
      </x:c>
      <x:c r="D49" s="38" t="str">
        <x:v>DESBRAVA UNO ARTIGOS ESPORTIVOS FUNDO DE INVESTIMENTO EM DIREITOS CREDITÓRIOS RESP LIMITADA</x:v>
      </x:c>
      <x:c r="E49" s="38" t="str">
        <x:v>DESBRAVA UNO ART ESP FIDC RL</x:v>
      </x:c>
      <x:c r="F49" s="38" t="str">
        <x:v>Carteira 101</x:v>
      </x:c>
      <x:c r="G49" s="38" t="str">
        <x:v>2026-06</x:v>
      </x:c>
      <x:c r="H49" s="38" t="str">
        <x:v>localizado</x:v>
      </x:c>
      <x:c r="I49" s="79" t="n">
        <x:v>343581061</x:v>
      </x:c>
      <x:c r="J49" s="79" t="n">
        <x:v>343517082.8369128</x:v>
      </x:c>
      <x:c r="K49" s="79" t="n">
        <x:v>173086410.2460625</x:v>
      </x:c>
      <x:c r="L49" s="85" t="n">
        <x:v>0.5037716856170442</x:v>
      </x:c>
      <x:c r="M49" s="38" t="str">
        <x:v>Calculado com classes reportadas e PL oficial reconciliado</x:v>
      </x:c>
      <x:c r="N49" s="85" t="n">
        <x:v>0.5</x:v>
      </x:c>
      <x:c r="O49" s="85" t="str">
        <x:v>N/D</x:v>
      </x:c>
      <x:c r="P49" s="85" t="str">
        <x:v>N/D</x:v>
      </x:c>
      <x:c r="Q49" s="85" t="n">
        <x:v>0.5</x:v>
      </x:c>
      <x:c r="R49" s="85" t="str">
        <x:v>N/D</x:v>
      </x:c>
      <x:c r="S49" s="85" t="n">
        <x:v>0.5</x:v>
      </x:c>
      <x:c r="T49" s="38" t="str">
        <x:v>50,0%</x:v>
      </x:c>
      <x:c r="U49" s="38" t="str">
        <x:v>junior_pl</x:v>
      </x:c>
      <x:c r="V49" s="38" t="str">
        <x:v>direto no regulamento</x:v>
      </x:c>
      <x:c r="W49" s="67" t="b">
        <x:v>1</x:v>
      </x:c>
      <x:c r="X49" s="38" t="str">
        <x:v>Estrutura com uma única classe subordinada; métrica atual e piso usam o total subordinado sobre o PL.</x:v>
      </x:c>
      <x:c r="Y49" s="67" t="b">
        <x:v>0</x:v>
      </x:c>
      <x:c r="Z49" s="85" t="n">
        <x:v>0.003771685617044218</x:v>
      </x:c>
      <x:c r="AA49" s="85" t="n">
        <x:v>0.007543371234088436</x:v>
      </x:c>
      <x:c r="AB49" s="38" t="str">
        <x:v>folga estreita</x:v>
      </x:c>
      <x:c r="AC49" s="38" t="str">
        <x:v>Agro, Indústria e Comércio</x:v>
      </x:c>
      <x:c r="AD49" s="38" t="str">
        <x:v>Recebíveis Comerciais</x:v>
      </x:c>
      <x:c r="AE49" s="38" t="str">
        <x:v>Agro / Revenda</x:v>
      </x:c>
      <x:c r="AF49" s="38" t="str">
        <x:v>Empresas grupo Dass</x:v>
      </x:c>
      <x:c r="AG49" s="38" t="str">
        <x:v>cedente</x:v>
      </x:c>
      <x:c r="AH49" s="38" t="str">
        <x:v>N/D</x:v>
      </x:c>
      <x:c r="AI49" s="38" t="str">
        <x:v>Empresas grupo Dass</x:v>
      </x:c>
      <x:c r="AJ49" s="38" t="str">
        <x:v>N/D</x:v>
      </x:c>
      <x:c r="AK49" s="38" t="str">
        <x:v>N/D</x:v>
      </x:c>
      <x:c r="AL49" s="38" t="str">
        <x:v>IMG_8705.JPG</x:v>
      </x:c>
      <x:c r="AM49" s="38" t="str">
        <x:v>manual_aplicado</x:v>
      </x:c>
      <x:c r="AN49" s="38" t="str">
        <x:v>OBS da foto: FIDC 12431, risco Dass (não são recebíveis de clientes).</x:v>
      </x:c>
      <x:c r="AO49" s="38" t="str">
        <x:v>1051646</x:v>
      </x:c>
      <x:c r="AP49" s="38" t="str">
        <x:v>2025-12-01</x:v>
      </x:c>
      <x:c r="AQ49" s="38" t="str">
        <x:v>69</x:v>
      </x:c>
      <x:c r="AR49" s="38" t="str">
        <x:v>revisto — mínimo júnior localizado</x:v>
      </x:c>
      <x:c r="AS49" s="38" t="str">
        <x:v>FundosNet/B3; documento 1051646; referência 2025-12-01; p. 69</x:v>
      </x:c>
      <x:c r="AT49" s="38" t="str">
        <x:v>Cotas subordinadas / PL, mínimo de 50,0%; estrutura com uma única classe residual.</x:v>
      </x:c>
      <x:c r="AU49" s="38" t="str">
        <x:v>originador; sacado/devedor; tipo de recebível</x:v>
      </x:c>
      <x:c r="AV49" s="38" t="str">
        <x:v>completo_para_folga</x:v>
      </x:c>
    </x:row>
    <x:row r="50" ht="31.5" customHeight="1">
      <x:c r="A50" s="39" t="n">
        <x:v>46</x:v>
      </x:c>
      <x:c r="B50" s="72" t="n">
        <x:v>44272584000120</x:v>
      </x:c>
      <x:c r="C50" s="39" t="str">
        <x:v>44.272.584/0001-20</x:v>
      </x:c>
      <x:c r="D50" s="39" t="str">
        <x:v>LAVORO AGRO FIAGRO - DIREITOS CREDITÓRIOS - RESPONSABILIDADE LIMITADA</x:v>
      </x:c>
      <x:c r="E50" s="39" t="str">
        <x:v>LAVORO AGRO FIDC DAS CADEIAS PRODUTIVAS AGROINDUST</x:v>
      </x:c>
      <x:c r="F50" s="39" t="str">
        <x:v>Carteira 101</x:v>
      </x:c>
      <x:c r="G50" s="39" t="str">
        <x:v>2026-06</x:v>
      </x:c>
      <x:c r="H50" s="39" t="str">
        <x:v>localizado</x:v>
      </x:c>
      <x:c r="I50" s="78" t="str">
        <x:v>N/D</x:v>
      </x:c>
      <x:c r="J50" s="78" t="str">
        <x:v>N/D</x:v>
      </x:c>
      <x:c r="K50" s="78" t="str">
        <x:v>N/D</x:v>
      </x:c>
      <x:c r="L50" s="84" t="str">
        <x:v>N/D</x:v>
      </x:c>
      <x:c r="M50" s="39" t="str">
        <x:v>PL oficial ausente em 2026-06</x:v>
      </x:c>
      <x:c r="N50" s="84" t="n">
        <x:v>0.05</x:v>
      </x:c>
      <x:c r="O50" s="84" t="str">
        <x:v>N/D</x:v>
      </x:c>
      <x:c r="P50" s="84" t="str">
        <x:v>N/D</x:v>
      </x:c>
      <x:c r="Q50" s="84" t="str">
        <x:v>N/D</x:v>
      </x:c>
      <x:c r="R50" s="84" t="str">
        <x:v>N/D</x:v>
      </x:c>
      <x:c r="S50" s="84" t="n">
        <x:v>0.05</x:v>
      </x:c>
      <x:c r="T50" s="39" t="str">
        <x:v>5,0%</x:v>
      </x:c>
      <x:c r="U50" s="39" t="str">
        <x:v>junior_pl</x:v>
      </x:c>
      <x:c r="V50" s="39" t="str">
        <x:v>direto no regulamento</x:v>
      </x:c>
      <x:c r="W50" s="66" t="b">
        <x:v>0</x:v>
      </x:c>
      <x:c r="X50" s="39" t="str">
        <x:v>Mínimo júnior isolado; a subordinação atual disponível agrega todas as classes subordinadas.</x:v>
      </x:c>
      <x:c r="Y50" s="66" t="b">
        <x:v>0</x:v>
      </x:c>
      <x:c r="Z50" s="84" t="str">
        <x:v>N/D</x:v>
      </x:c>
      <x:c r="AA50" s="84" t="str">
        <x:v>N/D</x:v>
      </x:c>
      <x:c r="AB50" s="39" t="str">
        <x:v>não medido</x:v>
      </x:c>
      <x:c r="AC50" s="39" t="str">
        <x:v>Agro, Indústria e Comércio</x:v>
      </x:c>
      <x:c r="AD50" s="39" t="str">
        <x:v>Recebíveis Comerciais</x:v>
      </x:c>
      <x:c r="AE50" s="39" t="str">
        <x:v>Agro / Revenda</x:v>
      </x:c>
      <x:c r="AF50" s="39" t="str">
        <x:v>Lavoro</x:v>
      </x:c>
      <x:c r="AG50" s="39" t="str">
        <x:v>cedente</x:v>
      </x:c>
      <x:c r="AH50" s="39" t="str">
        <x:v>N/D</x:v>
      </x:c>
      <x:c r="AI50" s="39" t="str">
        <x:v>Lavoro</x:v>
      </x:c>
      <x:c r="AJ50" s="39" t="str">
        <x:v>N/D</x:v>
      </x:c>
      <x:c r="AK50" s="39" t="str">
        <x:v>N/D</x:v>
      </x:c>
      <x:c r="AL50" s="39" t="str">
        <x:v>IMG_8705.JPG</x:v>
      </x:c>
      <x:c r="AM50" s="39" t="str">
        <x:v>manual_aplicado</x:v>
      </x:c>
      <x:c r="AN50" s="39" t="str">
        <x:v>OBS da foto: Realizamos ajuste tempestivo para Ba1 - carteira vence em 30/04 - acompanhamento mensal. Denominação cortada.</x:v>
      </x:c>
      <x:c r="AO50" s="39" t="str">
        <x:v>1003378</x:v>
      </x:c>
      <x:c r="AP50" s="39" t="str">
        <x:v>2025-09-30</x:v>
      </x:c>
      <x:c r="AQ50" s="39" t="str">
        <x:v>133</x:v>
      </x:c>
      <x:c r="AR50" s="39" t="str">
        <x:v>revisto — mínimo júnior localizado</x:v>
      </x:c>
      <x:c r="AS50" s="39" t="str">
        <x:v>FundosNet/B3; documento 1003378; referência 2025-09-30; p. 133</x:v>
      </x:c>
      <x:c r="AT50" s="39" t="str">
        <x:v>Proporção de cotas subordinadas júnior / PL, mínimo de 5,0%.</x:v>
      </x:c>
      <x:c r="AU50" s="39" t="str">
        <x:v>PL atual; Sub/PL atual; originador; sacado/devedor; tipo de recebível</x:v>
      </x:c>
      <x:c r="AV50" s="39" t="str">
        <x:v>sub_pl_atual_ausente</x:v>
      </x:c>
    </x:row>
    <x:row r="51" ht="31.5" customHeight="1">
      <x:c r="A51" s="38" t="n">
        <x:v>47</x:v>
      </x:c>
      <x:c r="B51" s="73" t="n">
        <x:v>62838025000116</x:v>
      </x:c>
      <x:c r="C51" s="38" t="str">
        <x:v>62.838.025/0001-16</x:v>
      </x:c>
      <x:c r="D51" s="38" t="str">
        <x:v>ENDURANCE FUNDO DE INVESTIMENTO EM DIREITOS CREDITÓRIOS RESPONSABILIDADE LIMITADA</x:v>
      </x:c>
      <x:c r="E51" s="38" t="str">
        <x:v>TOP 2025 J FIDC RESP LTDA</x:v>
      </x:c>
      <x:c r="F51" s="38" t="str">
        <x:v>Carteira 101</x:v>
      </x:c>
      <x:c r="G51" s="38" t="str">
        <x:v>2026-06</x:v>
      </x:c>
      <x:c r="H51" s="38" t="str">
        <x:v>localizado</x:v>
      </x:c>
      <x:c r="I51" s="79" t="n">
        <x:v>2004513902.3</x:v>
      </x:c>
      <x:c r="J51" s="79" t="n">
        <x:v>2004513902.300384</x:v>
      </x:c>
      <x:c r="K51" s="79" t="n">
        <x:v>189493138.739664</x:v>
      </x:c>
      <x:c r="L51" s="85" t="n">
        <x:v>0.09453321252710575</x:v>
      </x:c>
      <x:c r="M51" s="38" t="str">
        <x:v>Calculado com classes reportadas e PL oficial reconciliado</x:v>
      </x:c>
      <x:c r="N51" s="85" t="n">
        <x:v>0.1</x:v>
      </x:c>
      <x:c r="O51" s="85" t="str">
        <x:v>N/D</x:v>
      </x:c>
      <x:c r="P51" s="85" t="str">
        <x:v>N/D</x:v>
      </x:c>
      <x:c r="Q51" s="85" t="str">
        <x:v>N/D</x:v>
      </x:c>
      <x:c r="R51" s="85" t="str">
        <x:v>N/D</x:v>
      </x:c>
      <x:c r="S51" s="85" t="n">
        <x:v>0.1</x:v>
      </x:c>
      <x:c r="T51" s="38" t="str">
        <x:v>9,0% inicial; 10,0% regular</x:v>
      </x:c>
      <x:c r="U51" s="38" t="str">
        <x:v>junior_pl</x:v>
      </x:c>
      <x:c r="V51" s="38" t="str">
        <x:v>direto no regulamento</x:v>
      </x:c>
      <x:c r="W51" s="67" t="b">
        <x:v>0</x:v>
      </x:c>
      <x:c r="X51" s="38" t="str">
        <x:v>Mínimo júnior isolado; a subordinação atual disponível agrega todas as classes subordinadas.</x:v>
      </x:c>
      <x:c r="Y51" s="67" t="b">
        <x:v>0</x:v>
      </x:c>
      <x:c r="Z51" s="85" t="str">
        <x:v>N/D</x:v>
      </x:c>
      <x:c r="AA51" s="85" t="str">
        <x:v>N/D</x:v>
      </x:c>
      <x:c r="AB51" s="38" t="str">
        <x:v>não medido</x:v>
      </x:c>
      <x:c r="AC51" s="38" t="str">
        <x:v>Financeiro</x:v>
      </x:c>
      <x:c r="AD51" s="38" t="str">
        <x:v>Adquirência</x:v>
      </x:c>
      <x:c r="AE51" s="38" t="str">
        <x:v>Financeiro</x:v>
      </x:c>
      <x:c r="AF51" s="38" t="str">
        <x:v>Pague Veloz / Serasa</x:v>
      </x:c>
      <x:c r="AG51" s="38" t="str">
        <x:v>cedente</x:v>
      </x:c>
      <x:c r="AH51" s="38" t="str">
        <x:v>N/D</x:v>
      </x:c>
      <x:c r="AI51" s="38" t="str">
        <x:v>Pague Veloz / Serasa</x:v>
      </x:c>
      <x:c r="AJ51" s="38" t="str">
        <x:v>N/D</x:v>
      </x:c>
      <x:c r="AK51" s="38" t="str">
        <x:v>recebíveis de Rede, GetNet, Cielo e Pag</x:v>
      </x:c>
      <x:c r="AL51" s="38" t="str">
        <x:v>IMG_8705.JPG</x:v>
      </x:c>
      <x:c r="AM51" s="38" t="str">
        <x:v>manual_aplicado</x:v>
      </x:c>
      <x:c r="AN51" s="38" t="str">
        <x:v>N/D</x:v>
      </x:c>
      <x:c r="AO51" s="38" t="str">
        <x:v>1058234</x:v>
      </x:c>
      <x:c r="AP51" s="38" t="str">
        <x:v>2025-12-10</x:v>
      </x:c>
      <x:c r="AQ51" s="38" t="str">
        <x:v>39</x:v>
      </x:c>
      <x:c r="AR51" s="38" t="str">
        <x:v>revisto — mínimo júnior localizado</x:v>
      </x:c>
      <x:c r="AS51" s="38" t="str">
        <x:v>FundosNet/B3; documento 1058234; referência 2025-12-10; p. 39</x:v>
      </x:c>
      <x:c r="AT51" s="38" t="str">
        <x:v>Cotas júnior / PL: 9,0% nos primeiros 30 dias; 10,0% como patamar regular.</x:v>
      </x:c>
      <x:c r="AU51" s="38" t="str">
        <x:v>originador; sacado/devedor</x:v>
      </x:c>
      <x:c r="AV51" s="38" t="str">
        <x:v>estrutura_incomparavel</x:v>
      </x:c>
    </x:row>
    <x:row r="52" ht="31.5" customHeight="1">
      <x:c r="A52" s="39" t="n">
        <x:v>48</x:v>
      </x:c>
      <x:c r="B52" s="72" t="n">
        <x:v>47280025000150</x:v>
      </x:c>
      <x:c r="C52" s="39" t="str">
        <x:v>47.280.025/0001-50</x:v>
      </x:c>
      <x:c r="D52" s="39" t="str">
        <x:v>FIDC AGRO CAPITAL FINANCE RESPONSABILIDADE LIMITADA</x:v>
      </x:c>
      <x:c r="E52" s="39" t="str">
        <x:v>FUNDO DE INVESTIMENTO EM DIREITOS CREDITORIOS ALBA</x:v>
      </x:c>
      <x:c r="F52" s="39" t="str">
        <x:v>Carteira 101</x:v>
      </x:c>
      <x:c r="G52" s="39" t="str">
        <x:v>2026-06</x:v>
      </x:c>
      <x:c r="H52" s="39" t="str">
        <x:v>localizado</x:v>
      </x:c>
      <x:c r="I52" s="78" t="n">
        <x:v>522132133.94</x:v>
      </x:c>
      <x:c r="J52" s="78" t="n">
        <x:v>522132133.9385318</x:v>
      </x:c>
      <x:c r="K52" s="78" t="n">
        <x:v>167899168.48754802</x:v>
      </x:c>
      <x:c r="L52" s="84" t="n">
        <x:v>0.3215645189668443</x:v>
      </x:c>
      <x:c r="M52" s="39" t="str">
        <x:v>Calculado com classes reportadas e PL oficial reconciliado</x:v>
      </x:c>
      <x:c r="N52" s="84" t="n">
        <x:v>0.3</x:v>
      </x:c>
      <x:c r="O52" s="84" t="str">
        <x:v>N/D</x:v>
      </x:c>
      <x:c r="P52" s="84" t="str">
        <x:v>N/D</x:v>
      </x:c>
      <x:c r="Q52" s="84" t="n">
        <x:v>0.3</x:v>
      </x:c>
      <x:c r="R52" s="84" t="str">
        <x:v>N/D</x:v>
      </x:c>
      <x:c r="S52" s="84" t="n">
        <x:v>0.3</x:v>
      </x:c>
      <x:c r="T52" s="39" t="str">
        <x:v>30,0%</x:v>
      </x:c>
      <x:c r="U52" s="39" t="str">
        <x:v>junior_pl</x:v>
      </x:c>
      <x:c r="V52" s="39" t="str">
        <x:v>direto no regulamento</x:v>
      </x:c>
      <x:c r="W52" s="66" t="b">
        <x:v>1</x:v>
      </x:c>
      <x:c r="X52" s="39" t="str">
        <x:v>Estrutura com uma única classe subordinada; métrica atual e piso usam o total subordinado sobre o PL.</x:v>
      </x:c>
      <x:c r="Y52" s="66" t="b">
        <x:v>0</x:v>
      </x:c>
      <x:c r="Z52" s="84" t="n">
        <x:v>0.021564518966844304</x:v>
      </x:c>
      <x:c r="AA52" s="84" t="n">
        <x:v>0.030806455666920435</x:v>
      </x:c>
      <x:c r="AB52" s="39" t="str">
        <x:v>acima do mínimo</x:v>
      </x:c>
      <x:c r="AC52" s="39" t="str">
        <x:v>Agro, Indústria e Comércio</x:v>
      </x:c>
      <x:c r="AD52" s="39" t="str">
        <x:v>Recebíveis Comerciais</x:v>
      </x:c>
      <x:c r="AE52" s="39" t="str">
        <x:v>Agro / Revenda</x:v>
      </x:c>
      <x:c r="AF52" s="39" t="str">
        <x:v>Albaugh</x:v>
      </x:c>
      <x:c r="AG52" s="39" t="str">
        <x:v>cedente</x:v>
      </x:c>
      <x:c r="AH52" s="39" t="str">
        <x:v>N/D</x:v>
      </x:c>
      <x:c r="AI52" s="39" t="str">
        <x:v>Albaugh</x:v>
      </x:c>
      <x:c r="AJ52" s="39" t="str">
        <x:v>N/D</x:v>
      </x:c>
      <x:c r="AK52" s="39" t="str">
        <x:v>N/D</x:v>
      </x:c>
      <x:c r="AL52" s="39" t="str">
        <x:v>IMG_8705.JPG</x:v>
      </x:c>
      <x:c r="AM52" s="39" t="str">
        <x:v>manual_aplicado</x:v>
      </x:c>
      <x:c r="AN52" s="39" t="str">
        <x:v>OBS da foto: fundo continua sofrendo com inadimplência da carteira antiga.</x:v>
      </x:c>
      <x:c r="AO52" s="39" t="str">
        <x:v>1074880</x:v>
      </x:c>
      <x:c r="AP52" s="39" t="str">
        <x:v>2025-12-23</x:v>
      </x:c>
      <x:c r="AQ52" s="39" t="str">
        <x:v>10; 34</x:v>
      </x:c>
      <x:c r="AR52" s="39" t="str">
        <x:v>revisto — mínimo júnior localizado</x:v>
      </x:c>
      <x:c r="AS52" s="39" t="str">
        <x:v>FundosNet/B3; documento 1074880; referência 2025-12-23; p. 10; 34</x:v>
      </x:c>
      <x:c r="AT52" s="39" t="str">
        <x:v>Cotas subordinadas / PL, mínimo de 30,0%; estrutura com uma única classe residual.</x:v>
      </x:c>
      <x:c r="AU52" s="39" t="str">
        <x:v>originador; sacado/devedor; tipo de recebível</x:v>
      </x:c>
      <x:c r="AV52" s="39" t="str">
        <x:v>completo_para_folga</x:v>
      </x:c>
    </x:row>
    <x:row r="53" ht="31.5" customHeight="1">
      <x:c r="A53" s="38" t="n">
        <x:v>49</x:v>
      </x:c>
      <x:c r="B53" s="73" t="n">
        <x:v>57270666000187</x:v>
      </x:c>
      <x:c r="C53" s="38" t="str">
        <x:v>57.270.666/0001-87</x:v>
      </x:c>
      <x:c r="D53" s="38" t="str">
        <x:v>MOBILITAS FUNDO DE INVESTIMENTO EM DIREITOS CREDITÓRIOS - RESPONSABILIDADE LIMITADA</x:v>
      </x:c>
      <x:c r="E53" s="38" t="str">
        <x:v>MOBILITAS FIDC RL</x:v>
      </x:c>
      <x:c r="F53" s="38" t="str">
        <x:v>Carteira 101</x:v>
      </x:c>
      <x:c r="G53" s="38" t="str">
        <x:v>2026-06</x:v>
      </x:c>
      <x:c r="H53" s="38" t="str">
        <x:v>localizado</x:v>
      </x:c>
      <x:c r="I53" s="79" t="n">
        <x:v>53019295.56</x:v>
      </x:c>
      <x:c r="J53" s="79" t="n">
        <x:v>53019295.56016188</x:v>
      </x:c>
      <x:c r="K53" s="79" t="n">
        <x:v>8019295.530011886</x:v>
      </x:c>
      <x:c r="L53" s="85" t="n">
        <x:v>0.15125239679838337</x:v>
      </x:c>
      <x:c r="M53" s="38" t="str">
        <x:v>Calculado com classes reportadas e PL oficial reconciliado</x:v>
      </x:c>
      <x:c r="N53" s="85" t="n">
        <x:v>0.1</x:v>
      </x:c>
      <x:c r="O53" s="85" t="str">
        <x:v>N/D</x:v>
      </x:c>
      <x:c r="P53" s="85" t="str">
        <x:v>N/D</x:v>
      </x:c>
      <x:c r="Q53" s="85" t="str">
        <x:v>N/D</x:v>
      </x:c>
      <x:c r="R53" s="85" t="str">
        <x:v>N/D</x:v>
      </x:c>
      <x:c r="S53" s="85" t="n">
        <x:v>0.1</x:v>
      </x:c>
      <x:c r="T53" s="38" t="str">
        <x:v>10,0%</x:v>
      </x:c>
      <x:c r="U53" s="38" t="str">
        <x:v>junior_pl</x:v>
      </x:c>
      <x:c r="V53" s="38" t="str">
        <x:v>direto no regulamento</x:v>
      </x:c>
      <x:c r="W53" s="67" t="b">
        <x:v>0</x:v>
      </x:c>
      <x:c r="X53" s="38" t="str">
        <x:v>Mínimo júnior isolado; a subordinação atual disponível agrega todas as classes subordinadas.</x:v>
      </x:c>
      <x:c r="Y53" s="67" t="b">
        <x:v>0</x:v>
      </x:c>
      <x:c r="Z53" s="85" t="str">
        <x:v>N/D</x:v>
      </x:c>
      <x:c r="AA53" s="85" t="str">
        <x:v>N/D</x:v>
      </x:c>
      <x:c r="AB53" s="38" t="str">
        <x:v>não medido</x:v>
      </x:c>
      <x:c r="AC53" s="38" t="str">
        <x:v>Agro, Indústria e Comércio</x:v>
      </x:c>
      <x:c r="AD53" s="38" t="str">
        <x:v>Recebíveis Comerciais</x:v>
      </x:c>
      <x:c r="AE53" s="38" t="str">
        <x:v>Agro / Revenda</x:v>
      </x:c>
      <x:c r="AF53" s="38" t="str">
        <x:v>N/D</x:v>
      </x:c>
      <x:c r="AG53" s="38" t="str">
        <x:v>N/D</x:v>
      </x:c>
      <x:c r="AH53" s="38" t="str">
        <x:v>N/D</x:v>
      </x:c>
      <x:c r="AI53" s="38" t="str">
        <x:v>N/D</x:v>
      </x:c>
      <x:c r="AJ53" s="38" t="str">
        <x:v>N/D</x:v>
      </x:c>
      <x:c r="AK53" s="38" t="str">
        <x:v>Direitos Creditórios performados; REDE como adquirente</x:v>
      </x:c>
      <x:c r="AL53" s="38" t="str">
        <x:v>IMG_8705.JPG</x:v>
      </x:c>
      <x:c r="AM53" s="38" t="str">
        <x:v>manual_aplicado</x:v>
      </x:c>
      <x:c r="AN53" s="38" t="str">
        <x:v>Campo Cedente do Direito Creditório vazio na foto.</x:v>
      </x:c>
      <x:c r="AO53" s="38" t="str">
        <x:v>769277</x:v>
      </x:c>
      <x:c r="AP53" s="38" t="str">
        <x:v>2024-10-31</x:v>
      </x:c>
      <x:c r="AQ53" s="38" t="str">
        <x:v>49</x:v>
      </x:c>
      <x:c r="AR53" s="38" t="str">
        <x:v>revisto — mínimo júnior localizado</x:v>
      </x:c>
      <x:c r="AS53" s="38" t="str">
        <x:v>FundosNet/B3; documento 769277; referência 2024-10-31; p. 49</x:v>
      </x:c>
      <x:c r="AT53" s="38" t="str">
        <x:v>Cotas subordinadas júnior / PL, mínimo de 10,0%.</x:v>
      </x:c>
      <x:c r="AU53" s="38" t="str">
        <x:v>originador; cedente; sacado/devedor</x:v>
      </x:c>
      <x:c r="AV53" s="38" t="str">
        <x:v>estrutura_incomparavel</x:v>
      </x:c>
    </x:row>
    <x:row r="54" ht="31.5" customHeight="1">
      <x:c r="A54" s="39" t="n">
        <x:v>50</x:v>
      </x:c>
      <x:c r="B54" s="72" t="n">
        <x:v>58288437000152</x:v>
      </x:c>
      <x:c r="C54" s="39" t="str">
        <x:v>58.288.437/0001-52</x:v>
      </x:c>
      <x:c r="D54" s="39" t="str">
        <x:v>ALTOMAX FUNDO DE INVESTIMENTO EM DIREITOS CREDITÓRIOS SEGMENTO RECEBÍVEIS COMERCIAIS DE RESP LTDA</x:v>
      </x:c>
      <x:c r="E54" s="39" t="str">
        <x:v>ALTOMAX FIDC SEG RECEB COM LTD</x:v>
      </x:c>
      <x:c r="F54" s="39" t="str">
        <x:v>Carteira 101</x:v>
      </x:c>
      <x:c r="G54" s="39" t="str">
        <x:v>2026-06</x:v>
      </x:c>
      <x:c r="H54" s="39" t="str">
        <x:v>localizado</x:v>
      </x:c>
      <x:c r="I54" s="78" t="n">
        <x:v>89924502.54</x:v>
      </x:c>
      <x:c r="J54" s="78" t="n">
        <x:v>89924502.53672034</x:v>
      </x:c>
      <x:c r="K54" s="78" t="n">
        <x:v>58124586.41007054</x:v>
      </x:c>
      <x:c r="L54" s="84" t="n">
        <x:v>0.6463709530582691</x:v>
      </x:c>
      <x:c r="M54" s="39" t="str">
        <x:v>Calculado com classes reportadas e PL oficial reconciliado</x:v>
      </x:c>
      <x:c r="N54" s="84" t="n">
        <x:v>0.2</x:v>
      </x:c>
      <x:c r="O54" s="84" t="str">
        <x:v>N/D</x:v>
      </x:c>
      <x:c r="P54" s="84" t="str">
        <x:v>N/D</x:v>
      </x:c>
      <x:c r="Q54" s="84" t="str">
        <x:v>N/D</x:v>
      </x:c>
      <x:c r="R54" s="84" t="str">
        <x:v>N/D</x:v>
      </x:c>
      <x:c r="S54" s="84" t="n">
        <x:v>0.2</x:v>
      </x:c>
      <x:c r="T54" s="39" t="str">
        <x:v>20,0%</x:v>
      </x:c>
      <x:c r="U54" s="39" t="str">
        <x:v>junior_pl</x:v>
      </x:c>
      <x:c r="V54" s="39" t="str">
        <x:v>direto no regulamento</x:v>
      </x:c>
      <x:c r="W54" s="66" t="b">
        <x:v>0</x:v>
      </x:c>
      <x:c r="X54" s="39" t="str">
        <x:v>Mínimo júnior isolado; a subordinação atual disponível agrega todas as classes subordinadas.</x:v>
      </x:c>
      <x:c r="Y54" s="66" t="b">
        <x:v>0</x:v>
      </x:c>
      <x:c r="Z54" s="84" t="str">
        <x:v>N/D</x:v>
      </x:c>
      <x:c r="AA54" s="84" t="str">
        <x:v>N/D</x:v>
      </x:c>
      <x:c r="AB54" s="39" t="str">
        <x:v>não medido</x:v>
      </x:c>
      <x:c r="AC54" s="39" t="str">
        <x:v>Agro, Indústria e Comércio</x:v>
      </x:c>
      <x:c r="AD54" s="39" t="str">
        <x:v>Recebíveis Comerciais</x:v>
      </x:c>
      <x:c r="AE54" s="39" t="str">
        <x:v>Agro / Revenda</x:v>
      </x:c>
      <x:c r="AF54" s="39" t="str">
        <x:v>N/D</x:v>
      </x:c>
      <x:c r="AG54" s="39" t="str">
        <x:v>N/D</x:v>
      </x:c>
      <x:c r="AH54" s="39" t="str">
        <x:v>N/D</x:v>
      </x:c>
      <x:c r="AI54" s="39" t="str">
        <x:v>N/D</x:v>
      </x:c>
      <x:c r="AJ54" s="39" t="str">
        <x:v>N/D</x:v>
      </x:c>
      <x:c r="AK54" s="39" t="str">
        <x:v>N/D</x:v>
      </x:c>
      <x:c r="AL54" s="39" t="str">
        <x:v>N/D</x:v>
      </x:c>
      <x:c r="AM54" s="39" t="str">
        <x:v>sem_overlay</x:v>
      </x:c>
      <x:c r="AN54" s="39" t="str">
        <x:v>N/D</x:v>
      </x:c>
      <x:c r="AO54" s="39" t="str">
        <x:v>1240668</x:v>
      </x:c>
      <x:c r="AP54" s="39" t="str">
        <x:v>2026-02-24</x:v>
      </x:c>
      <x:c r="AQ54" s="39" t="str">
        <x:v>94</x:v>
      </x:c>
      <x:c r="AR54" s="39" t="str">
        <x:v>revisto — mínimo júnior localizado</x:v>
      </x:c>
      <x:c r="AS54" s="39" t="str">
        <x:v>FundosNet/B3; documento 1240668; referência 2026-02-24; p. 94</x:v>
      </x:c>
      <x:c r="AT54" s="39" t="str">
        <x:v>Índice de Subordinação Mezanino: cotas júnior / PL, mínimo de 20,0%.</x:v>
      </x:c>
      <x:c r="AU54" s="39" t="str">
        <x:v>originador; cedente; sacado/devedor; tipo de recebível</x:v>
      </x:c>
      <x:c r="AV54" s="39" t="str">
        <x:v>estrutura_incomparavel</x:v>
      </x:c>
    </x:row>
    <x:row r="55" ht="31.5" customHeight="1">
      <x:c r="A55" s="38" t="n">
        <x:v>51</x:v>
      </x:c>
      <x:c r="B55" s="73" t="n">
        <x:v>55476342000174</x:v>
      </x:c>
      <x:c r="C55" s="38" t="str">
        <x:v>55.476.342/0001-74</x:v>
      </x:c>
      <x:c r="D55" s="38" t="str">
        <x:v>LAVORO AGRO II FIAGRO - DIREITOS CREDITÓRIOS - RESPONSABILIDADE LIMITADA</x:v>
      </x:c>
      <x:c r="E55" s="38" t="str">
        <x:v>LAVORO AGRO II FUNDO DE INVESTIMENTO EM DIREITOS C</x:v>
      </x:c>
      <x:c r="F55" s="38" t="str">
        <x:v>Carteira 101</x:v>
      </x:c>
      <x:c r="G55" s="38" t="str">
        <x:v>2026-06</x:v>
      </x:c>
      <x:c r="H55" s="38" t="str">
        <x:v>localizado</x:v>
      </x:c>
      <x:c r="I55" s="79" t="str">
        <x:v>N/D</x:v>
      </x:c>
      <x:c r="J55" s="79" t="str">
        <x:v>N/D</x:v>
      </x:c>
      <x:c r="K55" s="79" t="str">
        <x:v>N/D</x:v>
      </x:c>
      <x:c r="L55" s="85" t="str">
        <x:v>N/D</x:v>
      </x:c>
      <x:c r="M55" s="38" t="str">
        <x:v>PL oficial ausente em 2026-06</x:v>
      </x:c>
      <x:c r="N55" s="85" t="n">
        <x:v>0.2</x:v>
      </x:c>
      <x:c r="O55" s="85" t="str">
        <x:v>N/D</x:v>
      </x:c>
      <x:c r="P55" s="85" t="str">
        <x:v>N/D</x:v>
      </x:c>
      <x:c r="Q55" s="85" t="n">
        <x:v>0.2</x:v>
      </x:c>
      <x:c r="R55" s="85" t="str">
        <x:v>N/D</x:v>
      </x:c>
      <x:c r="S55" s="85" t="n">
        <x:v>0.2</x:v>
      </x:c>
      <x:c r="T55" s="38" t="str">
        <x:v>20,0%</x:v>
      </x:c>
      <x:c r="U55" s="38" t="str">
        <x:v>junior_pl</x:v>
      </x:c>
      <x:c r="V55" s="38" t="str">
        <x:v>direto no regulamento</x:v>
      </x:c>
      <x:c r="W55" s="67" t="b">
        <x:v>1</x:v>
      </x:c>
      <x:c r="X55" s="38" t="str">
        <x:v>Estrutura com uma única classe subordinada; métrica atual e piso usam o total subordinado sobre o PL.</x:v>
      </x:c>
      <x:c r="Y55" s="67" t="b">
        <x:v>0</x:v>
      </x:c>
      <x:c r="Z55" s="85" t="str">
        <x:v>N/D</x:v>
      </x:c>
      <x:c r="AA55" s="85" t="str">
        <x:v>N/D</x:v>
      </x:c>
      <x:c r="AB55" s="38" t="str">
        <x:v>não medido</x:v>
      </x:c>
      <x:c r="AC55" s="38" t="str">
        <x:v>Agro, Indústria e Comércio</x:v>
      </x:c>
      <x:c r="AD55" s="38" t="str">
        <x:v>Recebíveis Comerciais</x:v>
      </x:c>
      <x:c r="AE55" s="38" t="str">
        <x:v>Agro / Revenda</x:v>
      </x:c>
      <x:c r="AF55" s="38" t="str">
        <x:v>Lavoro</x:v>
      </x:c>
      <x:c r="AG55" s="38" t="str">
        <x:v>cedente</x:v>
      </x:c>
      <x:c r="AH55" s="38" t="str">
        <x:v>N/D</x:v>
      </x:c>
      <x:c r="AI55" s="38" t="str">
        <x:v>Lavoro</x:v>
      </x:c>
      <x:c r="AJ55" s="38" t="str">
        <x:v>N/D</x:v>
      </x:c>
      <x:c r="AK55" s="38" t="str">
        <x:v>N/D</x:v>
      </x:c>
      <x:c r="AL55" s="38" t="str">
        <x:v>IMG_8705.JPG</x:v>
      </x:c>
      <x:c r="AM55" s="38" t="str">
        <x:v>manual_aplicado</x:v>
      </x:c>
      <x:c r="AN55" s="38" t="str">
        <x:v>OBS da foto: em discussão para possível migração do FIDC para risco bilateral. Denominação cortada.</x:v>
      </x:c>
      <x:c r="AO55" s="38" t="str">
        <x:v>1003108</x:v>
      </x:c>
      <x:c r="AP55" s="38" t="str">
        <x:v>2025-09-30</x:v>
      </x:c>
      <x:c r="AQ55" s="38" t="str">
        <x:v>107; 122</x:v>
      </x:c>
      <x:c r="AR55" s="38" t="str">
        <x:v>revisto — mínimo júnior localizado</x:v>
      </x:c>
      <x:c r="AS55" s="38" t="str">
        <x:v>FundosNet/B3; documento 1003108; referência 2025-09-30; p. 107; 122</x:v>
      </x:c>
      <x:c r="AT55" s="38" t="str">
        <x:v>Cotas subordinadas / PL, mínimo de 20,0%; estrutura com uma única classe residual.</x:v>
      </x:c>
      <x:c r="AU55" s="38" t="str">
        <x:v>PL atual; Sub/PL atual; originador; sacado/devedor; tipo de recebível</x:v>
      </x:c>
      <x:c r="AV55" s="38" t="str">
        <x:v>sub_pl_atual_ausente</x:v>
      </x:c>
    </x:row>
    <x:row r="56" ht="31.5" customHeight="1">
      <x:c r="A56" s="39" t="n">
        <x:v>52</x:v>
      </x:c>
      <x:c r="B56" s="72" t="n">
        <x:v>63679792000192</x:v>
      </x:c>
      <x:c r="C56" s="39" t="str">
        <x:v>63.679.792/0001-92</x:v>
      </x:c>
      <x:c r="D56" s="39" t="str">
        <x:v>BLUE HEALTH FIDC RECEBÍVEIS COMERCIAIS DE RESPONSABILIDADE LIMITADA</x:v>
      </x:c>
      <x:c r="E56" s="39" t="str">
        <x:v>BLUE HEALTH FIDC RECEB LTDA</x:v>
      </x:c>
      <x:c r="F56" s="39" t="str">
        <x:v>Carteira 101</x:v>
      </x:c>
      <x:c r="G56" s="39" t="str">
        <x:v>2026-06</x:v>
      </x:c>
      <x:c r="H56" s="39" t="str">
        <x:v>localizado</x:v>
      </x:c>
      <x:c r="I56" s="78" t="n">
        <x:v>142173656.83</x:v>
      </x:c>
      <x:c r="J56" s="78" t="n">
        <x:v>142173397.65529332</x:v>
      </x:c>
      <x:c r="K56" s="78" t="n">
        <x:v>27430132.82988603</x:v>
      </x:c>
      <x:c r="L56" s="84" t="n">
        <x:v>0.19293400367892913</x:v>
      </x:c>
      <x:c r="M56" s="39" t="str">
        <x:v>Calculado com classes reportadas e PL oficial reconciliado</x:v>
      </x:c>
      <x:c r="N56" s="84" t="n">
        <x:v>0.2</x:v>
      </x:c>
      <x:c r="O56" s="84" t="str">
        <x:v>N/D</x:v>
      </x:c>
      <x:c r="P56" s="84" t="str">
        <x:v>N/D</x:v>
      </x:c>
      <x:c r="Q56" s="84" t="str">
        <x:v>N/D</x:v>
      </x:c>
      <x:c r="R56" s="84" t="str">
        <x:v>N/D</x:v>
      </x:c>
      <x:c r="S56" s="84" t="n">
        <x:v>0.2</x:v>
      </x:c>
      <x:c r="T56" s="39" t="str">
        <x:v>20,0%; 21,0% para amortização</x:v>
      </x:c>
      <x:c r="U56" s="39" t="str">
        <x:v>junior_pl</x:v>
      </x:c>
      <x:c r="V56" s="39" t="str">
        <x:v>direto no regulamento</x:v>
      </x:c>
      <x:c r="W56" s="66" t="b">
        <x:v>0</x:v>
      </x:c>
      <x:c r="X56" s="39" t="str">
        <x:v>Mínimo júnior isolado; a subordinação atual disponível agrega todas as classes subordinadas.</x:v>
      </x:c>
      <x:c r="Y56" s="66" t="b">
        <x:v>0</x:v>
      </x:c>
      <x:c r="Z56" s="84" t="str">
        <x:v>N/D</x:v>
      </x:c>
      <x:c r="AA56" s="84" t="str">
        <x:v>N/D</x:v>
      </x:c>
      <x:c r="AB56" s="39" t="str">
        <x:v>não medido</x:v>
      </x:c>
      <x:c r="AC56" s="39" t="str">
        <x:v>Agro, Indústria e Comércio</x:v>
      </x:c>
      <x:c r="AD56" s="39" t="str">
        <x:v>Recebíveis Comerciais</x:v>
      </x:c>
      <x:c r="AE56" s="39" t="str">
        <x:v>Agro / Revenda</x:v>
      </x:c>
      <x:c r="AF56" s="39" t="str">
        <x:v>Empresas do Conglomerado Blue Health</x:v>
      </x:c>
      <x:c r="AG56" s="39" t="str">
        <x:v>cedente</x:v>
      </x:c>
      <x:c r="AH56" s="39" t="str">
        <x:v>N/D</x:v>
      </x:c>
      <x:c r="AI56" s="39" t="str">
        <x:v>Empresas do Conglomerado Blue Health</x:v>
      </x:c>
      <x:c r="AJ56" s="39" t="str">
        <x:v>N/D</x:v>
      </x:c>
      <x:c r="AK56" s="39" t="str">
        <x:v>recebíveis de contrato de locação de equipamentos hospitalares</x:v>
      </x:c>
      <x:c r="AL56" s="39" t="str">
        <x:v>IMG_8705.JPG</x:v>
      </x:c>
      <x:c r="AM56" s="39" t="str">
        <x:v>manual_aplicado</x:v>
      </x:c>
      <x:c r="AN56" s="39" t="str">
        <x:v>OBS continua fora da foto depois da descrição legível.</x:v>
      </x:c>
      <x:c r="AO56" s="39" t="str">
        <x:v>1101558</x:v>
      </x:c>
      <x:c r="AP56" s="39" t="str">
        <x:v>2026-01-26</x:v>
      </x:c>
      <x:c r="AQ56" s="39" t="str">
        <x:v>92</x:v>
      </x:c>
      <x:c r="AR56" s="39" t="str">
        <x:v>revisto — mínimo júnior localizado</x:v>
      </x:c>
      <x:c r="AS56" s="39" t="str">
        <x:v>FundosNet/B3; documento 1101558; referência 2026-01-26; p. 92</x:v>
      </x:c>
      <x:c r="AT56" s="39" t="str">
        <x:v>Cotas júnior / PL, mínimo de 20,0%; 21,0% para amortização por excesso de cobertura.</x:v>
      </x:c>
      <x:c r="AU56" s="39" t="str">
        <x:v>originador; sacado/devedor</x:v>
      </x:c>
      <x:c r="AV56" s="39" t="str">
        <x:v>estrutura_incomparavel</x:v>
      </x:c>
    </x:row>
    <x:row r="57" ht="31.5" customHeight="1">
      <x:c r="A57" s="38" t="n">
        <x:v>53</x:v>
      </x:c>
      <x:c r="B57" s="73" t="n">
        <x:v>42154687000160</x:v>
      </x:c>
      <x:c r="C57" s="38" t="str">
        <x:v>42.154.687/0001-60</x:v>
      </x:c>
      <x:c r="D57" s="38" t="str">
        <x:v>MULTIPLIKE PLUS FUNDO DE INVESTIMENTO EM DIREITOS CREDITÓRIOS</x:v>
      </x:c>
      <x:c r="E57" s="38" t="str">
        <x:v>MULTIPLIKE PLUS FUNDO I D CRED</x:v>
      </x:c>
      <x:c r="F57" s="38" t="str">
        <x:v>Carteira 101</x:v>
      </x:c>
      <x:c r="G57" s="38" t="str">
        <x:v>2026-06</x:v>
      </x:c>
      <x:c r="H57" s="38" t="str">
        <x:v>localizado</x:v>
      </x:c>
      <x:c r="I57" s="79" t="n">
        <x:v>2118132225.34</x:v>
      </x:c>
      <x:c r="J57" s="79" t="n">
        <x:v>2118132225.3603728</x:v>
      </x:c>
      <x:c r="K57" s="79" t="n">
        <x:v>895048434.993679</x:v>
      </x:c>
      <x:c r="L57" s="85" t="n">
        <x:v>0.42256494863063</x:v>
      </x:c>
      <x:c r="M57" s="38" t="str">
        <x:v>Calculado com classes reportadas e PL oficial reconciliado</x:v>
      </x:c>
      <x:c r="N57" s="85" t="n">
        <x:v>0.2</x:v>
      </x:c>
      <x:c r="O57" s="85" t="str">
        <x:v>N/D</x:v>
      </x:c>
      <x:c r="P57" s="85" t="str">
        <x:v>N/D</x:v>
      </x:c>
      <x:c r="Q57" s="85" t="str">
        <x:v>N/D</x:v>
      </x:c>
      <x:c r="R57" s="85" t="str">
        <x:v>N/D</x:v>
      </x:c>
      <x:c r="S57" s="85" t="n">
        <x:v>0.2</x:v>
      </x:c>
      <x:c r="T57" s="38" t="str">
        <x:v>20,0% (40,0% × 50,0%)</x:v>
      </x:c>
      <x:c r="U57" s="38" t="str">
        <x:v>junior_pl</x:v>
      </x:c>
      <x:c r="V57" s="38" t="str">
        <x:v>direto no regulamento</x:v>
      </x:c>
      <x:c r="W57" s="67" t="b">
        <x:v>0</x:v>
      </x:c>
      <x:c r="X57" s="38" t="str">
        <x:v>Mínimo júnior isolado; a subordinação atual disponível agrega todas as classes subordinadas.</x:v>
      </x:c>
      <x:c r="Y57" s="67" t="b">
        <x:v>0</x:v>
      </x:c>
      <x:c r="Z57" s="85" t="str">
        <x:v>N/D</x:v>
      </x:c>
      <x:c r="AA57" s="85" t="str">
        <x:v>N/D</x:v>
      </x:c>
      <x:c r="AB57" s="38" t="str">
        <x:v>não medido</x:v>
      </x:c>
      <x:c r="AC57" s="38" t="str">
        <x:v>Financeiro</x:v>
      </x:c>
      <x:c r="AD57" s="38" t="str">
        <x:v>Multicarteira Financeiro</x:v>
      </x:c>
      <x:c r="AE57" s="38" t="str">
        <x:v>Financeiro</x:v>
      </x:c>
      <x:c r="AF57" s="38" t="str">
        <x:v>Multicedentes &amp; Multisacados</x:v>
      </x:c>
      <x:c r="AG57" s="38" t="str">
        <x:v>cedente</x:v>
      </x:c>
      <x:c r="AH57" s="38" t="str">
        <x:v>N/D</x:v>
      </x:c>
      <x:c r="AI57" s="38" t="str">
        <x:v>Multicedentes &amp; Multisacados</x:v>
      </x:c>
      <x:c r="AJ57" s="38" t="str">
        <x:v>N/D</x:v>
      </x:c>
      <x:c r="AK57" s="38" t="str">
        <x:v>FIDC MultiCedente / Multisacado</x:v>
      </x:c>
      <x:c r="AL57" s="38" t="str">
        <x:v>IMG_8705.JPG</x:v>
      </x:c>
      <x:c r="AM57" s="38" t="str">
        <x:v>manual_aplicado</x:v>
      </x:c>
      <x:c r="AN57" s="38" t="str">
        <x:v>Denominação cortada pela largura da coluna na foto.</x:v>
      </x:c>
      <x:c r="AO57" s="38" t="str">
        <x:v>1223029</x:v>
      </x:c>
      <x:c r="AP57" s="38" t="str">
        <x:v>2026-06-08</x:v>
      </x:c>
      <x:c r="AQ57" s="38" t="str">
        <x:v>54</x:v>
      </x:c>
      <x:c r="AR57" s="38" t="str">
        <x:v>revisto — mínimo júnior calculado de cláusulas contratuais</x:v>
      </x:c>
      <x:c r="AS57" s="38" t="str">
        <x:v>FundosNet/B3; documento 1223029; referência 2026-06-08; p. 54</x:v>
      </x:c>
      <x:c r="AT57" s="38" t="str">
        <x:v>Mínimo júnior calculado: subordinadas = 40,0% do PL e júnior = 50,0% das subordinadas.</x:v>
      </x:c>
      <x:c r="AU57" s="38" t="str">
        <x:v>originador; sacado/devedor</x:v>
      </x:c>
      <x:c r="AV57" s="38" t="str">
        <x:v>estrutura_incomparavel</x:v>
      </x:c>
    </x:row>
    <x:row r="58" ht="31.5" customHeight="1">
      <x:c r="A58" s="39" t="n">
        <x:v>54</x:v>
      </x:c>
      <x:c r="B58" s="72" t="n">
        <x:v>48946335000123</x:v>
      </x:c>
      <x:c r="C58" s="39" t="str">
        <x:v>48.946.335/0001-23</x:v>
      </x:c>
      <x:c r="D58" s="39" t="str">
        <x:v>NAGRO OIKOS FUNDO DE INVESTIMENTO NAS CADEIAS PRODUTIVAS DO AGRONEGÓCIO</x:v>
      </x:c>
      <x:c r="E58" s="39" t="str">
        <x:v>NAGRO OIKOS FIAGRO FUNDO DE INVESTIMENTO EM DIREI</x:v>
      </x:c>
      <x:c r="F58" s="39" t="str">
        <x:v>Carteira 101</x:v>
      </x:c>
      <x:c r="G58" s="39" t="str">
        <x:v>2026-06</x:v>
      </x:c>
      <x:c r="H58" s="39" t="str">
        <x:v>localizado</x:v>
      </x:c>
      <x:c r="I58" s="78" t="str">
        <x:v>N/D</x:v>
      </x:c>
      <x:c r="J58" s="78" t="str">
        <x:v>N/D</x:v>
      </x:c>
      <x:c r="K58" s="78" t="str">
        <x:v>N/D</x:v>
      </x:c>
      <x:c r="L58" s="84" t="str">
        <x:v>N/D</x:v>
      </x:c>
      <x:c r="M58" s="39" t="str">
        <x:v>PL oficial ausente em 2026-06</x:v>
      </x:c>
      <x:c r="N58" s="84" t="n">
        <x:v>0.1</x:v>
      </x:c>
      <x:c r="O58" s="84" t="str">
        <x:v>N/D</x:v>
      </x:c>
      <x:c r="P58" s="84" t="str">
        <x:v>N/D</x:v>
      </x:c>
      <x:c r="Q58" s="84" t="str">
        <x:v>N/D</x:v>
      </x:c>
      <x:c r="R58" s="84" t="str">
        <x:v>N/D</x:v>
      </x:c>
      <x:c r="S58" s="84" t="n">
        <x:v>0.1</x:v>
      </x:c>
      <x:c r="T58" s="39" t="str">
        <x:v>10,0%</x:v>
      </x:c>
      <x:c r="U58" s="39" t="str">
        <x:v>junior_pl</x:v>
      </x:c>
      <x:c r="V58" s="39" t="str">
        <x:v>direto no regulamento</x:v>
      </x:c>
      <x:c r="W58" s="66" t="b">
        <x:v>0</x:v>
      </x:c>
      <x:c r="X58" s="39" t="str">
        <x:v>Mínimo júnior isolado; a subordinação atual disponível agrega todas as classes subordinadas.</x:v>
      </x:c>
      <x:c r="Y58" s="66" t="b">
        <x:v>0</x:v>
      </x:c>
      <x:c r="Z58" s="84" t="str">
        <x:v>N/D</x:v>
      </x:c>
      <x:c r="AA58" s="84" t="str">
        <x:v>N/D</x:v>
      </x:c>
      <x:c r="AB58" s="39" t="str">
        <x:v>não medido</x:v>
      </x:c>
      <x:c r="AC58" s="39" t="str">
        <x:v>Agro, Indústria e Comércio</x:v>
      </x:c>
      <x:c r="AD58" s="39" t="str">
        <x:v>Recebíveis Comerciais</x:v>
      </x:c>
      <x:c r="AE58" s="39" t="str">
        <x:v>Agro / Revenda</x:v>
      </x:c>
      <x:c r="AF58" s="39" t="str">
        <x:v>Multicedentes</x:v>
      </x:c>
      <x:c r="AG58" s="39" t="str">
        <x:v>cedente</x:v>
      </x:c>
      <x:c r="AH58" s="39" t="str">
        <x:v>N/D</x:v>
      </x:c>
      <x:c r="AI58" s="39" t="str">
        <x:v>Multicedentes</x:v>
      </x:c>
      <x:c r="AJ58" s="39" t="str">
        <x:v>N/D</x:v>
      </x:c>
      <x:c r="AK58" s="39" t="str">
        <x:v>N/D</x:v>
      </x:c>
      <x:c r="AL58" s="39" t="str">
        <x:v>IMG_8705.JPG</x:v>
      </x:c>
      <x:c r="AM58" s="39" t="str">
        <x:v>manual_aplicado</x:v>
      </x:c>
      <x:c r="AN58" s="39" t="str">
        <x:v>OBS da foto: análise NAGRO. Denominação cortada.</x:v>
      </x:c>
      <x:c r="AO58" s="39" t="str">
        <x:v>1000248</x:v>
      </x:c>
      <x:c r="AP58" s="39" t="str">
        <x:v>2025-09-29</x:v>
      </x:c>
      <x:c r="AQ58" s="39" t="str">
        <x:v>57</x:v>
      </x:c>
      <x:c r="AR58" s="39" t="str">
        <x:v>revisto — mínimo júnior localizado</x:v>
      </x:c>
      <x:c r="AS58" s="39" t="str">
        <x:v>FundosNet/B3; documento 1000248; referência 2025-09-29; p. 57</x:v>
      </x:c>
      <x:c r="AT58" s="39" t="str">
        <x:v>Cotas júnior A e B / PL, mínimo de 10,0%.</x:v>
      </x:c>
      <x:c r="AU58" s="39" t="str">
        <x:v>PL atual; Sub/PL atual; originador; sacado/devedor; tipo de recebível</x:v>
      </x:c>
      <x:c r="AV58" s="39" t="str">
        <x:v>sub_pl_atual_ausente</x:v>
      </x:c>
    </x:row>
    <x:row r="59" ht="31.5" customHeight="1">
      <x:c r="A59" s="38" t="n">
        <x:v>55</x:v>
      </x:c>
      <x:c r="B59" s="73" t="n">
        <x:v>55374251000128</x:v>
      </x:c>
      <x:c r="C59" s="38" t="str">
        <x:v>55.374.251/0001-28</x:v>
      </x:c>
      <x:c r="D59" s="38" t="str">
        <x:v>FUNDO DE INVESTIMENTO EM DIREITOS CREDITÓRIOS BLUE II SEGMENTO CRÉDITO CORPORATIVO DE RESP LTDA</x:v>
      </x:c>
      <x:c r="E59" s="38" t="str">
        <x:v>FUNDO DE INVESTIMENTO EM DIREITOS CREDITORIOS BLUE</x:v>
      </x:c>
      <x:c r="F59" s="38" t="str">
        <x:v>Carteira 101</x:v>
      </x:c>
      <x:c r="G59" s="38" t="str">
        <x:v>2026-06</x:v>
      </x:c>
      <x:c r="H59" s="38" t="str">
        <x:v>localizado</x:v>
      </x:c>
      <x:c r="I59" s="79" t="n">
        <x:v>43984629.1</x:v>
      </x:c>
      <x:c r="J59" s="79" t="n">
        <x:v>0</x:v>
      </x:c>
      <x:c r="K59" s="79" t="n">
        <x:v>0</x:v>
      </x:c>
      <x:c r="L59" s="85" t="str">
        <x:v>N/D</x:v>
      </x:c>
      <x:c r="M59" s="38" t="str">
        <x:v>classes de cotas ausentes em 2026-06</x:v>
      </x:c>
      <x:c r="N59" s="85" t="n">
        <x:v>0.05</x:v>
      </x:c>
      <x:c r="O59" s="85" t="str">
        <x:v>N/D</x:v>
      </x:c>
      <x:c r="P59" s="85" t="str">
        <x:v>N/D</x:v>
      </x:c>
      <x:c r="Q59" s="85" t="str">
        <x:v>N/D</x:v>
      </x:c>
      <x:c r="R59" s="85" t="str">
        <x:v>N/D</x:v>
      </x:c>
      <x:c r="S59" s="85" t="n">
        <x:v>0.05</x:v>
      </x:c>
      <x:c r="T59" s="38" t="str">
        <x:v>5,0%</x:v>
      </x:c>
      <x:c r="U59" s="38" t="str">
        <x:v>junior_pl</x:v>
      </x:c>
      <x:c r="V59" s="38" t="str">
        <x:v>direto no regulamento</x:v>
      </x:c>
      <x:c r="W59" s="67" t="b">
        <x:v>0</x:v>
      </x:c>
      <x:c r="X59" s="38" t="str">
        <x:v>Mínimo júnior isolado; a subordinação atual disponível agrega todas as classes subordinadas.</x:v>
      </x:c>
      <x:c r="Y59" s="67" t="b">
        <x:v>0</x:v>
      </x:c>
      <x:c r="Z59" s="85" t="str">
        <x:v>N/D</x:v>
      </x:c>
      <x:c r="AA59" s="85" t="str">
        <x:v>N/D</x:v>
      </x:c>
      <x:c r="AB59" s="38" t="str">
        <x:v>não medido</x:v>
      </x:c>
      <x:c r="AC59" s="38" t="str">
        <x:v>Agro, Indústria e Comércio</x:v>
      </x:c>
      <x:c r="AD59" s="38" t="str">
        <x:v>Crédito Corporativo</x:v>
      </x:c>
      <x:c r="AE59" s="38" t="str">
        <x:v>Agro / Revenda</x:v>
      </x:c>
      <x:c r="AF59" s="38" t="str">
        <x:v>Azul</x:v>
      </x:c>
      <x:c r="AG59" s="38" t="str">
        <x:v>cedente</x:v>
      </x:c>
      <x:c r="AH59" s="38" t="str">
        <x:v>N/D</x:v>
      </x:c>
      <x:c r="AI59" s="38" t="str">
        <x:v>Azul</x:v>
      </x:c>
      <x:c r="AJ59" s="38" t="str">
        <x:v>N/D</x:v>
      </x:c>
      <x:c r="AK59" s="38" t="str">
        <x:v>Debênture</x:v>
      </x:c>
      <x:c r="AL59" s="38" t="str">
        <x:v>IMG_8705.JPG</x:v>
      </x:c>
      <x:c r="AM59" s="38" t="str">
        <x:v>manual_aplicado</x:v>
      </x:c>
      <x:c r="AN59" s="38" t="str">
        <x:v>OBS da foto: Book Special Sits; risco de repagamento Azul com 40% de subordinação.</x:v>
      </x:c>
      <x:c r="AO59" s="38" t="str">
        <x:v>686750</x:v>
      </x:c>
      <x:c r="AP59" s="38" t="str">
        <x:v>2024-06-25</x:v>
      </x:c>
      <x:c r="AQ59" s="38" t="str">
        <x:v>61</x:v>
      </x:c>
      <x:c r="AR59" s="38" t="str">
        <x:v>revisto — mínimo júnior localizado</x:v>
      </x:c>
      <x:c r="AS59" s="38" t="str">
        <x:v>FundosNet/B3; documento 686750; referência 2024-06-25; p. 61</x:v>
      </x:c>
      <x:c r="AT59" s="38" t="str">
        <x:v>Índice de Subordinação Mezanino II: cotas júnior / PL, mínimo de 5,0%.</x:v>
      </x:c>
      <x:c r="AU59" s="38" t="str">
        <x:v>Sub/PL atual; originador; sacado/devedor</x:v>
      </x:c>
      <x:c r="AV59" s="38" t="str">
        <x:v>sub_pl_atual_ausente</x:v>
      </x:c>
    </x:row>
    <x:row r="60" ht="31.5" customHeight="1">
      <x:c r="A60" s="39" t="n">
        <x:v>56</x:v>
      </x:c>
      <x:c r="B60" s="72" t="n">
        <x:v>35868110000154</x:v>
      </x:c>
      <x:c r="C60" s="39" t="str">
        <x:v>35.868.110/0001-54</x:v>
      </x:c>
      <x:c r="D60" s="39" t="str">
        <x:v>FUNDO DE INVESTIMENTO EM DIREITOS CREDITÓRIOS BV - CRÉDITO DE VEÍCULOS RESPONSABILIDADE LIMITADA</x:v>
      </x:c>
      <x:c r="E60" s="39" t="str">
        <x:v>FUNDO DE INVESTIMENTO EM DIREITOS CREDITORIOS BV</x:v>
      </x:c>
      <x:c r="F60" s="39" t="str">
        <x:v>Carteira 101</x:v>
      </x:c>
      <x:c r="G60" s="39" t="str">
        <x:v>2026-06</x:v>
      </x:c>
      <x:c r="H60" s="39" t="str">
        <x:v>localizado</x:v>
      </x:c>
      <x:c r="I60" s="78" t="str">
        <x:v>N/D</x:v>
      </x:c>
      <x:c r="J60" s="78" t="str">
        <x:v>N/D</x:v>
      </x:c>
      <x:c r="K60" s="78" t="str">
        <x:v>N/D</x:v>
      </x:c>
      <x:c r="L60" s="84" t="str">
        <x:v>N/D</x:v>
      </x:c>
      <x:c r="M60" s="39" t="str">
        <x:v>PL oficial ausente em 2026-06</x:v>
      </x:c>
      <x:c r="N60" s="84" t="n">
        <x:v>0.25</x:v>
      </x:c>
      <x:c r="O60" s="84" t="str">
        <x:v>N/D</x:v>
      </x:c>
      <x:c r="P60" s="84" t="str">
        <x:v>N/D</x:v>
      </x:c>
      <x:c r="Q60" s="84" t="n">
        <x:v>0.25</x:v>
      </x:c>
      <x:c r="R60" s="84" t="str">
        <x:v>N/D</x:v>
      </x:c>
      <x:c r="S60" s="84" t="n">
        <x:v>0.25</x:v>
      </x:c>
      <x:c r="T60" s="39" t="str">
        <x:v>25,0%</x:v>
      </x:c>
      <x:c r="U60" s="39" t="str">
        <x:v>junior_pl</x:v>
      </x:c>
      <x:c r="V60" s="39" t="str">
        <x:v>direto no regulamento</x:v>
      </x:c>
      <x:c r="W60" s="66" t="b">
        <x:v>1</x:v>
      </x:c>
      <x:c r="X60" s="39" t="str">
        <x:v>Estrutura com uma única classe subordinada; métrica atual e piso usam o total subordinado sobre o PL.</x:v>
      </x:c>
      <x:c r="Y60" s="66" t="b">
        <x:v>0</x:v>
      </x:c>
      <x:c r="Z60" s="84" t="str">
        <x:v>N/D</x:v>
      </x:c>
      <x:c r="AA60" s="84" t="str">
        <x:v>N/D</x:v>
      </x:c>
      <x:c r="AB60" s="39" t="str">
        <x:v>não medido</x:v>
      </x:c>
      <x:c r="AC60" s="39" t="str">
        <x:v>Financeiro</x:v>
      </x:c>
      <x:c r="AD60" s="39" t="str">
        <x:v>Financiamento de Veículos</x:v>
      </x:c>
      <x:c r="AE60" s="39" t="str">
        <x:v>Veículos</x:v>
      </x:c>
      <x:c r="AF60" s="39" t="str">
        <x:v>Banco Votorantim</x:v>
      </x:c>
      <x:c r="AG60" s="39" t="str">
        <x:v>cedente</x:v>
      </x:c>
      <x:c r="AH60" s="39" t="str">
        <x:v>N/D</x:v>
      </x:c>
      <x:c r="AI60" s="39" t="str">
        <x:v>Banco Votorantim</x:v>
      </x:c>
      <x:c r="AJ60" s="39" t="str">
        <x:v>N/D</x:v>
      </x:c>
      <x:c r="AK60" s="39" t="str">
        <x:v>Carteira Veículos com coobrigação BV</x:v>
      </x:c>
      <x:c r="AL60" s="39" t="str">
        <x:v>IMG_8705.JPG</x:v>
      </x:c>
      <x:c r="AM60" s="39" t="str">
        <x:v>manual_aplicado</x:v>
      </x:c>
      <x:c r="AN60" s="39" t="str">
        <x:v>N/D</x:v>
      </x:c>
      <x:c r="AO60" s="39" t="str">
        <x:v>792021</x:v>
      </x:c>
      <x:c r="AP60" s="39" t="str">
        <x:v>2024-11-27</x:v>
      </x:c>
      <x:c r="AQ60" s="39" t="str">
        <x:v>48</x:v>
      </x:c>
      <x:c r="AR60" s="39" t="str">
        <x:v>revisto — mínimo júnior localizado</x:v>
      </x:c>
      <x:c r="AS60" s="39" t="str">
        <x:v>FundosNet/B3; documento 792021; referência 2024-11-27; p. 48</x:v>
      </x:c>
      <x:c r="AT60" s="39" t="str">
        <x:v>Cotas subordinadas / PL, mínimo de 25,0%; estrutura com uma única classe residual.</x:v>
      </x:c>
      <x:c r="AU60" s="39" t="str">
        <x:v>PL atual; Sub/PL atual; originador; sacado/devedor</x:v>
      </x:c>
      <x:c r="AV60" s="39" t="str">
        <x:v>sub_pl_atual_ausente</x:v>
      </x:c>
    </x:row>
    <x:row r="61" ht="31.5" customHeight="1">
      <x:c r="A61" s="38" t="n">
        <x:v>57</x:v>
      </x:c>
      <x:c r="B61" s="73" t="n">
        <x:v>48953864000154</x:v>
      </x:c>
      <x:c r="C61" s="38" t="str">
        <x:v>48.953.864/0001-54</x:v>
      </x:c>
      <x:c r="D61" s="38" t="str">
        <x:v>FUNDO DE INVESTIMENTO EM DIREITOS CREDITORIOS ASAAS II - RESPONSABILIDADE LIMITADA</x:v>
      </x:c>
      <x:c r="E61" s="38" t="str">
        <x:v>FUNDO INVESTIMENTO E D C A II</x:v>
      </x:c>
      <x:c r="F61" s="38" t="str">
        <x:v>Carteira 101</x:v>
      </x:c>
      <x:c r="G61" s="38" t="str">
        <x:v>2026-06</x:v>
      </x:c>
      <x:c r="H61" s="38" t="str">
        <x:v>localizado</x:v>
      </x:c>
      <x:c r="I61" s="79" t="str">
        <x:v>N/D</x:v>
      </x:c>
      <x:c r="J61" s="79" t="str">
        <x:v>N/D</x:v>
      </x:c>
      <x:c r="K61" s="79" t="str">
        <x:v>N/D</x:v>
      </x:c>
      <x:c r="L61" s="85" t="str">
        <x:v>N/D</x:v>
      </x:c>
      <x:c r="M61" s="38" t="str">
        <x:v>PL oficial ausente em 2026-06</x:v>
      </x:c>
      <x:c r="N61" s="85" t="n">
        <x:v>0.15</x:v>
      </x:c>
      <x:c r="O61" s="85" t="str">
        <x:v>N/D</x:v>
      </x:c>
      <x:c r="P61" s="85" t="str">
        <x:v>N/D</x:v>
      </x:c>
      <x:c r="Q61" s="85" t="n">
        <x:v>0.15</x:v>
      </x:c>
      <x:c r="R61" s="85" t="str">
        <x:v>N/D</x:v>
      </x:c>
      <x:c r="S61" s="85" t="n">
        <x:v>0.15</x:v>
      </x:c>
      <x:c r="T61" s="38" t="str">
        <x:v>15,0%</x:v>
      </x:c>
      <x:c r="U61" s="38" t="str">
        <x:v>junior_pl</x:v>
      </x:c>
      <x:c r="V61" s="38" t="str">
        <x:v>direto no regulamento</x:v>
      </x:c>
      <x:c r="W61" s="67" t="b">
        <x:v>1</x:v>
      </x:c>
      <x:c r="X61" s="38" t="str">
        <x:v>Estrutura com uma única classe subordinada; métrica atual e piso usam o total subordinado sobre o PL.</x:v>
      </x:c>
      <x:c r="Y61" s="67" t="b">
        <x:v>0</x:v>
      </x:c>
      <x:c r="Z61" s="85" t="str">
        <x:v>N/D</x:v>
      </x:c>
      <x:c r="AA61" s="85" t="str">
        <x:v>N/D</x:v>
      </x:c>
      <x:c r="AB61" s="38" t="str">
        <x:v>não medido</x:v>
      </x:c>
      <x:c r="AC61" s="38" t="str">
        <x:v>Agro, Indústria e Comércio</x:v>
      </x:c>
      <x:c r="AD61" s="38" t="str">
        <x:v>N/D</x:v>
      </x:c>
      <x:c r="AE61" s="38" t="str">
        <x:v>Agro / Revenda</x:v>
      </x:c>
      <x:c r="AF61" s="38" t="str">
        <x:v>Asaas IP</x:v>
      </x:c>
      <x:c r="AG61" s="38" t="str">
        <x:v>cedente</x:v>
      </x:c>
      <x:c r="AH61" s="38" t="str">
        <x:v>N/D</x:v>
      </x:c>
      <x:c r="AI61" s="38" t="str">
        <x:v>Asaas IP</x:v>
      </x:c>
      <x:c r="AJ61" s="38" t="str">
        <x:v>N/D</x:v>
      </x:c>
      <x:c r="AK61" s="38" t="str">
        <x:v>80% Redecard e 20% Adyen</x:v>
      </x:c>
      <x:c r="AL61" s="38" t="str">
        <x:v>IMG_8705.JPG</x:v>
      </x:c>
      <x:c r="AM61" s="38" t="str">
        <x:v>manual_aplicado</x:v>
      </x:c>
      <x:c r="AN61" s="38" t="str">
        <x:v>N/D</x:v>
      </x:c>
      <x:c r="AO61" s="38" t="str">
        <x:v>774314</x:v>
      </x:c>
      <x:c r="AP61" s="38" t="str">
        <x:v>2024-11-05</x:v>
      </x:c>
      <x:c r="AQ61" s="38" t="str">
        <x:v>33; 107</x:v>
      </x:c>
      <x:c r="AR61" s="38" t="str">
        <x:v>revisto — mínimo júnior localizado</x:v>
      </x:c>
      <x:c r="AS61" s="38" t="str">
        <x:v>FundosNet/B3; documento 774314; referência 2024-11-05; p. 33; 107</x:v>
      </x:c>
      <x:c r="AT61" s="38" t="str">
        <x:v>Cotas subordinadas / PL, mínimo de 15,0%; estrutura com uma única classe residual.</x:v>
      </x:c>
      <x:c r="AU61" s="38" t="str">
        <x:v>PL atual; Sub/PL atual; originador; sacado/devedor</x:v>
      </x:c>
      <x:c r="AV61" s="38" t="str">
        <x:v>sub_pl_atual_ausente</x:v>
      </x:c>
    </x:row>
    <x:row r="62" ht="31.5" customHeight="1">
      <x:c r="A62" s="39" t="n">
        <x:v>58</x:v>
      </x:c>
      <x:c r="B62" s="72" t="n">
        <x:v>65976848000104</x:v>
      </x:c>
      <x:c r="C62" s="39" t="str">
        <x:v>65.976.848/0001-04</x:v>
      </x:c>
      <x:c r="D62" s="39" t="str">
        <x:v>FUNDO DE INVESTIMENTO EM DIREITOS CREDITÓRIOS AGIBANK II RESPONSABILIDADE LIMITADA</x:v>
      </x:c>
      <x:c r="E62" s="39" t="str">
        <x:v>FUNDO DE INVESTIMENTO EM DIREITOS CREDITORIOS AGIBANK II</x:v>
      </x:c>
      <x:c r="F62" s="39" t="str">
        <x:v>Carteira 101</x:v>
      </x:c>
      <x:c r="G62" s="39" t="str">
        <x:v>2026-06</x:v>
      </x:c>
      <x:c r="H62" s="39" t="str">
        <x:v>localizado</x:v>
      </x:c>
      <x:c r="I62" s="78" t="n">
        <x:v>2967229777.92</x:v>
      </x:c>
      <x:c r="J62" s="78" t="n">
        <x:v>2967229777.9234886</x:v>
      </x:c>
      <x:c r="K62" s="78" t="n">
        <x:v>451533526.1001992</x:v>
      </x:c>
      <x:c r="L62" s="84" t="n">
        <x:v>0.15217342770694353</x:v>
      </x:c>
      <x:c r="M62" s="39" t="str">
        <x:v>Calculado com classes reportadas e PL oficial reconciliado</x:v>
      </x:c>
      <x:c r="N62" s="84" t="n">
        <x:v>0.05</x:v>
      </x:c>
      <x:c r="O62" s="84" t="str">
        <x:v>N/D</x:v>
      </x:c>
      <x:c r="P62" s="84" t="str">
        <x:v>N/D</x:v>
      </x:c>
      <x:c r="Q62" s="84" t="str">
        <x:v>N/D</x:v>
      </x:c>
      <x:c r="R62" s="84" t="str">
        <x:v>N/D</x:v>
      </x:c>
      <x:c r="S62" s="84" t="n">
        <x:v>0.05</x:v>
      </x:c>
      <x:c r="T62" s="39" t="str">
        <x:v>5,0%</x:v>
      </x:c>
      <x:c r="U62" s="39" t="str">
        <x:v>junior_pl</x:v>
      </x:c>
      <x:c r="V62" s="39" t="str">
        <x:v>direto no regulamento</x:v>
      </x:c>
      <x:c r="W62" s="66" t="b">
        <x:v>0</x:v>
      </x:c>
      <x:c r="X62" s="39" t="str">
        <x:v>Mínimo júnior isolado; a subordinação atual disponível agrega todas as classes subordinadas.</x:v>
      </x:c>
      <x:c r="Y62" s="66" t="b">
        <x:v>0</x:v>
      </x:c>
      <x:c r="Z62" s="84" t="str">
        <x:v>N/D</x:v>
      </x:c>
      <x:c r="AA62" s="84" t="str">
        <x:v>N/D</x:v>
      </x:c>
      <x:c r="AB62" s="39" t="str">
        <x:v>não medido</x:v>
      </x:c>
      <x:c r="AC62" s="39" t="str">
        <x:v>Financeiro</x:v>
      </x:c>
      <x:c r="AD62" s="39" t="str">
        <x:v>Crédito Consignado</x:v>
      </x:c>
      <x:c r="AE62" s="39" t="str">
        <x:v>Consignado INSS</x:v>
      </x:c>
      <x:c r="AF62" s="39" t="str">
        <x:v>N/D</x:v>
      </x:c>
      <x:c r="AG62" s="39" t="str">
        <x:v>N/D</x:v>
      </x:c>
      <x:c r="AH62" s="39" t="str">
        <x:v>N/D</x:v>
      </x:c>
      <x:c r="AI62" s="39" t="str">
        <x:v>N/D</x:v>
      </x:c>
      <x:c r="AJ62" s="39" t="str">
        <x:v>N/D</x:v>
      </x:c>
      <x:c r="AK62" s="39" t="str">
        <x:v>N/D</x:v>
      </x:c>
      <x:c r="AL62" s="39" t="str">
        <x:v>N/D</x:v>
      </x:c>
      <x:c r="AM62" s="39" t="str">
        <x:v>sem_overlay</x:v>
      </x:c>
      <x:c r="AN62" s="39" t="str">
        <x:v>N/D</x:v>
      </x:c>
      <x:c r="AO62" s="39" t="str">
        <x:v>1239452</x:v>
      </x:c>
      <x:c r="AP62" s="39" t="str">
        <x:v>2026-06-22</x:v>
      </x:c>
      <x:c r="AQ62" s="39" t="str">
        <x:v>35</x:v>
      </x:c>
      <x:c r="AR62" s="39" t="str">
        <x:v>revisto — mínimo júnior localizado</x:v>
      </x:c>
      <x:c r="AS62" s="39" t="str">
        <x:v>FundosNet/B3; documento 1239452; referência 2026-06-22; p. 35</x:v>
      </x:c>
      <x:c r="AT62" s="39" t="str">
        <x:v>Índice de Subordinação Mezanino: cotas júnior / PL, mínimo de 5,0%.</x:v>
      </x:c>
      <x:c r="AU62" s="39" t="str">
        <x:v>originador; cedente; sacado/devedor; tipo de recebível</x:v>
      </x:c>
      <x:c r="AV62" s="39" t="str">
        <x:v>estrutura_incomparavel</x:v>
      </x:c>
    </x:row>
    <x:row r="63" ht="31.5" customHeight="1">
      <x:c r="A63" s="38" t="n">
        <x:v>59</x:v>
      </x:c>
      <x:c r="B63" s="73" t="n">
        <x:v>50536324000117</x:v>
      </x:c>
      <x:c r="C63" s="38" t="str">
        <x:v>50.536.324/0001-17</x:v>
      </x:c>
      <x:c r="D63" s="38" t="str">
        <x:v>MAQNELSON FUNDO DE INVESTIMENTO EM DIREITOS CREDITÓRIOS - RESPONSABILIDADE LIMITADA</x:v>
      </x:c>
      <x:c r="E63" s="38" t="str">
        <x:v>MAQNELSON FUNDO DE INVESTIMENTO EM DIREITOS CREDIT</x:v>
      </x:c>
      <x:c r="F63" s="38" t="str">
        <x:v>Carteira 101</x:v>
      </x:c>
      <x:c r="G63" s="38" t="str">
        <x:v>2026-06</x:v>
      </x:c>
      <x:c r="H63" s="38" t="str">
        <x:v>localizado</x:v>
      </x:c>
      <x:c r="I63" s="79" t="n">
        <x:v>100033081.36</x:v>
      </x:c>
      <x:c r="J63" s="79" t="n">
        <x:v>100033081.36199924</x:v>
      </x:c>
      <x:c r="K63" s="79" t="n">
        <x:v>49222102.65001788</x:v>
      </x:c>
      <x:c r="L63" s="85" t="n">
        <x:v>0.49205824694009886</x:v>
      </x:c>
      <x:c r="M63" s="38" t="str">
        <x:v>Calculado com classes reportadas e PL oficial reconciliado</x:v>
      </x:c>
      <x:c r="N63" s="85" t="n">
        <x:v>0.5</x:v>
      </x:c>
      <x:c r="O63" s="85" t="str">
        <x:v>N/D</x:v>
      </x:c>
      <x:c r="P63" s="85" t="str">
        <x:v>N/D</x:v>
      </x:c>
      <x:c r="Q63" s="85" t="n">
        <x:v>0.5</x:v>
      </x:c>
      <x:c r="R63" s="85" t="str">
        <x:v>N/D</x:v>
      </x:c>
      <x:c r="S63" s="85" t="n">
        <x:v>0.5</x:v>
      </x:c>
      <x:c r="T63" s="38" t="str">
        <x:v>50,0%</x:v>
      </x:c>
      <x:c r="U63" s="38" t="str">
        <x:v>junior_pl</x:v>
      </x:c>
      <x:c r="V63" s="38" t="str">
        <x:v>direto no regulamento</x:v>
      </x:c>
      <x:c r="W63" s="67" t="b">
        <x:v>1</x:v>
      </x:c>
      <x:c r="X63" s="38" t="str">
        <x:v>Estrutura com uma única classe subordinada; métrica atual e piso usam o total subordinado sobre o PL.</x:v>
      </x:c>
      <x:c r="Y63" s="67" t="b">
        <x:v>0</x:v>
      </x:c>
      <x:c r="Z63" s="85" t="n">
        <x:v>-0.007941753059901135</x:v>
      </x:c>
      <x:c r="AA63" s="85" t="n">
        <x:v>-0.01588350611980227</x:v>
      </x:c>
      <x:c r="AB63" s="38" t="str">
        <x:v>abaixo do mínimo</x:v>
      </x:c>
      <x:c r="AC63" s="38" t="str">
        <x:v>Agro, Indústria e Comércio</x:v>
      </x:c>
      <x:c r="AD63" s="38" t="str">
        <x:v>Recebíveis Comerciais</x:v>
      </x:c>
      <x:c r="AE63" s="38" t="str">
        <x:v>Agro / Revenda</x:v>
      </x:c>
      <x:c r="AF63" s="38" t="str">
        <x:v>Maqnelson</x:v>
      </x:c>
      <x:c r="AG63" s="38" t="str">
        <x:v>cedente</x:v>
      </x:c>
      <x:c r="AH63" s="38" t="str">
        <x:v>N/D</x:v>
      </x:c>
      <x:c r="AI63" s="38" t="str">
        <x:v>Maqnelson</x:v>
      </x:c>
      <x:c r="AJ63" s="38" t="str">
        <x:v>N/D</x:v>
      </x:c>
      <x:c r="AK63" s="38" t="str">
        <x:v>máquinas agrícolas</x:v>
      </x:c>
      <x:c r="AL63" s="38" t="str">
        <x:v>IMG_8706.JPG</x:v>
      </x:c>
      <x:c r="AM63" s="38" t="str">
        <x:v>manual_aplicado</x:v>
      </x:c>
      <x:c r="AN63" s="38" t="str">
        <x:v>OBS legível: houve desenquadramento da subordinação e haverá amortização de parcela da cota para reenquadramento; final cortado. Denominação cortada.</x:v>
      </x:c>
      <x:c r="AO63" s="38" t="str">
        <x:v>918862</x:v>
      </x:c>
      <x:c r="AP63" s="38" t="str">
        <x:v>2025-06-04</x:v>
      </x:c>
      <x:c r="AQ63" s="38" t="str">
        <x:v>111</x:v>
      </x:c>
      <x:c r="AR63" s="38" t="str">
        <x:v>revisto — mínimo júnior localizado</x:v>
      </x:c>
      <x:c r="AS63" s="38" t="str">
        <x:v>FundosNet/B3; documento 918862; referência 2025-06-04; p. 111</x:v>
      </x:c>
      <x:c r="AT63" s="38" t="str">
        <x:v>Cotas subordinadas / PL, mínimo de 50,0%; estrutura com uma única classe residual.</x:v>
      </x:c>
      <x:c r="AU63" s="38" t="str">
        <x:v>originador; sacado/devedor</x:v>
      </x:c>
      <x:c r="AV63" s="38" t="str">
        <x:v>completo_para_folga</x:v>
      </x:c>
    </x:row>
    <x:row r="64" ht="31.5" customHeight="1">
      <x:c r="A64" s="39" t="n">
        <x:v>60</x:v>
      </x:c>
      <x:c r="B64" s="72" t="n">
        <x:v>57816252000100</x:v>
      </x:c>
      <x:c r="C64" s="39" t="str">
        <x:v>57.816.252/0001-00</x:v>
      </x:c>
      <x:c r="D64" s="39" t="str">
        <x:v>NATURA PAY FUNDO DE INVESTIMENTO EM DIREITOS CREDITÓRIOS CRÉDITO PESSOAL SOCIAL E IS RESP LTDA</x:v>
      </x:c>
      <x:c r="E64" s="39" t="str">
        <x:v>NATURA PAY FUNDO DE INVESTIMENTO EM DIREITOS CREDI</x:v>
      </x:c>
      <x:c r="F64" s="39" t="str">
        <x:v>Carteira 101</x:v>
      </x:c>
      <x:c r="G64" s="39" t="str">
        <x:v>2026-06</x:v>
      </x:c>
      <x:c r="H64" s="39" t="str">
        <x:v>localizado</x:v>
      </x:c>
      <x:c r="I64" s="78" t="n">
        <x:v>1009314406.64</x:v>
      </x:c>
      <x:c r="J64" s="78" t="n">
        <x:v>1009314406.6414638</x:v>
      </x:c>
      <x:c r="K64" s="78" t="n">
        <x:v>286045765.9903723</x:v>
      </x:c>
      <x:c r="L64" s="84" t="n">
        <x:v>0.28340600719513803</x:v>
      </x:c>
      <x:c r="M64" s="39" t="str">
        <x:v>Calculado com classes reportadas e PL oficial reconciliado</x:v>
      </x:c>
      <x:c r="N64" s="84" t="n">
        <x:v>0.2526</x:v>
      </x:c>
      <x:c r="O64" s="84" t="str">
        <x:v>N/D</x:v>
      </x:c>
      <x:c r="P64" s="84" t="str">
        <x:v>N/D</x:v>
      </x:c>
      <x:c r="Q64" s="84" t="n">
        <x:v>0.2526</x:v>
      </x:c>
      <x:c r="R64" s="84" t="str">
        <x:v>N/D</x:v>
      </x:c>
      <x:c r="S64" s="84" t="n">
        <x:v>0.2526</x:v>
      </x:c>
      <x:c r="T64" s="39" t="str">
        <x:v>25,26%</x:v>
      </x:c>
      <x:c r="U64" s="39" t="str">
        <x:v>junior_pl</x:v>
      </x:c>
      <x:c r="V64" s="39" t="str">
        <x:v>direto no regulamento</x:v>
      </x:c>
      <x:c r="W64" s="66" t="b">
        <x:v>1</x:v>
      </x:c>
      <x:c r="X64" s="39" t="str">
        <x:v>Estrutura com uma única classe subordinada; métrica atual e piso usam o total subordinado sobre o PL.</x:v>
      </x:c>
      <x:c r="Y64" s="66" t="b">
        <x:v>0</x:v>
      </x:c>
      <x:c r="Z64" s="84" t="n">
        <x:v>0.03080600719513804</x:v>
      </x:c>
      <x:c r="AA64" s="84" t="n">
        <x:v>0.04121756381474182</x:v>
      </x:c>
      <x:c r="AB64" s="39" t="str">
        <x:v>acima do mínimo</x:v>
      </x:c>
      <x:c r="AC64" s="39" t="str">
        <x:v>Financeiro</x:v>
      </x:c>
      <x:c r="AD64" s="39" t="str">
        <x:v>Crédito Pessoal</x:v>
      </x:c>
      <x:c r="AE64" s="39" t="str">
        <x:v>Financeiro</x:v>
      </x:c>
      <x:c r="AF64" s="39" t="str">
        <x:v>Natura &amp;CO Pay Sociedade de Crédito Direto S.A.</x:v>
      </x:c>
      <x:c r="AG64" s="39" t="str">
        <x:v>cedente</x:v>
      </x:c>
      <x:c r="AH64" s="39" t="str">
        <x:v>N/D</x:v>
      </x:c>
      <x:c r="AI64" s="39" t="str">
        <x:v>Natura &amp;CO Pay Sociedade de Crédito Direto S.A.</x:v>
      </x:c>
      <x:c r="AJ64" s="39" t="str">
        <x:v>N/D</x:v>
      </x:c>
      <x:c r="AK64" s="39" t="str">
        <x:v>Duplicatas de venda de produtos a prazo para Consultoras Natura; em geral parcelado 3x sem juros</x:v>
      </x:c>
      <x:c r="AL64" s="39" t="str">
        <x:v>IMG_8706.JPG</x:v>
      </x:c>
      <x:c r="AM64" s="39" t="str">
        <x:v>manual_aplicado</x:v>
      </x:c>
      <x:c r="AN64" s="39" t="str">
        <x:v>Coluna adicional da foto: Duplicatas. Denominação cortada.</x:v>
      </x:c>
      <x:c r="AO64" s="39" t="str">
        <x:v>1182394</x:v>
      </x:c>
      <x:c r="AP64" s="39" t="str">
        <x:v>2026-05-07</x:v>
      </x:c>
      <x:c r="AQ64" s="39" t="str">
        <x:v>28; 68</x:v>
      </x:c>
      <x:c r="AR64" s="39" t="str">
        <x:v>revisto — mínimo júnior localizado</x:v>
      </x:c>
      <x:c r="AS64" s="39" t="str">
        <x:v>FundosNet/B3; documento 1182394; referência 2026-05-07; p. 28; 68</x:v>
      </x:c>
      <x:c r="AT64" s="39" t="str">
        <x:v>Cotas subordinadas / PL, mínimo de 25,26%; estrutura com uma única classe residual.</x:v>
      </x:c>
      <x:c r="AU64" s="39" t="str">
        <x:v>originador; sacado/devedor</x:v>
      </x:c>
      <x:c r="AV64" s="39" t="str">
        <x:v>completo_para_folga</x:v>
      </x:c>
    </x:row>
    <x:row r="65" ht="31.5" customHeight="1">
      <x:c r="A65" s="38" t="n">
        <x:v>61</x:v>
      </x:c>
      <x:c r="B65" s="73" t="n">
        <x:v>50473039000102</x:v>
      </x:c>
      <x:c r="C65" s="38" t="str">
        <x:v>50.473.039/0001-02</x:v>
      </x:c>
      <x:c r="D65" s="38" t="str">
        <x:v>SELLER FIDC SEGMENTO MEIOS DE PAGAMENTO DE RESPONSABILIDADE LIMITADA</x:v>
      </x:c>
      <x:c r="E65" s="38" t="str">
        <x:v>SELLER FUNDO DE INVESTIMENTO EM DIREITOS CREDITORIOS</x:v>
      </x:c>
      <x:c r="F65" s="38" t="str">
        <x:v>Carteira 101</x:v>
      </x:c>
      <x:c r="G65" s="38" t="str">
        <x:v>2026-06</x:v>
      </x:c>
      <x:c r="H65" s="38" t="str">
        <x:v>localizado</x:v>
      </x:c>
      <x:c r="I65" s="79" t="n">
        <x:v>3656448188.16</x:v>
      </x:c>
      <x:c r="J65" s="79" t="n">
        <x:v>3656448188.156041</x:v>
      </x:c>
      <x:c r="K65" s="79" t="n">
        <x:v>1877109875.6587489</x:v>
      </x:c>
      <x:c r="L65" s="85" t="n">
        <x:v>0.513369745464204</x:v>
      </x:c>
      <x:c r="M65" s="38" t="str">
        <x:v>Calculado com classes reportadas e PL oficial reconciliado</x:v>
      </x:c>
      <x:c r="N65" s="85" t="n">
        <x:v>0.1</x:v>
      </x:c>
      <x:c r="O65" s="85" t="str">
        <x:v>N/D</x:v>
      </x:c>
      <x:c r="P65" s="85" t="str">
        <x:v>N/D</x:v>
      </x:c>
      <x:c r="Q65" s="85" t="str">
        <x:v>N/D</x:v>
      </x:c>
      <x:c r="R65" s="85" t="str">
        <x:v>N/D</x:v>
      </x:c>
      <x:c r="S65" s="85" t="n">
        <x:v>0.1</x:v>
      </x:c>
      <x:c r="T65" s="38" t="str">
        <x:v>10,0%</x:v>
      </x:c>
      <x:c r="U65" s="38" t="str">
        <x:v>junior_pl</x:v>
      </x:c>
      <x:c r="V65" s="38" t="str">
        <x:v>direto no regulamento</x:v>
      </x:c>
      <x:c r="W65" s="67" t="b">
        <x:v>0</x:v>
      </x:c>
      <x:c r="X65" s="38" t="str">
        <x:v>Mínimo júnior isolado; a subordinação atual disponível agrega todas as classes subordinadas.</x:v>
      </x:c>
      <x:c r="Y65" s="67" t="b">
        <x:v>0</x:v>
      </x:c>
      <x:c r="Z65" s="85" t="str">
        <x:v>N/D</x:v>
      </x:c>
      <x:c r="AA65" s="85" t="str">
        <x:v>N/D</x:v>
      </x:c>
      <x:c r="AB65" s="38" t="str">
        <x:v>não medido</x:v>
      </x:c>
      <x:c r="AC65" s="38" t="str">
        <x:v>Financeiro</x:v>
      </x:c>
      <x:c r="AD65" s="38" t="str">
        <x:v>Adquirência</x:v>
      </x:c>
      <x:c r="AE65" s="38" t="str">
        <x:v>Adquirência</x:v>
      </x:c>
      <x:c r="AF65" s="38" t="str">
        <x:v>Mercado Livre</x:v>
      </x:c>
      <x:c r="AG65" s="38" t="str">
        <x:v>cedente</x:v>
      </x:c>
      <x:c r="AH65" s="38" t="str">
        <x:v>N/D</x:v>
      </x:c>
      <x:c r="AI65" s="38" t="str">
        <x:v>Mercado Livre</x:v>
      </x:c>
      <x:c r="AJ65" s="38" t="str">
        <x:v>N/D</x:v>
      </x:c>
      <x:c r="AK65" s="38" t="str">
        <x:v>recebíveis com risco Grupo Mercado Livre</x:v>
      </x:c>
      <x:c r="AL65" s="38" t="str">
        <x:v>IMG_8706.JPG</x:v>
      </x:c>
      <x:c r="AM65" s="38" t="str">
        <x:v>manual_aplicado</x:v>
      </x:c>
      <x:c r="AN65" s="38" t="str">
        <x:v>Denominação cortada pela largura da coluna na foto.</x:v>
      </x:c>
      <x:c r="AO65" s="38" t="str">
        <x:v>909547</x:v>
      </x:c>
      <x:c r="AP65" s="38" t="str">
        <x:v>2025-05-19</x:v>
      </x:c>
      <x:c r="AQ65" s="38" t="str">
        <x:v>99</x:v>
      </x:c>
      <x:c r="AR65" s="38" t="str">
        <x:v>revisto — mínimo júnior localizado</x:v>
      </x:c>
      <x:c r="AS65" s="38" t="str">
        <x:v>FundosNet/B3; documento 909547; referência 2025-05-19; p. 99</x:v>
      </x:c>
      <x:c r="AT65" s="38" t="str">
        <x:v>Totalidade das cotas júnior / PL, mínimo de 10,0%.</x:v>
      </x:c>
      <x:c r="AU65" s="38" t="str">
        <x:v>originador; sacado/devedor</x:v>
      </x:c>
      <x:c r="AV65" s="38" t="str">
        <x:v>estrutura_incomparavel</x:v>
      </x:c>
    </x:row>
    <x:row r="66" ht="31.5" customHeight="1">
      <x:c r="A66" s="39" t="n">
        <x:v>62</x:v>
      </x:c>
      <x:c r="B66" s="72" t="n">
        <x:v>62588266000154</x:v>
      </x:c>
      <x:c r="C66" s="39" t="str">
        <x:v>62.588.266/0001-54</x:v>
      </x:c>
      <x:c r="D66" s="39" t="str">
        <x:v>VTK FUNDO DE INVESTIMENTO EM DIREITOS CREDITÓRIOS RESPONSABILIDADE LIMITADA</x:v>
      </x:c>
      <x:c r="E66" s="39" t="str">
        <x:v>VTK FIDC RESP LIMIT</x:v>
      </x:c>
      <x:c r="F66" s="39" t="str">
        <x:v>Carteira 101</x:v>
      </x:c>
      <x:c r="G66" s="39" t="str">
        <x:v>2026-06</x:v>
      </x:c>
      <x:c r="H66" s="39" t="str">
        <x:v>localizado</x:v>
      </x:c>
      <x:c r="I66" s="78" t="n">
        <x:v>3085111034.31</x:v>
      </x:c>
      <x:c r="J66" s="78" t="n">
        <x:v>2505159583.1666617</x:v>
      </x:c>
      <x:c r="K66" s="78" t="n">
        <x:v>463851146.236205</x:v>
      </x:c>
      <x:c r="L66" s="84" t="str">
        <x:v>N/D</x:v>
      </x:c>
      <x:c r="M66" s="39" t="str">
        <x:v>N/D</x:v>
      </x:c>
      <x:c r="N66" s="84" t="n">
        <x:v>0.05</x:v>
      </x:c>
      <x:c r="O66" s="84" t="str">
        <x:v>N/D</x:v>
      </x:c>
      <x:c r="P66" s="84" t="str">
        <x:v>N/D</x:v>
      </x:c>
      <x:c r="Q66" s="84" t="str">
        <x:v>N/D</x:v>
      </x:c>
      <x:c r="R66" s="84" t="str">
        <x:v>N/D</x:v>
      </x:c>
      <x:c r="S66" s="84" t="n">
        <x:v>0.05</x:v>
      </x:c>
      <x:c r="T66" s="39" t="str">
        <x:v>5,0%</x:v>
      </x:c>
      <x:c r="U66" s="39" t="str">
        <x:v>junior_pl</x:v>
      </x:c>
      <x:c r="V66" s="39" t="str">
        <x:v>direto no regulamento</x:v>
      </x:c>
      <x:c r="W66" s="66" t="b">
        <x:v>0</x:v>
      </x:c>
      <x:c r="X66" s="39" t="str">
        <x:v>Mínimo júnior isolado; a subordinação atual disponível agrega todas as classes subordinadas.</x:v>
      </x:c>
      <x:c r="Y66" s="66" t="b">
        <x:v>0</x:v>
      </x:c>
      <x:c r="Z66" s="84" t="str">
        <x:v>N/D</x:v>
      </x:c>
      <x:c r="AA66" s="84" t="str">
        <x:v>N/D</x:v>
      </x:c>
      <x:c r="AB66" s="39" t="str">
        <x:v>não medido</x:v>
      </x:c>
      <x:c r="AC66" s="39" t="str">
        <x:v>Financeiro</x:v>
      </x:c>
      <x:c r="AD66" s="39" t="str">
        <x:v>Crédito Consignado</x:v>
      </x:c>
      <x:c r="AE66" s="39" t="str">
        <x:v>Consignado INSS</x:v>
      </x:c>
      <x:c r="AF66" s="39" t="str">
        <x:v>Facta</x:v>
      </x:c>
      <x:c r="AG66" s="39" t="str">
        <x:v>cedente</x:v>
      </x:c>
      <x:c r="AH66" s="39" t="str">
        <x:v>N/D</x:v>
      </x:c>
      <x:c r="AI66" s="39" t="str">
        <x:v>Facta</x:v>
      </x:c>
      <x:c r="AJ66" s="39" t="str">
        <x:v>N/D</x:v>
      </x:c>
      <x:c r="AK66" s="39" t="str">
        <x:v>Crédito INSS</x:v>
      </x:c>
      <x:c r="AL66" s="39" t="str">
        <x:v>IMG_8706.JPG</x:v>
      </x:c>
      <x:c r="AM66" s="39" t="str">
        <x:v>manual_aplicado</x:v>
      </x:c>
      <x:c r="AN66" s="39" t="str">
        <x:v>N/D</x:v>
      </x:c>
      <x:c r="AO66" s="39" t="str">
        <x:v>1002580</x:v>
      </x:c>
      <x:c r="AP66" s="39" t="str">
        <x:v>2025-09-29</x:v>
      </x:c>
      <x:c r="AQ66" s="39" t="str">
        <x:v>35</x:v>
      </x:c>
      <x:c r="AR66" s="39" t="str">
        <x:v>revisto — mínimo júnior localizado</x:v>
      </x:c>
      <x:c r="AS66" s="39" t="str">
        <x:v>FundosNet/B3; documento 1002580; referência 2025-09-29; p. 35</x:v>
      </x:c>
      <x:c r="AT66" s="39" t="str">
        <x:v>Índice de Subordinação Mezanino: cotas júnior / PL, mínimo de 5,0%.</x:v>
      </x:c>
      <x:c r="AU66" s="39" t="str">
        <x:v>Sub/PL atual; originador; sacado/devedor</x:v>
      </x:c>
      <x:c r="AV66" s="39" t="str">
        <x:v>sub_pl_atual_ausente</x:v>
      </x:c>
    </x:row>
    <x:row r="67" ht="31.5" customHeight="1">
      <x:c r="A67" s="38" t="n">
        <x:v>63</x:v>
      </x:c>
      <x:c r="B67" s="73" t="n">
        <x:v>50988212000105</x:v>
      </x:c>
      <x:c r="C67" s="38" t="str">
        <x:v>50.988.212/0001-05</x:v>
      </x:c>
      <x:c r="D67" s="38" t="str">
        <x:v>CARTÃO DE COMPRA SUPPLIER FUNDO DE INVESTIMENTO EM DIREITOS CREDITÓRIOS II-RESPONSABILIDADE LIMITADA</x:v>
      </x:c>
      <x:c r="E67" s="38" t="str">
        <x:v>CARTAO DE COMPRA SUPPLIER FUNDO DE INVESTIMENTO EM</x:v>
      </x:c>
      <x:c r="F67" s="38" t="str">
        <x:v>Carteira 101</x:v>
      </x:c>
      <x:c r="G67" s="38" t="str">
        <x:v>2026-06</x:v>
      </x:c>
      <x:c r="H67" s="38" t="str">
        <x:v>localizado</x:v>
      </x:c>
      <x:c r="I67" s="79" t="n">
        <x:v>193612039.06</x:v>
      </x:c>
      <x:c r="J67" s="79" t="n">
        <x:v>193612039.06189817</x:v>
      </x:c>
      <x:c r="K67" s="79" t="n">
        <x:v>13604593.129898127</x:v>
      </x:c>
      <x:c r="L67" s="85" t="n">
        <x:v>0.07026728914146754</x:v>
      </x:c>
      <x:c r="M67" s="38" t="str">
        <x:v>Calculado com classes reportadas e PL oficial reconciliado</x:v>
      </x:c>
      <x:c r="N67" s="85" t="str">
        <x:v>N/D</x:v>
      </x:c>
      <x:c r="O67" s="85" t="str">
        <x:v>N/D</x:v>
      </x:c>
      <x:c r="P67" s="85" t="n">
        <x:v>0.045</x:v>
      </x:c>
      <x:c r="Q67" s="85" t="str">
        <x:v>N/D</x:v>
      </x:c>
      <x:c r="R67" s="85" t="str">
        <x:v>N/D</x:v>
      </x:c>
      <x:c r="S67" s="85" t="n">
        <x:v>0.045</x:v>
      </x:c>
      <x:c r="T67" s="38" t="str">
        <x:v>4,5%*</x:v>
      </x:c>
      <x:c r="U67" s="38" t="str">
        <x:v>junior_pl_ajustado</x:v>
      </x:c>
      <x:c r="V67" s="38" t="str">
        <x:v>direto sobre PL ajustado</x:v>
      </x:c>
      <x:c r="W67" s="67" t="b">
        <x:v>0</x:v>
      </x:c>
      <x:c r="X67" s="38" t="str">
        <x:v>Mínimo júnior usa PL ajustado; não é comparável à subordinação atual sobre o PL oficial.</x:v>
      </x:c>
      <x:c r="Y67" s="67" t="b">
        <x:v>1</x:v>
      </x:c>
      <x:c r="Z67" s="85" t="str">
        <x:v>N/D</x:v>
      </x:c>
      <x:c r="AA67" s="85" t="str">
        <x:v>N/D</x:v>
      </x:c>
      <x:c r="AB67" s="38" t="str">
        <x:v>não medido</x:v>
      </x:c>
      <x:c r="AC67" s="38" t="str">
        <x:v>Financeiro</x:v>
      </x:c>
      <x:c r="AD67" s="38" t="str">
        <x:v>Crédito Pessoal</x:v>
      </x:c>
      <x:c r="AE67" s="38" t="str">
        <x:v>Financeiro</x:v>
      </x:c>
      <x:c r="AF67" s="38" t="str">
        <x:v>Supplier</x:v>
      </x:c>
      <x:c r="AG67" s="38" t="str">
        <x:v>cedente</x:v>
      </x:c>
      <x:c r="AH67" s="38" t="str">
        <x:v>N/D</x:v>
      </x:c>
      <x:c r="AI67" s="38" t="str">
        <x:v>Supplier</x:v>
      </x:c>
      <x:c r="AJ67" s="38" t="str">
        <x:v>N/D</x:v>
      </x:c>
      <x:c r="AK67" s="38" t="str">
        <x:v>Crédito Curto Prazo com o segurado; Crédito PME</x:v>
      </x:c>
      <x:c r="AL67" s="38" t="str">
        <x:v>IMG_8706.JPG</x:v>
      </x:c>
      <x:c r="AM67" s="38" t="str">
        <x:v>manual_aplicado</x:v>
      </x:c>
      <x:c r="AN67" s="38" t="str">
        <x:v>Denominação cortada pela largura da coluna na foto.</x:v>
      </x:c>
      <x:c r="AO67" s="38" t="str">
        <x:v>1013021</x:v>
      </x:c>
      <x:c r="AP67" s="38" t="str">
        <x:v>2024-11-14</x:v>
      </x:c>
      <x:c r="AQ67" s="38" t="str">
        <x:v>29; 62</x:v>
      </x:c>
      <x:c r="AR67" s="38" t="str">
        <x:v>revisto — mínimo júnior localizado</x:v>
      </x:c>
      <x:c r="AS67" s="38" t="str">
        <x:v>FundosNet/B3; documento 1013021; referência 2024-11-14; p. 29; 62</x:v>
      </x:c>
      <x:c r="AT67" s="38" t="str">
        <x:v>Cotas júnior / PL ajustado por outros ativos, mínimo de 4,5%.*</x:v>
      </x:c>
      <x:c r="AU67" s="38" t="str">
        <x:v>originador; sacado/devedor</x:v>
      </x:c>
      <x:c r="AV67" s="38" t="str">
        <x:v>estrutura_incomparavel</x:v>
      </x:c>
    </x:row>
    <x:row r="68" ht="31.5" customHeight="1">
      <x:c r="A68" s="39" t="n">
        <x:v>64</x:v>
      </x:c>
      <x:c r="B68" s="72" t="n">
        <x:v>58476088000100</x:v>
      </x:c>
      <x:c r="C68" s="39" t="str">
        <x:v>58.476.088/0001-00</x:v>
      </x:c>
      <x:c r="D68" s="39" t="str">
        <x:v>SAGA FUNDO DE INVESTIMENTO EM DIREITOS CREDITÓRIOS CRÉDITO PRIVADO - RESPONSABILIDADE LIMITADA</x:v>
      </x:c>
      <x:c r="E68" s="39" t="str">
        <x:v>CONSORCIO DALTEZ</x:v>
      </x:c>
      <x:c r="F68" s="39" t="str">
        <x:v>Carteira 101</x:v>
      </x:c>
      <x:c r="G68" s="39" t="str">
        <x:v>2026-06</x:v>
      </x:c>
      <x:c r="H68" s="39" t="str">
        <x:v>localizado</x:v>
      </x:c>
      <x:c r="I68" s="78" t="n">
        <x:v>167604412.23</x:v>
      </x:c>
      <x:c r="J68" s="78" t="n">
        <x:v>167604412.22479022</x:v>
      </x:c>
      <x:c r="K68" s="78" t="n">
        <x:v>64851305.04979022</x:v>
      </x:c>
      <x:c r="L68" s="84" t="n">
        <x:v>0.38693077459557657</x:v>
      </x:c>
      <x:c r="M68" s="39" t="str">
        <x:v>Calculado com classes reportadas e PL oficial reconciliado</x:v>
      </x:c>
      <x:c r="N68" s="84" t="n">
        <x:v>0.3333</x:v>
      </x:c>
      <x:c r="O68" s="84" t="str">
        <x:v>N/D</x:v>
      </x:c>
      <x:c r="P68" s="84" t="str">
        <x:v>N/D</x:v>
      </x:c>
      <x:c r="Q68" s="84" t="n">
        <x:v>0.3333</x:v>
      </x:c>
      <x:c r="R68" s="84" t="str">
        <x:v>N/D</x:v>
      </x:c>
      <x:c r="S68" s="84" t="n">
        <x:v>0.3333</x:v>
      </x:c>
      <x:c r="T68" s="39" t="str">
        <x:v>33,33%</x:v>
      </x:c>
      <x:c r="U68" s="39" t="str">
        <x:v>junior_pl</x:v>
      </x:c>
      <x:c r="V68" s="39" t="str">
        <x:v>direto no regulamento</x:v>
      </x:c>
      <x:c r="W68" s="66" t="b">
        <x:v>1</x:v>
      </x:c>
      <x:c r="X68" s="39" t="str">
        <x:v>Estrutura com uma única classe subordinada; métrica atual e piso usam o total subordinado sobre o PL.</x:v>
      </x:c>
      <x:c r="Y68" s="66" t="b">
        <x:v>0</x:v>
      </x:c>
      <x:c r="Z68" s="84" t="n">
        <x:v>0.05363077459557658</x:v>
      </x:c>
      <x:c r="AA68" s="84" t="n">
        <x:v>0.08044213978637554</x:v>
      </x:c>
      <x:c r="AB68" s="39" t="str">
        <x:v>acima do mínimo</x:v>
      </x:c>
      <x:c r="AC68" s="39" t="str">
        <x:v>Agro, Indústria e Comércio</x:v>
      </x:c>
      <x:c r="AD68" s="39" t="str">
        <x:v>Recebíveis Comerciais</x:v>
      </x:c>
      <x:c r="AE68" s="39" t="str">
        <x:v>Agro / Revenda</x:v>
      </x:c>
      <x:c r="AF68" s="39" t="str">
        <x:v>Saga Brasil</x:v>
      </x:c>
      <x:c r="AG68" s="39" t="str">
        <x:v>cedente</x:v>
      </x:c>
      <x:c r="AH68" s="39" t="str">
        <x:v>N/D</x:v>
      </x:c>
      <x:c r="AI68" s="39" t="str">
        <x:v>Saga Brasil</x:v>
      </x:c>
      <x:c r="AJ68" s="39" t="str">
        <x:v>N/D</x:v>
      </x:c>
      <x:c r="AK68" s="39" t="str">
        <x:v>notas comerciais para substituição parcial de Floor Plan</x:v>
      </x:c>
      <x:c r="AL68" s="39" t="str">
        <x:v>IMG_8706.JPG</x:v>
      </x:c>
      <x:c r="AM68" s="39" t="str">
        <x:v>manual_aplicado</x:v>
      </x:c>
      <x:c r="AN68" s="39" t="str">
        <x:v>OBS continua fora da foto após a descrição legível.</x:v>
      </x:c>
      <x:c r="AO68" s="39" t="str">
        <x:v>852325</x:v>
      </x:c>
      <x:c r="AP68" s="39" t="str">
        <x:v>2025-02-25</x:v>
      </x:c>
      <x:c r="AQ68" s="39" t="str">
        <x:v>18</x:v>
      </x:c>
      <x:c r="AR68" s="39" t="str">
        <x:v>revisto — mínimo júnior localizado</x:v>
      </x:c>
      <x:c r="AS68" s="39" t="str">
        <x:v>FundosNet/B3; documento 852325; referência 2025-02-25; p. 18</x:v>
      </x:c>
      <x:c r="AT68" s="39" t="str">
        <x:v>Cotas subordinadas / PL, mínimo de 33,33%; estrutura com uma única classe residual.</x:v>
      </x:c>
      <x:c r="AU68" s="39" t="str">
        <x:v>originador; sacado/devedor</x:v>
      </x:c>
      <x:c r="AV68" s="39" t="str">
        <x:v>completo_para_folga</x:v>
      </x:c>
    </x:row>
    <x:row r="69" ht="31.5" customHeight="1">
      <x:c r="A69" s="38" t="n">
        <x:v>65</x:v>
      </x:c>
      <x:c r="B69" s="73" t="n">
        <x:v>58349979000198</x:v>
      </x:c>
      <x:c r="C69" s="38" t="str">
        <x:v>58.349.979/0001-98</x:v>
      </x:c>
      <x:c r="D69" s="38" t="str">
        <x:v>VOLKSWAGEN TERA FUNDO DE INVESTIMENTO EM DIREITOS CREDITÓRIOS RECEBÍVEIS COMERCIAIS RESP LTDA</x:v>
      </x:c>
      <x:c r="E69" s="38" t="str">
        <x:v>VOLKSWAGEN TERA FIDC SEGMENTO RECEBIVEIS COMERCIAI</x:v>
      </x:c>
      <x:c r="F69" s="38" t="str">
        <x:v>Carteira 101</x:v>
      </x:c>
      <x:c r="G69" s="38" t="str">
        <x:v>2026-06</x:v>
      </x:c>
      <x:c r="H69" s="38" t="str">
        <x:v>localizado</x:v>
      </x:c>
      <x:c r="I69" s="79" t="n">
        <x:v>1085890404.56</x:v>
      </x:c>
      <x:c r="J69" s="79" t="n">
        <x:v>1064776252.46612</x:v>
      </x:c>
      <x:c r="K69" s="79" t="n">
        <x:v>268225044.5175</x:v>
      </x:c>
      <x:c r="L69" s="85" t="str">
        <x:v>N/D</x:v>
      </x:c>
      <x:c r="M69" s="38" t="str">
        <x:v>N/D</x:v>
      </x:c>
      <x:c r="N69" s="85" t="n">
        <x:v>0.25</x:v>
      </x:c>
      <x:c r="O69" s="85" t="str">
        <x:v>N/D</x:v>
      </x:c>
      <x:c r="P69" s="85" t="str">
        <x:v>N/D</x:v>
      </x:c>
      <x:c r="Q69" s="85" t="n">
        <x:v>0.25</x:v>
      </x:c>
      <x:c r="R69" s="85" t="str">
        <x:v>N/D</x:v>
      </x:c>
      <x:c r="S69" s="85" t="n">
        <x:v>0.25</x:v>
      </x:c>
      <x:c r="T69" s="38" t="str">
        <x:v>25,0%</x:v>
      </x:c>
      <x:c r="U69" s="38" t="str">
        <x:v>junior_pl</x:v>
      </x:c>
      <x:c r="V69" s="38" t="str">
        <x:v>direto no regulamento</x:v>
      </x:c>
      <x:c r="W69" s="67" t="b">
        <x:v>1</x:v>
      </x:c>
      <x:c r="X69" s="38" t="str">
        <x:v>Estrutura com uma única classe subordinada; métrica atual e piso usam o total subordinado sobre o PL.</x:v>
      </x:c>
      <x:c r="Y69" s="67" t="b">
        <x:v>0</x:v>
      </x:c>
      <x:c r="Z69" s="85" t="str">
        <x:v>N/D</x:v>
      </x:c>
      <x:c r="AA69" s="85" t="str">
        <x:v>N/D</x:v>
      </x:c>
      <x:c r="AB69" s="38" t="str">
        <x:v>não medido</x:v>
      </x:c>
      <x:c r="AC69" s="38" t="str">
        <x:v>Agro, Indústria e Comércio</x:v>
      </x:c>
      <x:c r="AD69" s="38" t="str">
        <x:v>Recebíveis Comerciais</x:v>
      </x:c>
      <x:c r="AE69" s="38" t="str">
        <x:v>Agro / Revenda</x:v>
      </x:c>
      <x:c r="AF69" s="38" t="str">
        <x:v>Volkswagen do Brasil S.A.</x:v>
      </x:c>
      <x:c r="AG69" s="38" t="str">
        <x:v>cedente</x:v>
      </x:c>
      <x:c r="AH69" s="38" t="str">
        <x:v>N/D</x:v>
      </x:c>
      <x:c r="AI69" s="38" t="str">
        <x:v>Volkswagen do Brasil S.A.</x:v>
      </x:c>
      <x:c r="AJ69" s="38" t="str">
        <x:v>N/D</x:v>
      </x:c>
      <x:c r="AK69" s="38" t="str">
        <x:v>Direitos creditórios</x:v>
      </x:c>
      <x:c r="AL69" s="38" t="str">
        <x:v>IMG_8706.JPG</x:v>
      </x:c>
      <x:c r="AM69" s="38" t="str">
        <x:v>manual_aplicado</x:v>
      </x:c>
      <x:c r="AN69" s="38" t="str">
        <x:v>OBS da foto: concentração grande com LM e Unidas, ambas com tendência de rating estável. Denominação cortada.</x:v>
      </x:c>
      <x:c r="AO69" s="38" t="str">
        <x:v>826213</x:v>
      </x:c>
      <x:c r="AP69" s="38" t="str">
        <x:v>2025-01-28</x:v>
      </x:c>
      <x:c r="AQ69" s="38" t="str">
        <x:v>94</x:v>
      </x:c>
      <x:c r="AR69" s="38" t="str">
        <x:v>revisto — mínimo júnior localizado</x:v>
      </x:c>
      <x:c r="AS69" s="38" t="str">
        <x:v>FundosNet/B3; documento 826213; referência 2025-01-28; p. 94</x:v>
      </x:c>
      <x:c r="AT69" s="38" t="str">
        <x:v>Cotas subordinadas / PL, mínimo de 25,0%; estrutura com uma única classe residual.</x:v>
      </x:c>
      <x:c r="AU69" s="38" t="str">
        <x:v>Sub/PL atual; originador; sacado/devedor</x:v>
      </x:c>
      <x:c r="AV69" s="38" t="str">
        <x:v>sub_pl_atual_ausente</x:v>
      </x:c>
    </x:row>
    <x:row r="70" ht="31.5" customHeight="1">
      <x:c r="A70" s="39" t="n">
        <x:v>66</x:v>
      </x:c>
      <x:c r="B70" s="72" t="n">
        <x:v>54559035000194</x:v>
      </x:c>
      <x:c r="C70" s="39" t="str">
        <x:v>54.559.035/0001-94</x:v>
      </x:c>
      <x:c r="D70" s="39" t="str">
        <x:v>ESTRATÉGIA VINCULADA I FUNDO DE INVESTIMENTO EM DIREITOS CREDITÓRIOS - RESPONSABILIDADE LIMITADA</x:v>
      </x:c>
      <x:c r="E70" s="39" t="str">
        <x:v>FUNDO DE INVESTIMENTO EM DIREITOS CREDITORIOS RESP</x:v>
      </x:c>
      <x:c r="F70" s="39" t="str">
        <x:v>Carteira 101</x:v>
      </x:c>
      <x:c r="G70" s="39" t="str">
        <x:v>2026-06</x:v>
      </x:c>
      <x:c r="H70" s="39" t="str">
        <x:v>localizado</x:v>
      </x:c>
      <x:c r="I70" s="78" t="n">
        <x:v>97953864.1</x:v>
      </x:c>
      <x:c r="J70" s="78" t="n">
        <x:v>96388955.04580168</x:v>
      </x:c>
      <x:c r="K70" s="78" t="n">
        <x:v>12316754.23420504</x:v>
      </x:c>
      <x:c r="L70" s="84" t="str">
        <x:v>N/D</x:v>
      </x:c>
      <x:c r="M70" s="39" t="str">
        <x:v>N/D</x:v>
      </x:c>
      <x:c r="N70" s="84" t="n">
        <x:v>0.1</x:v>
      </x:c>
      <x:c r="O70" s="84" t="str">
        <x:v>N/D</x:v>
      </x:c>
      <x:c r="P70" s="84" t="str">
        <x:v>N/D</x:v>
      </x:c>
      <x:c r="Q70" s="84" t="n">
        <x:v>0.1</x:v>
      </x:c>
      <x:c r="R70" s="84" t="str">
        <x:v>N/D</x:v>
      </x:c>
      <x:c r="S70" s="84" t="n">
        <x:v>0.1</x:v>
      </x:c>
      <x:c r="T70" s="39" t="str">
        <x:v>10,0%</x:v>
      </x:c>
      <x:c r="U70" s="39" t="str">
        <x:v>junior_pl</x:v>
      </x:c>
      <x:c r="V70" s="39" t="str">
        <x:v>direto no regulamento</x:v>
      </x:c>
      <x:c r="W70" s="66" t="b">
        <x:v>1</x:v>
      </x:c>
      <x:c r="X70" s="39" t="str">
        <x:v>Estrutura com uma única classe subordinada; métrica atual e piso usam o total subordinado sobre o PL.</x:v>
      </x:c>
      <x:c r="Y70" s="66" t="b">
        <x:v>0</x:v>
      </x:c>
      <x:c r="Z70" s="84" t="str">
        <x:v>N/D</x:v>
      </x:c>
      <x:c r="AA70" s="84" t="str">
        <x:v>N/D</x:v>
      </x:c>
      <x:c r="AB70" s="39" t="str">
        <x:v>não medido</x:v>
      </x:c>
      <x:c r="AC70" s="39" t="str">
        <x:v>Financeiro</x:v>
      </x:c>
      <x:c r="AD70" s="39" t="str">
        <x:v>Multicarteira Financeiro</x:v>
      </x:c>
      <x:c r="AE70" s="39" t="str">
        <x:v>Financeiro</x:v>
      </x:c>
      <x:c r="AF70" s="39" t="str">
        <x:v>Banco IBM</x:v>
      </x:c>
      <x:c r="AG70" s="39" t="str">
        <x:v>cedente</x:v>
      </x:c>
      <x:c r="AH70" s="39" t="str">
        <x:v>N/D</x:v>
      </x:c>
      <x:c r="AI70" s="39" t="str">
        <x:v>Banco IBM</x:v>
      </x:c>
      <x:c r="AJ70" s="39" t="str">
        <x:v>N/D</x:v>
      </x:c>
      <x:c r="AK70" s="39" t="str">
        <x:v>N/D</x:v>
      </x:c>
      <x:c r="AL70" s="39" t="str">
        <x:v>IMG_8706.JPG</x:v>
      </x:c>
      <x:c r="AM70" s="39" t="str">
        <x:v>manual_aplicado</x:v>
      </x:c>
      <x:c r="AN70" s="39" t="str">
        <x:v>N/D</x:v>
      </x:c>
      <x:c r="AO70" s="39" t="str">
        <x:v>634463</x:v>
      </x:c>
      <x:c r="AP70" s="39" t="str">
        <x:v>2024-04-05</x:v>
      </x:c>
      <x:c r="AQ70" s="39" t="str">
        <x:v>50</x:v>
      </x:c>
      <x:c r="AR70" s="39" t="str">
        <x:v>revisto — mínimo júnior localizado</x:v>
      </x:c>
      <x:c r="AS70" s="39" t="str">
        <x:v>FundosNet/B3; documento 634463; referência 2024-04-05; p. 50</x:v>
      </x:c>
      <x:c r="AT70" s="39" t="str">
        <x:v>Cotas subordinadas júnior / PL, mínimo de 10,0%; estrutura com cotas seniores e juniores.</x:v>
      </x:c>
      <x:c r="AU70" s="39" t="str">
        <x:v>Sub/PL atual; originador; sacado/devedor; tipo de recebível</x:v>
      </x:c>
      <x:c r="AV70" s="39" t="str">
        <x:v>sub_pl_atual_ausente</x:v>
      </x:c>
    </x:row>
    <x:row r="71" ht="31.5" customHeight="1">
      <x:c r="A71" s="38" t="n">
        <x:v>67</x:v>
      </x:c>
      <x:c r="B71" s="73" t="n">
        <x:v>55070804000159</x:v>
      </x:c>
      <x:c r="C71" s="38" t="str">
        <x:v>55.070.804/0001-59</x:v>
      </x:c>
      <x:c r="D71" s="38" t="str">
        <x:v>ESTRATÉGIA VINCULADA II FUNDO DE INVESTIMENTO EM DIREITOS CREDITÓRIOS - RESPONSABILIDADE LIMITADA</x:v>
      </x:c>
      <x:c r="E71" s="38" t="str">
        <x:v>ESTRATEGIA VINCULADA II FUNDO DE INVESTIMENTO EM D</x:v>
      </x:c>
      <x:c r="F71" s="38" t="str">
        <x:v>Carteira 101</x:v>
      </x:c>
      <x:c r="G71" s="38" t="str">
        <x:v>2026-06</x:v>
      </x:c>
      <x:c r="H71" s="38" t="str">
        <x:v>localizado</x:v>
      </x:c>
      <x:c r="I71" s="79" t="str">
        <x:v>N/D</x:v>
      </x:c>
      <x:c r="J71" s="79" t="str">
        <x:v>N/D</x:v>
      </x:c>
      <x:c r="K71" s="79" t="str">
        <x:v>N/D</x:v>
      </x:c>
      <x:c r="L71" s="85" t="str">
        <x:v>N/D</x:v>
      </x:c>
      <x:c r="M71" s="38" t="str">
        <x:v>PL oficial ausente em 2026-06</x:v>
      </x:c>
      <x:c r="N71" s="85" t="n">
        <x:v>0.1</x:v>
      </x:c>
      <x:c r="O71" s="85" t="str">
        <x:v>N/D</x:v>
      </x:c>
      <x:c r="P71" s="85" t="str">
        <x:v>N/D</x:v>
      </x:c>
      <x:c r="Q71" s="85" t="n">
        <x:v>0.1</x:v>
      </x:c>
      <x:c r="R71" s="85" t="str">
        <x:v>N/D</x:v>
      </x:c>
      <x:c r="S71" s="85" t="n">
        <x:v>0.1</x:v>
      </x:c>
      <x:c r="T71" s="38" t="str">
        <x:v>10,0%</x:v>
      </x:c>
      <x:c r="U71" s="38" t="str">
        <x:v>junior_pl</x:v>
      </x:c>
      <x:c r="V71" s="38" t="str">
        <x:v>direto no regulamento</x:v>
      </x:c>
      <x:c r="W71" s="67" t="b">
        <x:v>1</x:v>
      </x:c>
      <x:c r="X71" s="38" t="str">
        <x:v>Estrutura com uma única classe subordinada; métrica atual e piso usam o total subordinado sobre o PL.</x:v>
      </x:c>
      <x:c r="Y71" s="67" t="b">
        <x:v>0</x:v>
      </x:c>
      <x:c r="Z71" s="85" t="str">
        <x:v>N/D</x:v>
      </x:c>
      <x:c r="AA71" s="85" t="str">
        <x:v>N/D</x:v>
      </x:c>
      <x:c r="AB71" s="38" t="str">
        <x:v>não medido</x:v>
      </x:c>
      <x:c r="AC71" s="38" t="str">
        <x:v>Financeiro</x:v>
      </x:c>
      <x:c r="AD71" s="38" t="str">
        <x:v>Multicarteira Financeiro</x:v>
      </x:c>
      <x:c r="AE71" s="38" t="str">
        <x:v>Financeiro</x:v>
      </x:c>
      <x:c r="AF71" s="38" t="str">
        <x:v>Banco IBM</x:v>
      </x:c>
      <x:c r="AG71" s="38" t="str">
        <x:v>cedente</x:v>
      </x:c>
      <x:c r="AH71" s="38" t="str">
        <x:v>N/D</x:v>
      </x:c>
      <x:c r="AI71" s="38" t="str">
        <x:v>Banco IBM</x:v>
      </x:c>
      <x:c r="AJ71" s="38" t="str">
        <x:v>N/D</x:v>
      </x:c>
      <x:c r="AK71" s="38" t="str">
        <x:v>N/D</x:v>
      </x:c>
      <x:c r="AL71" s="38" t="str">
        <x:v>IMG_8706.JPG</x:v>
      </x:c>
      <x:c r="AM71" s="38" t="str">
        <x:v>manual_aplicado</x:v>
      </x:c>
      <x:c r="AN71" s="38" t="str">
        <x:v>Denominação cortada pela largura da coluna na foto.</x:v>
      </x:c>
      <x:c r="AO71" s="38" t="str">
        <x:v>667195</x:v>
      </x:c>
      <x:c r="AP71" s="38" t="str">
        <x:v>2024-05-22</x:v>
      </x:c>
      <x:c r="AQ71" s="38" t="str">
        <x:v>57</x:v>
      </x:c>
      <x:c r="AR71" s="38" t="str">
        <x:v>revisto — mínimo júnior localizado</x:v>
      </x:c>
      <x:c r="AS71" s="38" t="str">
        <x:v>FundosNet/B3; documento 667195; referência 2024-05-22; p. 57</x:v>
      </x:c>
      <x:c r="AT71" s="38" t="str">
        <x:v>Cotas subordinadas júnior / PL, mínimo de 10,0%; estrutura com cotas seniores e juniores.</x:v>
      </x:c>
      <x:c r="AU71" s="38" t="str">
        <x:v>PL atual; Sub/PL atual; originador; sacado/devedor; tipo de recebível</x:v>
      </x:c>
      <x:c r="AV71" s="38" t="str">
        <x:v>sub_pl_atual_ausente</x:v>
      </x:c>
    </x:row>
    <x:row r="72" ht="31.5" customHeight="1">
      <x:c r="A72" s="39" t="n">
        <x:v>68</x:v>
      </x:c>
      <x:c r="B72" s="72" t="n">
        <x:v>43866348000179</x:v>
      </x:c>
      <x:c r="C72" s="39" t="str">
        <x:v>43.866.348/0001-79</x:v>
      </x:c>
      <x:c r="D72" s="39" t="str">
        <x:v>FUNDO DE INVESTIMENTO EM DIREITOS CREDITÓRIOS OPEA AGRO SUMITOMO CHEMICAL RESP LIMITADA</x:v>
      </x:c>
      <x:c r="E72" s="39" t="str">
        <x:v>FUNDO DE INVESTIMENTO EM DIREITOS CREDITORIOS OPEA</x:v>
      </x:c>
      <x:c r="F72" s="39" t="str">
        <x:v>Carteira 101</x:v>
      </x:c>
      <x:c r="G72" s="39" t="str">
        <x:v>2026-06</x:v>
      </x:c>
      <x:c r="H72" s="39" t="str">
        <x:v>localizado</x:v>
      </x:c>
      <x:c r="I72" s="78" t="n">
        <x:v>256043621.64</x:v>
      </x:c>
      <x:c r="J72" s="78" t="n">
        <x:v>256043622.96884888</x:v>
      </x:c>
      <x:c r="K72" s="78" t="n">
        <x:v>167388333.96884888</x:v>
      </x:c>
      <x:c r="L72" s="84" t="n">
        <x:v>0.6537492826288742</x:v>
      </x:c>
      <x:c r="M72" s="39" t="str">
        <x:v>Calculado com classes reportadas e PL oficial reconciliado</x:v>
      </x:c>
      <x:c r="N72" s="84" t="n">
        <x:v>0.05</x:v>
      </x:c>
      <x:c r="O72" s="84" t="str">
        <x:v>N/D</x:v>
      </x:c>
      <x:c r="P72" s="84" t="str">
        <x:v>N/D</x:v>
      </x:c>
      <x:c r="Q72" s="84" t="str">
        <x:v>N/D</x:v>
      </x:c>
      <x:c r="R72" s="84" t="str">
        <x:v>N/D</x:v>
      </x:c>
      <x:c r="S72" s="84" t="n">
        <x:v>0.05</x:v>
      </x:c>
      <x:c r="T72" s="39" t="str">
        <x:v>5,0%</x:v>
      </x:c>
      <x:c r="U72" s="39" t="str">
        <x:v>junior_pl</x:v>
      </x:c>
      <x:c r="V72" s="39" t="str">
        <x:v>direto no regulamento</x:v>
      </x:c>
      <x:c r="W72" s="66" t="b">
        <x:v>0</x:v>
      </x:c>
      <x:c r="X72" s="39" t="str">
        <x:v>Mínimo júnior isolado; a subordinação atual disponível agrega todas as classes subordinadas.</x:v>
      </x:c>
      <x:c r="Y72" s="66" t="b">
        <x:v>0</x:v>
      </x:c>
      <x:c r="Z72" s="84" t="str">
        <x:v>N/D</x:v>
      </x:c>
      <x:c r="AA72" s="84" t="str">
        <x:v>N/D</x:v>
      </x:c>
      <x:c r="AB72" s="39" t="str">
        <x:v>não medido</x:v>
      </x:c>
      <x:c r="AC72" s="39" t="str">
        <x:v>Agro, Indústria e Comércio</x:v>
      </x:c>
      <x:c r="AD72" s="39" t="str">
        <x:v>Multicarteira Agro, Indústria e Comércio</x:v>
      </x:c>
      <x:c r="AE72" s="39" t="str">
        <x:v>Agro / Revenda</x:v>
      </x:c>
      <x:c r="AF72" s="39" t="str">
        <x:v>SUMITOMO</x:v>
      </x:c>
      <x:c r="AG72" s="39" t="str">
        <x:v>cedente</x:v>
      </x:c>
      <x:c r="AH72" s="39" t="str">
        <x:v>N/D</x:v>
      </x:c>
      <x:c r="AI72" s="39" t="str">
        <x:v>SUMITOMO</x:v>
      </x:c>
      <x:c r="AJ72" s="39" t="str">
        <x:v>N/D</x:v>
      </x:c>
      <x:c r="AK72" s="39" t="str">
        <x:v>financiamento de revendas e produtores</x:v>
      </x:c>
      <x:c r="AL72" s="39" t="str">
        <x:v>IMG_8706.JPG</x:v>
      </x:c>
      <x:c r="AM72" s="39" t="str">
        <x:v>manual_aplicado</x:v>
      </x:c>
      <x:c r="AN72" s="39" t="str">
        <x:v>OBS literal: FIDC Sumitomo. Financia revendas e produtores.</x:v>
      </x:c>
      <x:c r="AO72" s="39" t="str">
        <x:v>741139</x:v>
      </x:c>
      <x:c r="AP72" s="39" t="str">
        <x:v>2024-09-17</x:v>
      </x:c>
      <x:c r="AQ72" s="39" t="str">
        <x:v>81</x:v>
      </x:c>
      <x:c r="AR72" s="39" t="str">
        <x:v>revisto — mínimo júnior localizado</x:v>
      </x:c>
      <x:c r="AS72" s="39" t="str">
        <x:v>FundosNet/B3; documento 741139; referência 2024-09-17; p. 81</x:v>
      </x:c>
      <x:c r="AT72" s="39" t="str">
        <x:v>Cotas subordinadas júnior / total das cotas, mínimo de 5,0%, mantido pelo valor atualizado.</x:v>
      </x:c>
      <x:c r="AU72" s="39" t="str">
        <x:v>originador; sacado/devedor</x:v>
      </x:c>
      <x:c r="AV72" s="39" t="str">
        <x:v>estrutura_incomparavel</x:v>
      </x:c>
    </x:row>
    <x:row r="73" ht="31.5" customHeight="1">
      <x:c r="A73" s="38" t="n">
        <x:v>69</x:v>
      </x:c>
      <x:c r="B73" s="73" t="n">
        <x:v>47936340000192</x:v>
      </x:c>
      <x:c r="C73" s="38" t="str">
        <x:v>47.936.340/0001-92</x:v>
      </x:c>
      <x:c r="D73" s="38" t="str">
        <x:v>FUNDO DE INVESTIMENTO NAS CADEIAS PRODUTIVAS AGROINDUSTRIAIS OPEA AGRO INSUMOS RESPONSABILIDADE LIMI</x:v>
      </x:c>
      <x:c r="E73" s="38" t="str">
        <x:v>FUNDO DE INVESTIMENTO EM DIREITOS CREDITORIOS OPEA</x:v>
      </x:c>
      <x:c r="F73" s="38" t="str">
        <x:v>Carteira 101</x:v>
      </x:c>
      <x:c r="G73" s="38" t="str">
        <x:v>2026-06</x:v>
      </x:c>
      <x:c r="H73" s="38" t="str">
        <x:v>localizado</x:v>
      </x:c>
      <x:c r="I73" s="79" t="str">
        <x:v>N/D</x:v>
      </x:c>
      <x:c r="J73" s="79" t="str">
        <x:v>N/D</x:v>
      </x:c>
      <x:c r="K73" s="79" t="str">
        <x:v>N/D</x:v>
      </x:c>
      <x:c r="L73" s="85" t="str">
        <x:v>N/D</x:v>
      </x:c>
      <x:c r="M73" s="38" t="str">
        <x:v>PL oficial ausente em 2026-06</x:v>
      </x:c>
      <x:c r="N73" s="85" t="str">
        <x:v>N/D</x:v>
      </x:c>
      <x:c r="O73" s="85" t="str">
        <x:v>N/D</x:v>
      </x:c>
      <x:c r="P73" s="85" t="str">
        <x:v>N/D</x:v>
      </x:c>
      <x:c r="Q73" s="85" t="n">
        <x:v>0.25</x:v>
      </x:c>
      <x:c r="R73" s="85" t="str">
        <x:v>N/D</x:v>
      </x:c>
      <x:c r="S73" s="85" t="n">
        <x:v>0.25</x:v>
      </x:c>
      <x:c r="T73" s="38" t="str">
        <x:v>25,0%*</x:v>
      </x:c>
      <x:c r="U73" s="38" t="str">
        <x:v>suporte_total_pl</x:v>
      </x:c>
      <x:c r="V73" s="38" t="str">
        <x:v>direto no regulamento</x:v>
      </x:c>
      <x:c r="W73" s="67" t="b">
        <x:v>1</x:v>
      </x:c>
      <x:c r="X73" s="38" t="str">
        <x:v>Suporte total ou combinado; não representa mínimo júnior isolado.</x:v>
      </x:c>
      <x:c r="Y73" s="67" t="b">
        <x:v>1</x:v>
      </x:c>
      <x:c r="Z73" s="85" t="str">
        <x:v>N/D</x:v>
      </x:c>
      <x:c r="AA73" s="85" t="str">
        <x:v>N/D</x:v>
      </x:c>
      <x:c r="AB73" s="38" t="str">
        <x:v>não medido</x:v>
      </x:c>
      <x:c r="AC73" s="38" t="str">
        <x:v>Agro, Indústria e Comércio</x:v>
      </x:c>
      <x:c r="AD73" s="38" t="str">
        <x:v>Recebíveis Comerciais</x:v>
      </x:c>
      <x:c r="AE73" s="38" t="str">
        <x:v>Agro / Revenda</x:v>
      </x:c>
      <x:c r="AF73" s="38" t="str">
        <x:v>BASF</x:v>
      </x:c>
      <x:c r="AG73" s="38" t="str">
        <x:v>cedente</x:v>
      </x:c>
      <x:c r="AH73" s="38" t="str">
        <x:v>N/D</x:v>
      </x:c>
      <x:c r="AI73" s="38" t="str">
        <x:v>BASF</x:v>
      </x:c>
      <x:c r="AJ73" s="38" t="str">
        <x:v>N/D</x:v>
      </x:c>
      <x:c r="AK73" s="38" t="str">
        <x:v>Insumos Agrícolas - prazo Safra</x:v>
      </x:c>
      <x:c r="AL73" s="38" t="str">
        <x:v>IMG_8706.JPG</x:v>
      </x:c>
      <x:c r="AM73" s="38" t="str">
        <x:v>manual_aplicado</x:v>
      </x:c>
      <x:c r="AN73" s="38" t="str">
        <x:v>N/D</x:v>
      </x:c>
      <x:c r="AO73" s="38" t="str">
        <x:v>801978</x:v>
      </x:c>
      <x:c r="AP73" s="38" t="str">
        <x:v>2025-03-11</x:v>
      </x:c>
      <x:c r="AQ73" s="38" t="str">
        <x:v>4</x:v>
      </x:c>
      <x:c r="AR73" s="38" t="str">
        <x:v>revisto — suporte estrutural total localizado</x:v>
      </x:c>
      <x:c r="AS73" s="38" t="str">
        <x:v>FundosNet/B3; documento 801978; referência 2025-03-11; p. 4</x:v>
      </x:c>
      <x:c r="AT73" s="38" t="str">
        <x:v>N/D</x:v>
      </x:c>
      <x:c r="AU73" s="38" t="str">
        <x:v>PL atual; Sub/PL atual; originador; sacado/devedor</x:v>
      </x:c>
      <x:c r="AV73" s="38" t="str">
        <x:v>sub_pl_atual_ausente</x:v>
      </x:c>
    </x:row>
    <x:row r="74" ht="31.5" customHeight="1">
      <x:c r="A74" s="39" t="n">
        <x:v>70</x:v>
      </x:c>
      <x:c r="B74" s="72" t="n">
        <x:v>58291962000127</x:v>
      </x:c>
      <x:c r="C74" s="39" t="str">
        <x:v>58.291.962/0001-27</x:v>
      </x:c>
      <x:c r="D74" s="39" t="str">
        <x:v>HELM FUNDO DE INVESTIMENTO NAS CADEIAS PRODUTIVAS DO AGRONEGÓCIO - RESPONSABILIDADE LIMITADA</x:v>
      </x:c>
      <x:c r="E74" s="39" t="str">
        <x:v>HELM FUNDO I E D C RESPONS</x:v>
      </x:c>
      <x:c r="F74" s="39" t="str">
        <x:v>Carteira 101</x:v>
      </x:c>
      <x:c r="G74" s="39" t="str">
        <x:v>2026-06</x:v>
      </x:c>
      <x:c r="H74" s="39" t="str">
        <x:v>localizado</x:v>
      </x:c>
      <x:c r="I74" s="78" t="str">
        <x:v>N/D</x:v>
      </x:c>
      <x:c r="J74" s="78" t="str">
        <x:v>N/D</x:v>
      </x:c>
      <x:c r="K74" s="78" t="str">
        <x:v>N/D</x:v>
      </x:c>
      <x:c r="L74" s="84" t="str">
        <x:v>N/D</x:v>
      </x:c>
      <x:c r="M74" s="39" t="str">
        <x:v>PL oficial ausente em 2026-06</x:v>
      </x:c>
      <x:c r="N74" s="84" t="str">
        <x:v>N/D</x:v>
      </x:c>
      <x:c r="O74" s="84" t="str">
        <x:v>N/D</x:v>
      </x:c>
      <x:c r="P74" s="84" t="str">
        <x:v>N/D</x:v>
      </x:c>
      <x:c r="Q74" s="84" t="n">
        <x:v>0.2</x:v>
      </x:c>
      <x:c r="R74" s="84" t="str">
        <x:v>N/D</x:v>
      </x:c>
      <x:c r="S74" s="84" t="n">
        <x:v>0.2</x:v>
      </x:c>
      <x:c r="T74" s="39" t="str">
        <x:v>20,0%*</x:v>
      </x:c>
      <x:c r="U74" s="39" t="str">
        <x:v>suporte_total_pl</x:v>
      </x:c>
      <x:c r="V74" s="39" t="str">
        <x:v>direto no regulamento</x:v>
      </x:c>
      <x:c r="W74" s="66" t="b">
        <x:v>1</x:v>
      </x:c>
      <x:c r="X74" s="39" t="str">
        <x:v>Suporte total ou combinado; não representa mínimo júnior isolado.</x:v>
      </x:c>
      <x:c r="Y74" s="66" t="b">
        <x:v>1</x:v>
      </x:c>
      <x:c r="Z74" s="84" t="str">
        <x:v>N/D</x:v>
      </x:c>
      <x:c r="AA74" s="84" t="str">
        <x:v>N/D</x:v>
      </x:c>
      <x:c r="AB74" s="39" t="str">
        <x:v>não medido</x:v>
      </x:c>
      <x:c r="AC74" s="39" t="str">
        <x:v>Agro, Indústria e Comércio</x:v>
      </x:c>
      <x:c r="AD74" s="39" t="str">
        <x:v>Multicarteira Agro, Indústria e Comércio</x:v>
      </x:c>
      <x:c r="AE74" s="39" t="str">
        <x:v>Agro / Revenda</x:v>
      </x:c>
      <x:c r="AF74" s="39" t="str">
        <x:v>Helm</x:v>
      </x:c>
      <x:c r="AG74" s="39" t="str">
        <x:v>cedente</x:v>
      </x:c>
      <x:c r="AH74" s="39" t="str">
        <x:v>N/D</x:v>
      </x:c>
      <x:c r="AI74" s="39" t="str">
        <x:v>Helm</x:v>
      </x:c>
      <x:c r="AJ74" s="39" t="str">
        <x:v>N/D</x:v>
      </x:c>
      <x:c r="AK74" s="39" t="str">
        <x:v>Insumos Agrícolas - prazo Safra</x:v>
      </x:c>
      <x:c r="AL74" s="39" t="str">
        <x:v>IMG_8706.JPG</x:v>
      </x:c>
      <x:c r="AM74" s="39" t="str">
        <x:v>manual_aplicado</x:v>
      </x:c>
      <x:c r="AN74" s="39" t="str">
        <x:v>N/D</x:v>
      </x:c>
      <x:c r="AO74" s="39" t="str">
        <x:v>957854</x:v>
      </x:c>
      <x:c r="AP74" s="39" t="str">
        <x:v>2025-07-30</x:v>
      </x:c>
      <x:c r="AQ74" s="39" t="str">
        <x:v>99–100</x:v>
      </x:c>
      <x:c r="AR74" s="39" t="str">
        <x:v>revisto — suporte estrutural total localizado</x:v>
      </x:c>
      <x:c r="AS74" s="39" t="str">
        <x:v>FundosNet/B3; documento 957854; referência 2025-07-30; p. 99–100</x:v>
      </x:c>
      <x:c r="AT74" s="39" t="str">
        <x:v>N/D</x:v>
      </x:c>
      <x:c r="AU74" s="39" t="str">
        <x:v>PL atual; Sub/PL atual; originador; sacado/devedor</x:v>
      </x:c>
      <x:c r="AV74" s="39" t="str">
        <x:v>sub_pl_atual_ausente</x:v>
      </x:c>
    </x:row>
    <x:row r="75" ht="31.5" customHeight="1">
      <x:c r="A75" s="38" t="n">
        <x:v>71</x:v>
      </x:c>
      <x:c r="B75" s="73" t="n">
        <x:v>57259989000170</x:v>
      </x:c>
      <x:c r="C75" s="38" t="str">
        <x:v>57.259.989/0001-70</x:v>
      </x:c>
      <x:c r="D75" s="38" t="str">
        <x:v>TRÊS TENTOS FIAGRO RESPONSABILIDADE LIMITADA</x:v>
      </x:c>
      <x:c r="E75" s="38" t="str">
        <x:v>TRES TENTOS FUNDO DE INVESTIMENTO EM DIREITOS CRE</x:v>
      </x:c>
      <x:c r="F75" s="38" t="str">
        <x:v>Carteira 101</x:v>
      </x:c>
      <x:c r="G75" s="38" t="str">
        <x:v>2026-06</x:v>
      </x:c>
      <x:c r="H75" s="38" t="str">
        <x:v>localizado</x:v>
      </x:c>
      <x:c r="I75" s="79" t="str">
        <x:v>N/D</x:v>
      </x:c>
      <x:c r="J75" s="79" t="str">
        <x:v>N/D</x:v>
      </x:c>
      <x:c r="K75" s="79" t="str">
        <x:v>N/D</x:v>
      </x:c>
      <x:c r="L75" s="85" t="str">
        <x:v>N/D</x:v>
      </x:c>
      <x:c r="M75" s="38" t="str">
        <x:v>PL oficial ausente em 2026-06</x:v>
      </x:c>
      <x:c r="N75" s="85" t="str">
        <x:v>N/D</x:v>
      </x:c>
      <x:c r="O75" s="85" t="str">
        <x:v>N/D</x:v>
      </x:c>
      <x:c r="P75" s="85" t="str">
        <x:v>N/D</x:v>
      </x:c>
      <x:c r="Q75" s="85" t="n">
        <x:v>0.2</x:v>
      </x:c>
      <x:c r="R75" s="85" t="str">
        <x:v>N/D</x:v>
      </x:c>
      <x:c r="S75" s="85" t="n">
        <x:v>0.2</x:v>
      </x:c>
      <x:c r="T75" s="38" t="str">
        <x:v>20,0%*</x:v>
      </x:c>
      <x:c r="U75" s="38" t="str">
        <x:v>suporte_total_pl</x:v>
      </x:c>
      <x:c r="V75" s="38" t="str">
        <x:v>direto no regulamento</x:v>
      </x:c>
      <x:c r="W75" s="67" t="b">
        <x:v>1</x:v>
      </x:c>
      <x:c r="X75" s="38" t="str">
        <x:v>Suporte total ou combinado; não representa mínimo júnior isolado.</x:v>
      </x:c>
      <x:c r="Y75" s="67" t="b">
        <x:v>1</x:v>
      </x:c>
      <x:c r="Z75" s="85" t="str">
        <x:v>N/D</x:v>
      </x:c>
      <x:c r="AA75" s="85" t="str">
        <x:v>N/D</x:v>
      </x:c>
      <x:c r="AB75" s="38" t="str">
        <x:v>não medido</x:v>
      </x:c>
      <x:c r="AC75" s="38" t="str">
        <x:v>Agro, Indústria e Comércio</x:v>
      </x:c>
      <x:c r="AD75" s="38" t="str">
        <x:v>Agronegócio</x:v>
      </x:c>
      <x:c r="AE75" s="38" t="str">
        <x:v>Agro / Revenda</x:v>
      </x:c>
      <x:c r="AF75" s="38" t="str">
        <x:v>Tres Tentos</x:v>
      </x:c>
      <x:c r="AG75" s="38" t="str">
        <x:v>cedente</x:v>
      </x:c>
      <x:c r="AH75" s="38" t="str">
        <x:v>N/D</x:v>
      </x:c>
      <x:c r="AI75" s="38" t="str">
        <x:v>Tres Tentos</x:v>
      </x:c>
      <x:c r="AJ75" s="38" t="str">
        <x:v>N/D</x:v>
      </x:c>
      <x:c r="AK75" s="38" t="str">
        <x:v>Insumos Agrícolas - prazo Safra</x:v>
      </x:c>
      <x:c r="AL75" s="38" t="str">
        <x:v>IMG_8706.JPG</x:v>
      </x:c>
      <x:c r="AM75" s="38" t="str">
        <x:v>manual_aplicado</x:v>
      </x:c>
      <x:c r="AN75" s="38" t="str">
        <x:v>Denominação cortada pela largura da coluna na foto.</x:v>
      </x:c>
      <x:c r="AO75" s="38" t="str">
        <x:v>1016583</x:v>
      </x:c>
      <x:c r="AP75" s="38" t="str">
        <x:v>2025-10-16</x:v>
      </x:c>
      <x:c r="AQ75" s="38" t="str">
        <x:v>104</x:v>
      </x:c>
      <x:c r="AR75" s="38" t="str">
        <x:v>revisto — suporte estrutural total localizado</x:v>
      </x:c>
      <x:c r="AS75" s="38" t="str">
        <x:v>FundosNet/B3; documento 1016583; referência 2025-10-16; p. 104</x:v>
      </x:c>
      <x:c r="AT75" s="38" t="str">
        <x:v>N/D</x:v>
      </x:c>
      <x:c r="AU75" s="38" t="str">
        <x:v>PL atual; Sub/PL atual; originador; sacado/devedor</x:v>
      </x:c>
      <x:c r="AV75" s="38" t="str">
        <x:v>sub_pl_atual_ausente</x:v>
      </x:c>
    </x:row>
    <x:row r="76" ht="31.5" customHeight="1">
      <x:c r="A76" s="39" t="n">
        <x:v>72</x:v>
      </x:c>
      <x:c r="B76" s="72" t="n">
        <x:v>58171340000165</x:v>
      </x:c>
      <x:c r="C76" s="39" t="str">
        <x:v>58.171.340/0001-65</x:v>
      </x:c>
      <x:c r="D76" s="39" t="str">
        <x:v>FRIMESA FUNDO DE INVESTIMENTO EM DIREITOS CREDITÓRIOS DE RESPONSABILIDADE LIMITADA</x:v>
      </x:c>
      <x:c r="E76" s="39" t="str">
        <x:v>FRIMESA FUNDO DE INVESTIMENTO EM DIREITOS CREDITOR</x:v>
      </x:c>
      <x:c r="F76" s="39" t="str">
        <x:v>Carteira 101</x:v>
      </x:c>
      <x:c r="G76" s="39" t="str">
        <x:v>2026-06</x:v>
      </x:c>
      <x:c r="H76" s="39" t="str">
        <x:v>localizado</x:v>
      </x:c>
      <x:c r="I76" s="78" t="n">
        <x:v>357712011.78</x:v>
      </x:c>
      <x:c r="J76" s="78" t="n">
        <x:v>357712010.4873228</x:v>
      </x:c>
      <x:c r="K76" s="78" t="n">
        <x:v>75202410.19812278</x:v>
      </x:c>
      <x:c r="L76" s="84" t="n">
        <x:v>0.21023171635727392</x:v>
      </x:c>
      <x:c r="M76" s="39" t="str">
        <x:v>Calculado com classes reportadas e PL oficial reconciliado</x:v>
      </x:c>
      <x:c r="N76" s="84" t="n">
        <x:v>0.01</x:v>
      </x:c>
      <x:c r="O76" s="84" t="str">
        <x:v>N/D</x:v>
      </x:c>
      <x:c r="P76" s="84" t="str">
        <x:v>N/D</x:v>
      </x:c>
      <x:c r="Q76" s="84" t="str">
        <x:v>N/D</x:v>
      </x:c>
      <x:c r="R76" s="84" t="str">
        <x:v>N/D</x:v>
      </x:c>
      <x:c r="S76" s="84" t="n">
        <x:v>0.01</x:v>
      </x:c>
      <x:c r="T76" s="39" t="str">
        <x:v>1,0%</x:v>
      </x:c>
      <x:c r="U76" s="39" t="str">
        <x:v>junior_pl</x:v>
      </x:c>
      <x:c r="V76" s="39" t="str">
        <x:v>direto no regulamento</x:v>
      </x:c>
      <x:c r="W76" s="66" t="b">
        <x:v>0</x:v>
      </x:c>
      <x:c r="X76" s="39" t="str">
        <x:v>Mínimo júnior isolado; a subordinação atual disponível agrega todas as classes subordinadas.</x:v>
      </x:c>
      <x:c r="Y76" s="66" t="b">
        <x:v>0</x:v>
      </x:c>
      <x:c r="Z76" s="84" t="str">
        <x:v>N/D</x:v>
      </x:c>
      <x:c r="AA76" s="84" t="str">
        <x:v>N/D</x:v>
      </x:c>
      <x:c r="AB76" s="39" t="str">
        <x:v>não medido</x:v>
      </x:c>
      <x:c r="AC76" s="39" t="str">
        <x:v>Agro, Indústria e Comércio</x:v>
      </x:c>
      <x:c r="AD76" s="39" t="str">
        <x:v>Multicarteira Agro, Indústria e Comércio</x:v>
      </x:c>
      <x:c r="AE76" s="39" t="str">
        <x:v>Agro / Revenda</x:v>
      </x:c>
      <x:c r="AF76" s="39" t="str">
        <x:v>Frimesa</x:v>
      </x:c>
      <x:c r="AG76" s="39" t="str">
        <x:v>cedente</x:v>
      </x:c>
      <x:c r="AH76" s="39" t="str">
        <x:v>N/D</x:v>
      </x:c>
      <x:c r="AI76" s="39" t="str">
        <x:v>Frimesa</x:v>
      </x:c>
      <x:c r="AJ76" s="39" t="str">
        <x:v>N/D</x:v>
      </x:c>
      <x:c r="AK76" s="39" t="str">
        <x:v>recebíveis supermercados</x:v>
      </x:c>
      <x:c r="AL76" s="39" t="str">
        <x:v>IMG_8706.JPG</x:v>
      </x:c>
      <x:c r="AM76" s="39" t="str">
        <x:v>manual_aplicado</x:v>
      </x:c>
      <x:c r="AN76" s="39" t="str">
        <x:v>Denominação cortada pela largura da coluna na foto.</x:v>
      </x:c>
      <x:c r="AO76" s="39" t="str">
        <x:v>861191</x:v>
      </x:c>
      <x:c r="AP76" s="39" t="str">
        <x:v>2025-03-13</x:v>
      </x:c>
      <x:c r="AQ76" s="39" t="str">
        <x:v>51</x:v>
      </x:c>
      <x:c r="AR76" s="39" t="str">
        <x:v>revisto — mínimo júnior localizado</x:v>
      </x:c>
      <x:c r="AS76" s="39" t="str">
        <x:v>FundosNet/B3; documento 861191; referência 2025-03-13; p. 51</x:v>
      </x:c>
      <x:c r="AT76" s="39" t="str">
        <x:v>Índice de Subordinação Mezanino: cotas júnior / PL, mínimo de 1,0%.</x:v>
      </x:c>
      <x:c r="AU76" s="39" t="str">
        <x:v>originador; sacado/devedor</x:v>
      </x:c>
      <x:c r="AV76" s="39" t="str">
        <x:v>estrutura_incomparavel</x:v>
      </x:c>
    </x:row>
    <x:row r="77" ht="31.5" customHeight="1">
      <x:c r="A77" s="38" t="n">
        <x:v>73</x:v>
      </x:c>
      <x:c r="B77" s="73" t="n">
        <x:v>51554551000138</x:v>
      </x:c>
      <x:c r="C77" s="38" t="str">
        <x:v>51.554.551/0001-38</x:v>
      </x:c>
      <x:c r="D77" s="38" t="str">
        <x:v>CLASSE ÚNICA DO FIDC CRÉDITO NITRO AGRO - RESPONSABILIDADE LIMITADA</x:v>
      </x:c>
      <x:c r="E77" s="38" t="str">
        <x:v>CLASSE UNICA DO FIDC CREDITO NITRO AGRO RESPONSA</x:v>
      </x:c>
      <x:c r="F77" s="38" t="str">
        <x:v>Carteira 101</x:v>
      </x:c>
      <x:c r="G77" s="38" t="str">
        <x:v>2026-06</x:v>
      </x:c>
      <x:c r="H77" s="38" t="str">
        <x:v>localizado</x:v>
      </x:c>
      <x:c r="I77" s="79" t="n">
        <x:v>64451699.14</x:v>
      </x:c>
      <x:c r="J77" s="79" t="n">
        <x:v>64451699.13998985</x:v>
      </x:c>
      <x:c r="K77" s="79" t="n">
        <x:v>64451699.13998985</x:v>
      </x:c>
      <x:c r="L77" s="85" t="n">
        <x:v>0.9999999999998426</x:v>
      </x:c>
      <x:c r="M77" s="38" t="str">
        <x:v>Calculado com classes reportadas e PL oficial reconciliado</x:v>
      </x:c>
      <x:c r="N77" s="85" t="str">
        <x:v>N/D</x:v>
      </x:c>
      <x:c r="O77" s="85" t="str">
        <x:v>N/D</x:v>
      </x:c>
      <x:c r="P77" s="85" t="str">
        <x:v>N/D</x:v>
      </x:c>
      <x:c r="Q77" s="85" t="str">
        <x:v>N/D</x:v>
      </x:c>
      <x:c r="R77" s="85" t="n">
        <x:v>0.25</x:v>
      </x:c>
      <x:c r="S77" s="85" t="n">
        <x:v>0.25</x:v>
      </x:c>
      <x:c r="T77" s="38" t="str">
        <x:v>25,0%*</x:v>
      </x:c>
      <x:c r="U77" s="38" t="str">
        <x:v>suporte_combinado_pl</x:v>
      </x:c>
      <x:c r="V77" s="38" t="str">
        <x:v>direto no regulamento</x:v>
      </x:c>
      <x:c r="W77" s="67" t="b">
        <x:v>1</x:v>
      </x:c>
      <x:c r="X77" s="38" t="str">
        <x:v>Suporte total ou combinado; não representa mínimo júnior isolado.</x:v>
      </x:c>
      <x:c r="Y77" s="67" t="b">
        <x:v>1</x:v>
      </x:c>
      <x:c r="Z77" s="85" t="n">
        <x:v>0.7499999999998426</x:v>
      </x:c>
      <x:c r="AA77" s="85" t="n">
        <x:v>0.9999999999997901</x:v>
      </x:c>
      <x:c r="AB77" s="38" t="str">
        <x:v>acima do mínimo</x:v>
      </x:c>
      <x:c r="AC77" s="38" t="str">
        <x:v>Agro, Indústria e Comércio</x:v>
      </x:c>
      <x:c r="AD77" s="38" t="str">
        <x:v>Agronegócio</x:v>
      </x:c>
      <x:c r="AE77" s="38" t="str">
        <x:v>Agro / Revenda</x:v>
      </x:c>
      <x:c r="AF77" s="38" t="str">
        <x:v>Nitroquímica</x:v>
      </x:c>
      <x:c r="AG77" s="38" t="str">
        <x:v>cedente</x:v>
      </x:c>
      <x:c r="AH77" s="38" t="str">
        <x:v>N/D</x:v>
      </x:c>
      <x:c r="AI77" s="38" t="str">
        <x:v>Nitroquímica</x:v>
      </x:c>
      <x:c r="AJ77" s="38" t="str">
        <x:v>N/D</x:v>
      </x:c>
      <x:c r="AK77" s="38" t="str">
        <x:v>Insumos Agrícolas - prazo Safra</x:v>
      </x:c>
      <x:c r="AL77" s="38" t="str">
        <x:v>IMG_8706.JPG</x:v>
      </x:c>
      <x:c r="AM77" s="38" t="str">
        <x:v>manual_aplicado</x:v>
      </x:c>
      <x:c r="AN77" s="38" t="str">
        <x:v>Denominação cortada pela largura da coluna na foto.</x:v>
      </x:c>
      <x:c r="AO77" s="38" t="str">
        <x:v>1261911</x:v>
      </x:c>
      <x:c r="AP77" s="38" t="str">
        <x:v>2026-06-18</x:v>
      </x:c>
      <x:c r="AQ77" s="38" t="str">
        <x:v>71</x:v>
      </x:c>
      <x:c r="AR77" s="38" t="str">
        <x:v>revisto — suporte estrutural total localizado</x:v>
      </x:c>
      <x:c r="AS77" s="38" t="str">
        <x:v>FundosNet/B3; documento 1261911; referência 2026-06-18; p. 71</x:v>
      </x:c>
      <x:c r="AT77" s="38" t="str">
        <x:v>N/D</x:v>
      </x:c>
      <x:c r="AU77" s="38" t="str">
        <x:v>originador; sacado/devedor</x:v>
      </x:c>
      <x:c r="AV77" s="38" t="str">
        <x:v>completo_para_folga</x:v>
      </x:c>
    </x:row>
    <x:row r="78" ht="31.5" customHeight="1">
      <x:c r="A78" s="39" t="n">
        <x:v>74</x:v>
      </x:c>
      <x:c r="B78" s="72" t="n">
        <x:v>57752597000148</x:v>
      </x:c>
      <x:c r="C78" s="39" t="str">
        <x:v>57.752.597/0001-48</x:v>
      </x:c>
      <x:c r="D78" s="39" t="str">
        <x:v>AGROMERCANTIL CRÉDITO AGRO FUNDO DE INVESTIMENTO EM DIREITOS CREDITÓRIOS - RESPONSABILIDADE LIMITADA</x:v>
      </x:c>
      <x:c r="E78" s="39" t="str">
        <x:v>AGROMERCANTIL CREDITO AGRO FUNDO DE INVESTIMENTO EM DIREITOS CREDITORIOS</x:v>
      </x:c>
      <x:c r="F78" s="39" t="str">
        <x:v>Carteira 101</x:v>
      </x:c>
      <x:c r="G78" s="39" t="str">
        <x:v>2026-06</x:v>
      </x:c>
      <x:c r="H78" s="39" t="str">
        <x:v>localizado</x:v>
      </x:c>
      <x:c r="I78" s="78" t="n">
        <x:v>68736909.66</x:v>
      </x:c>
      <x:c r="J78" s="78" t="n">
        <x:v>68736909.65993586</x:v>
      </x:c>
      <x:c r="K78" s="78" t="n">
        <x:v>22327744.159950003</x:v>
      </x:c>
      <x:c r="L78" s="84" t="n">
        <x:v>0.3248290368361318</x:v>
      </x:c>
      <x:c r="M78" s="39" t="str">
        <x:v>Calculado com classes reportadas e PL oficial reconciliado</x:v>
      </x:c>
      <x:c r="N78" s="84" t="n">
        <x:v>0.3</x:v>
      </x:c>
      <x:c r="O78" s="84" t="str">
        <x:v>N/D</x:v>
      </x:c>
      <x:c r="P78" s="84" t="str">
        <x:v>N/D</x:v>
      </x:c>
      <x:c r="Q78" s="84" t="str">
        <x:v>N/D</x:v>
      </x:c>
      <x:c r="R78" s="84" t="str">
        <x:v>N/D</x:v>
      </x:c>
      <x:c r="S78" s="84" t="n">
        <x:v>0.3</x:v>
      </x:c>
      <x:c r="T78" s="39" t="str">
        <x:v>30,0%</x:v>
      </x:c>
      <x:c r="U78" s="39" t="str">
        <x:v>junior_pl</x:v>
      </x:c>
      <x:c r="V78" s="39" t="str">
        <x:v>direto no regulamento</x:v>
      </x:c>
      <x:c r="W78" s="66" t="b">
        <x:v>0</x:v>
      </x:c>
      <x:c r="X78" s="39" t="str">
        <x:v>Mínimo júnior isolado; a subordinação atual disponível agrega todas as classes subordinadas.</x:v>
      </x:c>
      <x:c r="Y78" s="66" t="b">
        <x:v>0</x:v>
      </x:c>
      <x:c r="Z78" s="84" t="str">
        <x:v>N/D</x:v>
      </x:c>
      <x:c r="AA78" s="84" t="str">
        <x:v>N/D</x:v>
      </x:c>
      <x:c r="AB78" s="39" t="str">
        <x:v>não medido</x:v>
      </x:c>
      <x:c r="AC78" s="39" t="str">
        <x:v>Agro, Indústria e Comércio</x:v>
      </x:c>
      <x:c r="AD78" s="39" t="str">
        <x:v>Multicarteira Agro, Indústria e Comércio</x:v>
      </x:c>
      <x:c r="AE78" s="39" t="str">
        <x:v>Agro / Revenda</x:v>
      </x:c>
      <x:c r="AF78" s="39" t="str">
        <x:v>AGROMERCANTIL</x:v>
      </x:c>
      <x:c r="AG78" s="39" t="str">
        <x:v>cedente</x:v>
      </x:c>
      <x:c r="AH78" s="39" t="str">
        <x:v>N/D</x:v>
      </x:c>
      <x:c r="AI78" s="39" t="str">
        <x:v>AGROMERCANTIL</x:v>
      </x:c>
      <x:c r="AJ78" s="39" t="str">
        <x:v>N/D</x:v>
      </x:c>
      <x:c r="AK78" s="39" t="str">
        <x:v>Comercializadora de grãos</x:v>
      </x:c>
      <x:c r="AL78" s="39" t="str">
        <x:v>IMG_8706.JPG</x:v>
      </x:c>
      <x:c r="AM78" s="39" t="str">
        <x:v>manual_aplicado</x:v>
      </x:c>
      <x:c r="AN78" s="39" t="str">
        <x:v>Denominação cortada pela largura da coluna na foto.</x:v>
      </x:c>
      <x:c r="AO78" s="39" t="str">
        <x:v>1200681</x:v>
      </x:c>
      <x:c r="AP78" s="39" t="str">
        <x:v>2026-05-21</x:v>
      </x:c>
      <x:c r="AQ78" s="39" t="str">
        <x:v>44</x:v>
      </x:c>
      <x:c r="AR78" s="39" t="str">
        <x:v>revisto — mínimo júnior localizado</x:v>
      </x:c>
      <x:c r="AS78" s="39" t="str">
        <x:v>FundosNet/B3; documento 1200681; referência 2026-05-21; p. 44</x:v>
      </x:c>
      <x:c r="AT78" s="39" t="str">
        <x:v>Totalidade das cotas subordinadas júnior / PL, mínimo de 30,0%.</x:v>
      </x:c>
      <x:c r="AU78" s="39" t="str">
        <x:v>originador; sacado/devedor</x:v>
      </x:c>
      <x:c r="AV78" s="39" t="str">
        <x:v>estrutura_incomparavel</x:v>
      </x:c>
    </x:row>
    <x:row r="79" ht="31.5" customHeight="1">
      <x:c r="A79" s="38" t="n">
        <x:v>75</x:v>
      </x:c>
      <x:c r="B79" s="73" t="n">
        <x:v>47425750000179</x:v>
      </x:c>
      <x:c r="C79" s="38" t="str">
        <x:v>47.425.750/0001-79</x:v>
      </x:c>
      <x:c r="D79" s="38" t="str">
        <x:v>CEREALIS FUNDO DE INVESTIMENTO EM DIREITOS CREDITÓRIOS</x:v>
      </x:c>
      <x:c r="E79" s="38" t="str">
        <x:v>FIDC CROPFIELD CEREALIS</x:v>
      </x:c>
      <x:c r="F79" s="38" t="str">
        <x:v>Carteira 101</x:v>
      </x:c>
      <x:c r="G79" s="38" t="str">
        <x:v>2026-06</x:v>
      </x:c>
      <x:c r="H79" s="38" t="str">
        <x:v>localizado</x:v>
      </x:c>
      <x:c r="I79" s="79" t="n">
        <x:v>215299982.37</x:v>
      </x:c>
      <x:c r="J79" s="79" t="n">
        <x:v>215299982.36938536</x:v>
      </x:c>
      <x:c r="K79" s="79" t="n">
        <x:v>114213377.8501986</x:v>
      </x:c>
      <x:c r="L79" s="85" t="n">
        <x:v>0.5304848453443866</x:v>
      </x:c>
      <x:c r="M79" s="38" t="str">
        <x:v>Calculado com classes reportadas e PL oficial reconciliado</x:v>
      </x:c>
      <x:c r="N79" s="85" t="n">
        <x:v>0.25</x:v>
      </x:c>
      <x:c r="O79" s="85" t="str">
        <x:v>N/D</x:v>
      </x:c>
      <x:c r="P79" s="85" t="str">
        <x:v>N/D</x:v>
      </x:c>
      <x:c r="Q79" s="85" t="str">
        <x:v>N/D</x:v>
      </x:c>
      <x:c r="R79" s="85" t="str">
        <x:v>N/D</x:v>
      </x:c>
      <x:c r="S79" s="85" t="n">
        <x:v>0.25</x:v>
      </x:c>
      <x:c r="T79" s="38" t="str">
        <x:v>25,0% (50,0% × 50,0%)</x:v>
      </x:c>
      <x:c r="U79" s="38" t="str">
        <x:v>junior_pl</x:v>
      </x:c>
      <x:c r="V79" s="38" t="str">
        <x:v>direto no regulamento</x:v>
      </x:c>
      <x:c r="W79" s="67" t="b">
        <x:v>0</x:v>
      </x:c>
      <x:c r="X79" s="38" t="str">
        <x:v>Mínimo júnior isolado; a subordinação atual disponível agrega todas as classes subordinadas.</x:v>
      </x:c>
      <x:c r="Y79" s="67" t="b">
        <x:v>0</x:v>
      </x:c>
      <x:c r="Z79" s="85" t="str">
        <x:v>N/D</x:v>
      </x:c>
      <x:c r="AA79" s="85" t="str">
        <x:v>N/D</x:v>
      </x:c>
      <x:c r="AB79" s="38" t="str">
        <x:v>não medido</x:v>
      </x:c>
      <x:c r="AC79" s="38" t="str">
        <x:v>Agro, Indústria e Comércio</x:v>
      </x:c>
      <x:c r="AD79" s="38" t="str">
        <x:v>Agronegócio</x:v>
      </x:c>
      <x:c r="AE79" s="38" t="str">
        <x:v>Agro / Revenda</x:v>
      </x:c>
      <x:c r="AF79" s="38" t="str">
        <x:v>N/D</x:v>
      </x:c>
      <x:c r="AG79" s="38" t="str">
        <x:v>N/D</x:v>
      </x:c>
      <x:c r="AH79" s="38" t="str">
        <x:v>N/D</x:v>
      </x:c>
      <x:c r="AI79" s="38" t="str">
        <x:v>N/D</x:v>
      </x:c>
      <x:c r="AJ79" s="38" t="str">
        <x:v>N/D</x:v>
      </x:c>
      <x:c r="AK79" s="38" t="str">
        <x:v>N/D</x:v>
      </x:c>
      <x:c r="AL79" s="38" t="str">
        <x:v>N/D</x:v>
      </x:c>
      <x:c r="AM79" s="38" t="str">
        <x:v>sem_overlay</x:v>
      </x:c>
      <x:c r="AN79" s="38" t="str">
        <x:v>N/D</x:v>
      </x:c>
      <x:c r="AO79" s="38" t="str">
        <x:v>1237988</x:v>
      </x:c>
      <x:c r="AP79" s="38" t="str">
        <x:v>2026-07-02</x:v>
      </x:c>
      <x:c r="AQ79" s="38" t="str">
        <x:v>30</x:v>
      </x:c>
      <x:c r="AR79" s="38" t="str">
        <x:v>revisto — mínimo júnior calculado de cláusulas contratuais</x:v>
      </x:c>
      <x:c r="AS79" s="38" t="str">
        <x:v>FundosNet/B3; documento 1237988; referência 2026-07-02; p. 30</x:v>
      </x:c>
      <x:c r="AT79" s="38" t="str">
        <x:v>Mínimo júnior calculado: subordinadas = 50,0% do PL e júnior = 50,0% das subordinadas.</x:v>
      </x:c>
      <x:c r="AU79" s="38" t="str">
        <x:v>originador; cedente; sacado/devedor; tipo de recebível</x:v>
      </x:c>
      <x:c r="AV79" s="38" t="str">
        <x:v>estrutura_incomparavel</x:v>
      </x:c>
    </x:row>
    <x:row r="80" ht="31.5" customHeight="1">
      <x:c r="A80" s="39" t="n">
        <x:v>76</x:v>
      </x:c>
      <x:c r="B80" s="72" t="n">
        <x:v>37035970000132</x:v>
      </x:c>
      <x:c r="C80" s="39" t="str">
        <x:v>37.035.970/0001-32</x:v>
      </x:c>
      <x:c r="D80" s="39" t="str">
        <x:v>CD CASH FUNDO DE INVESTIMENTO EM DIREITOS CREDITÓRIOS RESPONSABILIDADE LIMITADA</x:v>
      </x:c>
      <x:c r="E80" s="39" t="str">
        <x:v>CD BANCK FIDC</x:v>
      </x:c>
      <x:c r="F80" s="39" t="str">
        <x:v>Carteira 101</x:v>
      </x:c>
      <x:c r="G80" s="39" t="str">
        <x:v>2026-06</x:v>
      </x:c>
      <x:c r="H80" s="39" t="str">
        <x:v>localizado</x:v>
      </x:c>
      <x:c r="I80" s="78" t="n">
        <x:v>291764021.23</x:v>
      </x:c>
      <x:c r="J80" s="78" t="n">
        <x:v>291764021.2199663</x:v>
      </x:c>
      <x:c r="K80" s="78" t="n">
        <x:v>136523290.74982393</x:v>
      </x:c>
      <x:c r="L80" s="84" t="n">
        <x:v>0.46792366712755673</x:v>
      </x:c>
      <x:c r="M80" s="39" t="str">
        <x:v>Calculado com classes reportadas e PL oficial reconciliado</x:v>
      </x:c>
      <x:c r="N80" s="84" t="n">
        <x:v>0.3</x:v>
      </x:c>
      <x:c r="O80" s="84" t="str">
        <x:v>N/D</x:v>
      </x:c>
      <x:c r="P80" s="84" t="str">
        <x:v>N/D</x:v>
      </x:c>
      <x:c r="Q80" s="84" t="str">
        <x:v>N/D</x:v>
      </x:c>
      <x:c r="R80" s="84" t="str">
        <x:v>N/D</x:v>
      </x:c>
      <x:c r="S80" s="84" t="n">
        <x:v>0.3</x:v>
      </x:c>
      <x:c r="T80" s="39" t="str">
        <x:v>30,0% (40,0% × 75,0%)</x:v>
      </x:c>
      <x:c r="U80" s="39" t="str">
        <x:v>junior_pl</x:v>
      </x:c>
      <x:c r="V80" s="39" t="str">
        <x:v>direto no regulamento</x:v>
      </x:c>
      <x:c r="W80" s="66" t="b">
        <x:v>0</x:v>
      </x:c>
      <x:c r="X80" s="39" t="str">
        <x:v>Mínimo júnior isolado; a subordinação atual disponível agrega todas as classes subordinadas.</x:v>
      </x:c>
      <x:c r="Y80" s="66" t="b">
        <x:v>0</x:v>
      </x:c>
      <x:c r="Z80" s="84" t="str">
        <x:v>N/D</x:v>
      </x:c>
      <x:c r="AA80" s="84" t="str">
        <x:v>N/D</x:v>
      </x:c>
      <x:c r="AB80" s="39" t="str">
        <x:v>não medido</x:v>
      </x:c>
      <x:c r="AC80" s="39" t="str">
        <x:v>Agro, Indústria e Comércio</x:v>
      </x:c>
      <x:c r="AD80" s="39" t="str">
        <x:v>Multicarteira Agro, Indústria e Comércio</x:v>
      </x:c>
      <x:c r="AE80" s="39" t="str">
        <x:v>Agro / Revenda</x:v>
      </x:c>
      <x:c r="AF80" s="39" t="str">
        <x:v>CHD'S</x:v>
      </x:c>
      <x:c r="AG80" s="39" t="str">
        <x:v>cedente</x:v>
      </x:c>
      <x:c r="AH80" s="39" t="str">
        <x:v>N/D</x:v>
      </x:c>
      <x:c r="AI80" s="39" t="str">
        <x:v>CHD'S</x:v>
      </x:c>
      <x:c r="AJ80" s="39" t="str">
        <x:v>N/D</x:v>
      </x:c>
      <x:c r="AK80" s="39" t="str">
        <x:v>Insumos Agrícolas - prazo Safra; possui não performados</x:v>
      </x:c>
      <x:c r="AL80" s="39" t="str">
        <x:v>IMG_8706.JPG</x:v>
      </x:c>
      <x:c r="AM80" s="39" t="str">
        <x:v>manual_aplicado</x:v>
      </x:c>
      <x:c r="AN80" s="39" t="str">
        <x:v>N/D</x:v>
      </x:c>
      <x:c r="AO80" s="39" t="str">
        <x:v>1187379</x:v>
      </x:c>
      <x:c r="AP80" s="39" t="str">
        <x:v>2026-05-12</x:v>
      </x:c>
      <x:c r="AQ80" s="39" t="str">
        <x:v>43</x:v>
      </x:c>
      <x:c r="AR80" s="39" t="str">
        <x:v>revisto — mínimo júnior calculado de cláusulas contratuais</x:v>
      </x:c>
      <x:c r="AS80" s="39" t="str">
        <x:v>FundosNet/B3; documento 1187379; referência 2026-05-12; p. 43</x:v>
      </x:c>
      <x:c r="AT80" s="39" t="str">
        <x:v>Mínimo júnior calculado: subordinadas = 40,0% do PL e júnior = 75,0% das subordinadas.</x:v>
      </x:c>
      <x:c r="AU80" s="39" t="str">
        <x:v>originador; sacado/devedor</x:v>
      </x:c>
      <x:c r="AV80" s="39" t="str">
        <x:v>estrutura_incomparavel</x:v>
      </x:c>
    </x:row>
    <x:row r="81" ht="31.5" customHeight="1">
      <x:c r="A81" s="38" t="n">
        <x:v>77</x:v>
      </x:c>
      <x:c r="B81" s="73" t="n">
        <x:v>17468142000180</x:v>
      </x:c>
      <x:c r="C81" s="38" t="str">
        <x:v>17.468.142/0001-80</x:v>
      </x:c>
      <x:c r="D81" s="38" t="str">
        <x:v>VALOREM FUNDO DE INVESTIMENTO EM DIREITOS CREDITÓRIOS MULTISETORIAL RESPONSABILIDADE LIMITADA</x:v>
      </x:c>
      <x:c r="E81" s="38" t="str">
        <x:v>VALOREM FIDC MULTISSETORIAL</x:v>
      </x:c>
      <x:c r="F81" s="38" t="str">
        <x:v>Carteira 101</x:v>
      </x:c>
      <x:c r="G81" s="38" t="str">
        <x:v>2026-06</x:v>
      </x:c>
      <x:c r="H81" s="38" t="str">
        <x:v>localizado</x:v>
      </x:c>
      <x:c r="I81" s="79" t="n">
        <x:v>511752071.28</x:v>
      </x:c>
      <x:c r="J81" s="79" t="n">
        <x:v>511752071.4305694</x:v>
      </x:c>
      <x:c r="K81" s="79" t="n">
        <x:v>241151436.9547133</x:v>
      </x:c>
      <x:c r="L81" s="85" t="n">
        <x:v>0.4712270853179796</x:v>
      </x:c>
      <x:c r="M81" s="38" t="str">
        <x:v>Calculado com classes reportadas e PL oficial reconciliado</x:v>
      </x:c>
      <x:c r="N81" s="85" t="n">
        <x:v>0.15</x:v>
      </x:c>
      <x:c r="O81" s="85" t="str">
        <x:v>N/D</x:v>
      </x:c>
      <x:c r="P81" s="85" t="str">
        <x:v>N/D</x:v>
      </x:c>
      <x:c r="Q81" s="85" t="str">
        <x:v>N/D</x:v>
      </x:c>
      <x:c r="R81" s="85" t="str">
        <x:v>N/D</x:v>
      </x:c>
      <x:c r="S81" s="85" t="n">
        <x:v>0.15</x:v>
      </x:c>
      <x:c r="T81" s="38" t="str">
        <x:v>15,0%</x:v>
      </x:c>
      <x:c r="U81" s="38" t="str">
        <x:v>junior_pl</x:v>
      </x:c>
      <x:c r="V81" s="38" t="str">
        <x:v>direto no regulamento</x:v>
      </x:c>
      <x:c r="W81" s="67" t="b">
        <x:v>0</x:v>
      </x:c>
      <x:c r="X81" s="38" t="str">
        <x:v>Mínimo júnior isolado; a subordinação atual disponível agrega todas as classes subordinadas.</x:v>
      </x:c>
      <x:c r="Y81" s="67" t="b">
        <x:v>0</x:v>
      </x:c>
      <x:c r="Z81" s="85" t="str">
        <x:v>N/D</x:v>
      </x:c>
      <x:c r="AA81" s="85" t="str">
        <x:v>N/D</x:v>
      </x:c>
      <x:c r="AB81" s="38" t="str">
        <x:v>não medido</x:v>
      </x:c>
      <x:c r="AC81" s="38" t="str">
        <x:v>Fomento Mercantil</x:v>
      </x:c>
      <x:c r="AD81" s="38" t="str">
        <x:v>Fomento Mercantil</x:v>
      </x:c>
      <x:c r="AE81" s="38" t="str">
        <x:v>Factoring</x:v>
      </x:c>
      <x:c r="AF81" s="38" t="str">
        <x:v>Multicedentes &amp; Multisacados</x:v>
      </x:c>
      <x:c r="AG81" s="38" t="str">
        <x:v>cedente</x:v>
      </x:c>
      <x:c r="AH81" s="38" t="str">
        <x:v>N/D</x:v>
      </x:c>
      <x:c r="AI81" s="38" t="str">
        <x:v>Multicedentes &amp; Multisacados</x:v>
      </x:c>
      <x:c r="AJ81" s="38" t="str">
        <x:v>N/D</x:v>
      </x:c>
      <x:c r="AK81" s="38" t="str">
        <x:v>FIDC MultiCedente / Multisacado</x:v>
      </x:c>
      <x:c r="AL81" s="38" t="str">
        <x:v>IMG_8706.JPG</x:v>
      </x:c>
      <x:c r="AM81" s="38" t="str">
        <x:v>manual_aplicado</x:v>
      </x:c>
      <x:c r="AN81" s="38" t="str">
        <x:v>N/D</x:v>
      </x:c>
      <x:c r="AO81" s="38" t="str">
        <x:v>1157934</x:v>
      </x:c>
      <x:c r="AP81" s="38" t="str">
        <x:v>2026-04-09</x:v>
      </x:c>
      <x:c r="AQ81" s="38" t="str">
        <x:v>102</x:v>
      </x:c>
      <x:c r="AR81" s="38" t="str">
        <x:v>revisto — mínimo júnior localizado</x:v>
      </x:c>
      <x:c r="AS81" s="38" t="str">
        <x:v>FundosNet/B3; documento 1157934; referência 2026-04-09; p. 102</x:v>
      </x:c>
      <x:c r="AT81" s="38" t="str">
        <x:v>Índice de Subordinação Mezanino: cotas júnior / PL, mínimo de 15,0%.</x:v>
      </x:c>
      <x:c r="AU81" s="38" t="str">
        <x:v>originador; sacado/devedor</x:v>
      </x:c>
      <x:c r="AV81" s="38" t="str">
        <x:v>estrutura_incomparavel</x:v>
      </x:c>
    </x:row>
    <x:row r="82" ht="31.5" customHeight="1">
      <x:c r="A82" s="39" t="n">
        <x:v>78</x:v>
      </x:c>
      <x:c r="B82" s="72" t="n">
        <x:v>29492605000129</x:v>
      </x:c>
      <x:c r="C82" s="39" t="str">
        <x:v>29.492.605/0001-29</x:v>
      </x:c>
      <x:c r="D82" s="39" t="str">
        <x:v>GAZIN FUNDO DE INVESTIMENTO EM DIREITOS CREDITÓRIOS MULTISSEGMENTOS - RESPONSABILIDADE LIMITADA</x:v>
      </x:c>
      <x:c r="E82" s="39" t="str">
        <x:v>GAZIN FUNDO DE INVESTIMENTO EM DIREITOS CREDITORIO</x:v>
      </x:c>
      <x:c r="F82" s="39" t="str">
        <x:v>Carteira 101</x:v>
      </x:c>
      <x:c r="G82" s="39" t="str">
        <x:v>2026-06</x:v>
      </x:c>
      <x:c r="H82" s="39" t="str">
        <x:v>localizado</x:v>
      </x:c>
      <x:c r="I82" s="78" t="n">
        <x:v>2494236413.23</x:v>
      </x:c>
      <x:c r="J82" s="78" t="n">
        <x:v>2494236413.231075</x:v>
      </x:c>
      <x:c r="K82" s="78" t="n">
        <x:v>1685981886.4199998</x:v>
      </x:c>
      <x:c r="L82" s="84" t="n">
        <x:v>0.6759511157311178</x:v>
      </x:c>
      <x:c r="M82" s="39" t="str">
        <x:v>Calculado com classes reportadas e PL oficial reconciliado</x:v>
      </x:c>
      <x:c r="N82" s="84" t="n">
        <x:v>0.51</x:v>
      </x:c>
      <x:c r="O82" s="84" t="str">
        <x:v>N/D</x:v>
      </x:c>
      <x:c r="P82" s="84" t="str">
        <x:v>N/D</x:v>
      </x:c>
      <x:c r="Q82" s="84" t="n">
        <x:v>0.51</x:v>
      </x:c>
      <x:c r="R82" s="84" t="str">
        <x:v>N/D</x:v>
      </x:c>
      <x:c r="S82" s="84" t="n">
        <x:v>0.51</x:v>
      </x:c>
      <x:c r="T82" s="39" t="str">
        <x:v>51,0%</x:v>
      </x:c>
      <x:c r="U82" s="39" t="str">
        <x:v>junior_pl</x:v>
      </x:c>
      <x:c r="V82" s="39" t="str">
        <x:v>direto no regulamento</x:v>
      </x:c>
      <x:c r="W82" s="66" t="b">
        <x:v>1</x:v>
      </x:c>
      <x:c r="X82" s="39" t="str">
        <x:v>Estrutura documental com cotas seniores e juniores; a métrica atual e o piso usam o total subordinado sobre o PL.</x:v>
      </x:c>
      <x:c r="Y82" s="66" t="b">
        <x:v>0</x:v>
      </x:c>
      <x:c r="Z82" s="84" t="n">
        <x:v>0.16595111573111776</x:v>
      </x:c>
      <x:c r="AA82" s="84" t="n">
        <x:v>0.3386757463900362</x:v>
      </x:c>
      <x:c r="AB82" s="39" t="str">
        <x:v>acima do mínimo</x:v>
      </x:c>
      <x:c r="AC82" s="39" t="str">
        <x:v>Agro, Indústria e Comércio</x:v>
      </x:c>
      <x:c r="AD82" s="39" t="str">
        <x:v>Multicarteira Agro, Indústria e Comércio</x:v>
      </x:c>
      <x:c r="AE82" s="39" t="str">
        <x:v>Agro / Revenda</x:v>
      </x:c>
      <x:c r="AF82" s="39" t="str">
        <x:v>N/D</x:v>
      </x:c>
      <x:c r="AG82" s="39" t="str">
        <x:v>N/D</x:v>
      </x:c>
      <x:c r="AH82" s="39" t="str">
        <x:v>N/D</x:v>
      </x:c>
      <x:c r="AI82" s="39" t="str">
        <x:v>N/D</x:v>
      </x:c>
      <x:c r="AJ82" s="39" t="str">
        <x:v>N/D</x:v>
      </x:c>
      <x:c r="AK82" s="39" t="str">
        <x:v>N/D</x:v>
      </x:c>
      <x:c r="AL82" s="39" t="str">
        <x:v>N/D</x:v>
      </x:c>
      <x:c r="AM82" s="39" t="str">
        <x:v>sem_overlay</x:v>
      </x:c>
      <x:c r="AN82" s="39" t="str">
        <x:v>N/D</x:v>
      </x:c>
      <x:c r="AO82" s="39" t="str">
        <x:v>1117213</x:v>
      </x:c>
      <x:c r="AP82" s="39" t="str">
        <x:v>2026-02-12</x:v>
      </x:c>
      <x:c r="AQ82" s="39" t="str">
        <x:v>44</x:v>
      </x:c>
      <x:c r="AR82" s="39" t="str">
        <x:v>revisto — mínimo júnior localizado</x:v>
      </x:c>
      <x:c r="AS82" s="39" t="str">
        <x:v>FundosNet/B3; documento 1117213; referência 2026-02-12; p. 44</x:v>
      </x:c>
      <x:c r="AT82" s="39" t="str">
        <x:v>O regulamento contém apenas cotas seniores e juniores; índice de subordinação mínimo de 51,0%.</x:v>
      </x:c>
      <x:c r="AU82" s="39" t="str">
        <x:v>originador; cedente; sacado/devedor; tipo de recebível</x:v>
      </x:c>
      <x:c r="AV82" s="39" t="str">
        <x:v>completo_para_folga</x:v>
      </x:c>
    </x:row>
    <x:row r="83" ht="31.5" customHeight="1">
      <x:c r="A83" s="38" t="n">
        <x:v>79</x:v>
      </x:c>
      <x:c r="B83" s="73" t="n">
        <x:v>31739396000117</x:v>
      </x:c>
      <x:c r="C83" s="38" t="str">
        <x:v>31.739.396/0001-17</x:v>
      </x:c>
      <x:c r="D83" s="38" t="str">
        <x:v>LF III FUNDO DE INVESTIMENTO EM DIREITOS CREDITÓRIOS DE RESPONSABILIDADE LIMITADA</x:v>
      </x:c>
      <x:c r="E83" s="38" t="str">
        <x:v>FIDC LF III</x:v>
      </x:c>
      <x:c r="F83" s="38" t="str">
        <x:v>Carteira 101</x:v>
      </x:c>
      <x:c r="G83" s="38" t="str">
        <x:v>2026-06</x:v>
      </x:c>
      <x:c r="H83" s="38" t="str">
        <x:v>localizado</x:v>
      </x:c>
      <x:c r="I83" s="79" t="n">
        <x:v>1385981646.72</x:v>
      </x:c>
      <x:c r="J83" s="79" t="n">
        <x:v>1385981646.865284</x:v>
      </x:c>
      <x:c r="K83" s="79" t="n">
        <x:v>110921515.81657636</x:v>
      </x:c>
      <x:c r="L83" s="85" t="n">
        <x:v>0.0800310134546717</x:v>
      </x:c>
      <x:c r="M83" s="38" t="str">
        <x:v>Calculado com classes reportadas e PL oficial reconciliado</x:v>
      </x:c>
      <x:c r="N83" s="85" t="n">
        <x:v>0.005</x:v>
      </x:c>
      <x:c r="O83" s="85" t="str">
        <x:v>N/D</x:v>
      </x:c>
      <x:c r="P83" s="85" t="str">
        <x:v>N/D</x:v>
      </x:c>
      <x:c r="Q83" s="85" t="str">
        <x:v>N/D</x:v>
      </x:c>
      <x:c r="R83" s="85" t="str">
        <x:v>N/D</x:v>
      </x:c>
      <x:c r="S83" s="85" t="n">
        <x:v>0.005</x:v>
      </x:c>
      <x:c r="T83" s="38" t="str">
        <x:v>0,50%</x:v>
      </x:c>
      <x:c r="U83" s="38" t="str">
        <x:v>junior_pl</x:v>
      </x:c>
      <x:c r="V83" s="38" t="str">
        <x:v>direto no regulamento</x:v>
      </x:c>
      <x:c r="W83" s="67" t="b">
        <x:v>0</x:v>
      </x:c>
      <x:c r="X83" s="38" t="str">
        <x:v>Mínimo júnior isolado; a subordinação atual disponível agrega todas as classes subordinadas.</x:v>
      </x:c>
      <x:c r="Y83" s="67" t="b">
        <x:v>0</x:v>
      </x:c>
      <x:c r="Z83" s="85" t="str">
        <x:v>N/D</x:v>
      </x:c>
      <x:c r="AA83" s="85" t="str">
        <x:v>N/D</x:v>
      </x:c>
      <x:c r="AB83" s="38" t="str">
        <x:v>não medido</x:v>
      </x:c>
      <x:c r="AC83" s="38" t="str">
        <x:v>Agro, Indústria e Comércio</x:v>
      </x:c>
      <x:c r="AD83" s="38" t="str">
        <x:v>Recebíveis Comerciais</x:v>
      </x:c>
      <x:c r="AE83" s="38" t="str">
        <x:v>Agro / Revenda</x:v>
      </x:c>
      <x:c r="AF83" s="38" t="str">
        <x:v>Listo IP</x:v>
      </x:c>
      <x:c r="AG83" s="38" t="str">
        <x:v>cedente</x:v>
      </x:c>
      <x:c r="AH83" s="38" t="str">
        <x:v>N/D</x:v>
      </x:c>
      <x:c r="AI83" s="38" t="str">
        <x:v>Listo IP</x:v>
      </x:c>
      <x:c r="AJ83" s="38" t="str">
        <x:v>N/D</x:v>
      </x:c>
      <x:c r="AK83" s="38" t="str">
        <x:v>Risco Bancos Emissores Diversos</x:v>
      </x:c>
      <x:c r="AL83" s="38" t="str">
        <x:v>IMG_8706.JPG</x:v>
      </x:c>
      <x:c r="AM83" s="38" t="str">
        <x:v>manual_aplicado</x:v>
      </x:c>
      <x:c r="AN83" s="38" t="str">
        <x:v>OBS da foto: lista de concentração pré-aprovada.</x:v>
      </x:c>
      <x:c r="AO83" s="38" t="str">
        <x:v>1146939</x:v>
      </x:c>
      <x:c r="AP83" s="38" t="str">
        <x:v>2026-03-27</x:v>
      </x:c>
      <x:c r="AQ83" s="38" t="str">
        <x:v>39</x:v>
      </x:c>
      <x:c r="AR83" s="38" t="str">
        <x:v>revisto — mínimo júnior localizado</x:v>
      </x:c>
      <x:c r="AS83" s="38" t="str">
        <x:v>FundosNet/B3; documento 1146939; referência 2026-03-27; p. 39</x:v>
      </x:c>
      <x:c r="AT83" s="38" t="str">
        <x:v>Cotas subordinadas júnior / PL, mínimo de 0,5%.</x:v>
      </x:c>
      <x:c r="AU83" s="38" t="str">
        <x:v>originador; sacado/devedor</x:v>
      </x:c>
      <x:c r="AV83" s="38" t="str">
        <x:v>estrutura_incomparavel</x:v>
      </x:c>
    </x:row>
    <x:row r="84" ht="31.5" customHeight="1">
      <x:c r="A84" s="39" t="n">
        <x:v>80</x:v>
      </x:c>
      <x:c r="B84" s="72" t="n">
        <x:v>26749095000134</x:v>
      </x:c>
      <x:c r="C84" s="39" t="str">
        <x:v>26.749.095/0001-34</x:v>
      </x:c>
      <x:c r="D84" s="39" t="str">
        <x:v>PRAVALER CRÉDITO UNIVERSITÁRIO II FUNDO DE INVESTIMENTO EM DIREITOS CREDITÓRIOS - RESP LIMITADAL</x:v>
      </x:c>
      <x:c r="E84" s="39" t="str">
        <x:v>CREDITO UNIVERSITARIO II FUNDO DE INVESTIMENTO EM</x:v>
      </x:c>
      <x:c r="F84" s="39" t="str">
        <x:v>Carteira 101</x:v>
      </x:c>
      <x:c r="G84" s="39" t="str">
        <x:v>2026-06</x:v>
      </x:c>
      <x:c r="H84" s="39" t="str">
        <x:v>localizado</x:v>
      </x:c>
      <x:c r="I84" s="78" t="n">
        <x:v>392878603.09</x:v>
      </x:c>
      <x:c r="J84" s="78" t="n">
        <x:v>382813001.24978614</x:v>
      </x:c>
      <x:c r="K84" s="78" t="n">
        <x:v>98334639.56746107</x:v>
      </x:c>
      <x:c r="L84" s="84" t="str">
        <x:v>N/D</x:v>
      </x:c>
      <x:c r="M84" s="39" t="str">
        <x:v>N/D</x:v>
      </x:c>
      <x:c r="N84" s="84" t="n">
        <x:v>0.1</x:v>
      </x:c>
      <x:c r="O84" s="84" t="str">
        <x:v>N/D</x:v>
      </x:c>
      <x:c r="P84" s="84" t="str">
        <x:v>N/D</x:v>
      </x:c>
      <x:c r="Q84" s="84" t="str">
        <x:v>N/D</x:v>
      </x:c>
      <x:c r="R84" s="84" t="str">
        <x:v>N/D</x:v>
      </x:c>
      <x:c r="S84" s="84" t="n">
        <x:v>0.1</x:v>
      </x:c>
      <x:c r="T84" s="39" t="str">
        <x:v>10,0%; 15,0% se atraso &gt; 6%</x:v>
      </x:c>
      <x:c r="U84" s="39" t="str">
        <x:v>junior_pl</x:v>
      </x:c>
      <x:c r="V84" s="39" t="str">
        <x:v>direto no regulamento</x:v>
      </x:c>
      <x:c r="W84" s="66" t="b">
        <x:v>0</x:v>
      </x:c>
      <x:c r="X84" s="39" t="str">
        <x:v>Mínimo júnior isolado; a subordinação atual disponível agrega mais de uma classe subordinada ou usa denominador distinto.</x:v>
      </x:c>
      <x:c r="Y84" s="66" t="b">
        <x:v>0</x:v>
      </x:c>
      <x:c r="Z84" s="84" t="str">
        <x:v>N/D</x:v>
      </x:c>
      <x:c r="AA84" s="84" t="str">
        <x:v>N/D</x:v>
      </x:c>
      <x:c r="AB84" s="39" t="str">
        <x:v>não medido</x:v>
      </x:c>
      <x:c r="AC84" s="39" t="str">
        <x:v>Financeiro</x:v>
      </x:c>
      <x:c r="AD84" s="39" t="str">
        <x:v>Crédito Pessoal</x:v>
      </x:c>
      <x:c r="AE84" s="39" t="str">
        <x:v>Financeiro</x:v>
      </x:c>
      <x:c r="AF84" s="39" t="str">
        <x:v>Pravaler</x:v>
      </x:c>
      <x:c r="AG84" s="39" t="str">
        <x:v>cedente</x:v>
      </x:c>
      <x:c r="AH84" s="39" t="str">
        <x:v>N/D</x:v>
      </x:c>
      <x:c r="AI84" s="39" t="str">
        <x:v>Pravaler</x:v>
      </x:c>
      <x:c r="AJ84" s="39" t="str">
        <x:v>N/D</x:v>
      </x:c>
      <x:c r="AK84" s="39" t="str">
        <x:v>Crédito Estudantil</x:v>
      </x:c>
      <x:c r="AL84" s="39" t="str">
        <x:v>IMG_8706.JPG</x:v>
      </x:c>
      <x:c r="AM84" s="39" t="str">
        <x:v>manual_aplicado</x:v>
      </x:c>
      <x:c r="AN84" s="39" t="str">
        <x:v>Denominação cortada pela largura da coluna na foto.</x:v>
      </x:c>
      <x:c r="AO84" s="39" t="str">
        <x:v>1061833</x:v>
      </x:c>
      <x:c r="AP84" s="39" t="str">
        <x:v>2025-11-19</x:v>
      </x:c>
      <x:c r="AQ84" s="39" t="str">
        <x:v>152</x:v>
      </x:c>
      <x:c r="AR84" s="39" t="str">
        <x:v>revisto — mínimo júnior localizado</x:v>
      </x:c>
      <x:c r="AS84" s="39" t="str">
        <x:v>FundosNet/B3; documento 1061833; referência 2025-11-19; p. 152</x:v>
      </x:c>
      <x:c r="AT84" s="39" t="str">
        <x:v>Cotas júnior / PL, mínimo de 10,0%; passa a 15,0% quando o atraso supera 6,0%.</x:v>
      </x:c>
      <x:c r="AU84" s="39" t="str">
        <x:v>Sub/PL atual; originador; sacado/devedor</x:v>
      </x:c>
      <x:c r="AV84" s="39" t="str">
        <x:v>sub_pl_atual_ausente</x:v>
      </x:c>
    </x:row>
    <x:row r="85" ht="31.5" customHeight="1">
      <x:c r="A85" s="38" t="n">
        <x:v>81</x:v>
      </x:c>
      <x:c r="B85" s="73" t="n">
        <x:v>62393829000159</x:v>
      </x:c>
      <x:c r="C85" s="38" t="str">
        <x:v>62.393.829/0001-59</x:v>
      </x:c>
      <x:c r="D85" s="38" t="str">
        <x:v>FUNDO DE INVESTIMENTO EM DIREITOS CREDITÓRIOS COMERCIAIS MEDICI I - RESPONSABILIDADE LIMITADA</x:v>
      </x:c>
      <x:c r="E85" s="38" t="str">
        <x:v>TOP 2025 V FIDC RESP LIMITADA</x:v>
      </x:c>
      <x:c r="F85" s="38" t="str">
        <x:v>Carteira 101</x:v>
      </x:c>
      <x:c r="G85" s="38" t="str">
        <x:v>2026-06</x:v>
      </x:c>
      <x:c r="H85" s="38" t="str">
        <x:v>localizado</x:v>
      </x:c>
      <x:c r="I85" s="79" t="n">
        <x:v>3091715187.97</x:v>
      </x:c>
      <x:c r="J85" s="79" t="n">
        <x:v>3091715187.9753494</x:v>
      </x:c>
      <x:c r="K85" s="79" t="n">
        <x:v>168780742.42435217</x:v>
      </x:c>
      <x:c r="L85" s="85" t="n">
        <x:v>0.0545912971159457</x:v>
      </x:c>
      <x:c r="M85" s="38" t="str">
        <x:v>Calculado com classes reportadas e PL oficial reconciliado</x:v>
      </x:c>
      <x:c r="N85" s="85" t="n">
        <x:v>0.05</x:v>
      </x:c>
      <x:c r="O85" s="85" t="str">
        <x:v>N/D</x:v>
      </x:c>
      <x:c r="P85" s="85" t="str">
        <x:v>N/D</x:v>
      </x:c>
      <x:c r="Q85" s="85" t="n">
        <x:v>0.05</x:v>
      </x:c>
      <x:c r="R85" s="85" t="str">
        <x:v>N/D</x:v>
      </x:c>
      <x:c r="S85" s="85" t="n">
        <x:v>0.05</x:v>
      </x:c>
      <x:c r="T85" s="38" t="str">
        <x:v>5,0%</x:v>
      </x:c>
      <x:c r="U85" s="38" t="str">
        <x:v>junior_pl</x:v>
      </x:c>
      <x:c r="V85" s="38" t="str">
        <x:v>direto no regulamento</x:v>
      </x:c>
      <x:c r="W85" s="67" t="b">
        <x:v>1</x:v>
      </x:c>
      <x:c r="X85" s="38" t="str">
        <x:v>Estrutura com uma única classe subordinada; métrica atual e piso usam o total subordinado sobre o PL.</x:v>
      </x:c>
      <x:c r="Y85" s="67" t="b">
        <x:v>0</x:v>
      </x:c>
      <x:c r="Z85" s="85" t="n">
        <x:v>0.004591297115945699</x:v>
      </x:c>
      <x:c r="AA85" s="85" t="n">
        <x:v>0.00483294433257442</x:v>
      </x:c>
      <x:c r="AB85" s="38" t="str">
        <x:v>folga estreita</x:v>
      </x:c>
      <x:c r="AC85" s="38" t="str">
        <x:v>Fomento Mercantil</x:v>
      </x:c>
      <x:c r="AD85" s="38" t="str">
        <x:v>Fomento Mercantil</x:v>
      </x:c>
      <x:c r="AE85" s="38" t="str">
        <x:v>Factoring</x:v>
      </x:c>
      <x:c r="AF85" s="38" t="str">
        <x:v>Multicedente</x:v>
      </x:c>
      <x:c r="AG85" s="38" t="str">
        <x:v>cedente</x:v>
      </x:c>
      <x:c r="AH85" s="38" t="str">
        <x:v>N/D</x:v>
      </x:c>
      <x:c r="AI85" s="38" t="str">
        <x:v>Multicedente</x:v>
      </x:c>
      <x:c r="AJ85" s="38" t="str">
        <x:v>BRF</x:v>
      </x:c>
      <x:c r="AK85" s="38" t="str">
        <x:v>Risco Sacado BRF</x:v>
      </x:c>
      <x:c r="AL85" s="38" t="str">
        <x:v>IMG_8706.JPG</x:v>
      </x:c>
      <x:c r="AM85" s="38" t="str">
        <x:v>manual_aplicado</x:v>
      </x:c>
      <x:c r="AN85" s="38" t="str">
        <x:v>BRF foi desmembrado somente porque a fonte escreve literalmente Risco Sacado BRF.</x:v>
      </x:c>
      <x:c r="AO85" s="38" t="str">
        <x:v>1242436</x:v>
      </x:c>
      <x:c r="AP85" s="38" t="str">
        <x:v>2026-07-08</x:v>
      </x:c>
      <x:c r="AQ85" s="38" t="str">
        <x:v>40–41</x:v>
      </x:c>
      <x:c r="AR85" s="38" t="str">
        <x:v>revisto — mínimo júnior localizado</x:v>
      </x:c>
      <x:c r="AS85" s="38" t="str">
        <x:v>FundosNet/B3; documento 1242436; referência 2026-07-08; p. 40–41</x:v>
      </x:c>
      <x:c r="AT85" s="38" t="str">
        <x:v>Cotas subordinadas júnior / PL, mínimo regular de 5,0%; transição temporária de 3,0% encerrada.</x:v>
      </x:c>
      <x:c r="AU85" s="38" t="str">
        <x:v>originador</x:v>
      </x:c>
      <x:c r="AV85" s="38" t="str">
        <x:v>completo_para_folga</x:v>
      </x:c>
    </x:row>
    <x:row r="86" ht="31.5" customHeight="1">
      <x:c r="A86" s="39" t="n">
        <x:v>82</x:v>
      </x:c>
      <x:c r="B86" s="72" t="n">
        <x:v>47640584000123</x:v>
      </x:c>
      <x:c r="C86" s="39" t="str">
        <x:v>47.640.584/0001-23</x:v>
      </x:c>
      <x:c r="D86" s="39" t="str">
        <x:v>SOL AGORA GREEN ESG FIDC IS SEGMENTO FINANCEIRO DE RESPONSABILIDADE LIMITADA</x:v>
      </x:c>
      <x:c r="E86" s="39" t="str">
        <x:v>SOL AGORA GREEN ESG FIDC IS SEGMENTO FINANCEIRO DE</x:v>
      </x:c>
      <x:c r="F86" s="39" t="str">
        <x:v>Carteira 101</x:v>
      </x:c>
      <x:c r="G86" s="39" t="str">
        <x:v>2026-06</x:v>
      </x:c>
      <x:c r="H86" s="39" t="str">
        <x:v>localizado</x:v>
      </x:c>
      <x:c r="I86" s="78" t="n">
        <x:v>285125290.74</x:v>
      </x:c>
      <x:c r="J86" s="78" t="n">
        <x:v>285125290.8203988</x:v>
      </x:c>
      <x:c r="K86" s="78" t="n">
        <x:v>86750548.68002474</x:v>
      </x:c>
      <x:c r="L86" s="84" t="n">
        <x:v>0.3042541349274092</x:v>
      </x:c>
      <x:c r="M86" s="39" t="str">
        <x:v>Calculado com classes reportadas e PL oficial reconciliado</x:v>
      </x:c>
      <x:c r="N86" s="84" t="n">
        <x:v>0.1</x:v>
      </x:c>
      <x:c r="O86" s="84" t="str">
        <x:v>N/D</x:v>
      </x:c>
      <x:c r="P86" s="84" t="str">
        <x:v>N/D</x:v>
      </x:c>
      <x:c r="Q86" s="84" t="str">
        <x:v>N/D</x:v>
      </x:c>
      <x:c r="R86" s="84" t="str">
        <x:v>N/D</x:v>
      </x:c>
      <x:c r="S86" s="84" t="n">
        <x:v>0.1</x:v>
      </x:c>
      <x:c r="T86" s="39" t="str">
        <x:v>10,0% → 12,5% após 24 meses</x:v>
      </x:c>
      <x:c r="U86" s="39" t="str">
        <x:v>junior_pl</x:v>
      </x:c>
      <x:c r="V86" s="39" t="str">
        <x:v>direto no regulamento</x:v>
      </x:c>
      <x:c r="W86" s="66" t="b">
        <x:v>0</x:v>
      </x:c>
      <x:c r="X86" s="39" t="str">
        <x:v>Mínimo júnior isolado; a subordinação atual disponível agrega todas as classes subordinadas.</x:v>
      </x:c>
      <x:c r="Y86" s="66" t="b">
        <x:v>0</x:v>
      </x:c>
      <x:c r="Z86" s="84" t="str">
        <x:v>N/D</x:v>
      </x:c>
      <x:c r="AA86" s="84" t="str">
        <x:v>N/D</x:v>
      </x:c>
      <x:c r="AB86" s="39" t="str">
        <x:v>não medido</x:v>
      </x:c>
      <x:c r="AC86" s="39" t="str">
        <x:v>Financeiro</x:v>
      </x:c>
      <x:c r="AD86" s="39" t="str">
        <x:v>Crédito Pessoal</x:v>
      </x:c>
      <x:c r="AE86" s="39" t="str">
        <x:v>Financeiro</x:v>
      </x:c>
      <x:c r="AF86" s="39" t="str">
        <x:v>BMP</x:v>
      </x:c>
      <x:c r="AG86" s="39" t="str">
        <x:v>cedente</x:v>
      </x:c>
      <x:c r="AH86" s="39" t="str">
        <x:v>Sol Agora</x:v>
      </x:c>
      <x:c r="AI86" s="39" t="str">
        <x:v>BMP</x:v>
      </x:c>
      <x:c r="AJ86" s="39" t="str">
        <x:v>N/D</x:v>
      </x:c>
      <x:c r="AK86" s="39" t="str">
        <x:v>Recebíveis: CCBs</x:v>
      </x:c>
      <x:c r="AL86" s="39" t="str">
        <x:v>IMG_8706.JPG</x:v>
      </x:c>
      <x:c r="AM86" s="39" t="str">
        <x:v>manual_aplicado</x:v>
      </x:c>
      <x:c r="AN86" s="39" t="str">
        <x:v>OBS da foto: a Sol Agora é o originador, mas o cedente das CCBs é o BMP (true sale). Os papéis foram desmembrados somente porque estão escritos literalmente na fonte. Denominação cortada.</x:v>
      </x:c>
      <x:c r="AO86" s="39" t="str">
        <x:v>930974</x:v>
      </x:c>
      <x:c r="AP86" s="39" t="str">
        <x:v>2025-06-13</x:v>
      </x:c>
      <x:c r="AQ86" s="39" t="str">
        <x:v>91</x:v>
      </x:c>
      <x:c r="AR86" s="39" t="str">
        <x:v>revisto — mínimo júnior localizado</x:v>
      </x:c>
      <x:c r="AS86" s="39" t="str">
        <x:v>FundosNet/B3; documento 930974; referência 2025-06-13; p. 91</x:v>
      </x:c>
      <x:c r="AT86" s="39" t="str">
        <x:v>Cotas júnior / PL ajustado: 10,0% até o 24º mês e 12,5% após esse período.</x:v>
      </x:c>
      <x:c r="AU86" s="39" t="str">
        <x:v>sacado/devedor</x:v>
      </x:c>
      <x:c r="AV86" s="39" t="str">
        <x:v>estrutura_incomparavel</x:v>
      </x:c>
    </x:row>
    <x:row r="87" ht="31.5" customHeight="1">
      <x:c r="A87" s="38" t="n">
        <x:v>83</x:v>
      </x:c>
      <x:c r="B87" s="73" t="n">
        <x:v>57028406000108</x:v>
      </x:c>
      <x:c r="C87" s="38" t="str">
        <x:v>57.028.406/0001-08</x:v>
      </x:c>
      <x:c r="D87" s="38" t="str">
        <x:v>IS GREEN SOLFÁCIL VI FUNDO DE INVESTIMENTO EM DIREITOS CREDITÓRIOS RESPONSABILIDADE LIMITADA</x:v>
      </x:c>
      <x:c r="E87" s="38" t="str">
        <x:v>IS GREEN SOLFACIL VI FIDC RL</x:v>
      </x:c>
      <x:c r="F87" s="38" t="str">
        <x:v>Carteira 101</x:v>
      </x:c>
      <x:c r="G87" s="38" t="str">
        <x:v>2026-06</x:v>
      </x:c>
      <x:c r="H87" s="38" t="str">
        <x:v>localizado</x:v>
      </x:c>
      <x:c r="I87" s="79" t="n">
        <x:v>437421807.29</x:v>
      </x:c>
      <x:c r="J87" s="79" t="n">
        <x:v>437421807.2916817</x:v>
      </x:c>
      <x:c r="K87" s="79" t="n">
        <x:v>116406326.70015693</x:v>
      </x:c>
      <x:c r="L87" s="85" t="n">
        <x:v>0.2661191663519015</x:v>
      </x:c>
      <x:c r="M87" s="38" t="str">
        <x:v>Calculado com classes reportadas e PL oficial reconciliado</x:v>
      </x:c>
      <x:c r="N87" s="85" t="n">
        <x:v>0.02</x:v>
      </x:c>
      <x:c r="O87" s="85" t="str">
        <x:v>N/D</x:v>
      </x:c>
      <x:c r="P87" s="85" t="str">
        <x:v>N/D</x:v>
      </x:c>
      <x:c r="Q87" s="85" t="str">
        <x:v>N/D</x:v>
      </x:c>
      <x:c r="R87" s="85" t="str">
        <x:v>N/D</x:v>
      </x:c>
      <x:c r="S87" s="85" t="n">
        <x:v>0.02</x:v>
      </x:c>
      <x:c r="T87" s="38" t="str">
        <x:v>2,0%</x:v>
      </x:c>
      <x:c r="U87" s="38" t="str">
        <x:v>junior_pl</x:v>
      </x:c>
      <x:c r="V87" s="38" t="str">
        <x:v>direto no regulamento</x:v>
      </x:c>
      <x:c r="W87" s="67" t="b">
        <x:v>0</x:v>
      </x:c>
      <x:c r="X87" s="38" t="str">
        <x:v>Mínimo júnior isolado; a subordinação atual disponível agrega todas as classes subordinadas.</x:v>
      </x:c>
      <x:c r="Y87" s="67" t="b">
        <x:v>0</x:v>
      </x:c>
      <x:c r="Z87" s="85" t="str">
        <x:v>N/D</x:v>
      </x:c>
      <x:c r="AA87" s="85" t="str">
        <x:v>N/D</x:v>
      </x:c>
      <x:c r="AB87" s="38" t="str">
        <x:v>não medido</x:v>
      </x:c>
      <x:c r="AC87" s="38" t="str">
        <x:v>Financeiro</x:v>
      </x:c>
      <x:c r="AD87" s="38" t="str">
        <x:v>Crédito Pessoal</x:v>
      </x:c>
      <x:c r="AE87" s="38" t="str">
        <x:v>Financeiro</x:v>
      </x:c>
      <x:c r="AF87" s="38" t="str">
        <x:v>Solfácil SCD</x:v>
      </x:c>
      <x:c r="AG87" s="38" t="str">
        <x:v>cedente</x:v>
      </x:c>
      <x:c r="AH87" s="38" t="str">
        <x:v>N/D</x:v>
      </x:c>
      <x:c r="AI87" s="38" t="str">
        <x:v>Solfácil SCD</x:v>
      </x:c>
      <x:c r="AJ87" s="38" t="str">
        <x:v>N/D</x:v>
      </x:c>
      <x:c r="AK87" s="38" t="str">
        <x:v>Direitos Creditórios performados oriundos de financiamento de instalação de placas solares</x:v>
      </x:c>
      <x:c r="AL87" s="38" t="str">
        <x:v>IMG_8706.JPG</x:v>
      </x:c>
      <x:c r="AM87" s="38" t="str">
        <x:v>manual_aplicado</x:v>
      </x:c>
      <x:c r="AN87" s="38" t="str">
        <x:v>FIDC pulverizado para aquisição dos direitos creditórios descritos.</x:v>
      </x:c>
      <x:c r="AO87" s="38" t="str">
        <x:v>1202319</x:v>
      </x:c>
      <x:c r="AP87" s="38" t="str">
        <x:v>2026-05-21</x:v>
      </x:c>
      <x:c r="AQ87" s="38" t="str">
        <x:v>112</x:v>
      </x:c>
      <x:c r="AR87" s="38" t="str">
        <x:v>revisto — mínimo júnior localizado</x:v>
      </x:c>
      <x:c r="AS87" s="38" t="str">
        <x:v>FundosNet/B3; documento 1202319; referência 2026-05-21; p. 112</x:v>
      </x:c>
      <x:c r="AT87" s="38" t="str">
        <x:v>Índice de Subordinação das cotas júnior / PL, mínimo de 2,0%.</x:v>
      </x:c>
      <x:c r="AU87" s="38" t="str">
        <x:v>originador; sacado/devedor</x:v>
      </x:c>
      <x:c r="AV87" s="38" t="str">
        <x:v>estrutura_incomparavel</x:v>
      </x:c>
    </x:row>
    <x:row r="88" ht="31.5" customHeight="1">
      <x:c r="A88" s="39" t="n">
        <x:v>84</x:v>
      </x:c>
      <x:c r="B88" s="72" t="n">
        <x:v>31570767000180</x:v>
      </x:c>
      <x:c r="C88" s="39" t="str">
        <x:v>31.570.767/0001-80</x:v>
      </x:c>
      <x:c r="D88" s="39" t="str">
        <x:v>FUNDO DE INVESTIMENTO EM DIREITOS CREDITÓRIOS TRADEPAY VAREJO I - RESPONSABILIDADE LIMITADA</x:v>
      </x:c>
      <x:c r="E88" s="39" t="str">
        <x:v>FUNDO DE INVESTIMENTO EM DIREITOS</x:v>
      </x:c>
      <x:c r="F88" s="39" t="str">
        <x:v>Carteira 101</x:v>
      </x:c>
      <x:c r="G88" s="39" t="str">
        <x:v>2026-06</x:v>
      </x:c>
      <x:c r="H88" s="39" t="str">
        <x:v>localizado</x:v>
      </x:c>
      <x:c r="I88" s="78" t="n">
        <x:v>702136589.85</x:v>
      </x:c>
      <x:c r="J88" s="78" t="n">
        <x:v>702136589.8502237</x:v>
      </x:c>
      <x:c r="K88" s="78" t="n">
        <x:v>163659203.2401963</x:v>
      </x:c>
      <x:c r="L88" s="84" t="n">
        <x:v>0.23308741576216588</x:v>
      </x:c>
      <x:c r="M88" s="39" t="str">
        <x:v>Calculado com classes reportadas e PL oficial reconciliado</x:v>
      </x:c>
      <x:c r="N88" s="84" t="n">
        <x:v>0.05</x:v>
      </x:c>
      <x:c r="O88" s="84" t="str">
        <x:v>N/D</x:v>
      </x:c>
      <x:c r="P88" s="84" t="str">
        <x:v>N/D</x:v>
      </x:c>
      <x:c r="Q88" s="84" t="str">
        <x:v>N/D</x:v>
      </x:c>
      <x:c r="R88" s="84" t="str">
        <x:v>N/D</x:v>
      </x:c>
      <x:c r="S88" s="84" t="n">
        <x:v>0.05</x:v>
      </x:c>
      <x:c r="T88" s="39" t="str">
        <x:v>5,0%</x:v>
      </x:c>
      <x:c r="U88" s="39" t="str">
        <x:v>junior_pl</x:v>
      </x:c>
      <x:c r="V88" s="39" t="str">
        <x:v>direto no regulamento</x:v>
      </x:c>
      <x:c r="W88" s="66" t="b">
        <x:v>0</x:v>
      </x:c>
      <x:c r="X88" s="39" t="str">
        <x:v>Mínimo júnior isolado; a subordinação atual disponível agrega todas as classes subordinadas.</x:v>
      </x:c>
      <x:c r="Y88" s="66" t="b">
        <x:v>0</x:v>
      </x:c>
      <x:c r="Z88" s="84" t="str">
        <x:v>N/D</x:v>
      </x:c>
      <x:c r="AA88" s="84" t="str">
        <x:v>N/D</x:v>
      </x:c>
      <x:c r="AB88" s="39" t="str">
        <x:v>não medido</x:v>
      </x:c>
      <x:c r="AC88" s="39" t="str">
        <x:v>Agro, Indústria e Comércio</x:v>
      </x:c>
      <x:c r="AD88" s="39" t="str">
        <x:v>Recebíveis Comerciais</x:v>
      </x:c>
      <x:c r="AE88" s="39" t="str">
        <x:v>Agro / Revenda</x:v>
      </x:c>
      <x:c r="AF88" s="39" t="str">
        <x:v>Trademaster</x:v>
      </x:c>
      <x:c r="AG88" s="39" t="str">
        <x:v>cedente</x:v>
      </x:c>
      <x:c r="AH88" s="39" t="str">
        <x:v>N/D</x:v>
      </x:c>
      <x:c r="AI88" s="39" t="str">
        <x:v>Trademaster</x:v>
      </x:c>
      <x:c r="AJ88" s="39" t="str">
        <x:v>N/D</x:v>
      </x:c>
      <x:c r="AK88" s="39" t="str">
        <x:v>N/D</x:v>
      </x:c>
      <x:c r="AL88" s="39" t="str">
        <x:v>IMG_8706.JPG</x:v>
      </x:c>
      <x:c r="AM88" s="39" t="str">
        <x:v>manual_aplicado</x:v>
      </x:c>
      <x:c r="AN88" s="39" t="str">
        <x:v>Denominação cortada pela largura da coluna na foto.</x:v>
      </x:c>
      <x:c r="AO88" s="39" t="str">
        <x:v>1203635</x:v>
      </x:c>
      <x:c r="AP88" s="39" t="str">
        <x:v>2026-05-25</x:v>
      </x:c>
      <x:c r="AQ88" s="39" t="str">
        <x:v>39</x:v>
      </x:c>
      <x:c r="AR88" s="39" t="str">
        <x:v>revisto — mínimo júnior localizado</x:v>
      </x:c>
      <x:c r="AS88" s="39" t="str">
        <x:v>FundosNet/B3; documento 1203635; referência 2026-05-25; p. 39</x:v>
      </x:c>
      <x:c r="AT88" s="39" t="str">
        <x:v>Cotas subordinadas júnior / PL, mínimo de 5,0%.</x:v>
      </x:c>
      <x:c r="AU88" s="39" t="str">
        <x:v>originador; sacado/devedor; tipo de recebível</x:v>
      </x:c>
      <x:c r="AV88" s="39" t="str">
        <x:v>estrutura_incomparavel</x:v>
      </x:c>
    </x:row>
    <x:row r="89" ht="31.5" customHeight="1">
      <x:c r="A89" s="38" t="n">
        <x:v>85</x:v>
      </x:c>
      <x:c r="B89" s="73" t="n">
        <x:v>54464892000100</x:v>
      </x:c>
      <x:c r="C89" s="38" t="str">
        <x:v>54.464.892/0001-00</x:v>
      </x:c>
      <x:c r="D89" s="38" t="str">
        <x:v>FUNDO DE INVESTIMENTO EM DIREITOS CREDITÓRIOS MT FGTS RECEIVABLES II</x:v>
      </x:c>
      <x:c r="E89" s="38" t="str">
        <x:v>FUNDO I E D C MF RECEIV</x:v>
      </x:c>
      <x:c r="F89" s="38" t="str">
        <x:v>Carteira 101</x:v>
      </x:c>
      <x:c r="G89" s="38" t="str">
        <x:v>2026-06</x:v>
      </x:c>
      <x:c r="H89" s="38" t="str">
        <x:v>localizado</x:v>
      </x:c>
      <x:c r="I89" s="79" t="n">
        <x:v>697493758.97</x:v>
      </x:c>
      <x:c r="J89" s="79" t="n">
        <x:v>697493753.1297442</x:v>
      </x:c>
      <x:c r="K89" s="79" t="n">
        <x:v>135018676.32594317</x:v>
      </x:c>
      <x:c r="L89" s="85" t="n">
        <x:v>0.19357689526186925</x:v>
      </x:c>
      <x:c r="M89" s="38" t="str">
        <x:v>Calculado com classes reportadas e PL oficial reconciliado</x:v>
      </x:c>
      <x:c r="N89" s="85" t="n">
        <x:v>0.035</x:v>
      </x:c>
      <x:c r="O89" s="85" t="str">
        <x:v>N/D</x:v>
      </x:c>
      <x:c r="P89" s="85" t="str">
        <x:v>N/D</x:v>
      </x:c>
      <x:c r="Q89" s="85" t="str">
        <x:v>N/D</x:v>
      </x:c>
      <x:c r="R89" s="85" t="str">
        <x:v>N/D</x:v>
      </x:c>
      <x:c r="S89" s="85" t="n">
        <x:v>0.035</x:v>
      </x:c>
      <x:c r="T89" s="38" t="str">
        <x:v>3,5% no investimento; 5,0% depois</x:v>
      </x:c>
      <x:c r="U89" s="38" t="str">
        <x:v>junior_pl</x:v>
      </x:c>
      <x:c r="V89" s="38" t="str">
        <x:v>direto no regulamento</x:v>
      </x:c>
      <x:c r="W89" s="67" t="b">
        <x:v>0</x:v>
      </x:c>
      <x:c r="X89" s="38" t="str">
        <x:v>Mínimo júnior isolado; a subordinação atual disponível agrega mais de uma classe subordinada ou usa denominador distinto.</x:v>
      </x:c>
      <x:c r="Y89" s="67" t="b">
        <x:v>0</x:v>
      </x:c>
      <x:c r="Z89" s="85" t="str">
        <x:v>N/D</x:v>
      </x:c>
      <x:c r="AA89" s="85" t="str">
        <x:v>N/D</x:v>
      </x:c>
      <x:c r="AB89" s="38" t="str">
        <x:v>não medido</x:v>
      </x:c>
      <x:c r="AC89" s="38" t="str">
        <x:v>Financeiro</x:v>
      </x:c>
      <x:c r="AD89" s="38" t="str">
        <x:v>Crédito Pessoal</x:v>
      </x:c>
      <x:c r="AE89" s="38" t="str">
        <x:v>Consignado FGTS</x:v>
      </x:c>
      <x:c r="AF89" s="38" t="str">
        <x:v>75% Parati / 25% QI Tech</x:v>
      </x:c>
      <x:c r="AG89" s="38" t="str">
        <x:v>cedente</x:v>
      </x:c>
      <x:c r="AH89" s="38" t="str">
        <x:v>N/D</x:v>
      </x:c>
      <x:c r="AI89" s="38" t="str">
        <x:v>75% Parati / 25% QI Tech</x:v>
      </x:c>
      <x:c r="AJ89" s="38" t="str">
        <x:v>N/D</x:v>
      </x:c>
      <x:c r="AK89" s="38" t="str">
        <x:v>N/D</x:v>
      </x:c>
      <x:c r="AL89" s="38" t="str">
        <x:v>IMG_8707.jpg</x:v>
      </x:c>
      <x:c r="AM89" s="38" t="str">
        <x:v>manual_aplicado</x:v>
      </x:c>
      <x:c r="AN89" s="38" t="str">
        <x:v>OBS da foto: Rating atual Ba1; se ajustar o rating na base, pode considerar perspectiva estável. Denominação cortada.</x:v>
      </x:c>
      <x:c r="AO89" s="38" t="str">
        <x:v>884293</x:v>
      </x:c>
      <x:c r="AP89" s="38" t="str">
        <x:v>2025-04-23</x:v>
      </x:c>
      <x:c r="AQ89" s="38" t="str">
        <x:v>85–86</x:v>
      </x:c>
      <x:c r="AR89" s="38" t="str">
        <x:v>revisto — mínimo júnior localizado</x:v>
      </x:c>
      <x:c r="AS89" s="38" t="str">
        <x:v>FundosNet/B3; documento 884293; referência 2025-04-23; p. 85–86</x:v>
      </x:c>
      <x:c r="AT89" s="38" t="str">
        <x:v>Cotas júnior / PL, mínimo de 3,5% no período de investimento e 5,0% depois.</x:v>
      </x:c>
      <x:c r="AU89" s="38" t="str">
        <x:v>originador; sacado/devedor; tipo de recebível</x:v>
      </x:c>
      <x:c r="AV89" s="38" t="str">
        <x:v>estrutura_incomparavel</x:v>
      </x:c>
    </x:row>
    <x:row r="90" ht="31.5" customHeight="1">
      <x:c r="A90" s="39" t="n">
        <x:v>86</x:v>
      </x:c>
      <x:c r="B90" s="72" t="n">
        <x:v>11468186000124</x:v>
      </x:c>
      <x:c r="C90" s="39" t="str">
        <x:v>11.468.186/0001-24</x:v>
      </x:c>
      <x:c r="D90" s="39" t="str">
        <x:v>ATLANTA FUNDO DE INVESTIMENTO EM DIREITOS CREDITÓRIOS DE RESPONSABILIDADE LIMITADA</x:v>
      </x:c>
      <x:c r="E90" s="39" t="str">
        <x:v>ATLANTA FIDC NAO PADRONIZADO</x:v>
      </x:c>
      <x:c r="F90" s="39" t="str">
        <x:v>Carteira 101</x:v>
      </x:c>
      <x:c r="G90" s="39" t="str">
        <x:v>2026-06</x:v>
      </x:c>
      <x:c r="H90" s="39" t="str">
        <x:v>localizado</x:v>
      </x:c>
      <x:c r="I90" s="78" t="n">
        <x:v>3090301588.05</x:v>
      </x:c>
      <x:c r="J90" s="78" t="n">
        <x:v>3090301588.083072</x:v>
      </x:c>
      <x:c r="K90" s="78" t="n">
        <x:v>2464460756.1637955</x:v>
      </x:c>
      <x:c r="L90" s="84" t="n">
        <x:v>0.7974822799475976</x:v>
      </x:c>
      <x:c r="M90" s="39" t="str">
        <x:v>Calculado com classes reportadas e PL oficial reconciliado</x:v>
      </x:c>
      <x:c r="N90" s="84" t="n">
        <x:v>0.5</x:v>
      </x:c>
      <x:c r="O90" s="84" t="str">
        <x:v>N/D</x:v>
      </x:c>
      <x:c r="P90" s="84" t="str">
        <x:v>N/D</x:v>
      </x:c>
      <x:c r="Q90" s="84" t="str">
        <x:v>N/D</x:v>
      </x:c>
      <x:c r="R90" s="84" t="str">
        <x:v>N/D</x:v>
      </x:c>
      <x:c r="S90" s="84" t="n">
        <x:v>0.5</x:v>
      </x:c>
      <x:c r="T90" s="39" t="str">
        <x:v>50,0%</x:v>
      </x:c>
      <x:c r="U90" s="39" t="str">
        <x:v>junior_pl</x:v>
      </x:c>
      <x:c r="V90" s="39" t="str">
        <x:v>direto no regulamento</x:v>
      </x:c>
      <x:c r="W90" s="66" t="b">
        <x:v>0</x:v>
      </x:c>
      <x:c r="X90" s="39" t="str">
        <x:v>Mínimo júnior isolado; a subordinação atual disponível agrega todas as classes subordinadas.</x:v>
      </x:c>
      <x:c r="Y90" s="66" t="b">
        <x:v>0</x:v>
      </x:c>
      <x:c r="Z90" s="84" t="str">
        <x:v>N/D</x:v>
      </x:c>
      <x:c r="AA90" s="84" t="str">
        <x:v>N/D</x:v>
      </x:c>
      <x:c r="AB90" s="39" t="str">
        <x:v>não medido</x:v>
      </x:c>
      <x:c r="AC90" s="39" t="str">
        <x:v>Fomento Mercantil</x:v>
      </x:c>
      <x:c r="AD90" s="39" t="str">
        <x:v>Fomento Mercantil</x:v>
      </x:c>
      <x:c r="AE90" s="39" t="str">
        <x:v>Factoring</x:v>
      </x:c>
      <x:c r="AF90" s="39" t="str">
        <x:v>Multicedentes e Multisacados</x:v>
      </x:c>
      <x:c r="AG90" s="39" t="str">
        <x:v>cedente</x:v>
      </x:c>
      <x:c r="AH90" s="39" t="str">
        <x:v>N/D</x:v>
      </x:c>
      <x:c r="AI90" s="39" t="str">
        <x:v>Multicedentes e Multisacados</x:v>
      </x:c>
      <x:c r="AJ90" s="39" t="str">
        <x:v>N/D</x:v>
      </x:c>
      <x:c r="AK90" s="39" t="str">
        <x:v>FIDC Multicedentes &amp; Multisacados</x:v>
      </x:c>
      <x:c r="AL90" s="39" t="str">
        <x:v>IMG_8707.jpg</x:v>
      </x:c>
      <x:c r="AM90" s="39" t="str">
        <x:v>manual_aplicado</x:v>
      </x:c>
      <x:c r="AN90" s="39" t="str">
        <x:v>N/D</x:v>
      </x:c>
      <x:c r="AO90" s="39" t="str">
        <x:v>1130308</x:v>
      </x:c>
      <x:c r="AP90" s="39" t="str">
        <x:v>2026-03-06</x:v>
      </x:c>
      <x:c r="AQ90" s="39" t="str">
        <x:v>47</x:v>
      </x:c>
      <x:c r="AR90" s="39" t="str">
        <x:v>revisto — mínimo júnior localizado</x:v>
      </x:c>
      <x:c r="AS90" s="39" t="str">
        <x:v>FundosNet/B3; documento 1130308; referência 2026-03-06; p. 47</x:v>
      </x:c>
      <x:c r="AT90" s="39" t="str">
        <x:v>Cotas subordinadas júnior / PL, mínimo de 50,0%.</x:v>
      </x:c>
      <x:c r="AU90" s="39" t="str">
        <x:v>originador; sacado/devedor</x:v>
      </x:c>
      <x:c r="AV90" s="39" t="str">
        <x:v>estrutura_incomparavel</x:v>
      </x:c>
    </x:row>
    <x:row r="91" ht="31.5" customHeight="1">
      <x:c r="A91" s="38" t="n">
        <x:v>87</x:v>
      </x:c>
      <x:c r="B91" s="73" t="n">
        <x:v>43193260000133</x:v>
      </x:c>
      <x:c r="C91" s="38" t="str">
        <x:v>43.193.260/0001-33</x:v>
      </x:c>
      <x:c r="D91" s="38" t="str">
        <x:v>RESIDENCE CLUB FUNDO DE INVESTIMENTO EM DIREITOS CREDITÓRIOS</x:v>
      </x:c>
      <x:c r="E91" s="38" t="str">
        <x:v>RESIDENCE CLUB FIDC</x:v>
      </x:c>
      <x:c r="F91" s="38" t="str">
        <x:v>Carteira 101</x:v>
      </x:c>
      <x:c r="G91" s="38" t="str">
        <x:v>2026-06</x:v>
      </x:c>
      <x:c r="H91" s="38" t="str">
        <x:v>localizado</x:v>
      </x:c>
      <x:c r="I91" s="79" t="n">
        <x:v>403404357.91</x:v>
      </x:c>
      <x:c r="J91" s="79" t="n">
        <x:v>403404357.90827304</x:v>
      </x:c>
      <x:c r="K91" s="79" t="n">
        <x:v>278624335.33790123</x:v>
      </x:c>
      <x:c r="L91" s="85" t="n">
        <x:v>0.6906825121608197</x:v>
      </x:c>
      <x:c r="M91" s="38" t="str">
        <x:v>Calculado com classes reportadas e PL oficial reconciliado</x:v>
      </x:c>
      <x:c r="N91" s="85" t="str">
        <x:v>N/D</x:v>
      </x:c>
      <x:c r="O91" s="85" t="n">
        <x:v>0.15</x:v>
      </x:c>
      <x:c r="P91" s="85" t="str">
        <x:v>N/D</x:v>
      </x:c>
      <x:c r="Q91" s="85" t="n">
        <x:v>0.5</x:v>
      </x:c>
      <x:c r="R91" s="85" t="str">
        <x:v>N/D</x:v>
      </x:c>
      <x:c r="S91" s="85" t="n">
        <x:v>0.5</x:v>
      </x:c>
      <x:c r="T91" s="38" t="str">
        <x:v>50,0%*</x:v>
      </x:c>
      <x:c r="U91" s="38" t="str">
        <x:v>junior_pl_calculado</x:v>
      </x:c>
      <x:c r="V91" s="38" t="str">
        <x:v>calculado: 50,0% × 30,0%</x:v>
      </x:c>
      <x:c r="W91" s="67" t="b">
        <x:v>0</x:v>
      </x:c>
      <x:c r="X91" s="38" t="str">
        <x:v>Mínimo júnior isolado; a subordinação atual disponível agrega mais de uma classe subordinada ou usa denominador distinto.</x:v>
      </x:c>
      <x:c r="Y91" s="67" t="b">
        <x:v>1</x:v>
      </x:c>
      <x:c r="Z91" s="85" t="str">
        <x:v>N/D</x:v>
      </x:c>
      <x:c r="AA91" s="85" t="str">
        <x:v>N/D</x:v>
      </x:c>
      <x:c r="AB91" s="38" t="str">
        <x:v>não medido</x:v>
      </x:c>
      <x:c r="AC91" s="38" t="str">
        <x:v>Financeiro</x:v>
      </x:c>
      <x:c r="AD91" s="38" t="str">
        <x:v>Crédito Imobiliário</x:v>
      </x:c>
      <x:c r="AE91" s="38" t="str">
        <x:v>Financeiro</x:v>
      </x:c>
      <x:c r="AF91" s="38" t="str">
        <x:v>VCI</x:v>
      </x:c>
      <x:c r="AG91" s="38" t="str">
        <x:v>cedente</x:v>
      </x:c>
      <x:c r="AH91" s="38" t="str">
        <x:v>N/D</x:v>
      </x:c>
      <x:c r="AI91" s="38" t="str">
        <x:v>VCI</x:v>
      </x:c>
      <x:c r="AJ91" s="38" t="str">
        <x:v>N/D</x:v>
      </x:c>
      <x:c r="AK91" s="38" t="str">
        <x:v>N/D</x:v>
      </x:c>
      <x:c r="AL91" s="38" t="str">
        <x:v>IMG_8707.jpg</x:v>
      </x:c>
      <x:c r="AM91" s="38" t="str">
        <x:v>manual_aplicado</x:v>
      </x:c>
      <x:c r="AN91" s="38" t="str">
        <x:v>OBS aparece apenas como FIDC de receb... e foi excluída da transcrição estruturada.</x:v>
      </x:c>
      <x:c r="AO91" s="38" t="str">
        <x:v>1044387</x:v>
      </x:c>
      <x:c r="AP91" s="38" t="str">
        <x:v>2025-11-17</x:v>
      </x:c>
      <x:c r="AQ91" s="38" t="str">
        <x:v>26</x:v>
      </x:c>
      <x:c r="AR91" s="38" t="str">
        <x:v>revisto — mínimo júnior localizado</x:v>
      </x:c>
      <x:c r="AS91" s="38" t="str">
        <x:v>FundosNet/B3; documento 1044387; referência 2025-11-17; p. 26</x:v>
      </x:c>
      <x:c r="AT91" s="38" t="str">
        <x:v>Mínimo júnior calculado: subordinadas = 50,0% do PL e júnior = 30,0% das subordinadas.</x:v>
      </x:c>
      <x:c r="AU91" s="38" t="str">
        <x:v>originador; sacado/devedor; tipo de recebível</x:v>
      </x:c>
      <x:c r="AV91" s="38" t="str">
        <x:v>estrutura_incomparavel</x:v>
      </x:c>
    </x:row>
    <x:row r="92" ht="31.5" customHeight="1">
      <x:c r="A92" s="39" t="n">
        <x:v>88</x:v>
      </x:c>
      <x:c r="B92" s="72" t="n">
        <x:v>58152340000118</x:v>
      </x:c>
      <x:c r="C92" s="39" t="str">
        <x:v>58.152.340/0001-18</x:v>
      </x:c>
      <x:c r="D92" s="39" t="str">
        <x:v>MONEE II FUNDO DE INVESTIMENTO EM DIREITOS CREDITÓRIOS SEGMENTO FINANCEIRO - RESP. LIMITADA</x:v>
      </x:c>
      <x:c r="E92" s="39" t="str">
        <x:v>MONEE II FUNDO DE INVESTIMENTO</x:v>
      </x:c>
      <x:c r="F92" s="39" t="str">
        <x:v>Carteira 101</x:v>
      </x:c>
      <x:c r="G92" s="39" t="str">
        <x:v>2026-06</x:v>
      </x:c>
      <x:c r="H92" s="39" t="str">
        <x:v>localizado</x:v>
      </x:c>
      <x:c r="I92" s="78" t="n">
        <x:v>442213717.89</x:v>
      </x:c>
      <x:c r="J92" s="78" t="n">
        <x:v>442213717.8892243</x:v>
      </x:c>
      <x:c r="K92" s="78" t="n">
        <x:v>179487964.2749178</x:v>
      </x:c>
      <x:c r="L92" s="84" t="n">
        <x:v>0.40588511168612185</x:v>
      </x:c>
      <x:c r="M92" s="39" t="str">
        <x:v>Calculado com classes reportadas e PL oficial reconciliado</x:v>
      </x:c>
      <x:c r="N92" s="84" t="n">
        <x:v>0.3</x:v>
      </x:c>
      <x:c r="O92" s="84" t="str">
        <x:v>N/D</x:v>
      </x:c>
      <x:c r="P92" s="84" t="str">
        <x:v>N/D</x:v>
      </x:c>
      <x:c r="Q92" s="84" t="n">
        <x:v>0.3</x:v>
      </x:c>
      <x:c r="R92" s="84" t="str">
        <x:v>N/D</x:v>
      </x:c>
      <x:c r="S92" s="84" t="n">
        <x:v>0.3</x:v>
      </x:c>
      <x:c r="T92" s="39" t="str">
        <x:v>30,0%</x:v>
      </x:c>
      <x:c r="U92" s="39" t="str">
        <x:v>junior_pl</x:v>
      </x:c>
      <x:c r="V92" s="39" t="str">
        <x:v>direto no regulamento</x:v>
      </x:c>
      <x:c r="W92" s="66" t="b">
        <x:v>1</x:v>
      </x:c>
      <x:c r="X92" s="39" t="str">
        <x:v>Estrutura com uma única classe subordinada; métrica atual e piso usam o total subordinado sobre o PL.</x:v>
      </x:c>
      <x:c r="Y92" s="66" t="b">
        <x:v>0</x:v>
      </x:c>
      <x:c r="Z92" s="84" t="n">
        <x:v>0.10588511168612186</x:v>
      </x:c>
      <x:c r="AA92" s="84" t="n">
        <x:v>0.15126444526588836</x:v>
      </x:c>
      <x:c r="AB92" s="39" t="str">
        <x:v>acima do mínimo</x:v>
      </x:c>
      <x:c r="AC92" s="39" t="str">
        <x:v>Financeiro</x:v>
      </x:c>
      <x:c r="AD92" s="39" t="str">
        <x:v>Crédito Pessoal</x:v>
      </x:c>
      <x:c r="AE92" s="39" t="str">
        <x:v>Financeiro</x:v>
      </x:c>
      <x:c r="AF92" s="39" t="str">
        <x:v>SHPP IP</x:v>
      </x:c>
      <x:c r="AG92" s="39" t="str">
        <x:v>cedente</x:v>
      </x:c>
      <x:c r="AH92" s="39" t="str">
        <x:v>N/D</x:v>
      </x:c>
      <x:c r="AI92" s="39" t="str">
        <x:v>SHPP IP</x:v>
      </x:c>
      <x:c r="AJ92" s="39" t="str">
        <x:v>N/D</x:v>
      </x:c>
      <x:c r="AK92" s="39" t="str">
        <x:v>N/D</x:v>
      </x:c>
      <x:c r="AL92" s="39" t="str">
        <x:v>IMG_8707.jpg</x:v>
      </x:c>
      <x:c r="AM92" s="39" t="str">
        <x:v>manual_aplicado</x:v>
      </x:c>
      <x:c r="AN92" s="39" t="str">
        <x:v>Denominação cortada pela largura da coluna na foto.</x:v>
      </x:c>
      <x:c r="AO92" s="39" t="str">
        <x:v>1191019</x:v>
      </x:c>
      <x:c r="AP92" s="39" t="str">
        <x:v>2026-05-14</x:v>
      </x:c>
      <x:c r="AQ92" s="39" t="str">
        <x:v>105</x:v>
      </x:c>
      <x:c r="AR92" s="39" t="str">
        <x:v>revisto — mínimo júnior localizado</x:v>
      </x:c>
      <x:c r="AS92" s="39" t="str">
        <x:v>FundosNet/B3; documento 1191019; referência 2026-05-14; p. 105</x:v>
      </x:c>
      <x:c r="AT92" s="39" t="str">
        <x:v>Cotas subordinadas / PL, mínimo de 30,0%; estrutura com uma única classe residual.</x:v>
      </x:c>
      <x:c r="AU92" s="39" t="str">
        <x:v>originador; sacado/devedor; tipo de recebível</x:v>
      </x:c>
      <x:c r="AV92" s="39" t="str">
        <x:v>completo_para_folga</x:v>
      </x:c>
    </x:row>
    <x:row r="93" ht="31.5" customHeight="1">
      <x:c r="A93" s="38" t="n">
        <x:v>89</x:v>
      </x:c>
      <x:c r="B93" s="73" t="n">
        <x:v>52340225000190</x:v>
      </x:c>
      <x:c r="C93" s="38" t="str">
        <x:v>52.340.225/0001-90</x:v>
      </x:c>
      <x:c r="D93" s="38" t="str">
        <x:v>INOVA CREDTECH III FIDC SEGMENTO MULTICARTEIRA DE RESPONSABILIDADE LIMITADA</x:v>
      </x:c>
      <x:c r="E93" s="38" t="str">
        <x:v>INOVA CREDTECH III FUNDO DE INVESTIMENTO</x:v>
      </x:c>
      <x:c r="F93" s="38" t="str">
        <x:v>Carteira 101</x:v>
      </x:c>
      <x:c r="G93" s="38" t="str">
        <x:v>2026-06</x:v>
      </x:c>
      <x:c r="H93" s="38" t="str">
        <x:v>localizado</x:v>
      </x:c>
      <x:c r="I93" s="79" t="n">
        <x:v>86060327.05</x:v>
      </x:c>
      <x:c r="J93" s="79" t="n">
        <x:v>86060327.04986423</x:v>
      </x:c>
      <x:c r="K93" s="79" t="n">
        <x:v>19065912.03999182</x:v>
      </x:c>
      <x:c r="L93" s="85" t="n">
        <x:v>0.2215412454674354</x:v>
      </x:c>
      <x:c r="M93" s="38" t="str">
        <x:v>Calculado com classes reportadas e PL oficial reconciliado</x:v>
      </x:c>
      <x:c r="N93" s="85" t="n">
        <x:v>0.075</x:v>
      </x:c>
      <x:c r="O93" s="85" t="str">
        <x:v>N/D</x:v>
      </x:c>
      <x:c r="P93" s="85" t="str">
        <x:v>N/D</x:v>
      </x:c>
      <x:c r="Q93" s="85" t="str">
        <x:v>N/D</x:v>
      </x:c>
      <x:c r="R93" s="85" t="str">
        <x:v>N/D</x:v>
      </x:c>
      <x:c r="S93" s="85" t="n">
        <x:v>0.075</x:v>
      </x:c>
      <x:c r="T93" s="38" t="str">
        <x:v>7,50%</x:v>
      </x:c>
      <x:c r="U93" s="38" t="str">
        <x:v>junior_pl</x:v>
      </x:c>
      <x:c r="V93" s="38" t="str">
        <x:v>direto no regulamento</x:v>
      </x:c>
      <x:c r="W93" s="67" t="b">
        <x:v>0</x:v>
      </x:c>
      <x:c r="X93" s="38" t="str">
        <x:v>Mínimo júnior isolado; a subordinação atual disponível agrega todas as classes subordinadas.</x:v>
      </x:c>
      <x:c r="Y93" s="67" t="b">
        <x:v>0</x:v>
      </x:c>
      <x:c r="Z93" s="85" t="str">
        <x:v>N/D</x:v>
      </x:c>
      <x:c r="AA93" s="85" t="str">
        <x:v>N/D</x:v>
      </x:c>
      <x:c r="AB93" s="38" t="str">
        <x:v>não medido</x:v>
      </x:c>
      <x:c r="AC93" s="38" t="str">
        <x:v>Agro, Indústria e Comércio</x:v>
      </x:c>
      <x:c r="AD93" s="38" t="str">
        <x:v>Multicarteira Agro, Indústria e Comércio</x:v>
      </x:c>
      <x:c r="AE93" s="38" t="str">
        <x:v>Agro / Revenda</x:v>
      </x:c>
      <x:c r="AF93" s="38" t="str">
        <x:v>N/D</x:v>
      </x:c>
      <x:c r="AG93" s="38" t="str">
        <x:v>N/D</x:v>
      </x:c>
      <x:c r="AH93" s="38" t="str">
        <x:v>N/D</x:v>
      </x:c>
      <x:c r="AI93" s="38" t="str">
        <x:v>N/D</x:v>
      </x:c>
      <x:c r="AJ93" s="38" t="str">
        <x:v>N/D</x:v>
      </x:c>
      <x:c r="AK93" s="38" t="str">
        <x:v>N/D</x:v>
      </x:c>
      <x:c r="AL93" s="38" t="str">
        <x:v>N/D</x:v>
      </x:c>
      <x:c r="AM93" s="38" t="str">
        <x:v>sem_overlay</x:v>
      </x:c>
      <x:c r="AN93" s="38" t="str">
        <x:v>N/D</x:v>
      </x:c>
      <x:c r="AO93" s="38" t="str">
        <x:v>1171206</x:v>
      </x:c>
      <x:c r="AP93" s="38" t="str">
        <x:v>2026-03-25</x:v>
      </x:c>
      <x:c r="AQ93" s="38" t="str">
        <x:v>77</x:v>
      </x:c>
      <x:c r="AR93" s="38" t="str">
        <x:v>revisto — mínimo júnior localizado</x:v>
      </x:c>
      <x:c r="AS93" s="38" t="str">
        <x:v>FundosNet/B3; documento 1171206; referência 2026-03-25; p. 77</x:v>
      </x:c>
      <x:c r="AT93" s="38" t="str">
        <x:v>Índice de Subordinação Mezanino B: cotas júnior / PL, mínimo de 7,5%.</x:v>
      </x:c>
      <x:c r="AU93" s="38" t="str">
        <x:v>originador; cedente; sacado/devedor; tipo de recebível</x:v>
      </x:c>
      <x:c r="AV93" s="38" t="str">
        <x:v>estrutura_incomparavel</x:v>
      </x:c>
    </x:row>
    <x:row r="94" ht="31.5" customHeight="1">
      <x:c r="A94" s="39" t="n">
        <x:v>90</x:v>
      </x:c>
      <x:c r="B94" s="72" t="n">
        <x:v>63546406000194</x:v>
      </x:c>
      <x:c r="C94" s="39" t="str">
        <x:v>63.546.406/0001-94</x:v>
      </x:c>
      <x:c r="D94" s="39" t="str">
        <x:v>PINE INSS III FUNDO DE INVESTIMENTO EM DIREITOS CREDITÓRIOS RESPONSABILIDADE LIMITADA</x:v>
      </x:c>
      <x:c r="E94" s="39" t="str">
        <x:v>PINE INSS III FUNDO DE INVESTIMENTO EM DIREITOS CREDITORIOS RESPONSABILIDADE</x:v>
      </x:c>
      <x:c r="F94" s="39" t="str">
        <x:v>Carteira 101</x:v>
      </x:c>
      <x:c r="G94" s="39" t="str">
        <x:v>2026-06</x:v>
      </x:c>
      <x:c r="H94" s="39" t="str">
        <x:v>localizado</x:v>
      </x:c>
      <x:c r="I94" s="78" t="n">
        <x:v>1153763377.65</x:v>
      </x:c>
      <x:c r="J94" s="78" t="n">
        <x:v>1153763377.6455</x:v>
      </x:c>
      <x:c r="K94" s="78" t="n">
        <x:v>172223714.7399375</x:v>
      </x:c>
      <x:c r="L94" s="84" t="n">
        <x:v>0.1492712614008645</x:v>
      </x:c>
      <x:c r="M94" s="39" t="str">
        <x:v>Calculado com classes reportadas e PL oficial reconciliado</x:v>
      </x:c>
      <x:c r="N94" s="84" t="n">
        <x:v>0.015</x:v>
      </x:c>
      <x:c r="O94" s="84" t="str">
        <x:v>N/D</x:v>
      </x:c>
      <x:c r="P94" s="84" t="str">
        <x:v>N/D</x:v>
      </x:c>
      <x:c r="Q94" s="84" t="str">
        <x:v>N/D</x:v>
      </x:c>
      <x:c r="R94" s="84" t="str">
        <x:v>N/D</x:v>
      </x:c>
      <x:c r="S94" s="84" t="n">
        <x:v>0.015</x:v>
      </x:c>
      <x:c r="T94" s="39" t="str">
        <x:v>1,5% inicial; meta 2,5%</x:v>
      </x:c>
      <x:c r="U94" s="39" t="str">
        <x:v>junior_pl</x:v>
      </x:c>
      <x:c r="V94" s="39" t="str">
        <x:v>direto no regulamento</x:v>
      </x:c>
      <x:c r="W94" s="66" t="b">
        <x:v>0</x:v>
      </x:c>
      <x:c r="X94" s="39" t="str">
        <x:v>Mínimo júnior isolado; a subordinação atual disponível agrega todas as classes subordinadas.</x:v>
      </x:c>
      <x:c r="Y94" s="66" t="b">
        <x:v>0</x:v>
      </x:c>
      <x:c r="Z94" s="84" t="str">
        <x:v>N/D</x:v>
      </x:c>
      <x:c r="AA94" s="84" t="str">
        <x:v>N/D</x:v>
      </x:c>
      <x:c r="AB94" s="39" t="str">
        <x:v>não medido</x:v>
      </x:c>
      <x:c r="AC94" s="39" t="str">
        <x:v>Financeiro</x:v>
      </x:c>
      <x:c r="AD94" s="39" t="str">
        <x:v>Multicarteira Financeiro</x:v>
      </x:c>
      <x:c r="AE94" s="39" t="str">
        <x:v>Consignado INSS</x:v>
      </x:c>
      <x:c r="AF94" s="39" t="str">
        <x:v>N/D</x:v>
      </x:c>
      <x:c r="AG94" s="39" t="str">
        <x:v>N/D</x:v>
      </x:c>
      <x:c r="AH94" s="39" t="str">
        <x:v>N/D</x:v>
      </x:c>
      <x:c r="AI94" s="39" t="str">
        <x:v>N/D</x:v>
      </x:c>
      <x:c r="AJ94" s="39" t="str">
        <x:v>N/D</x:v>
      </x:c>
      <x:c r="AK94" s="39" t="str">
        <x:v>N/D</x:v>
      </x:c>
      <x:c r="AL94" s="39" t="str">
        <x:v>N/D</x:v>
      </x:c>
      <x:c r="AM94" s="39" t="str">
        <x:v>sem_overlay</x:v>
      </x:c>
      <x:c r="AN94" s="39" t="str">
        <x:v>N/D</x:v>
      </x:c>
      <x:c r="AO94" s="39" t="str">
        <x:v>1130481</x:v>
      </x:c>
      <x:c r="AP94" s="39" t="str">
        <x:v>2026-03-05</x:v>
      </x:c>
      <x:c r="AQ94" s="39" t="str">
        <x:v>142</x:v>
      </x:c>
      <x:c r="AR94" s="39" t="str">
        <x:v>revisto — mínimo júnior localizado</x:v>
      </x:c>
      <x:c r="AS94" s="39" t="str">
        <x:v>FundosNet/B3; documento 1130481; referência 2026-03-05; p. 142</x:v>
      </x:c>
      <x:c r="AT94" s="39" t="str">
        <x:v>Cotas júnior / PL sem efeito de derivativos: mínimo inicial de 1,5%; meta de 2,5%.</x:v>
      </x:c>
      <x:c r="AU94" s="39" t="str">
        <x:v>originador; cedente; sacado/devedor; tipo de recebível</x:v>
      </x:c>
      <x:c r="AV94" s="39" t="str">
        <x:v>estrutura_incomparavel</x:v>
      </x:c>
    </x:row>
    <x:row r="95" ht="31.5" customHeight="1">
      <x:c r="A95" s="38" t="n">
        <x:v>91</x:v>
      </x:c>
      <x:c r="B95" s="73" t="n">
        <x:v>37294759000134</x:v>
      </x:c>
      <x:c r="C95" s="38" t="str">
        <x:v>37.294.759/0001-34</x:v>
      </x:c>
      <x:c r="D95" s="38" t="str">
        <x:v>GALLERIA HOME EQUITY FIDC</x:v>
      </x:c>
      <x:c r="E95" s="38" t="str">
        <x:v>FUNDO I E D C GALLERIA</x:v>
      </x:c>
      <x:c r="F95" s="38" t="str">
        <x:v>Carteira 101</x:v>
      </x:c>
      <x:c r="G95" s="38" t="str">
        <x:v>2026-06</x:v>
      </x:c>
      <x:c r="H95" s="38" t="str">
        <x:v>localizado</x:v>
      </x:c>
      <x:c r="I95" s="79" t="n">
        <x:v>513226571.59</x:v>
      </x:c>
      <x:c r="J95" s="79" t="n">
        <x:v>513226571.4282056</x:v>
      </x:c>
      <x:c r="K95" s="79" t="n">
        <x:v>163152649.59794998</x:v>
      </x:c>
      <x:c r="L95" s="85" t="n">
        <x:v>0.31789595205972176</x:v>
      </x:c>
      <x:c r="M95" s="38" t="str">
        <x:v>Calculado com classes reportadas e PL oficial reconciliado</x:v>
      </x:c>
      <x:c r="N95" s="85" t="str">
        <x:v>N/D</x:v>
      </x:c>
      <x:c r="O95" s="85" t="str">
        <x:v>N/D</x:v>
      </x:c>
      <x:c r="P95" s="85" t="str">
        <x:v>N/D</x:v>
      </x:c>
      <x:c r="Q95" s="85" t="n">
        <x:v>0.047619047619</x:v>
      </x:c>
      <x:c r="R95" s="85" t="str">
        <x:v>N/D</x:v>
      </x:c>
      <x:c r="S95" s="85" t="n">
        <x:v>0.047619047619</x:v>
      </x:c>
      <x:c r="T95" s="38" t="str">
        <x:v>4,76%*</x:v>
      </x:c>
      <x:c r="U95" s="38" t="str">
        <x:v>suporte_total_pl</x:v>
      </x:c>
      <x:c r="V95" s="38" t="str">
        <x:v>calculado: 1 − 1/1,05</x:v>
      </x:c>
      <x:c r="W95" s="67" t="b">
        <x:v>1</x:v>
      </x:c>
      <x:c r="X95" s="38" t="str">
        <x:v>Suporte total ou combinado; não representa mínimo júnior isolado.</x:v>
      </x:c>
      <x:c r="Y95" s="67" t="b">
        <x:v>1</x:v>
      </x:c>
      <x:c r="Z95" s="85" t="n">
        <x:v>0.2702769044407218</x:v>
      </x:c>
      <x:c r="AA95" s="85" t="n">
        <x:v>0.2837907496627437</x:v>
      </x:c>
      <x:c r="AB95" s="38" t="str">
        <x:v>acima do mínimo</x:v>
      </x:c>
      <x:c r="AC95" s="38" t="str">
        <x:v>Financeiro</x:v>
      </x:c>
      <x:c r="AD95" s="38" t="str">
        <x:v>Multicarteira Financeiro</x:v>
      </x:c>
      <x:c r="AE95" s="38" t="str">
        <x:v>Financeiro</x:v>
      </x:c>
      <x:c r="AF95" s="38" t="str">
        <x:v>Galleria SCD</x:v>
      </x:c>
      <x:c r="AG95" s="38" t="str">
        <x:v>cedente</x:v>
      </x:c>
      <x:c r="AH95" s="38" t="str">
        <x:v>N/D</x:v>
      </x:c>
      <x:c r="AI95" s="38" t="str">
        <x:v>Galleria SCD</x:v>
      </x:c>
      <x:c r="AJ95" s="38" t="str">
        <x:v>N/D</x:v>
      </x:c>
      <x:c r="AK95" s="38" t="str">
        <x:v>CCBs com AF de Imóvel oriundos de empréstimo PF e PJs</x:v>
      </x:c>
      <x:c r="AL95" s="38" t="str">
        <x:v>IMG_8707.jpg</x:v>
      </x:c>
      <x:c r="AM95" s="38" t="str">
        <x:v>manual_aplicado</x:v>
      </x:c>
      <x:c r="AN95" s="38" t="str">
        <x:v>N/D</x:v>
      </x:c>
      <x:c r="AO95" s="38" t="str">
        <x:v>927443</x:v>
      </x:c>
      <x:c r="AP95" s="38" t="str">
        <x:v>2026-07-10</x:v>
      </x:c>
      <x:c r="AQ95" s="38" t="str">
        <x:v>110</x:v>
      </x:c>
      <x:c r="AR95" s="38" t="str">
        <x:v>revisto — suporte estrutural total localizado</x:v>
      </x:c>
      <x:c r="AS95" s="38" t="str">
        <x:v>FundosNet/B3; documento 927443; referência 2026-07-10; p. 110</x:v>
      </x:c>
      <x:c r="AT95" s="38" t="str">
        <x:v>N/D</x:v>
      </x:c>
      <x:c r="AU95" s="38" t="str">
        <x:v>originador; sacado/devedor</x:v>
      </x:c>
      <x:c r="AV95" s="38" t="str">
        <x:v>completo_para_folga</x:v>
      </x:c>
    </x:row>
    <x:row r="96" ht="31.5" customHeight="1">
      <x:c r="A96" s="39" t="n">
        <x:v>92</x:v>
      </x:c>
      <x:c r="B96" s="72" t="n">
        <x:v>42085830000109</x:v>
      </x:c>
      <x:c r="C96" s="39" t="str">
        <x:v>42.085.830/0001-09</x:v>
      </x:c>
      <x:c r="D96" s="39" t="str">
        <x:v>CLOUDWALK AKIRA I FUNDO DE INVESTIMENTO EM DIREITOS CREDITÓRIOS SEGMENTO MEIOS DE PAGAMENTO</x:v>
      </x:c>
      <x:c r="E96" s="39" t="str">
        <x:v>CLOUDWALK AKIRA I FUNDO DE INVESTIMENTO EM DIREITO</x:v>
      </x:c>
      <x:c r="F96" s="39" t="str">
        <x:v>Carteira 101</x:v>
      </x:c>
      <x:c r="G96" s="39" t="str">
        <x:v>2026-06</x:v>
      </x:c>
      <x:c r="H96" s="39" t="str">
        <x:v>localizado</x:v>
      </x:c>
      <x:c r="I96" s="78" t="n">
        <x:v>308205214.77</x:v>
      </x:c>
      <x:c r="J96" s="78" t="n">
        <x:v>308205214.76999426</x:v>
      </x:c>
      <x:c r="K96" s="78" t="n">
        <x:v>16372205.889994234</x:v>
      </x:c>
      <x:c r="L96" s="84" t="n">
        <x:v>0.05312111899927486</x:v>
      </x:c>
      <x:c r="M96" s="39" t="str">
        <x:v>Calculado com classes reportadas e PL oficial reconciliado</x:v>
      </x:c>
      <x:c r="N96" s="84" t="n">
        <x:v>0.03</x:v>
      </x:c>
      <x:c r="O96" s="84" t="str">
        <x:v>N/D</x:v>
      </x:c>
      <x:c r="P96" s="84" t="str">
        <x:v>N/D</x:v>
      </x:c>
      <x:c r="Q96" s="84" t="n">
        <x:v>0.03</x:v>
      </x:c>
      <x:c r="R96" s="84" t="str">
        <x:v>N/D</x:v>
      </x:c>
      <x:c r="S96" s="84" t="n">
        <x:v>0.03</x:v>
      </x:c>
      <x:c r="T96" s="39" t="str">
        <x:v>3,0%</x:v>
      </x:c>
      <x:c r="U96" s="39" t="str">
        <x:v>junior_pl</x:v>
      </x:c>
      <x:c r="V96" s="39" t="str">
        <x:v>direto no regulamento</x:v>
      </x:c>
      <x:c r="W96" s="66" t="b">
        <x:v>1</x:v>
      </x:c>
      <x:c r="X96" s="39" t="str">
        <x:v>Estrutura com uma única classe subordinada; métrica atual e piso usam o total subordinado sobre o PL.</x:v>
      </x:c>
      <x:c r="Y96" s="66" t="b">
        <x:v>0</x:v>
      </x:c>
      <x:c r="Z96" s="84" t="n">
        <x:v>0.02312111899927486</x:v>
      </x:c>
      <x:c r="AA96" s="84" t="n">
        <x:v>0.02383620515389161</x:v>
      </x:c>
      <x:c r="AB96" s="39" t="str">
        <x:v>folga estreita</x:v>
      </x:c>
      <x:c r="AC96" s="39" t="str">
        <x:v>Financeiro</x:v>
      </x:c>
      <x:c r="AD96" s="39" t="str">
        <x:v>Adquirência</x:v>
      </x:c>
      <x:c r="AE96" s="39" t="str">
        <x:v>Adquirência</x:v>
      </x:c>
      <x:c r="AF96" s="39" t="str">
        <x:v>Cloudwalk IP</x:v>
      </x:c>
      <x:c r="AG96" s="39" t="str">
        <x:v>cedente</x:v>
      </x:c>
      <x:c r="AH96" s="39" t="str">
        <x:v>N/D</x:v>
      </x:c>
      <x:c r="AI96" s="39" t="str">
        <x:v>Cloudwalk IP</x:v>
      </x:c>
      <x:c r="AJ96" s="39" t="str">
        <x:v>N/D</x:v>
      </x:c>
      <x:c r="AK96" s="39" t="str">
        <x:v>N/D</x:v>
      </x:c>
      <x:c r="AL96" s="39" t="str">
        <x:v>IMG_8707.jpg</x:v>
      </x:c>
      <x:c r="AM96" s="39" t="str">
        <x:v>manual_aplicado</x:v>
      </x:c>
      <x:c r="AN96" s="39" t="str">
        <x:v>OBS da foto: Risco Banco Emissor Itaú. Denominação cortada.</x:v>
      </x:c>
      <x:c r="AO96" s="39" t="str">
        <x:v>966441</x:v>
      </x:c>
      <x:c r="AP96" s="39" t="str">
        <x:v>2025-07-24</x:v>
      </x:c>
      <x:c r="AQ96" s="39" t="str">
        <x:v>99</x:v>
      </x:c>
      <x:c r="AR96" s="39" t="str">
        <x:v>revisto — mínimo júnior localizado</x:v>
      </x:c>
      <x:c r="AS96" s="39" t="str">
        <x:v>FundosNet/B3; documento 966441; referência 2025-07-24; p. 99</x:v>
      </x:c>
      <x:c r="AT96" s="39" t="str">
        <x:v>Cotas subordinadas / PL, mínimo de 3,0%; estrutura com uma única classe residual.</x:v>
      </x:c>
      <x:c r="AU96" s="39" t="str">
        <x:v>originador; sacado/devedor; tipo de recebível</x:v>
      </x:c>
      <x:c r="AV96" s="39" t="str">
        <x:v>completo_para_folga</x:v>
      </x:c>
    </x:row>
    <x:row r="97" ht="31.5" customHeight="1">
      <x:c r="A97" s="38" t="n">
        <x:v>93</x:v>
      </x:c>
      <x:c r="B97" s="73" t="n">
        <x:v>61288838000117</x:v>
      </x:c>
      <x:c r="C97" s="38" t="str">
        <x:v>61.288.838/0001-17</x:v>
      </x:c>
      <x:c r="D97" s="38" t="str">
        <x:v>IFOOD PAGO CRÉDITO III FUNDO DE INVESTIMENTO EM DIREITOS CREDITÓRIOS FINANCEIRO RESP. LIMITADA</x:v>
      </x:c>
      <x:c r="E97" s="38" t="str">
        <x:v>FIDC MOVILE III</x:v>
      </x:c>
      <x:c r="F97" s="38" t="str">
        <x:v>Carteira 101</x:v>
      </x:c>
      <x:c r="G97" s="38" t="str">
        <x:v>2026-06</x:v>
      </x:c>
      <x:c r="H97" s="38" t="str">
        <x:v>localizado</x:v>
      </x:c>
      <x:c r="I97" s="79" t="n">
        <x:v>722466359.01</x:v>
      </x:c>
      <x:c r="J97" s="79" t="n">
        <x:v>722466359.0096748</x:v>
      </x:c>
      <x:c r="K97" s="79" t="n">
        <x:v>219014167.76967472</x:v>
      </x:c>
      <x:c r="L97" s="85" t="n">
        <x:v>0.30314791137097535</x:v>
      </x:c>
      <x:c r="M97" s="38" t="str">
        <x:v>Calculado com classes reportadas e PL oficial reconciliado</x:v>
      </x:c>
      <x:c r="N97" s="85" t="n">
        <x:v>0.15</x:v>
      </x:c>
      <x:c r="O97" s="85" t="str">
        <x:v>N/D</x:v>
      </x:c>
      <x:c r="P97" s="85" t="str">
        <x:v>N/D</x:v>
      </x:c>
      <x:c r="Q97" s="85" t="str">
        <x:v>N/D</x:v>
      </x:c>
      <x:c r="R97" s="85" t="str">
        <x:v>N/D</x:v>
      </x:c>
      <x:c r="S97" s="85" t="n">
        <x:v>0.15</x:v>
      </x:c>
      <x:c r="T97" s="38" t="str">
        <x:v>15,0%</x:v>
      </x:c>
      <x:c r="U97" s="38" t="str">
        <x:v>junior_pl</x:v>
      </x:c>
      <x:c r="V97" s="38" t="str">
        <x:v>direto no regulamento</x:v>
      </x:c>
      <x:c r="W97" s="67" t="b">
        <x:v>0</x:v>
      </x:c>
      <x:c r="X97" s="38" t="str">
        <x:v>Mínimo júnior isolado; a subordinação atual disponível agrega todas as classes subordinadas.</x:v>
      </x:c>
      <x:c r="Y97" s="67" t="b">
        <x:v>0</x:v>
      </x:c>
      <x:c r="Z97" s="85" t="str">
        <x:v>N/D</x:v>
      </x:c>
      <x:c r="AA97" s="85" t="str">
        <x:v>N/D</x:v>
      </x:c>
      <x:c r="AB97" s="38" t="str">
        <x:v>não medido</x:v>
      </x:c>
      <x:c r="AC97" s="38" t="str">
        <x:v>Financeiro</x:v>
      </x:c>
      <x:c r="AD97" s="38" t="str">
        <x:v>Multicarteira Financeiro</x:v>
      </x:c>
      <x:c r="AE97" s="38" t="str">
        <x:v>Financeiro</x:v>
      </x:c>
      <x:c r="AF97" s="38" t="str">
        <x:v>MovilePay / iFood</x:v>
      </x:c>
      <x:c r="AG97" s="38" t="str">
        <x:v>cedente</x:v>
      </x:c>
      <x:c r="AH97" s="38" t="str">
        <x:v>N/D</x:v>
      </x:c>
      <x:c r="AI97" s="38" t="str">
        <x:v>MovilePay / iFood</x:v>
      </x:c>
      <x:c r="AJ97" s="38" t="str">
        <x:v>N/D</x:v>
      </x:c>
      <x:c r="AK97" s="38" t="str">
        <x:v>CCB PJ - ecossistema iFood; Crédito PME</x:v>
      </x:c>
      <x:c r="AL97" s="38" t="str">
        <x:v>IMG_8707.jpg</x:v>
      </x:c>
      <x:c r="AM97" s="38" t="str">
        <x:v>manual_aplicado</x:v>
      </x:c>
      <x:c r="AN97" s="38" t="str">
        <x:v>N/D</x:v>
      </x:c>
      <x:c r="AO97" s="38" t="str">
        <x:v>1240846</x:v>
      </x:c>
      <x:c r="AP97" s="38" t="str">
        <x:v>2026-07-03</x:v>
      </x:c>
      <x:c r="AQ97" s="38" t="str">
        <x:v>114</x:v>
      </x:c>
      <x:c r="AR97" s="38" t="str">
        <x:v>revisto — mínimo júnior localizado</x:v>
      </x:c>
      <x:c r="AS97" s="38" t="str">
        <x:v>FundosNet/B3; documento 1240846; referência 2026-07-03; p. 114</x:v>
      </x:c>
      <x:c r="AT97" s="38" t="str">
        <x:v>Índice de Subordinação Mezanino: cotas júnior / PL, mínimo de 15,0%.</x:v>
      </x:c>
      <x:c r="AU97" s="38" t="str">
        <x:v>originador; sacado/devedor</x:v>
      </x:c>
      <x:c r="AV97" s="38" t="str">
        <x:v>estrutura_incomparavel</x:v>
      </x:c>
    </x:row>
    <x:row r="98" ht="31.5" customHeight="1">
      <x:c r="A98" s="39" t="n">
        <x:v>94</x:v>
      </x:c>
      <x:c r="B98" s="72" t="n">
        <x:v>30035329000159</x:v>
      </x:c>
      <x:c r="C98" s="39" t="str">
        <x:v>30.035.329/0001-59</x:v>
      </x:c>
      <x:c r="D98" s="39" t="str">
        <x:v>VIA INVEST II FUNDO DE INVESTIMENTO EM DIREITOS CREDITÓRIOS RESPONSABILIDADE LIMITADA</x:v>
      </x:c>
      <x:c r="E98" s="39" t="str">
        <x:v>VIAINVEST II FIDC MULTISSETORIAL</x:v>
      </x:c>
      <x:c r="F98" s="39" t="str">
        <x:v>Carteira 101</x:v>
      </x:c>
      <x:c r="G98" s="39" t="str">
        <x:v>2026-06</x:v>
      </x:c>
      <x:c r="H98" s="39" t="str">
        <x:v>localizado</x:v>
      </x:c>
      <x:c r="I98" s="78" t="n">
        <x:v>202884356.35</x:v>
      </x:c>
      <x:c r="J98" s="78" t="n">
        <x:v>199464232.40413725</x:v>
      </x:c>
      <x:c r="K98" s="78" t="n">
        <x:v>94585360.6541986</x:v>
      </x:c>
      <x:c r="L98" s="84" t="str">
        <x:v>N/D</x:v>
      </x:c>
      <x:c r="M98" s="39" t="str">
        <x:v>N/D</x:v>
      </x:c>
      <x:c r="N98" s="84" t="n">
        <x:v>0.15</x:v>
      </x:c>
      <x:c r="O98" s="84" t="str">
        <x:v>N/D</x:v>
      </x:c>
      <x:c r="P98" s="84" t="str">
        <x:v>N/D</x:v>
      </x:c>
      <x:c r="Q98" s="84" t="str">
        <x:v>N/D</x:v>
      </x:c>
      <x:c r="R98" s="84" t="str">
        <x:v>N/D</x:v>
      </x:c>
      <x:c r="S98" s="84" t="n">
        <x:v>0.15</x:v>
      </x:c>
      <x:c r="T98" s="39" t="str">
        <x:v>15,0%</x:v>
      </x:c>
      <x:c r="U98" s="39" t="str">
        <x:v>junior_pl</x:v>
      </x:c>
      <x:c r="V98" s="39" t="str">
        <x:v>direto no regulamento</x:v>
      </x:c>
      <x:c r="W98" s="66" t="b">
        <x:v>0</x:v>
      </x:c>
      <x:c r="X98" s="39" t="str">
        <x:v>Mínimo júnior isolado; a subordinação atual disponível agrega mais de uma classe subordinada ou usa denominador distinto.</x:v>
      </x:c>
      <x:c r="Y98" s="66" t="b">
        <x:v>0</x:v>
      </x:c>
      <x:c r="Z98" s="84" t="str">
        <x:v>N/D</x:v>
      </x:c>
      <x:c r="AA98" s="84" t="str">
        <x:v>N/D</x:v>
      </x:c>
      <x:c r="AB98" s="39" t="str">
        <x:v>não medido</x:v>
      </x:c>
      <x:c r="AC98" s="39" t="str">
        <x:v>Financeiro</x:v>
      </x:c>
      <x:c r="AD98" s="39" t="str">
        <x:v>Crédito Consignado</x:v>
      </x:c>
      <x:c r="AE98" s="39" t="str">
        <x:v>Financeiro</x:v>
      </x:c>
      <x:c r="AF98" s="39" t="str">
        <x:v>BMP (Bancarizador)</x:v>
      </x:c>
      <x:c r="AG98" s="39" t="str">
        <x:v>cedente</x:v>
      </x:c>
      <x:c r="AH98" s="39" t="str">
        <x:v>N/D</x:v>
      </x:c>
      <x:c r="AI98" s="39" t="str">
        <x:v>BMP (Bancarizador)</x:v>
      </x:c>
      <x:c r="AJ98" s="39" t="str">
        <x:v>N/D</x:v>
      </x:c>
      <x:c r="AK98" s="39" t="str">
        <x:v>N/D</x:v>
      </x:c>
      <x:c r="AL98" s="39" t="str">
        <x:v>IMG_8707.jpg</x:v>
      </x:c>
      <x:c r="AM98" s="39" t="str">
        <x:v>manual_aplicado</x:v>
      </x:c>
      <x:c r="AN98" s="39" t="str">
        <x:v>OBS parcialmente legível: Via Invest (Gestorada grupo faz co-gestão). Denominação cortada.</x:v>
      </x:c>
      <x:c r="AO98" s="39" t="str">
        <x:v>998769</x:v>
      </x:c>
      <x:c r="AP98" s="39" t="str">
        <x:v>2025-09-22</x:v>
      </x:c>
      <x:c r="AQ98" s="39" t="str">
        <x:v>44; 64</x:v>
      </x:c>
      <x:c r="AR98" s="39" t="str">
        <x:v>revisto — mínimo júnior localizado</x:v>
      </x:c>
      <x:c r="AS98" s="39" t="str">
        <x:v>FundosNet/B3; documento 998769; referência 2025-09-22; p. 44; 64</x:v>
      </x:c>
      <x:c r="AT98" s="39" t="str">
        <x:v>Índice mantido pelas cotas júnior / PL, mínimo de 15,0%; há classe mezanino.</x:v>
      </x:c>
      <x:c r="AU98" s="39" t="str">
        <x:v>Sub/PL atual; originador; sacado/devedor; tipo de recebível</x:v>
      </x:c>
      <x:c r="AV98" s="39" t="str">
        <x:v>sub_pl_atual_ausente</x:v>
      </x:c>
    </x:row>
    <x:row r="99" ht="31.5" customHeight="1">
      <x:c r="A99" s="38" t="n">
        <x:v>95</x:v>
      </x:c>
      <x:c r="B99" s="73" t="n">
        <x:v>63657457000193</x:v>
      </x:c>
      <x:c r="C99" s="38" t="str">
        <x:v>63.657.457/0001-93</x:v>
      </x:c>
      <x:c r="D99" s="38" t="str">
        <x:v>MSV3 FUNDO DE INVESTIMENTO EM DIREITOS CREDITÓRIOS RECEBÍVEIS COMERCIAIS RESPONSABILIDADE LIMITADA</x:v>
      </x:c>
      <x:c r="E99" s="38" t="str">
        <x:v>MSV3 FUNDO DE INVESTIMENTO EM DIREITOS CREDITORIOS RECEBIVEIS COMERCIAIS</x:v>
      </x:c>
      <x:c r="F99" s="38" t="str">
        <x:v>Carteira 101</x:v>
      </x:c>
      <x:c r="G99" s="38" t="str">
        <x:v>2026-06</x:v>
      </x:c>
      <x:c r="H99" s="38" t="str">
        <x:v>localizado</x:v>
      </x:c>
      <x:c r="I99" s="79" t="n">
        <x:v>311503782.69</x:v>
      </x:c>
      <x:c r="J99" s="79" t="n">
        <x:v>311503782.68957347</x:v>
      </x:c>
      <x:c r="K99" s="79" t="n">
        <x:v>113127865.25897348</x:v>
      </x:c>
      <x:c r="L99" s="85" t="n">
        <x:v>0.36316690693786924</x:v>
      </x:c>
      <x:c r="M99" s="38" t="str">
        <x:v>Calculado com classes reportadas e PL oficial reconciliado</x:v>
      </x:c>
      <x:c r="N99" s="85" t="n">
        <x:v>0.25</x:v>
      </x:c>
      <x:c r="O99" s="85" t="str">
        <x:v>N/D</x:v>
      </x:c>
      <x:c r="P99" s="85" t="str">
        <x:v>N/D</x:v>
      </x:c>
      <x:c r="Q99" s="85" t="str">
        <x:v>N/D</x:v>
      </x:c>
      <x:c r="R99" s="85" t="str">
        <x:v>N/D</x:v>
      </x:c>
      <x:c r="S99" s="85" t="n">
        <x:v>0.25</x:v>
      </x:c>
      <x:c r="T99" s="38" t="str">
        <x:v>25,0%</x:v>
      </x:c>
      <x:c r="U99" s="38" t="str">
        <x:v>junior_pl</x:v>
      </x:c>
      <x:c r="V99" s="38" t="str">
        <x:v>direto no regulamento</x:v>
      </x:c>
      <x:c r="W99" s="67" t="b">
        <x:v>0</x:v>
      </x:c>
      <x:c r="X99" s="38" t="str">
        <x:v>Mínimo júnior isolado; a subordinação atual disponível agrega todas as classes subordinadas.</x:v>
      </x:c>
      <x:c r="Y99" s="67" t="b">
        <x:v>0</x:v>
      </x:c>
      <x:c r="Z99" s="85" t="str">
        <x:v>N/D</x:v>
      </x:c>
      <x:c r="AA99" s="85" t="str">
        <x:v>N/D</x:v>
      </x:c>
      <x:c r="AB99" s="38" t="str">
        <x:v>não medido</x:v>
      </x:c>
      <x:c r="AC99" s="38" t="str">
        <x:v>Agro, Indústria e Comércio</x:v>
      </x:c>
      <x:c r="AD99" s="38" t="str">
        <x:v>Recebíveis Comerciais</x:v>
      </x:c>
      <x:c r="AE99" s="38" t="str">
        <x:v>Agro / Revenda</x:v>
      </x:c>
      <x:c r="AF99" s="38" t="str">
        <x:v>N/D</x:v>
      </x:c>
      <x:c r="AG99" s="38" t="str">
        <x:v>N/D</x:v>
      </x:c>
      <x:c r="AH99" s="38" t="str">
        <x:v>N/D</x:v>
      </x:c>
      <x:c r="AI99" s="38" t="str">
        <x:v>N/D</x:v>
      </x:c>
      <x:c r="AJ99" s="38" t="str">
        <x:v>N/D</x:v>
      </x:c>
      <x:c r="AK99" s="38" t="str">
        <x:v>N/D</x:v>
      </x:c>
      <x:c r="AL99" s="38" t="str">
        <x:v>N/D</x:v>
      </x:c>
      <x:c r="AM99" s="38" t="str">
        <x:v>sem_overlay</x:v>
      </x:c>
      <x:c r="AN99" s="38" t="str">
        <x:v>N/D</x:v>
      </x:c>
      <x:c r="AO99" s="38" t="str">
        <x:v>1205333</x:v>
      </x:c>
      <x:c r="AP99" s="38" t="str">
        <x:v>2026-05-27</x:v>
      </x:c>
      <x:c r="AQ99" s="38" t="str">
        <x:v>28</x:v>
      </x:c>
      <x:c r="AR99" s="38" t="str">
        <x:v>revisto — mínimo júnior localizado</x:v>
      </x:c>
      <x:c r="AS99" s="38" t="str">
        <x:v>FundosNet/B3; documento 1205333; referência 2026-05-27; p. 28</x:v>
      </x:c>
      <x:c r="AT99" s="38" t="str">
        <x:v>Cotas subordinadas júnior / PL, mínimo de 25,0%.</x:v>
      </x:c>
      <x:c r="AU99" s="38" t="str">
        <x:v>originador; cedente; sacado/devedor; tipo de recebível</x:v>
      </x:c>
      <x:c r="AV99" s="38" t="str">
        <x:v>estrutura_incomparavel</x:v>
      </x:c>
    </x:row>
    <x:row r="100" ht="31.5" customHeight="1">
      <x:c r="A100" s="39" t="n">
        <x:v>96</x:v>
      </x:c>
      <x:c r="B100" s="72" t="n">
        <x:v>63066147000102</x:v>
      </x:c>
      <x:c r="C100" s="39" t="str">
        <x:v>63.066.147/0001-02</x:v>
      </x:c>
      <x:c r="D100" s="39" t="str">
        <x:v>FUNDO DE INVESTIMENTO EM DIREITOS CREDITÓRIOS INCLUSÃO CREDIÁRIA RESPONSABILIDADE LIMITADA</x:v>
      </x:c>
      <x:c r="E100" s="39" t="str">
        <x:v>FUNDO DE INVESTIMENTO EM DIREITOS</x:v>
      </x:c>
      <x:c r="F100" s="39" t="str">
        <x:v>Carteira 101</x:v>
      </x:c>
      <x:c r="G100" s="39" t="str">
        <x:v>2026-06</x:v>
      </x:c>
      <x:c r="H100" s="39" t="str">
        <x:v>localizado</x:v>
      </x:c>
      <x:c r="I100" s="78" t="n">
        <x:v>156443253.15</x:v>
      </x:c>
      <x:c r="J100" s="78" t="n">
        <x:v>156443271.11844087</x:v>
      </x:c>
      <x:c r="K100" s="78" t="n">
        <x:v>81292572.48349294</x:v>
      </x:c>
      <x:c r="L100" s="84" t="n">
        <x:v>0.519629775312512</x:v>
      </x:c>
      <x:c r="M100" s="39" t="str">
        <x:v>Calculado com classes reportadas e PL oficial reconciliado</x:v>
      </x:c>
      <x:c r="N100" s="84" t="n">
        <x:v>0.125</x:v>
      </x:c>
      <x:c r="O100" s="84" t="str">
        <x:v>N/D</x:v>
      </x:c>
      <x:c r="P100" s="84" t="str">
        <x:v>N/D</x:v>
      </x:c>
      <x:c r="Q100" s="84" t="str">
        <x:v>N/D</x:v>
      </x:c>
      <x:c r="R100" s="84" t="str">
        <x:v>N/D</x:v>
      </x:c>
      <x:c r="S100" s="84" t="n">
        <x:v>0.125</x:v>
      </x:c>
      <x:c r="T100" s="39" t="str">
        <x:v>12,5%; 17,5% se rebaixamento</x:v>
      </x:c>
      <x:c r="U100" s="39" t="str">
        <x:v>junior_pl</x:v>
      </x:c>
      <x:c r="V100" s="39" t="str">
        <x:v>direto no regulamento</x:v>
      </x:c>
      <x:c r="W100" s="66" t="b">
        <x:v>0</x:v>
      </x:c>
      <x:c r="X100" s="39" t="str">
        <x:v>Mínimo júnior isolado; a subordinação atual disponível agrega todas as classes subordinadas.</x:v>
      </x:c>
      <x:c r="Y100" s="66" t="b">
        <x:v>0</x:v>
      </x:c>
      <x:c r="Z100" s="84" t="str">
        <x:v>N/D</x:v>
      </x:c>
      <x:c r="AA100" s="84" t="str">
        <x:v>N/D</x:v>
      </x:c>
      <x:c r="AB100" s="39" t="str">
        <x:v>não medido</x:v>
      </x:c>
      <x:c r="AC100" s="39" t="str">
        <x:v>Financeiro</x:v>
      </x:c>
      <x:c r="AD100" s="39" t="str">
        <x:v>Multicarteira Financeiro</x:v>
      </x:c>
      <x:c r="AE100" s="39" t="str">
        <x:v>Financeiro</x:v>
      </x:c>
      <x:c r="AF100" s="39" t="str">
        <x:v>Supersim</x:v>
      </x:c>
      <x:c r="AG100" s="39" t="str">
        <x:v>cedente</x:v>
      </x:c>
      <x:c r="AH100" s="39" t="str">
        <x:v>N/D</x:v>
      </x:c>
      <x:c r="AI100" s="39" t="str">
        <x:v>Supersim</x:v>
      </x:c>
      <x:c r="AJ100" s="39" t="str">
        <x:v>N/D</x:v>
      </x:c>
      <x:c r="AK100" s="39" t="str">
        <x:v>N/D</x:v>
      </x:c>
      <x:c r="AL100" s="39" t="str">
        <x:v>IMG_8707.jpg</x:v>
      </x:c>
      <x:c r="AM100" s="39" t="str">
        <x:v>manual_aplicado</x:v>
      </x:c>
      <x:c r="AN100" s="39" t="str">
        <x:v>Denominação cortada pela largura da coluna na foto.</x:v>
      </x:c>
      <x:c r="AO100" s="39" t="str">
        <x:v>1085946</x:v>
      </x:c>
      <x:c r="AP100" s="39" t="str">
        <x:v>2026-01-15</x:v>
      </x:c>
      <x:c r="AQ100" s="39" t="str">
        <x:v>12</x:v>
      </x:c>
      <x:c r="AR100" s="39" t="str">
        <x:v>revisto — mínimo júnior localizado</x:v>
      </x:c>
      <x:c r="AS100" s="39" t="str">
        <x:v>FundosNet/B3; documento 1085946; referência 2026-01-15; p. 12</x:v>
      </x:c>
      <x:c r="AT100" s="39" t="str">
        <x:v>Cotas júnior / PL, mínimo de 12,5%; 17,5% enquanto houver rebaixamento contratualmente definido.</x:v>
      </x:c>
      <x:c r="AU100" s="39" t="str">
        <x:v>originador; sacado/devedor; tipo de recebível</x:v>
      </x:c>
      <x:c r="AV100" s="39" t="str">
        <x:v>estrutura_incomparavel</x:v>
      </x:c>
    </x:row>
    <x:row r="101" ht="31.5" customHeight="1">
      <x:c r="A101" s="38" t="n">
        <x:v>97</x:v>
      </x:c>
      <x:c r="B101" s="73" t="n">
        <x:v>65836995000170</x:v>
      </x:c>
      <x:c r="C101" s="38" t="str">
        <x:v>65.836.995/0001-70</x:v>
      </x:c>
      <x:c r="D101" s="38" t="str">
        <x:v>PNEUCASH II FUNDO DE INVESTIMENTO EM DIREITOS CREDITÓRIOS DE CLASSE ÚNICA FECHADA RESP LIMITADA</x:v>
      </x:c>
      <x:c r="E101" s="38" t="str">
        <x:v>DAYCOVAL 0410 FUNDO DE INV EM DIREITOS CREDITORIOS</x:v>
      </x:c>
      <x:c r="F101" s="38" t="str">
        <x:v>Carteira 101</x:v>
      </x:c>
      <x:c r="G101" s="38" t="str">
        <x:v>2026-06</x:v>
      </x:c>
      <x:c r="H101" s="38" t="str">
        <x:v>localizado</x:v>
      </x:c>
      <x:c r="I101" s="79" t="n">
        <x:v>154321628.99</x:v>
      </x:c>
      <x:c r="J101" s="79" t="n">
        <x:v>153129896.940435</x:v>
      </x:c>
      <x:c r="K101" s="79" t="n">
        <x:v>30662317.480035003</x:v>
      </x:c>
      <x:c r="L101" s="85" t="str">
        <x:v>N/D</x:v>
      </x:c>
      <x:c r="M101" s="38" t="str">
        <x:v>N/D</x:v>
      </x:c>
      <x:c r="N101" s="85" t="str">
        <x:v>N/D</x:v>
      </x:c>
      <x:c r="O101" s="85" t="str">
        <x:v>N/D</x:v>
      </x:c>
      <x:c r="P101" s="85" t="str">
        <x:v>N/D</x:v>
      </x:c>
      <x:c r="Q101" s="85" t="n">
        <x:v>0.2</x:v>
      </x:c>
      <x:c r="R101" s="85" t="str">
        <x:v>N/D</x:v>
      </x:c>
      <x:c r="S101" s="85" t="n">
        <x:v>0.2</x:v>
      </x:c>
      <x:c r="T101" s="38" t="str">
        <x:v>20,0%*</x:v>
      </x:c>
      <x:c r="U101" s="38" t="str">
        <x:v>suporte_total_pl</x:v>
      </x:c>
      <x:c r="V101" s="38" t="str">
        <x:v>direto no regulamento</x:v>
      </x:c>
      <x:c r="W101" s="67" t="b">
        <x:v>1</x:v>
      </x:c>
      <x:c r="X101" s="38" t="str">
        <x:v>Suporte total ou combinado; não representa mínimo júnior isolado.</x:v>
      </x:c>
      <x:c r="Y101" s="67" t="b">
        <x:v>1</x:v>
      </x:c>
      <x:c r="Z101" s="85" t="str">
        <x:v>N/D</x:v>
      </x:c>
      <x:c r="AA101" s="85" t="str">
        <x:v>N/D</x:v>
      </x:c>
      <x:c r="AB101" s="38" t="str">
        <x:v>não medido</x:v>
      </x:c>
      <x:c r="AC101" s="38" t="str">
        <x:v>Financeiro</x:v>
      </x:c>
      <x:c r="AD101" s="38" t="str">
        <x:v>Multicarteira Financeiro</x:v>
      </x:c>
      <x:c r="AE101" s="38" t="str">
        <x:v>Financeiro</x:v>
      </x:c>
      <x:c r="AF101" s="38" t="str">
        <x:v>Cantu Store</x:v>
      </x:c>
      <x:c r="AG101" s="38" t="str">
        <x:v>cedente</x:v>
      </x:c>
      <x:c r="AH101" s="38" t="str">
        <x:v>N/D</x:v>
      </x:c>
      <x:c r="AI101" s="38" t="str">
        <x:v>Cantu Store</x:v>
      </x:c>
      <x:c r="AJ101" s="38" t="str">
        <x:v>N/D</x:v>
      </x:c>
      <x:c r="AK101" s="38" t="str">
        <x:v>N/D</x:v>
      </x:c>
      <x:c r="AL101" s="38" t="str">
        <x:v>IMG_8707.jpg</x:v>
      </x:c>
      <x:c r="AM101" s="38" t="str">
        <x:v>manual_aplicado</x:v>
      </x:c>
      <x:c r="AN101" s="38" t="str">
        <x:v>N/D</x:v>
      </x:c>
      <x:c r="AO101" s="38" t="str">
        <x:v>1184847</x:v>
      </x:c>
      <x:c r="AP101" s="38" t="str">
        <x:v>2026-05-11</x:v>
      </x:c>
      <x:c r="AQ101" s="38" t="str">
        <x:v>49–50</x:v>
      </x:c>
      <x:c r="AR101" s="38" t="str">
        <x:v>revisto — suporte estrutural total localizado</x:v>
      </x:c>
      <x:c r="AS101" s="38" t="str">
        <x:v>FundosNet/B3; documento 1184847; referência 2026-05-11; p. 49–50</x:v>
      </x:c>
      <x:c r="AT101" s="38" t="str">
        <x:v>N/D</x:v>
      </x:c>
      <x:c r="AU101" s="38" t="str">
        <x:v>Sub/PL atual; originador; sacado/devedor; tipo de recebível</x:v>
      </x:c>
      <x:c r="AV101" s="38" t="str">
        <x:v>sub_pl_atual_ausente</x:v>
      </x:c>
    </x:row>
    <x:row r="102" ht="31.5" customHeight="1">
      <x:c r="A102" s="39" t="n">
        <x:v>98</x:v>
      </x:c>
      <x:c r="B102" s="72" t="n">
        <x:v>65873297000145</x:v>
      </x:c>
      <x:c r="C102" s="39" t="str">
        <x:v>65.873.297/0001-45</x:v>
      </x:c>
      <x:c r="D102" s="39" t="str">
        <x:v>ARCELORMITTAL VÉRTICE FUNDO DE INVESTIMENTO EM DIREITOS CREDITÓRIOS COMERCIAIS - RESP LIMITADA</x:v>
      </x:c>
      <x:c r="E102" s="39" t="str">
        <x:v>ARCELORMITTAL VERTICE FUNDO DE INVESTIMENTO EM DIREITOS CRED</x:v>
      </x:c>
      <x:c r="F102" s="39" t="str">
        <x:v>Carteira 101</x:v>
      </x:c>
      <x:c r="G102" s="39" t="str">
        <x:v>2026-06</x:v>
      </x:c>
      <x:c r="H102" s="39" t="str">
        <x:v>localizado</x:v>
      </x:c>
      <x:c r="I102" s="78" t="n">
        <x:v>162575853.76</x:v>
      </x:c>
      <x:c r="J102" s="78" t="n">
        <x:v>162575853.75516358</x:v>
      </x:c>
      <x:c r="K102" s="78" t="n">
        <x:v>30287869.380123574</x:v>
      </x:c>
      <x:c r="L102" s="84" t="n">
        <x:v>0.18629992510963872</x:v>
      </x:c>
      <x:c r="M102" s="39" t="str">
        <x:v>Calculado com classes reportadas e PL oficial reconciliado</x:v>
      </x:c>
      <x:c r="N102" s="84" t="n">
        <x:v>0.12</x:v>
      </x:c>
      <x:c r="O102" s="84" t="str">
        <x:v>N/D</x:v>
      </x:c>
      <x:c r="P102" s="84" t="str">
        <x:v>N/D</x:v>
      </x:c>
      <x:c r="Q102" s="84" t="n">
        <x:v>0.12</x:v>
      </x:c>
      <x:c r="R102" s="84" t="str">
        <x:v>N/D</x:v>
      </x:c>
      <x:c r="S102" s="84" t="n">
        <x:v>0.12</x:v>
      </x:c>
      <x:c r="T102" s="39" t="str">
        <x:v>12,0%</x:v>
      </x:c>
      <x:c r="U102" s="39" t="str">
        <x:v>junior_pl</x:v>
      </x:c>
      <x:c r="V102" s="39" t="str">
        <x:v>direto no regulamento</x:v>
      </x:c>
      <x:c r="W102" s="66" t="b">
        <x:v>1</x:v>
      </x:c>
      <x:c r="X102" s="39" t="str">
        <x:v>Estrutura com uma única classe subordinada; métrica atual e piso usam o total subordinado sobre o PL.</x:v>
      </x:c>
      <x:c r="Y102" s="66" t="b">
        <x:v>0</x:v>
      </x:c>
      <x:c r="Z102" s="84" t="n">
        <x:v>0.06629992510963872</x:v>
      </x:c>
      <x:c r="AA102" s="84" t="n">
        <x:v>0.07534082398822582</x:v>
      </x:c>
      <x:c r="AB102" s="39" t="str">
        <x:v>acima do mínimo</x:v>
      </x:c>
      <x:c r="AC102" s="39" t="str">
        <x:v>Agro, Indústria e Comércio</x:v>
      </x:c>
      <x:c r="AD102" s="39" t="str">
        <x:v>Recebíveis Comerciais</x:v>
      </x:c>
      <x:c r="AE102" s="39" t="str">
        <x:v>Agro / Revenda</x:v>
      </x:c>
      <x:c r="AF102" s="39" t="str">
        <x:v>N/D</x:v>
      </x:c>
      <x:c r="AG102" s="39" t="str">
        <x:v>N/D</x:v>
      </x:c>
      <x:c r="AH102" s="39" t="str">
        <x:v>N/D</x:v>
      </x:c>
      <x:c r="AI102" s="39" t="str">
        <x:v>N/D</x:v>
      </x:c>
      <x:c r="AJ102" s="39" t="str">
        <x:v>N/D</x:v>
      </x:c>
      <x:c r="AK102" s="39" t="str">
        <x:v>N/D</x:v>
      </x:c>
      <x:c r="AL102" s="39" t="str">
        <x:v>N/D</x:v>
      </x:c>
      <x:c r="AM102" s="39" t="str">
        <x:v>sem_overlay</x:v>
      </x:c>
      <x:c r="AN102" s="39" t="str">
        <x:v>N/D</x:v>
      </x:c>
      <x:c r="AO102" s="39" t="str">
        <x:v>1226438</x:v>
      </x:c>
      <x:c r="AP102" s="39" t="str">
        <x:v>2026-05-20</x:v>
      </x:c>
      <x:c r="AQ102" s="39" t="str">
        <x:v>34</x:v>
      </x:c>
      <x:c r="AR102" s="39" t="str">
        <x:v>revisto — mínimo júnior localizado</x:v>
      </x:c>
      <x:c r="AS102" s="39" t="str">
        <x:v>FundosNet/B3; documento 1226438; referência 2026-05-20; p. 34</x:v>
      </x:c>
      <x:c r="AT102" s="39" t="str">
        <x:v>Cotas subordinadas / PL, mínimo de 12,0%; estrutura com uma única classe residual.</x:v>
      </x:c>
      <x:c r="AU102" s="39" t="str">
        <x:v>originador; cedente; sacado/devedor; tipo de recebível</x:v>
      </x:c>
      <x:c r="AV102" s="39" t="str">
        <x:v>completo_para_folga</x:v>
      </x:c>
    </x:row>
    <x:row r="103" ht="31.5" customHeight="1">
      <x:c r="A103" s="38" t="n">
        <x:v>99</x:v>
      </x:c>
      <x:c r="B103" s="73" t="n">
        <x:v>65347578000164</x:v>
      </x:c>
      <x:c r="C103" s="38" t="str">
        <x:v>65.347.578/0001-64</x:v>
      </x:c>
      <x:c r="D103" s="38" t="str">
        <x:v>ICRED INSS III FUNDO DE INVESTIMENTO EM DIREITOS CREDITÓRIOS RESPONSABILIDADE LIMITADA</x:v>
      </x:c>
      <x:c r="E103" s="38" t="str">
        <x:v>ICRED INSS III FUNDO DE INVESTIMENTO EM DIREITOS CREDITORIOS RESPONSABILIDADE</x:v>
      </x:c>
      <x:c r="F103" s="38" t="str">
        <x:v>Carteira 101</x:v>
      </x:c>
      <x:c r="G103" s="38" t="str">
        <x:v>2026-06</x:v>
      </x:c>
      <x:c r="H103" s="38" t="str">
        <x:v>localizado</x:v>
      </x:c>
      <x:c r="I103" s="79" t="n">
        <x:v>664757336.15</x:v>
      </x:c>
      <x:c r="J103" s="79" t="n">
        <x:v>664757336.1491944</x:v>
      </x:c>
      <x:c r="K103" s="79" t="n">
        <x:v>89859810.10020947</x:v>
      </x:c>
      <x:c r="L103" s="85" t="n">
        <x:v>0.13517686110940932</x:v>
      </x:c>
      <x:c r="M103" s="38" t="str">
        <x:v>Calculado com classes reportadas e PL oficial reconciliado</x:v>
      </x:c>
      <x:c r="N103" s="85" t="n">
        <x:v>0.025</x:v>
      </x:c>
      <x:c r="O103" s="85" t="str">
        <x:v>N/D</x:v>
      </x:c>
      <x:c r="P103" s="85" t="str">
        <x:v>N/D</x:v>
      </x:c>
      <x:c r="Q103" s="85" t="str">
        <x:v>N/D</x:v>
      </x:c>
      <x:c r="R103" s="85" t="str">
        <x:v>N/D</x:v>
      </x:c>
      <x:c r="S103" s="85" t="n">
        <x:v>0.025</x:v>
      </x:c>
      <x:c r="T103" s="38" t="str">
        <x:v>2,5% inicial; 4,0% após gatilho</x:v>
      </x:c>
      <x:c r="U103" s="38" t="str">
        <x:v>junior_pl</x:v>
      </x:c>
      <x:c r="V103" s="38" t="str">
        <x:v>direto no regulamento</x:v>
      </x:c>
      <x:c r="W103" s="67" t="b">
        <x:v>0</x:v>
      </x:c>
      <x:c r="X103" s="38" t="str">
        <x:v>Mínimo júnior isolado; a subordinação atual disponível agrega todas as classes subordinadas.</x:v>
      </x:c>
      <x:c r="Y103" s="67" t="b">
        <x:v>0</x:v>
      </x:c>
      <x:c r="Z103" s="85" t="str">
        <x:v>N/D</x:v>
      </x:c>
      <x:c r="AA103" s="85" t="str">
        <x:v>N/D</x:v>
      </x:c>
      <x:c r="AB103" s="38" t="str">
        <x:v>não medido</x:v>
      </x:c>
      <x:c r="AC103" s="38" t="str">
        <x:v>Financeiro</x:v>
      </x:c>
      <x:c r="AD103" s="38" t="str">
        <x:v>Multicarteira Financeiro</x:v>
      </x:c>
      <x:c r="AE103" s="38" t="str">
        <x:v>Consignado INSS</x:v>
      </x:c>
      <x:c r="AF103" s="38" t="str">
        <x:v>N/D</x:v>
      </x:c>
      <x:c r="AG103" s="38" t="str">
        <x:v>N/D</x:v>
      </x:c>
      <x:c r="AH103" s="38" t="str">
        <x:v>N/D</x:v>
      </x:c>
      <x:c r="AI103" s="38" t="str">
        <x:v>N/D</x:v>
      </x:c>
      <x:c r="AJ103" s="38" t="str">
        <x:v>N/D</x:v>
      </x:c>
      <x:c r="AK103" s="38" t="str">
        <x:v>N/D</x:v>
      </x:c>
      <x:c r="AL103" s="38" t="str">
        <x:v>N/D</x:v>
      </x:c>
      <x:c r="AM103" s="38" t="str">
        <x:v>sem_overlay</x:v>
      </x:c>
      <x:c r="AN103" s="38" t="str">
        <x:v>N/D</x:v>
      </x:c>
      <x:c r="AO103" s="38" t="str">
        <x:v>1211821</x:v>
      </x:c>
      <x:c r="AP103" s="38" t="str">
        <x:v>2026-05-25</x:v>
      </x:c>
      <x:c r="AQ103" s="38" t="str">
        <x:v>186</x:v>
      </x:c>
      <x:c r="AR103" s="38" t="str">
        <x:v>revisto — mínimo júnior localizado</x:v>
      </x:c>
      <x:c r="AS103" s="38" t="str">
        <x:v>FundosNet/B3; documento 1211821; referência 2026-05-25; p. 186</x:v>
      </x:c>
      <x:c r="AT103" s="38" t="str">
        <x:v>Cotas júnior / PL: mínimo inicial de 2,5%; 4,0% após o índice atingir esse patamar.</x:v>
      </x:c>
      <x:c r="AU103" s="38" t="str">
        <x:v>originador; cedente; sacado/devedor; tipo de recebível</x:v>
      </x:c>
      <x:c r="AV103" s="38" t="str">
        <x:v>estrutura_incomparavel</x:v>
      </x:c>
    </x:row>
    <x:row r="104" ht="31.5" customHeight="1">
      <x:c r="A104" s="39" t="n">
        <x:v>100</x:v>
      </x:c>
      <x:c r="B104" s="72" t="n">
        <x:v>18185812000114</x:v>
      </x:c>
      <x:c r="C104" s="39" t="str">
        <x:v>18.185.812/0001-14</x:v>
      </x:c>
      <x:c r="D104" s="39" t="str">
        <x:v>GAVEA SUL FUNDO DE INVESTIMENTO EM DIREITOS CREDITÓRIOS MULTISSETORIAL LP</x:v>
      </x:c>
      <x:c r="E104" s="39" t="str">
        <x:v>GAVEA SUL FUNDO DE INVESTIMENTO EM DIREITOS CREDITORIOS MULTISSETORIAL</x:v>
      </x:c>
      <x:c r="F104" s="39" t="str">
        <x:v>Carteira 101</x:v>
      </x:c>
      <x:c r="G104" s="39" t="str">
        <x:v>2026-06</x:v>
      </x:c>
      <x:c r="H104" s="39" t="str">
        <x:v>localizado</x:v>
      </x:c>
      <x:c r="I104" s="78" t="n">
        <x:v>561951177.27</x:v>
      </x:c>
      <x:c r="J104" s="78" t="n">
        <x:v>561951177.2989568</x:v>
      </x:c>
      <x:c r="K104" s="78" t="n">
        <x:v>257268349.3297246</x:v>
      </x:c>
      <x:c r="L104" s="84" t="n">
        <x:v>0.4578126352178015</x:v>
      </x:c>
      <x:c r="M104" s="39" t="str">
        <x:v>Calculado com classes reportadas e PL oficial reconciliado</x:v>
      </x:c>
      <x:c r="N104" s="84" t="n">
        <x:v>0.22</x:v>
      </x:c>
      <x:c r="O104" s="84" t="str">
        <x:v>N/D</x:v>
      </x:c>
      <x:c r="P104" s="84" t="str">
        <x:v>N/D</x:v>
      </x:c>
      <x:c r="Q104" s="84" t="str">
        <x:v>N/D</x:v>
      </x:c>
      <x:c r="R104" s="84" t="str">
        <x:v>N/D</x:v>
      </x:c>
      <x:c r="S104" s="84" t="n">
        <x:v>0.22</x:v>
      </x:c>
      <x:c r="T104" s="39" t="str">
        <x:v>22,0%</x:v>
      </x:c>
      <x:c r="U104" s="39" t="str">
        <x:v>junior_pl</x:v>
      </x:c>
      <x:c r="V104" s="39" t="str">
        <x:v>direto no regulamento</x:v>
      </x:c>
      <x:c r="W104" s="66" t="b">
        <x:v>0</x:v>
      </x:c>
      <x:c r="X104" s="39" t="str">
        <x:v>Mínimo júnior isolado; a subordinação atual disponível agrega todas as classes subordinadas.</x:v>
      </x:c>
      <x:c r="Y104" s="66" t="b">
        <x:v>0</x:v>
      </x:c>
      <x:c r="Z104" s="84" t="str">
        <x:v>N/D</x:v>
      </x:c>
      <x:c r="AA104" s="84" t="str">
        <x:v>N/D</x:v>
      </x:c>
      <x:c r="AB104" s="39" t="str">
        <x:v>não medido</x:v>
      </x:c>
      <x:c r="AC104" s="39" t="str">
        <x:v>Fomento Mercantil</x:v>
      </x:c>
      <x:c r="AD104" s="39" t="str">
        <x:v>Fomento Mercantil</x:v>
      </x:c>
      <x:c r="AE104" s="39" t="str">
        <x:v>Factoring</x:v>
      </x:c>
      <x:c r="AF104" s="39" t="str">
        <x:v>N/D</x:v>
      </x:c>
      <x:c r="AG104" s="39" t="str">
        <x:v>N/D</x:v>
      </x:c>
      <x:c r="AH104" s="39" t="str">
        <x:v>N/D</x:v>
      </x:c>
      <x:c r="AI104" s="39" t="str">
        <x:v>N/D</x:v>
      </x:c>
      <x:c r="AJ104" s="39" t="str">
        <x:v>N/D</x:v>
      </x:c>
      <x:c r="AK104" s="39" t="str">
        <x:v>N/D</x:v>
      </x:c>
      <x:c r="AL104" s="39" t="str">
        <x:v>N/D</x:v>
      </x:c>
      <x:c r="AM104" s="39" t="str">
        <x:v>sem_overlay</x:v>
      </x:c>
      <x:c r="AN104" s="39" t="str">
        <x:v>N/D</x:v>
      </x:c>
      <x:c r="AO104" s="39" t="str">
        <x:v>1011996</x:v>
      </x:c>
      <x:c r="AP104" s="39" t="str">
        <x:v>2025-10-13</x:v>
      </x:c>
      <x:c r="AQ104" s="39" t="str">
        <x:v>53</x:v>
      </x:c>
      <x:c r="AR104" s="39" t="str">
        <x:v>revisto — mínimo júnior localizado</x:v>
      </x:c>
      <x:c r="AS104" s="39" t="str">
        <x:v>FundosNet/B3; documento 1011996; referência 2025-10-13; p. 53</x:v>
      </x:c>
      <x:c r="AT104" s="39" t="str">
        <x:v>Cotas subordinadas júnior / PL, mínimo de 22,0%.</x:v>
      </x:c>
      <x:c r="AU104" s="39" t="str">
        <x:v>originador; cedente; sacado/devedor; tipo de recebível</x:v>
      </x:c>
      <x:c r="AV104" s="39" t="str">
        <x:v>estrutura_incomparavel</x:v>
      </x:c>
    </x:row>
    <x:row r="105" ht="31.5" customHeight="1">
      <x:c r="A105" s="38" t="n">
        <x:v>101</x:v>
      </x:c>
      <x:c r="B105" s="73" t="n">
        <x:v>49113994000141</x:v>
      </x:c>
      <x:c r="C105" s="38" t="str">
        <x:v>49.113.994/0001-41</x:v>
      </x:c>
      <x:c r="D105" s="38" t="str">
        <x:v>FUNDO DE INVESTIMENTO EM DIREITOS CREDITÓRIOS CAP - RESPONSABILIDADE LIMITADA</x:v>
      </x:c>
      <x:c r="E105" s="38" t="str">
        <x:v>FUNDO DE INVESTIMENTO EM DIREITOS CREDITORIOS CAP RESPONSABILIDADE LIMITADA</x:v>
      </x:c>
      <x:c r="F105" s="38" t="str">
        <x:v>Carteira 101</x:v>
      </x:c>
      <x:c r="G105" s="38" t="str">
        <x:v>2026-06</x:v>
      </x:c>
      <x:c r="H105" s="38" t="str">
        <x:v>localizado</x:v>
      </x:c>
      <x:c r="I105" s="79" t="n">
        <x:v>99273854.97</x:v>
      </x:c>
      <x:c r="J105" s="79" t="n">
        <x:v>99273854.99061295</x:v>
      </x:c>
      <x:c r="K105" s="79" t="n">
        <x:v>43769680.90915325</x:v>
      </x:c>
      <x:c r="L105" s="85" t="n">
        <x:v>0.4408983706977049</x:v>
      </x:c>
      <x:c r="M105" s="38" t="str">
        <x:v>Calculado com classes reportadas e PL oficial reconciliado</x:v>
      </x:c>
      <x:c r="N105" s="85" t="n">
        <x:v>0.14</x:v>
      </x:c>
      <x:c r="O105" s="85" t="str">
        <x:v>N/D</x:v>
      </x:c>
      <x:c r="P105" s="85" t="str">
        <x:v>N/D</x:v>
      </x:c>
      <x:c r="Q105" s="85" t="str">
        <x:v>N/D</x:v>
      </x:c>
      <x:c r="R105" s="85" t="str">
        <x:v>N/D</x:v>
      </x:c>
      <x:c r="S105" s="85" t="n">
        <x:v>0.14</x:v>
      </x:c>
      <x:c r="T105" s="38" t="str">
        <x:v>14,0%; 15,0% no fechamento mensal</x:v>
      </x:c>
      <x:c r="U105" s="38" t="str">
        <x:v>junior_pl</x:v>
      </x:c>
      <x:c r="V105" s="38" t="str">
        <x:v>direto no regulamento</x:v>
      </x:c>
      <x:c r="W105" s="67" t="b">
        <x:v>0</x:v>
      </x:c>
      <x:c r="X105" s="38" t="str">
        <x:v>Mínimo júnior isolado; a subordinação atual disponível agrega todas as classes subordinadas.</x:v>
      </x:c>
      <x:c r="Y105" s="67" t="b">
        <x:v>0</x:v>
      </x:c>
      <x:c r="Z105" s="85" t="str">
        <x:v>N/D</x:v>
      </x:c>
      <x:c r="AA105" s="85" t="str">
        <x:v>N/D</x:v>
      </x:c>
      <x:c r="AB105" s="38" t="str">
        <x:v>não medido</x:v>
      </x:c>
      <x:c r="AC105" s="38" t="str">
        <x:v>Financeiro</x:v>
      </x:c>
      <x:c r="AD105" s="38" t="str">
        <x:v>Crédito Pessoal</x:v>
      </x:c>
      <x:c r="AE105" s="38" t="str">
        <x:v>Financeiro</x:v>
      </x:c>
      <x:c r="AF105" s="38" t="str">
        <x:v>N/D</x:v>
      </x:c>
      <x:c r="AG105" s="38" t="str">
        <x:v>N/D</x:v>
      </x:c>
      <x:c r="AH105" s="38" t="str">
        <x:v>N/D</x:v>
      </x:c>
      <x:c r="AI105" s="38" t="str">
        <x:v>N/D</x:v>
      </x:c>
      <x:c r="AJ105" s="38" t="str">
        <x:v>N/D</x:v>
      </x:c>
      <x:c r="AK105" s="38" t="str">
        <x:v>N/D</x:v>
      </x:c>
      <x:c r="AL105" s="38" t="str">
        <x:v>N/D</x:v>
      </x:c>
      <x:c r="AM105" s="38" t="str">
        <x:v>sem_overlay</x:v>
      </x:c>
      <x:c r="AN105" s="38" t="str">
        <x:v>N/D</x:v>
      </x:c>
      <x:c r="AO105" s="38" t="str">
        <x:v>788104</x:v>
      </x:c>
      <x:c r="AP105" s="38" t="str">
        <x:v>2024-11-22</x:v>
      </x:c>
      <x:c r="AQ105" s="38" t="str">
        <x:v>53</x:v>
      </x:c>
      <x:c r="AR105" s="38" t="str">
        <x:v>revisto — mínimo júnior localizado</x:v>
      </x:c>
      <x:c r="AS105" s="38" t="str">
        <x:v>FundosNet/B3; documento 788104; referência 2024-11-22; p. 53</x:v>
      </x:c>
      <x:c r="AT105" s="38" t="str">
        <x:v>Cotas júnior / PL: mínimo de 14,0%; 15,0% no último dia útil de cada mês.</x:v>
      </x:c>
      <x:c r="AU105" s="38" t="str">
        <x:v>originador; cedente; sacado/devedor; tipo de recebível</x:v>
      </x:c>
      <x:c r="AV105" s="38" t="str">
        <x:v>estrutura_incomparavel</x:v>
      </x:c>
    </x:row>
  </x:sheetData>
  <x:mergeCells>
    <x:mergeCell ref="A1:AV1"/>
    <x:mergeCell ref="A2:AV2"/>
    <x:mergeCell ref="A3:H3"/>
    <x:mergeCell ref="I3:M3"/>
    <x:mergeCell ref="N3:V3"/>
    <x:mergeCell ref="W3:AB3"/>
    <x:mergeCell ref="AC3:AE3"/>
    <x:mergeCell ref="AF3:AN3"/>
    <x:mergeCell ref="AO3:AT3"/>
    <x:mergeCell ref="AU3:AV3"/>
  </x:mergeCells>
  <x:conditionalFormatting sqref="AB5:AB105">
    <x:cfRule type="containsText" dxfId="0" priority="1" operator="containsText" text="abaixo do mínimo"/>
    <x:cfRule type="containsText" dxfId="1" priority="2" operator="containsText" text="folga estreita"/>
    <x:cfRule type="containsText" dxfId="2" priority="3" operator="containsText" text="acima do mínimo"/>
    <x:cfRule type="containsText" dxfId="3" priority="4" operator="containsText" text="não medido"/>
  </x:conditionalFormatting>
  <x:conditionalFormatting sqref="AE5:AE105">
    <x:cfRule type="containsText" dxfId="4" priority="5" operator="containsText" text="Adquirência"/>
    <x:cfRule type="containsText" dxfId="5" priority="6" operator="containsText" text="Agro / revenda"/>
    <x:cfRule type="containsText" dxfId="6" priority="7" operator="containsText" text="Consignado INSS"/>
    <x:cfRule type="containsText" dxfId="7" priority="8" operator="containsText" text="Consignado FGTS"/>
    <x:cfRule type="containsText" dxfId="8" priority="9" operator="containsText" text="Consignado CLT"/>
    <x:cfRule type="containsText" dxfId="9" priority="10" operator="containsText" text="Consignado estadual"/>
    <x:cfRule type="containsText" dxfId="10" priority="11" operator="containsText" text="Veículos"/>
    <x:cfRule type="containsText" dxfId="11" priority="12" operator="containsText" text="Cartão consignado"/>
    <x:cfRule type="containsText" dxfId="12" priority="13" operator="containsText" text="Factoring"/>
    <x:cfRule type="containsText" dxfId="13" priority="14" operator="containsText" text="Crédito PJ"/>
    <x:cfRule type="containsText" dxfId="14" priority="15" operator="containsText" text="Financeiro"/>
    <x:cfRule type="containsText" dxfId="15" priority="16" operator="containsText" text="Outros"/>
  </x:conditionalFormatting>
  <x:conditionalFormatting sqref="AM5:AM105">
    <x:cfRule type="containsText" dxfId="16" priority="17" operator="containsText" text="manual_aplicado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.130000114440918" hidden="0" customWidth="1"/>
    <x:col min="2" max="2" width="15.630000114440918" hidden="0" customWidth="1"/>
    <x:col min="3" max="3" width="16.8799991607666" hidden="0" customWidth="1"/>
    <x:col min="4" max="4" width="45" hidden="0" customWidth="1"/>
    <x:col min="5" max="5" width="32.5" hidden="0" customWidth="1"/>
    <x:col min="6" max="6" width="13.130000114440918" hidden="0" customWidth="1"/>
    <x:col min="7" max="7" width="13.130000114440918" hidden="0" customWidth="1"/>
    <x:col min="8" max="8" width="19.3799991607666" hidden="0" customWidth="1"/>
    <x:col min="9" max="9" width="16.25" hidden="0" customWidth="1"/>
    <x:col min="10" max="10" width="18.1299991607666" hidden="0" customWidth="1"/>
    <x:col min="11" max="11" width="18.1299991607666" hidden="0" customWidth="1"/>
    <x:col min="12" max="12" width="13.130000114440918" hidden="0" customWidth="1"/>
    <x:col min="13" max="13" width="32.5" hidden="0" customWidth="1"/>
    <x:col min="14" max="14" width="13.75" hidden="0" customWidth="1"/>
    <x:col min="15" max="15" width="15.630000114440918" hidden="0" customWidth="1"/>
    <x:col min="16" max="16" width="15" hidden="0" customWidth="1"/>
    <x:col min="17" max="17" width="13.130000114440918" hidden="0" customWidth="1"/>
    <x:col min="18" max="18" width="17.5" hidden="0" customWidth="1"/>
    <x:col min="19" max="19" width="16.8799991607666" hidden="0" customWidth="1"/>
    <x:col min="20" max="20" width="19.3799991607666" hidden="0" customWidth="1"/>
    <x:col min="21" max="21" width="21.25" hidden="0" customWidth="1"/>
    <x:col min="22" max="22" width="26.25" hidden="0" customWidth="1"/>
    <x:col min="23" max="23" width="11.25" hidden="0" customWidth="1"/>
    <x:col min="24" max="24" width="52.5" hidden="0" customWidth="1"/>
    <x:col min="25" max="25" width="10.25" hidden="0" customWidth="1"/>
    <x:col min="26" max="26" width="13.130000114440918" hidden="0" customWidth="1"/>
    <x:col min="27" max="27" width="16.8799991607666" hidden="0" customWidth="1"/>
    <x:col min="28" max="28" width="18.1299991607666" hidden="0" customWidth="1"/>
    <x:col min="29" max="29" width="18.75" hidden="0" customWidth="1"/>
    <x:col min="30" max="30" width="23.75" hidden="0" customWidth="1"/>
    <x:col min="31" max="31" width="22.5" hidden="0" customWidth="1"/>
    <x:col min="32" max="32" width="31.25" hidden="0" customWidth="1"/>
    <x:col min="33" max="33" width="18.75" hidden="0" customWidth="1"/>
    <x:col min="34" max="34" width="26.25" hidden="0" customWidth="1"/>
    <x:col min="35" max="35" width="26.25" hidden="0" customWidth="1"/>
    <x:col min="36" max="36" width="27.5" hidden="0" customWidth="1"/>
    <x:col min="37" max="37" width="41.25" hidden="0" customWidth="1"/>
    <x:col min="38" max="38" width="37.5" hidden="0" customWidth="1"/>
    <x:col min="39" max="39" width="21.8799991607666" hidden="0" customWidth="1"/>
    <x:col min="40" max="40" width="45" hidden="0" customWidth="1"/>
    <x:col min="41" max="41" width="16.25" hidden="0" customWidth="1"/>
    <x:col min="42" max="42" width="14.380000114440918" hidden="0" customWidth="1"/>
    <x:col min="43" max="43" width="17.5" hidden="0" customWidth="1"/>
    <x:col min="44" max="44" width="29.3799991607666" hidden="0" customWidth="1"/>
    <x:col min="45" max="45" width="52.5" hidden="0" customWidth="1"/>
    <x:col min="46" max="46" width="57.5" hidden="0" customWidth="1"/>
    <x:col min="47" max="47" width="40" hidden="0" customWidth="1"/>
    <x:col min="48" max="48" width="23.75" hidden="0" customWidth="1"/>
  </x:cols>
  <x:sheetData>
    <x:row r="1" ht="25.5" customHeight="1">
      <x:c r="A1" s="26" t="str">
        <x:v>Flagships · base manipulável de risco estrutural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  <x:c r="AG1" s="26"/>
      <x:c r="AH1" s="26"/>
      <x:c r="AI1" s="26"/>
      <x:c r="AJ1" s="26"/>
      <x:c r="AK1" s="26"/>
      <x:c r="AL1" s="26"/>
      <x:c r="AM1" s="26"/>
      <x:c r="AN1" s="26"/>
      <x:c r="AO1" s="26"/>
      <x:c r="AP1" s="26"/>
      <x:c r="AQ1" s="26"/>
      <x:c r="AR1" s="26"/>
      <x:c r="AS1" s="26"/>
      <x:c r="AT1" s="26"/>
      <x:c r="AU1" s="26"/>
      <x:c r="AV1" s="26"/>
    </x:row>
    <x:row r="2" ht="22.5" customHeight="1">
      <x:c r="A2" s="29" t="str">
        <x:v>47 CNPJs flagship. Folga e capacidade aparecem somente quando a ausência de mezanino ou equivalência de tranche está comprovada.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  <x:c r="AA2" s="29"/>
      <x:c r="AB2" s="29"/>
      <x:c r="AC2" s="29"/>
      <x:c r="AD2" s="29"/>
      <x:c r="AE2" s="29"/>
      <x:c r="AF2" s="29"/>
      <x:c r="AG2" s="29"/>
      <x:c r="AH2" s="29"/>
      <x:c r="AI2" s="29"/>
      <x:c r="AJ2" s="29"/>
      <x:c r="AK2" s="29"/>
      <x:c r="AL2" s="29"/>
      <x:c r="AM2" s="29"/>
      <x:c r="AN2" s="29"/>
      <x:c r="AO2" s="29"/>
      <x:c r="AP2" s="29"/>
      <x:c r="AQ2" s="29"/>
      <x:c r="AR2" s="29"/>
      <x:c r="AS2" s="29"/>
      <x:c r="AT2" s="29"/>
      <x:c r="AU2" s="29"/>
      <x:c r="AV2" s="29"/>
    </x:row>
    <x:row r="3" ht="16.5" customHeight="1">
      <x:c r="A3" s="42" t="str">
        <x:v>IDENTIFICAÇÃO</x:v>
      </x:c>
      <x:c r="B3" s="42" t="str">
        <x:v>IDENTIFICAÇÃO</x:v>
      </x:c>
      <x:c r="C3" s="42" t="str">
        <x:v>IDENTIFICAÇÃO</x:v>
      </x:c>
      <x:c r="D3" s="42" t="str">
        <x:v>IDENTIFICAÇÃO</x:v>
      </x:c>
      <x:c r="E3" s="42" t="str">
        <x:v>IDENTIFICAÇÃO</x:v>
      </x:c>
      <x:c r="F3" s="42" t="str">
        <x:v>IDENTIFICAÇÃO</x:v>
      </x:c>
      <x:c r="G3" s="42" t="str">
        <x:v>IDENTIFICAÇÃO</x:v>
      </x:c>
      <x:c r="H3" s="42" t="str">
        <x:v>IDENTIFICAÇÃO</x:v>
      </x:c>
      <x:c r="I3" s="45" t="str">
        <x:v>PORTE E SUBORDINAÇÃO ATUAL</x:v>
      </x:c>
      <x:c r="J3" s="45" t="str">
        <x:v>PORTE E SUBORDINAÇÃO ATUAL</x:v>
      </x:c>
      <x:c r="K3" s="45" t="str">
        <x:v>PORTE E SUBORDINAÇÃO ATUAL</x:v>
      </x:c>
      <x:c r="L3" s="45" t="str">
        <x:v>PORTE E SUBORDINAÇÃO ATUAL</x:v>
      </x:c>
      <x:c r="M3" s="45" t="str">
        <x:v>PORTE E SUBORDINAÇÃO ATUAL</x:v>
      </x:c>
      <x:c r="N3" s="48" t="str">
        <x:v>ÍNDICES DOCUMENTAIS</x:v>
      </x:c>
      <x:c r="O3" s="48" t="str">
        <x:v>ÍNDICES DOCUMENTAIS</x:v>
      </x:c>
      <x:c r="P3" s="48" t="str">
        <x:v>ÍNDICES DOCUMENTAIS</x:v>
      </x:c>
      <x:c r="Q3" s="48" t="str">
        <x:v>ÍNDICES DOCUMENTAIS</x:v>
      </x:c>
      <x:c r="R3" s="48" t="str">
        <x:v>ÍNDICES DOCUMENTAIS</x:v>
      </x:c>
      <x:c r="S3" s="48" t="str">
        <x:v>ÍNDICES DOCUMENTAIS</x:v>
      </x:c>
      <x:c r="T3" s="48" t="str">
        <x:v>ÍNDICES DOCUMENTAIS</x:v>
      </x:c>
      <x:c r="U3" s="48" t="str">
        <x:v>ÍNDICES DOCUMENTAIS</x:v>
      </x:c>
      <x:c r="V3" s="48" t="str">
        <x:v>ÍNDICES DOCUMENTAIS</x:v>
      </x:c>
      <x:c r="W3" s="52" t="str">
        <x:v>COMPARABILIDADE E FOLGA</x:v>
      </x:c>
      <x:c r="X3" s="52" t="str">
        <x:v>COMPARABILIDADE E FOLGA</x:v>
      </x:c>
      <x:c r="Y3" s="52" t="str">
        <x:v>COMPARABILIDADE E FOLGA</x:v>
      </x:c>
      <x:c r="Z3" s="52" t="str">
        <x:v>COMPARABILIDADE E FOLGA</x:v>
      </x:c>
      <x:c r="AA3" s="52" t="str">
        <x:v>COMPARABILIDADE E FOLGA</x:v>
      </x:c>
      <x:c r="AB3" s="52" t="str">
        <x:v>COMPARABILIDADE E FOLGA</x:v>
      </x:c>
      <x:c r="AC3" s="56" t="str">
        <x:v>TAXONOMIA</x:v>
      </x:c>
      <x:c r="AD3" s="56" t="str">
        <x:v>TAXONOMIA</x:v>
      </x:c>
      <x:c r="AE3" s="56" t="str">
        <x:v>TAXONOMIA</x:v>
      </x:c>
      <x:c r="AF3" s="60" t="str">
        <x:v>PARTES E RECEBÍVEL</x:v>
      </x:c>
      <x:c r="AG3" s="60" t="str">
        <x:v>PARTES E RECEBÍVEL</x:v>
      </x:c>
      <x:c r="AH3" s="60" t="str">
        <x:v>PARTES E RECEBÍVEL</x:v>
      </x:c>
      <x:c r="AI3" s="60" t="str">
        <x:v>PARTES E RECEBÍVEL</x:v>
      </x:c>
      <x:c r="AJ3" s="60" t="str">
        <x:v>PARTES E RECEBÍVEL</x:v>
      </x:c>
      <x:c r="AK3" s="60" t="str">
        <x:v>PARTES E RECEBÍVEL</x:v>
      </x:c>
      <x:c r="AL3" s="60" t="str">
        <x:v>PARTES E RECEBÍVEL</x:v>
      </x:c>
      <x:c r="AM3" s="60" t="str">
        <x:v>PARTES E RECEBÍVEL</x:v>
      </x:c>
      <x:c r="AN3" s="60" t="str">
        <x:v>PARTES E RECEBÍVEL</x:v>
      </x:c>
      <x:c r="AO3" s="64" t="str">
        <x:v>RASTREABILIDADE</x:v>
      </x:c>
      <x:c r="AP3" s="64" t="str">
        <x:v>RASTREABILIDADE</x:v>
      </x:c>
      <x:c r="AQ3" s="64" t="str">
        <x:v>RASTREABILIDADE</x:v>
      </x:c>
      <x:c r="AR3" s="64" t="str">
        <x:v>RASTREABILIDADE</x:v>
      </x:c>
      <x:c r="AS3" s="64" t="str">
        <x:v>RASTREABILIDADE</x:v>
      </x:c>
      <x:c r="AT3" s="64" t="str">
        <x:v>RASTREABILIDADE</x:v>
      </x:c>
      <x:c r="AU3" s="42" t="str">
        <x:v>LACUNAS</x:v>
      </x:c>
      <x:c r="AV3" s="42" t="str">
        <x:v>LACUNAS</x:v>
      </x:c>
    </x:row>
    <x:row r="4" ht="25.5" customHeight="1">
      <x:c r="A4" s="32" t="str">
        <x:v>Ordem</x:v>
      </x:c>
      <x:c r="B4" s="32" t="str">
        <x:v>CNPJ</x:v>
      </x:c>
      <x:c r="C4" s="32" t="str">
        <x:v>CNPJ formatado</x:v>
      </x:c>
      <x:c r="D4" s="32" t="str">
        <x:v>Nome completo do fundo (CVM)</x:v>
      </x:c>
      <x:c r="E4" s="32" t="str">
        <x:v>Nome de referência</x:v>
      </x:c>
      <x:c r="F4" s="32" t="str">
        <x:v>Coorte</x:v>
      </x:c>
      <x:c r="G4" s="32" t="str">
        <x:v>Data de referência</x:v>
      </x:c>
      <x:c r="H4" s="32" t="str">
        <x:v>Status da identidade</x:v>
      </x:c>
      <x:c r="I4" s="32" t="str">
        <x:v>PL atual</x:v>
      </x:c>
      <x:c r="J4" s="32" t="str">
        <x:v>PL das classes reportadas</x:v>
      </x:c>
      <x:c r="K4" s="32" t="str">
        <x:v>PL subordinado atual</x:v>
      </x:c>
      <x:c r="L4" s="32" t="str">
        <x:v>Sub / PL atual</x:v>
      </x:c>
      <x:c r="M4" s="32" t="str">
        <x:v>Status do Sub / PL</x:v>
      </x:c>
      <x:c r="N4" s="32" t="str">
        <x:v>Mínimo Jr literal</x:v>
      </x:c>
      <x:c r="O4" s="32" t="str">
        <x:v>Mínimo Jr calculado*</x:v>
      </x:c>
      <x:c r="P4" s="32" t="str">
        <x:v>Mínimo Jr ajustado*</x:v>
      </x:c>
      <x:c r="Q4" s="32" t="str">
        <x:v>Suporte total*</x:v>
      </x:c>
      <x:c r="R4" s="32" t="str">
        <x:v>Suporte Jr + Mezanino*</x:v>
      </x:c>
      <x:c r="S4" s="32" t="str">
        <x:v>Índice estrutural usado</x:v>
      </x:c>
      <x:c r="T4" s="32" t="str">
        <x:v>Índice estrutural exibido</x:v>
      </x:c>
      <x:c r="U4" s="32" t="str">
        <x:v>Natureza do índice</x:v>
      </x:c>
      <x:c r="V4" s="32" t="str">
        <x:v>Fórmula / regra</x:v>
      </x:c>
      <x:c r="W4" s="32" t="str">
        <x:v>Comparável?</x:v>
      </x:c>
      <x:c r="X4" s="32" t="str">
        <x:v>Motivo da comparabilidade</x:v>
      </x:c>
      <x:c r="Y4" s="32" t="str">
        <x:v>Exceção*</x:v>
      </x:c>
      <x:c r="Z4" s="32" t="str">
        <x:v>Folga / falta</x:v>
      </x:c>
      <x:c r="AA4" s="32" t="str">
        <x:v>Capacidade até o gatilho</x:v>
      </x:c>
      <x:c r="AB4" s="32" t="str">
        <x:v>Situação regulatória</x:v>
      </x:c>
      <x:c r="AC4" s="32" t="str">
        <x:v>Tipo</x:v>
      </x:c>
      <x:c r="AD4" s="32" t="str">
        <x:v>Foco</x:v>
      </x:c>
      <x:c r="AE4" s="32" t="str">
        <x:v>Taxonomia estrutural</x:v>
      </x:c>
      <x:c r="AF4" s="32" t="str">
        <x:v>Cedente / Originador literal*</x:v>
      </x:c>
      <x:c r="AG4" s="32" t="str">
        <x:v>Papel literal*</x:v>
      </x:c>
      <x:c r="AH4" s="32" t="str">
        <x:v>Originador*</x:v>
      </x:c>
      <x:c r="AI4" s="32" t="str">
        <x:v>Cedente*</x:v>
      </x:c>
      <x:c r="AJ4" s="32" t="str">
        <x:v>Sacado / devedor*</x:v>
      </x:c>
      <x:c r="AK4" s="32" t="str">
        <x:v>Tipo de recebível*</x:v>
      </x:c>
      <x:c r="AL4" s="32" t="str">
        <x:v>Fonte das partes / recebível</x:v>
      </x:c>
      <x:c r="AM4" s="32" t="str">
        <x:v>Status do complemento manual</x:v>
      </x:c>
      <x:c r="AN4" s="32" t="str">
        <x:v>Observação do complemento manual</x:v>
      </x:c>
      <x:c r="AO4" s="32" t="str">
        <x:v>Documento</x:v>
      </x:c>
      <x:c r="AP4" s="32" t="str">
        <x:v>Data do documento</x:v>
      </x:c>
      <x:c r="AQ4" s="32" t="str">
        <x:v>Página / cláusula</x:v>
      </x:c>
      <x:c r="AR4" s="32" t="str">
        <x:v>Status da curadoria</x:v>
      </x:c>
      <x:c r="AS4" s="32" t="str">
        <x:v>Fonte documental</x:v>
      </x:c>
      <x:c r="AT4" s="32" t="str">
        <x:v>Texto do mínimo</x:v>
      </x:c>
      <x:c r="AU4" s="32" t="str">
        <x:v>Campos não preenchidos</x:v>
      </x:c>
      <x:c r="AV4" s="32" t="str">
        <x:v>Status do preenchimento</x:v>
      </x:c>
    </x:row>
    <x:row r="5" ht="31.5" customHeight="1">
      <x:c r="A5" s="37" t="n">
        <x:v>1</x:v>
      </x:c>
      <x:c r="B5" s="71" t="n">
        <x:v>58458416000138</x:v>
      </x:c>
      <x:c r="C5" s="37" t="str">
        <x:v>58.458.416/0001-38</x:v>
      </x:c>
      <x:c r="D5" s="37" t="str">
        <x:v>MT CONSIGNADO PRIVADO II FUNDO DE INVESTIMENTO EM DIREITOS CREDITÓRIOS RESPONSABILIDADE LIMITADA</x:v>
      </x:c>
      <x:c r="E5" s="37" t="str">
        <x:v>MT Consignado Privado I e II</x:v>
      </x:c>
      <x:c r="F5" s="37" t="str">
        <x:v>Flagships</x:v>
      </x:c>
      <x:c r="G5" s="37" t="str">
        <x:v>2026-06</x:v>
      </x:c>
      <x:c r="H5" s="37" t="str">
        <x:v>localizado</x:v>
      </x:c>
      <x:c r="I5" s="77" t="n">
        <x:v>387756518.91</x:v>
      </x:c>
      <x:c r="J5" s="77" t="n">
        <x:v>387756518.9114405</x:v>
      </x:c>
      <x:c r="K5" s="77" t="n">
        <x:v>111907004.010538</x:v>
      </x:c>
      <x:c r="L5" s="83" t="n">
        <x:v>0.2886012189430453</x:v>
      </x:c>
      <x:c r="M5" s="37" t="str">
        <x:v>Calculado com classes reportadas e PL oficial reconciliado</x:v>
      </x:c>
      <x:c r="N5" s="83" t="str">
        <x:v>N/D</x:v>
      </x:c>
      <x:c r="O5" s="83" t="str">
        <x:v>N/D</x:v>
      </x:c>
      <x:c r="P5" s="83" t="str">
        <x:v>N/D</x:v>
      </x:c>
      <x:c r="Q5" s="83" t="str">
        <x:v>N/D</x:v>
      </x:c>
      <x:c r="R5" s="83" t="str">
        <x:v>N/D</x:v>
      </x:c>
      <x:c r="S5" s="83" t="str">
        <x:v>N/D</x:v>
      </x:c>
      <x:c r="T5" s="37" t="str">
        <x:v>N/D</x:v>
      </x:c>
      <x:c r="U5" s="37" t="str">
        <x:v>sem_indice</x:v>
      </x:c>
      <x:c r="V5" s="37" t="str">
        <x:v>N/D</x:v>
      </x:c>
      <x:c r="W5" s="65" t="b">
        <x:v>0</x:v>
      </x:c>
      <x:c r="X5" s="37" t="str">
        <x:v>N/D — mínimo estrutural ou subordinação atual ausente</x:v>
      </x:c>
      <x:c r="Y5" s="65" t="b">
        <x:v>0</x:v>
      </x:c>
      <x:c r="Z5" s="83" t="str">
        <x:v>N/D</x:v>
      </x:c>
      <x:c r="AA5" s="83" t="str">
        <x:v>N/D</x:v>
      </x:c>
      <x:c r="AB5" s="37" t="str">
        <x:v>não medido</x:v>
      </x:c>
      <x:c r="AC5" s="37" t="str">
        <x:v>N/D</x:v>
      </x:c>
      <x:c r="AD5" s="37" t="str">
        <x:v>N/D</x:v>
      </x:c>
      <x:c r="AE5" s="37" t="str">
        <x:v>Consignado CLT</x:v>
      </x:c>
      <x:c r="AF5" s="37" t="str">
        <x:v>N/D</x:v>
      </x:c>
      <x:c r="AG5" s="37" t="str">
        <x:v>N/D</x:v>
      </x:c>
      <x:c r="AH5" s="37" t="str">
        <x:v>N/D</x:v>
      </x:c>
      <x:c r="AI5" s="37" t="str">
        <x:v>N/D</x:v>
      </x:c>
      <x:c r="AJ5" s="37" t="str">
        <x:v>N/D</x:v>
      </x:c>
      <x:c r="AK5" s="37" t="str">
        <x:v>N/D</x:v>
      </x:c>
      <x:c r="AL5" s="37" t="str">
        <x:v>N/D</x:v>
      </x:c>
      <x:c r="AM5" s="37" t="str">
        <x:v>sem_overlay</x:v>
      </x:c>
      <x:c r="AN5" s="37" t="str">
        <x:v>N/D</x:v>
      </x:c>
      <x:c r="AO5" s="37" t="str">
        <x:v>N/D</x:v>
      </x:c>
      <x:c r="AP5" s="37" t="str">
        <x:v>N/D</x:v>
      </x:c>
      <x:c r="AQ5" s="37" t="str">
        <x:v>N/D</x:v>
      </x:c>
      <x:c r="AR5" s="37" t="str">
        <x:v>lacuna — regulamento integral não disponível nas fontes locais</x:v>
      </x:c>
      <x:c r="AS5" s="37" t="str">
        <x:v>N/D</x:v>
      </x:c>
      <x:c r="AT5" s="37" t="str">
        <x:v>N/D</x:v>
      </x:c>
      <x:c r="AU5" s="37" t="str">
        <x:v>mínimo estrutural comparável; originador; cedente; sacado/devedor; tipo de recebível</x:v>
      </x:c>
      <x:c r="AV5" s="37" t="str">
        <x:v>minimo_estrutural_ausente</x:v>
      </x:c>
    </x:row>
    <x:row r="6" ht="31.5" customHeight="1">
      <x:c r="A6" s="39" t="n">
        <x:v>1</x:v>
      </x:c>
      <x:c r="B6" s="72" t="n">
        <x:v>60010416000112</x:v>
      </x:c>
      <x:c r="C6" s="39" t="str">
        <x:v>60.010.416/0001-12</x:v>
      </x:c>
      <x:c r="D6" s="39" t="str">
        <x:v>MT CONSIGNADO PRIVADO I FUNDO DE INVESTIMENTO EM DIREITOS CREDITÓRIOS</x:v>
      </x:c>
      <x:c r="E6" s="39" t="str">
        <x:v>MT Consignado Privado I e II</x:v>
      </x:c>
      <x:c r="F6" s="39" t="str">
        <x:v>Flagships</x:v>
      </x:c>
      <x:c r="G6" s="39" t="str">
        <x:v>2026-06</x:v>
      </x:c>
      <x:c r="H6" s="39" t="str">
        <x:v>localizado</x:v>
      </x:c>
      <x:c r="I6" s="78" t="n">
        <x:v>3072067502.44</x:v>
      </x:c>
      <x:c r="J6" s="78" t="n">
        <x:v>3072067502.462935</x:v>
      </x:c>
      <x:c r="K6" s="78" t="n">
        <x:v>175783459.90310308</x:v>
      </x:c>
      <x:c r="L6" s="84" t="n">
        <x:v>0.05721992103477104</x:v>
      </x:c>
      <x:c r="M6" s="39" t="str">
        <x:v>Calculado com classes reportadas e PL oficial reconciliado</x:v>
      </x:c>
      <x:c r="N6" s="84" t="n">
        <x:v>0.05</x:v>
      </x:c>
      <x:c r="O6" s="84" t="str">
        <x:v>N/D</x:v>
      </x:c>
      <x:c r="P6" s="84" t="str">
        <x:v>N/D</x:v>
      </x:c>
      <x:c r="Q6" s="84" t="str">
        <x:v>N/D</x:v>
      </x:c>
      <x:c r="R6" s="84" t="str">
        <x:v>N/D</x:v>
      </x:c>
      <x:c r="S6" s="84" t="n">
        <x:v>0.05</x:v>
      </x:c>
      <x:c r="T6" s="39" t="str">
        <x:v>5,0%</x:v>
      </x:c>
      <x:c r="U6" s="39" t="str">
        <x:v>junior_pl</x:v>
      </x:c>
      <x:c r="V6" s="39" t="str">
        <x:v>direto no regulamento</x:v>
      </x:c>
      <x:c r="W6" s="66" t="b">
        <x:v>1</x:v>
      </x:c>
      <x:c r="X6" s="39" t="str">
        <x:v>Comparável — documento confirma ausência de mezanino</x:v>
      </x:c>
      <x:c r="Y6" s="66" t="b">
        <x:v>0</x:v>
      </x:c>
      <x:c r="Z6" s="84" t="n">
        <x:v>0.007219921034771037</x:v>
      </x:c>
      <x:c r="AA6" s="84" t="n">
        <x:v>0.007599916878706356</x:v>
      </x:c>
      <x:c r="AB6" s="39" t="str">
        <x:v>acima do mínimo</x:v>
      </x:c>
      <x:c r="AC6" s="39" t="str">
        <x:v>N/D</x:v>
      </x:c>
      <x:c r="AD6" s="39" t="str">
        <x:v>N/D</x:v>
      </x:c>
      <x:c r="AE6" s="39" t="str">
        <x:v>Consignado CLT</x:v>
      </x:c>
      <x:c r="AF6" s="39" t="str">
        <x:v>N/D</x:v>
      </x:c>
      <x:c r="AG6" s="39" t="str">
        <x:v>N/D</x:v>
      </x:c>
      <x:c r="AH6" s="39" t="str">
        <x:v>N/D</x:v>
      </x:c>
      <x:c r="AI6" s="39" t="str">
        <x:v>N/D</x:v>
      </x:c>
      <x:c r="AJ6" s="39" t="str">
        <x:v>N/D</x:v>
      </x:c>
      <x:c r="AK6" s="39" t="str">
        <x:v>N/D</x:v>
      </x:c>
      <x:c r="AL6" s="39" t="str">
        <x:v>N/D</x:v>
      </x:c>
      <x:c r="AM6" s="39" t="str">
        <x:v>sem_overlay</x:v>
      </x:c>
      <x:c r="AN6" s="39" t="str">
        <x:v>N/D</x:v>
      </x:c>
      <x:c r="AO6" s="39" t="str">
        <x:v>1051393</x:v>
      </x:c>
      <x:c r="AP6" s="39" t="str">
        <x:v>2025-10-09</x:v>
      </x:c>
      <x:c r="AQ6" s="39" t="str">
        <x:v>definição “Índice de Subordinação”</x:v>
      </x:c>
      <x:c r="AR6" s="39" t="str">
        <x:v>revisto — mínimo júnior localizado</x:v>
      </x:c>
      <x:c r="AS6" s="39" t="str">
        <x:v>FundosNet/B3; documento 1051393; referência 2025-10-09; definição “Índice de Subordinação”</x:v>
      </x:c>
      <x:c r="AT6" s="39" t="str">
        <x:v>Cotas subordinadas / PL, razão mínima de 5,0%; a estrutura não tem mezanino no regulamento lido.</x:v>
      </x:c>
      <x:c r="AU6" s="39" t="str">
        <x:v>originador; cedente; sacado/devedor; tipo de recebível</x:v>
      </x:c>
      <x:c r="AV6" s="39" t="str">
        <x:v>completo_para_folga</x:v>
      </x:c>
    </x:row>
    <x:row r="7" ht="31.5" customHeight="1">
      <x:c r="A7" s="38" t="n">
        <x:v>2</x:v>
      </x:c>
      <x:c r="B7" s="73" t="n">
        <x:v>53841740000117</x:v>
      </x:c>
      <x:c r="C7" s="38" t="str">
        <x:v>53.841.740/0001-17</x:v>
      </x:c>
      <x:c r="D7" s="38" t="str">
        <x:v>FUNDO DE INVESTIMENTO EM DIREITOS CREDITÓRIOS CRÉDITO CONSIGNADO PRIVADO PAKETÁ DE RESPONSABILID</x:v>
      </x:c>
      <x:c r="E7" s="38" t="str">
        <x:v>Paketa</x:v>
      </x:c>
      <x:c r="F7" s="38" t="str">
        <x:v>Flagships</x:v>
      </x:c>
      <x:c r="G7" s="38" t="str">
        <x:v>2026-06</x:v>
      </x:c>
      <x:c r="H7" s="38" t="str">
        <x:v>localizado</x:v>
      </x:c>
      <x:c r="I7" s="79" t="n">
        <x:v>1918531934.02</x:v>
      </x:c>
      <x:c r="J7" s="79" t="n">
        <x:v>1918531934.0227208</x:v>
      </x:c>
      <x:c r="K7" s="79" t="n">
        <x:v>613765264.6693748</x:v>
      </x:c>
      <x:c r="L7" s="85" t="n">
        <x:v>0.3199140206039315</x:v>
      </x:c>
      <x:c r="M7" s="38" t="str">
        <x:v>Calculado com classes reportadas e PL oficial reconciliado</x:v>
      </x:c>
      <x:c r="N7" s="85" t="str">
        <x:v>N/D</x:v>
      </x:c>
      <x:c r="O7" s="85" t="str">
        <x:v>N/D</x:v>
      </x:c>
      <x:c r="P7" s="85" t="str">
        <x:v>N/D</x:v>
      </x:c>
      <x:c r="Q7" s="85" t="str">
        <x:v>N/D</x:v>
      </x:c>
      <x:c r="R7" s="85" t="str">
        <x:v>N/D</x:v>
      </x:c>
      <x:c r="S7" s="85" t="str">
        <x:v>N/D</x:v>
      </x:c>
      <x:c r="T7" s="38" t="str">
        <x:v>N/D</x:v>
      </x:c>
      <x:c r="U7" s="38" t="str">
        <x:v>sem_indice</x:v>
      </x:c>
      <x:c r="V7" s="38" t="str">
        <x:v>N/D</x:v>
      </x:c>
      <x:c r="W7" s="67" t="b">
        <x:v>0</x:v>
      </x:c>
      <x:c r="X7" s="38" t="str">
        <x:v>N/D — mínimo estrutural ou subordinação atual ausente</x:v>
      </x:c>
      <x:c r="Y7" s="67" t="b">
        <x:v>0</x:v>
      </x:c>
      <x:c r="Z7" s="85" t="str">
        <x:v>N/D</x:v>
      </x:c>
      <x:c r="AA7" s="85" t="str">
        <x:v>N/D</x:v>
      </x:c>
      <x:c r="AB7" s="38" t="str">
        <x:v>não medido</x:v>
      </x:c>
      <x:c r="AC7" s="38" t="str">
        <x:v>N/D</x:v>
      </x:c>
      <x:c r="AD7" s="38" t="str">
        <x:v>N/D</x:v>
      </x:c>
      <x:c r="AE7" s="38" t="str">
        <x:v>Consignado CLT</x:v>
      </x:c>
      <x:c r="AF7" s="38" t="str">
        <x:v>N/D</x:v>
      </x:c>
      <x:c r="AG7" s="38" t="str">
        <x:v>N/D</x:v>
      </x:c>
      <x:c r="AH7" s="38" t="str">
        <x:v>N/D</x:v>
      </x:c>
      <x:c r="AI7" s="38" t="str">
        <x:v>N/D</x:v>
      </x:c>
      <x:c r="AJ7" s="38" t="str">
        <x:v>N/D</x:v>
      </x:c>
      <x:c r="AK7" s="38" t="str">
        <x:v>N/D</x:v>
      </x:c>
      <x:c r="AL7" s="38" t="str">
        <x:v>N/D</x:v>
      </x:c>
      <x:c r="AM7" s="38" t="str">
        <x:v>sem_overlay</x:v>
      </x:c>
      <x:c r="AN7" s="38" t="str">
        <x:v>N/D</x:v>
      </x:c>
      <x:c r="AO7" s="38" t="str">
        <x:v>N/D</x:v>
      </x:c>
      <x:c r="AP7" s="38" t="str">
        <x:v>N/D</x:v>
      </x:c>
      <x:c r="AQ7" s="38" t="str">
        <x:v>N/D</x:v>
      </x:c>
      <x:c r="AR7" s="38" t="str">
        <x:v>lacuna — regulamento integral não disponível nas fontes locais</x:v>
      </x:c>
      <x:c r="AS7" s="38" t="str">
        <x:v>N/D</x:v>
      </x:c>
      <x:c r="AT7" s="38" t="str">
        <x:v>N/D</x:v>
      </x:c>
      <x:c r="AU7" s="38" t="str">
        <x:v>mínimo estrutural comparável; originador; cedente; sacado/devedor; tipo de recebível</x:v>
      </x:c>
      <x:c r="AV7" s="38" t="str">
        <x:v>minimo_estrutural_ausente</x:v>
      </x:c>
    </x:row>
    <x:row r="8" ht="31.5" customHeight="1">
      <x:c r="A8" s="39" t="n">
        <x:v>3</x:v>
      </x:c>
      <x:c r="B8" s="72" t="n">
        <x:v>62390922000100</x:v>
      </x:c>
      <x:c r="C8" s="39" t="str">
        <x:v>62.390.922/0001-00</x:v>
      </x:c>
      <x:c r="D8" s="39" t="str">
        <x:v>FUNDO DE INVESTIMENTO EM DIREITOS CREDITÓRIOS CLT NOW RESPONSABILIDADE LIMITADA</x:v>
      </x:c>
      <x:c r="E8" s="39" t="str">
        <x:v>CLT Now</x:v>
      </x:c>
      <x:c r="F8" s="39" t="str">
        <x:v>Flagships</x:v>
      </x:c>
      <x:c r="G8" s="39" t="str">
        <x:v>2026-06</x:v>
      </x:c>
      <x:c r="H8" s="39" t="str">
        <x:v>localizado</x:v>
      </x:c>
      <x:c r="I8" s="78" t="n">
        <x:v>474420536.29</x:v>
      </x:c>
      <x:c r="J8" s="78" t="n">
        <x:v>474420536.2937306</x:v>
      </x:c>
      <x:c r="K8" s="78" t="n">
        <x:v>169257902.77560717</x:v>
      </x:c>
      <x:c r="L8" s="84" t="n">
        <x:v>0.3567676561795051</x:v>
      </x:c>
      <x:c r="M8" s="39" t="str">
        <x:v>Calculado com classes reportadas e PL oficial reconciliado</x:v>
      </x:c>
      <x:c r="N8" s="84" t="str">
        <x:v>N/D</x:v>
      </x:c>
      <x:c r="O8" s="84" t="str">
        <x:v>N/D</x:v>
      </x:c>
      <x:c r="P8" s="84" t="str">
        <x:v>N/D</x:v>
      </x:c>
      <x:c r="Q8" s="84" t="str">
        <x:v>N/D</x:v>
      </x:c>
      <x:c r="R8" s="84" t="str">
        <x:v>N/D</x:v>
      </x:c>
      <x:c r="S8" s="84" t="str">
        <x:v>N/D</x:v>
      </x:c>
      <x:c r="T8" s="39" t="str">
        <x:v>N/D</x:v>
      </x:c>
      <x:c r="U8" s="39" t="str">
        <x:v>sem_indice</x:v>
      </x:c>
      <x:c r="V8" s="39" t="str">
        <x:v>N/D</x:v>
      </x:c>
      <x:c r="W8" s="66" t="b">
        <x:v>0</x:v>
      </x:c>
      <x:c r="X8" s="39" t="str">
        <x:v>N/D — mínimo estrutural ou subordinação atual ausente</x:v>
      </x:c>
      <x:c r="Y8" s="66" t="b">
        <x:v>0</x:v>
      </x:c>
      <x:c r="Z8" s="84" t="str">
        <x:v>N/D</x:v>
      </x:c>
      <x:c r="AA8" s="84" t="str">
        <x:v>N/D</x:v>
      </x:c>
      <x:c r="AB8" s="39" t="str">
        <x:v>não medido</x:v>
      </x:c>
      <x:c r="AC8" s="39" t="str">
        <x:v>N/D</x:v>
      </x:c>
      <x:c r="AD8" s="39" t="str">
        <x:v>N/D</x:v>
      </x:c>
      <x:c r="AE8" s="39" t="str">
        <x:v>Consignado CLT</x:v>
      </x:c>
      <x:c r="AF8" s="39" t="str">
        <x:v>N/D</x:v>
      </x:c>
      <x:c r="AG8" s="39" t="str">
        <x:v>N/D</x:v>
      </x:c>
      <x:c r="AH8" s="39" t="str">
        <x:v>N/D</x:v>
      </x:c>
      <x:c r="AI8" s="39" t="str">
        <x:v>N/D</x:v>
      </x:c>
      <x:c r="AJ8" s="39" t="str">
        <x:v>N/D</x:v>
      </x:c>
      <x:c r="AK8" s="39" t="str">
        <x:v>N/D</x:v>
      </x:c>
      <x:c r="AL8" s="39" t="str">
        <x:v>N/D</x:v>
      </x:c>
      <x:c r="AM8" s="39" t="str">
        <x:v>sem_overlay</x:v>
      </x:c>
      <x:c r="AN8" s="39" t="str">
        <x:v>N/D</x:v>
      </x:c>
      <x:c r="AO8" s="39" t="str">
        <x:v>1170223</x:v>
      </x:c>
      <x:c r="AP8" s="39" t="str">
        <x:v>2026-04-15</x:v>
      </x:c>
      <x:c r="AQ8" s="39" t="str">
        <x:v>cláusulas de subordinação e definições revisadas</x:v>
      </x:c>
      <x:c r="AR8" s="39" t="str">
        <x:v>revisto — mínimo júnior não isolado</x:v>
      </x:c>
      <x:c r="AS8" s="39" t="str">
        <x:v>FundosNet/B3; documento 1170223; referência 2026-04-15; cláusulas candidatas revisadas</x:v>
      </x:c>
      <x:c r="AT8" s="39" t="str">
        <x:v>N/D</x:v>
      </x:c>
      <x:c r="AU8" s="39" t="str">
        <x:v>mínimo estrutural comparável; originador; cedente; sacado/devedor; tipo de recebível</x:v>
      </x:c>
      <x:c r="AV8" s="39" t="str">
        <x:v>minimo_estrutural_ausente</x:v>
      </x:c>
    </x:row>
    <x:row r="9" ht="31.5" customHeight="1">
      <x:c r="A9" s="38" t="n">
        <x:v>4</x:v>
      </x:c>
      <x:c r="B9" s="73" t="n">
        <x:v>63546406000194</x:v>
      </x:c>
      <x:c r="C9" s="38" t="str">
        <x:v>63.546.406/0001-94</x:v>
      </x:c>
      <x:c r="D9" s="38" t="str">
        <x:v>PINE INSS III FUNDO DE INVESTIMENTO EM DIREITOS CREDITÓRIOS RESPONSABILIDADE LIMITADA</x:v>
      </x:c>
      <x:c r="E9" s="38" t="str">
        <x:v>Pine INSS I, II e III</x:v>
      </x:c>
      <x:c r="F9" s="38" t="str">
        <x:v>Flagships</x:v>
      </x:c>
      <x:c r="G9" s="38" t="str">
        <x:v>2026-06</x:v>
      </x:c>
      <x:c r="H9" s="38" t="str">
        <x:v>localizado</x:v>
      </x:c>
      <x:c r="I9" s="79" t="n">
        <x:v>1153763377.65</x:v>
      </x:c>
      <x:c r="J9" s="79" t="n">
        <x:v>1153763377.6455</x:v>
      </x:c>
      <x:c r="K9" s="79" t="n">
        <x:v>172223714.7399375</x:v>
      </x:c>
      <x:c r="L9" s="85" t="n">
        <x:v>0.1492712614008645</x:v>
      </x:c>
      <x:c r="M9" s="38" t="str">
        <x:v>Calculado com classes reportadas e PL oficial reconciliado</x:v>
      </x:c>
      <x:c r="N9" s="85" t="n">
        <x:v>0.015</x:v>
      </x:c>
      <x:c r="O9" s="85" t="str">
        <x:v>N/D</x:v>
      </x:c>
      <x:c r="P9" s="85" t="str">
        <x:v>N/D</x:v>
      </x:c>
      <x:c r="Q9" s="85" t="str">
        <x:v>N/D</x:v>
      </x:c>
      <x:c r="R9" s="85" t="str">
        <x:v>N/D</x:v>
      </x:c>
      <x:c r="S9" s="85" t="str">
        <x:v>N/D</x:v>
      </x:c>
      <x:c r="T9" s="38" t="str">
        <x:v>1,5% inicial; meta 2,5%</x:v>
      </x:c>
      <x:c r="U9" s="38" t="str">
        <x:v>junior_pl</x:v>
      </x:c>
      <x:c r="V9" s="38" t="str">
        <x:v>direto no regulamento</x:v>
      </x:c>
      <x:c r="W9" s="67" t="b">
        <x:v>0</x:v>
      </x:c>
      <x:c r="X9" s="38" t="str">
        <x:v>N/D — equivalência entre mínimo júnior e subordinação total não comprovada</x:v>
      </x:c>
      <x:c r="Y9" s="67" t="b">
        <x:v>1</x:v>
      </x:c>
      <x:c r="Z9" s="85" t="str">
        <x:v>N/D</x:v>
      </x:c>
      <x:c r="AA9" s="85" t="str">
        <x:v>N/D</x:v>
      </x:c>
      <x:c r="AB9" s="38" t="str">
        <x:v>não medido</x:v>
      </x:c>
      <x:c r="AC9" s="38" t="str">
        <x:v>N/D</x:v>
      </x:c>
      <x:c r="AD9" s="38" t="str">
        <x:v>N/D</x:v>
      </x:c>
      <x:c r="AE9" s="38" t="str">
        <x:v>Consignado INSS</x:v>
      </x:c>
      <x:c r="AF9" s="38" t="str">
        <x:v>N/D</x:v>
      </x:c>
      <x:c r="AG9" s="38" t="str">
        <x:v>N/D</x:v>
      </x:c>
      <x:c r="AH9" s="38" t="str">
        <x:v>N/D</x:v>
      </x:c>
      <x:c r="AI9" s="38" t="str">
        <x:v>N/D</x:v>
      </x:c>
      <x:c r="AJ9" s="38" t="str">
        <x:v>N/D</x:v>
      </x:c>
      <x:c r="AK9" s="38" t="str">
        <x:v>N/D</x:v>
      </x:c>
      <x:c r="AL9" s="38" t="str">
        <x:v>N/D</x:v>
      </x:c>
      <x:c r="AM9" s="38" t="str">
        <x:v>sem_overlay</x:v>
      </x:c>
      <x:c r="AN9" s="38" t="str">
        <x:v>N/D</x:v>
      </x:c>
      <x:c r="AO9" s="38" t="str">
        <x:v>1130481</x:v>
      </x:c>
      <x:c r="AP9" s="38" t="str">
        <x:v>2026-03-05</x:v>
      </x:c>
      <x:c r="AQ9" s="38" t="str">
        <x:v>p. 142; item 6.8.5</x:v>
      </x:c>
      <x:c r="AR9" s="38" t="str">
        <x:v>revisto — mínimo júnior localizado</x:v>
      </x:c>
      <x:c r="AS9" s="38" t="str">
        <x:v>FundosNet/B3; documento 1130481; referência 2026-03-05; p. 142; item 6.8.5</x:v>
      </x:c>
      <x:c r="AT9" s="38" t="str">
        <x:v>Cotas subordinadas júnior / PL: mínimo inicial de 1,5% e meta de 2,5%.</x:v>
      </x:c>
      <x:c r="AU9" s="38" t="str">
        <x:v>mínimo estrutural comparável; originador; cedente; sacado/devedor; tipo de recebível</x:v>
      </x:c>
      <x:c r="AV9" s="38" t="str">
        <x:v>estrutura_incomparavel</x:v>
      </x:c>
    </x:row>
    <x:row r="10" ht="31.5" customHeight="1">
      <x:c r="A10" s="39" t="n">
        <x:v>4</x:v>
      </x:c>
      <x:c r="B10" s="72" t="n">
        <x:v>61271872000189</x:v>
      </x:c>
      <x:c r="C10" s="39" t="str">
        <x:v>61.271.872/0001-89</x:v>
      </x:c>
      <x:c r="D10" s="39" t="str">
        <x:v>PINE INSS FUNDO DE INVESTIMENTO EM DIREITOS CREDITÓRIOS SEGMENTO FINANCEIRO RESP LIMITADA</x:v>
      </x:c>
      <x:c r="E10" s="39" t="str">
        <x:v>Pine INSS I, II e III</x:v>
      </x:c>
      <x:c r="F10" s="39" t="str">
        <x:v>Flagships</x:v>
      </x:c>
      <x:c r="G10" s="39" t="str">
        <x:v>2026-06</x:v>
      </x:c>
      <x:c r="H10" s="39" t="str">
        <x:v>localizado</x:v>
      </x:c>
      <x:c r="I10" s="78" t="n">
        <x:v>1019915716.89</x:v>
      </x:c>
      <x:c r="J10" s="78" t="n">
        <x:v>1019915716.892</x:v>
      </x:c>
      <x:c r="K10" s="78" t="n">
        <x:v>164378337.39</x:v>
      </x:c>
      <x:c r="L10" s="84" t="n">
        <x:v>0.1611685501731792</x:v>
      </x:c>
      <x:c r="M10" s="39" t="str">
        <x:v>Calculado com classes reportadas e PL oficial reconciliado</x:v>
      </x:c>
      <x:c r="N10" s="84" t="str">
        <x:v>N/D</x:v>
      </x:c>
      <x:c r="O10" s="84" t="str">
        <x:v>N/D</x:v>
      </x:c>
      <x:c r="P10" s="84" t="str">
        <x:v>N/D</x:v>
      </x:c>
      <x:c r="Q10" s="84" t="str">
        <x:v>N/D</x:v>
      </x:c>
      <x:c r="R10" s="84" t="str">
        <x:v>N/D</x:v>
      </x:c>
      <x:c r="S10" s="84" t="str">
        <x:v>N/D</x:v>
      </x:c>
      <x:c r="T10" s="39" t="str">
        <x:v>N/D</x:v>
      </x:c>
      <x:c r="U10" s="39" t="str">
        <x:v>sem_indice</x:v>
      </x:c>
      <x:c r="V10" s="39" t="str">
        <x:v>N/D</x:v>
      </x:c>
      <x:c r="W10" s="66" t="b">
        <x:v>0</x:v>
      </x:c>
      <x:c r="X10" s="39" t="str">
        <x:v>N/D — mínimo estrutural ou subordinação atual ausente</x:v>
      </x:c>
      <x:c r="Y10" s="66" t="b">
        <x:v>0</x:v>
      </x:c>
      <x:c r="Z10" s="84" t="str">
        <x:v>N/D</x:v>
      </x:c>
      <x:c r="AA10" s="84" t="str">
        <x:v>N/D</x:v>
      </x:c>
      <x:c r="AB10" s="39" t="str">
        <x:v>não medido</x:v>
      </x:c>
      <x:c r="AC10" s="39" t="str">
        <x:v>N/D</x:v>
      </x:c>
      <x:c r="AD10" s="39" t="str">
        <x:v>N/D</x:v>
      </x:c>
      <x:c r="AE10" s="39" t="str">
        <x:v>Consignado INSS</x:v>
      </x:c>
      <x:c r="AF10" s="39" t="str">
        <x:v>N/D</x:v>
      </x:c>
      <x:c r="AG10" s="39" t="str">
        <x:v>N/D</x:v>
      </x:c>
      <x:c r="AH10" s="39" t="str">
        <x:v>N/D</x:v>
      </x:c>
      <x:c r="AI10" s="39" t="str">
        <x:v>N/D</x:v>
      </x:c>
      <x:c r="AJ10" s="39" t="str">
        <x:v>N/D</x:v>
      </x:c>
      <x:c r="AK10" s="39" t="str">
        <x:v>N/D</x:v>
      </x:c>
      <x:c r="AL10" s="39" t="str">
        <x:v>N/D</x:v>
      </x:c>
      <x:c r="AM10" s="39" t="str">
        <x:v>sem_overlay</x:v>
      </x:c>
      <x:c r="AN10" s="39" t="str">
        <x:v>N/D</x:v>
      </x:c>
      <x:c r="AO10" s="39" t="str">
        <x:v>1211502</x:v>
      </x:c>
      <x:c r="AP10" s="39" t="str">
        <x:v>2026-06-01</x:v>
      </x:c>
      <x:c r="AQ10" s="39" t="str">
        <x:v>cláusulas de subordinação e definições revisadas</x:v>
      </x:c>
      <x:c r="AR10" s="39" t="str">
        <x:v>revisto — mínimo júnior não isolado</x:v>
      </x:c>
      <x:c r="AS10" s="39" t="str">
        <x:v>FundosNet/B3; documento 1211502; referência 2026-06-01; cláusulas candidatas revisadas</x:v>
      </x:c>
      <x:c r="AT10" s="39" t="str">
        <x:v>N/D</x:v>
      </x:c>
      <x:c r="AU10" s="39" t="str">
        <x:v>mínimo estrutural comparável; originador; cedente; sacado/devedor; tipo de recebível</x:v>
      </x:c>
      <x:c r="AV10" s="39" t="str">
        <x:v>minimo_estrutural_ausente</x:v>
      </x:c>
    </x:row>
    <x:row r="11" ht="31.5" customHeight="1">
      <x:c r="A11" s="38" t="n">
        <x:v>4</x:v>
      </x:c>
      <x:c r="B11" s="73" t="n">
        <x:v>63321684000143</x:v>
      </x:c>
      <x:c r="C11" s="38" t="str">
        <x:v>63.321.684/0001-43</x:v>
      </x:c>
      <x:c r="D11" s="38" t="str">
        <x:v>PINE INSS II FUNDO DE INVESTIMENTO EM DIREITOS CREDITÓRIOS RESPONSABILIDADE LIMITADA</x:v>
      </x:c>
      <x:c r="E11" s="38" t="str">
        <x:v>Pine INSS I, II e III</x:v>
      </x:c>
      <x:c r="F11" s="38" t="str">
        <x:v>Flagships</x:v>
      </x:c>
      <x:c r="G11" s="38" t="str">
        <x:v>2026-06</x:v>
      </x:c>
      <x:c r="H11" s="38" t="str">
        <x:v>localizado</x:v>
      </x:c>
      <x:c r="I11" s="79" t="n">
        <x:v>1019657420.09</x:v>
      </x:c>
      <x:c r="J11" s="79" t="n">
        <x:v>1019657420.091615</x:v>
      </x:c>
      <x:c r="K11" s="79" t="n">
        <x:v>166663463.20036495</x:v>
      </x:c>
      <x:c r="L11" s="85" t="n">
        <x:v>0.163450449059307</x:v>
      </x:c>
      <x:c r="M11" s="38" t="str">
        <x:v>Calculado com classes reportadas e PL oficial reconciliado</x:v>
      </x:c>
      <x:c r="N11" s="85" t="str">
        <x:v>N/D</x:v>
      </x:c>
      <x:c r="O11" s="85" t="str">
        <x:v>N/D</x:v>
      </x:c>
      <x:c r="P11" s="85" t="str">
        <x:v>N/D</x:v>
      </x:c>
      <x:c r="Q11" s="85" t="str">
        <x:v>N/D</x:v>
      </x:c>
      <x:c r="R11" s="85" t="str">
        <x:v>N/D</x:v>
      </x:c>
      <x:c r="S11" s="85" t="str">
        <x:v>N/D</x:v>
      </x:c>
      <x:c r="T11" s="38" t="str">
        <x:v>N/D</x:v>
      </x:c>
      <x:c r="U11" s="38" t="str">
        <x:v>sem_indice</x:v>
      </x:c>
      <x:c r="V11" s="38" t="str">
        <x:v>N/D</x:v>
      </x:c>
      <x:c r="W11" s="67" t="b">
        <x:v>0</x:v>
      </x:c>
      <x:c r="X11" s="38" t="str">
        <x:v>N/D — mínimo estrutural ou subordinação atual ausente</x:v>
      </x:c>
      <x:c r="Y11" s="67" t="b">
        <x:v>0</x:v>
      </x:c>
      <x:c r="Z11" s="85" t="str">
        <x:v>N/D</x:v>
      </x:c>
      <x:c r="AA11" s="85" t="str">
        <x:v>N/D</x:v>
      </x:c>
      <x:c r="AB11" s="38" t="str">
        <x:v>não medido</x:v>
      </x:c>
      <x:c r="AC11" s="38" t="str">
        <x:v>N/D</x:v>
      </x:c>
      <x:c r="AD11" s="38" t="str">
        <x:v>N/D</x:v>
      </x:c>
      <x:c r="AE11" s="38" t="str">
        <x:v>Consignado INSS</x:v>
      </x:c>
      <x:c r="AF11" s="38" t="str">
        <x:v>N/D</x:v>
      </x:c>
      <x:c r="AG11" s="38" t="str">
        <x:v>N/D</x:v>
      </x:c>
      <x:c r="AH11" s="38" t="str">
        <x:v>N/D</x:v>
      </x:c>
      <x:c r="AI11" s="38" t="str">
        <x:v>N/D</x:v>
      </x:c>
      <x:c r="AJ11" s="38" t="str">
        <x:v>N/D</x:v>
      </x:c>
      <x:c r="AK11" s="38" t="str">
        <x:v>N/D</x:v>
      </x:c>
      <x:c r="AL11" s="38" t="str">
        <x:v>N/D</x:v>
      </x:c>
      <x:c r="AM11" s="38" t="str">
        <x:v>sem_overlay</x:v>
      </x:c>
      <x:c r="AN11" s="38" t="str">
        <x:v>N/D</x:v>
      </x:c>
      <x:c r="AO11" s="38" t="str">
        <x:v>N/D</x:v>
      </x:c>
      <x:c r="AP11" s="38" t="str">
        <x:v>N/D</x:v>
      </x:c>
      <x:c r="AQ11" s="38" t="str">
        <x:v>N/D</x:v>
      </x:c>
      <x:c r="AR11" s="38" t="str">
        <x:v>lacuna — regulamento integral não disponível nas fontes locais</x:v>
      </x:c>
      <x:c r="AS11" s="38" t="str">
        <x:v>N/D</x:v>
      </x:c>
      <x:c r="AT11" s="38" t="str">
        <x:v>N/D</x:v>
      </x:c>
      <x:c r="AU11" s="38" t="str">
        <x:v>mínimo estrutural comparável; originador; cedente; sacado/devedor; tipo de recebível</x:v>
      </x:c>
      <x:c r="AV11" s="38" t="str">
        <x:v>minimo_estrutural_ausente</x:v>
      </x:c>
    </x:row>
    <x:row r="12" ht="31.5" customHeight="1">
      <x:c r="A12" s="39" t="n">
        <x:v>5</x:v>
      </x:c>
      <x:c r="B12" s="72" t="n">
        <x:v>62310468000130</x:v>
      </x:c>
      <x:c r="C12" s="39" t="str">
        <x:v>62.310.468/0001-30</x:v>
      </x:c>
      <x:c r="D12" s="39" t="str">
        <x:v>MT INSS RECEIVABLES VI FUNDO DE INVESTIMENTO EM DIREITOS CREDITÓRIOS RESPONSABILIDADE LIMITADA</x:v>
      </x:c>
      <x:c r="E12" s="39" t="str">
        <x:v>MT INSS Receivables VI</x:v>
      </x:c>
      <x:c r="F12" s="39" t="str">
        <x:v>Flagships</x:v>
      </x:c>
      <x:c r="G12" s="39" t="str">
        <x:v>2026-06</x:v>
      </x:c>
      <x:c r="H12" s="39" t="str">
        <x:v>localizado</x:v>
      </x:c>
      <x:c r="I12" s="78" t="n">
        <x:v>1535189477.94</x:v>
      </x:c>
      <x:c r="J12" s="78" t="n">
        <x:v>1535189477.9405046</x:v>
      </x:c>
      <x:c r="K12" s="78" t="n">
        <x:v>311138430.9755064</x:v>
      </x:c>
      <x:c r="L12" s="84" t="n">
        <x:v>0.20267102885111532</x:v>
      </x:c>
      <x:c r="M12" s="39" t="str">
        <x:v>Calculado com classes reportadas e PL oficial reconciliado</x:v>
      </x:c>
      <x:c r="N12" s="84" t="str">
        <x:v>N/D</x:v>
      </x:c>
      <x:c r="O12" s="84" t="str">
        <x:v>N/D</x:v>
      </x:c>
      <x:c r="P12" s="84" t="str">
        <x:v>N/D</x:v>
      </x:c>
      <x:c r="Q12" s="84" t="str">
        <x:v>N/D</x:v>
      </x:c>
      <x:c r="R12" s="84" t="str">
        <x:v>N/D</x:v>
      </x:c>
      <x:c r="S12" s="84" t="str">
        <x:v>N/D</x:v>
      </x:c>
      <x:c r="T12" s="39" t="str">
        <x:v>N/D</x:v>
      </x:c>
      <x:c r="U12" s="39" t="str">
        <x:v>sem_indice</x:v>
      </x:c>
      <x:c r="V12" s="39" t="str">
        <x:v>N/D</x:v>
      </x:c>
      <x:c r="W12" s="66" t="b">
        <x:v>0</x:v>
      </x:c>
      <x:c r="X12" s="39" t="str">
        <x:v>N/D — mínimo estrutural ou subordinação atual ausente</x:v>
      </x:c>
      <x:c r="Y12" s="66" t="b">
        <x:v>0</x:v>
      </x:c>
      <x:c r="Z12" s="84" t="str">
        <x:v>N/D</x:v>
      </x:c>
      <x:c r="AA12" s="84" t="str">
        <x:v>N/D</x:v>
      </x:c>
      <x:c r="AB12" s="39" t="str">
        <x:v>não medido</x:v>
      </x:c>
      <x:c r="AC12" s="39" t="str">
        <x:v>N/D</x:v>
      </x:c>
      <x:c r="AD12" s="39" t="str">
        <x:v>N/D</x:v>
      </x:c>
      <x:c r="AE12" s="39" t="str">
        <x:v>Consignado INSS</x:v>
      </x:c>
      <x:c r="AF12" s="39" t="str">
        <x:v>N/D</x:v>
      </x:c>
      <x:c r="AG12" s="39" t="str">
        <x:v>N/D</x:v>
      </x:c>
      <x:c r="AH12" s="39" t="str">
        <x:v>N/D</x:v>
      </x:c>
      <x:c r="AI12" s="39" t="str">
        <x:v>N/D</x:v>
      </x:c>
      <x:c r="AJ12" s="39" t="str">
        <x:v>N/D</x:v>
      </x:c>
      <x:c r="AK12" s="39" t="str">
        <x:v>N/D</x:v>
      </x:c>
      <x:c r="AL12" s="39" t="str">
        <x:v>N/D</x:v>
      </x:c>
      <x:c r="AM12" s="39" t="str">
        <x:v>sem_overlay</x:v>
      </x:c>
      <x:c r="AN12" s="39" t="str">
        <x:v>N/D</x:v>
      </x:c>
      <x:c r="AO12" s="39" t="str">
        <x:v>1153512</x:v>
      </x:c>
      <x:c r="AP12" s="39" t="str">
        <x:v>2026-04-01</x:v>
      </x:c>
      <x:c r="AQ12" s="39" t="str">
        <x:v>cláusulas de subordinação e definições revisadas</x:v>
      </x:c>
      <x:c r="AR12" s="39" t="str">
        <x:v>revisto — mínimo júnior não isolado</x:v>
      </x:c>
      <x:c r="AS12" s="39" t="str">
        <x:v>FundosNet/B3; documento 1153512; referência 2026-04-01; cláusulas candidatas revisadas</x:v>
      </x:c>
      <x:c r="AT12" s="39" t="str">
        <x:v>N/D</x:v>
      </x:c>
      <x:c r="AU12" s="39" t="str">
        <x:v>mínimo estrutural comparável; originador; cedente; sacado/devedor; tipo de recebível</x:v>
      </x:c>
      <x:c r="AV12" s="39" t="str">
        <x:v>minimo_estrutural_ausente</x:v>
      </x:c>
    </x:row>
    <x:row r="13" ht="31.5" customHeight="1">
      <x:c r="A13" s="38" t="n">
        <x:v>6</x:v>
      </x:c>
      <x:c r="B13" s="73" t="n">
        <x:v>63733796000101</x:v>
      </x:c>
      <x:c r="C13" s="38" t="str">
        <x:v>63.733.796/0001-01</x:v>
      </x:c>
      <x:c r="D13" s="38" t="str">
        <x:v>ICRED CHOPIN INSS FUNDO DE INVESTIMENTO EM DIREITOS CREDITÓRIOS RESPONSABILIDADE LIMITADA</x:v>
      </x:c>
      <x:c r="E13" s="38" t="str">
        <x:v>ICRED Chopin INSS</x:v>
      </x:c>
      <x:c r="F13" s="38" t="str">
        <x:v>Flagships</x:v>
      </x:c>
      <x:c r="G13" s="38" t="str">
        <x:v>2026-06</x:v>
      </x:c>
      <x:c r="H13" s="38" t="str">
        <x:v>localizado</x:v>
      </x:c>
      <x:c r="I13" s="79" t="n">
        <x:v>1111178920.37</x:v>
      </x:c>
      <x:c r="J13" s="79" t="n">
        <x:v>1111178920.3717034</x:v>
      </x:c>
      <x:c r="K13" s="79" t="n">
        <x:v>153239252.23029357</x:v>
      </x:c>
      <x:c r="L13" s="85" t="n">
        <x:v>0.13790691077839023</x:v>
      </x:c>
      <x:c r="M13" s="38" t="str">
        <x:v>Calculado com classes reportadas e PL oficial reconciliado</x:v>
      </x:c>
      <x:c r="N13" s="85" t="str">
        <x:v>N/D</x:v>
      </x:c>
      <x:c r="O13" s="85" t="str">
        <x:v>N/D</x:v>
      </x:c>
      <x:c r="P13" s="85" t="str">
        <x:v>N/D</x:v>
      </x:c>
      <x:c r="Q13" s="85" t="str">
        <x:v>N/D</x:v>
      </x:c>
      <x:c r="R13" s="85" t="str">
        <x:v>N/D</x:v>
      </x:c>
      <x:c r="S13" s="85" t="str">
        <x:v>N/D</x:v>
      </x:c>
      <x:c r="T13" s="38" t="str">
        <x:v>N/D</x:v>
      </x:c>
      <x:c r="U13" s="38" t="str">
        <x:v>sem_indice</x:v>
      </x:c>
      <x:c r="V13" s="38" t="str">
        <x:v>N/D</x:v>
      </x:c>
      <x:c r="W13" s="67" t="b">
        <x:v>0</x:v>
      </x:c>
      <x:c r="X13" s="38" t="str">
        <x:v>N/D — mínimo estrutural ou subordinação atual ausente</x:v>
      </x:c>
      <x:c r="Y13" s="67" t="b">
        <x:v>0</x:v>
      </x:c>
      <x:c r="Z13" s="85" t="str">
        <x:v>N/D</x:v>
      </x:c>
      <x:c r="AA13" s="85" t="str">
        <x:v>N/D</x:v>
      </x:c>
      <x:c r="AB13" s="38" t="str">
        <x:v>não medido</x:v>
      </x:c>
      <x:c r="AC13" s="38" t="str">
        <x:v>N/D</x:v>
      </x:c>
      <x:c r="AD13" s="38" t="str">
        <x:v>N/D</x:v>
      </x:c>
      <x:c r="AE13" s="38" t="str">
        <x:v>Consignado INSS</x:v>
      </x:c>
      <x:c r="AF13" s="38" t="str">
        <x:v>N/D</x:v>
      </x:c>
      <x:c r="AG13" s="38" t="str">
        <x:v>N/D</x:v>
      </x:c>
      <x:c r="AH13" s="38" t="str">
        <x:v>N/D</x:v>
      </x:c>
      <x:c r="AI13" s="38" t="str">
        <x:v>N/D</x:v>
      </x:c>
      <x:c r="AJ13" s="38" t="str">
        <x:v>N/D</x:v>
      </x:c>
      <x:c r="AK13" s="38" t="str">
        <x:v>N/D</x:v>
      </x:c>
      <x:c r="AL13" s="38" t="str">
        <x:v>N/D</x:v>
      </x:c>
      <x:c r="AM13" s="38" t="str">
        <x:v>sem_overlay</x:v>
      </x:c>
      <x:c r="AN13" s="38" t="str">
        <x:v>N/D</x:v>
      </x:c>
      <x:c r="AO13" s="38" t="str">
        <x:v>N/D</x:v>
      </x:c>
      <x:c r="AP13" s="38" t="str">
        <x:v>N/D</x:v>
      </x:c>
      <x:c r="AQ13" s="38" t="str">
        <x:v>N/D</x:v>
      </x:c>
      <x:c r="AR13" s="38" t="str">
        <x:v>lacuna — regulamento integral não disponível nas fontes locais</x:v>
      </x:c>
      <x:c r="AS13" s="38" t="str">
        <x:v>N/D</x:v>
      </x:c>
      <x:c r="AT13" s="38" t="str">
        <x:v>N/D</x:v>
      </x:c>
      <x:c r="AU13" s="38" t="str">
        <x:v>mínimo estrutural comparável; originador; cedente; sacado/devedor; tipo de recebível</x:v>
      </x:c>
      <x:c r="AV13" s="38" t="str">
        <x:v>minimo_estrutural_ausente</x:v>
      </x:c>
    </x:row>
    <x:row r="14" ht="31.5" customHeight="1">
      <x:c r="A14" s="39" t="n">
        <x:v>7</x:v>
      </x:c>
      <x:c r="B14" s="72" t="n">
        <x:v>53337453000174</x:v>
      </x:c>
      <x:c r="C14" s="39" t="str">
        <x:v>53.337.453/0001-74</x:v>
      </x:c>
      <x:c r="D14" s="39" t="str">
        <x:v>CM ESTADUAL II FUNDO DE INVESTIMENTO EM DIREITOS CREDITÓRIOS - RESPONSABILIDADE LIMITADA</x:v>
      </x:c>
      <x:c r="E14" s="39" t="str">
        <x:v>CM Estadual I e II</x:v>
      </x:c>
      <x:c r="F14" s="39" t="str">
        <x:v>Flagships</x:v>
      </x:c>
      <x:c r="G14" s="39" t="str">
        <x:v>2026-06</x:v>
      </x:c>
      <x:c r="H14" s="39" t="str">
        <x:v>localizado</x:v>
      </x:c>
      <x:c r="I14" s="78" t="n">
        <x:v>73640952.96</x:v>
      </x:c>
      <x:c r="J14" s="78" t="n">
        <x:v>73640954.32435574</x:v>
      </x:c>
      <x:c r="K14" s="78" t="n">
        <x:v>8500325.53660488</x:v>
      </x:c>
      <x:c r="L14" s="84" t="n">
        <x:v>0.11542932559851654</x:v>
      </x:c>
      <x:c r="M14" s="39" t="str">
        <x:v>Calculado com classes reportadas e PL oficial reconciliado</x:v>
      </x:c>
      <x:c r="N14" s="84" t="str">
        <x:v>N/D</x:v>
      </x:c>
      <x:c r="O14" s="84" t="str">
        <x:v>N/D</x:v>
      </x:c>
      <x:c r="P14" s="84" t="str">
        <x:v>N/D</x:v>
      </x:c>
      <x:c r="Q14" s="84" t="str">
        <x:v>N/D</x:v>
      </x:c>
      <x:c r="R14" s="84" t="str">
        <x:v>N/D</x:v>
      </x:c>
      <x:c r="S14" s="84" t="str">
        <x:v>N/D</x:v>
      </x:c>
      <x:c r="T14" s="39" t="str">
        <x:v>N/D</x:v>
      </x:c>
      <x:c r="U14" s="39" t="str">
        <x:v>sem_indice</x:v>
      </x:c>
      <x:c r="V14" s="39" t="str">
        <x:v>N/D</x:v>
      </x:c>
      <x:c r="W14" s="66" t="b">
        <x:v>0</x:v>
      </x:c>
      <x:c r="X14" s="39" t="str">
        <x:v>N/D — mínimo estrutural ou subordinação atual ausente</x:v>
      </x:c>
      <x:c r="Y14" s="66" t="b">
        <x:v>0</x:v>
      </x:c>
      <x:c r="Z14" s="84" t="str">
        <x:v>N/D</x:v>
      </x:c>
      <x:c r="AA14" s="84" t="str">
        <x:v>N/D</x:v>
      </x:c>
      <x:c r="AB14" s="39" t="str">
        <x:v>não medido</x:v>
      </x:c>
      <x:c r="AC14" s="39" t="str">
        <x:v>N/D</x:v>
      </x:c>
      <x:c r="AD14" s="39" t="str">
        <x:v>N/D</x:v>
      </x:c>
      <x:c r="AE14" s="39" t="str">
        <x:v>Consignado estadual</x:v>
      </x:c>
      <x:c r="AF14" s="39" t="str">
        <x:v>N/D</x:v>
      </x:c>
      <x:c r="AG14" s="39" t="str">
        <x:v>N/D</x:v>
      </x:c>
      <x:c r="AH14" s="39" t="str">
        <x:v>N/D</x:v>
      </x:c>
      <x:c r="AI14" s="39" t="str">
        <x:v>N/D</x:v>
      </x:c>
      <x:c r="AJ14" s="39" t="str">
        <x:v>N/D</x:v>
      </x:c>
      <x:c r="AK14" s="39" t="str">
        <x:v>N/D</x:v>
      </x:c>
      <x:c r="AL14" s="39" t="str">
        <x:v>N/D</x:v>
      </x:c>
      <x:c r="AM14" s="39" t="str">
        <x:v>sem_overlay</x:v>
      </x:c>
      <x:c r="AN14" s="39" t="str">
        <x:v>N/D</x:v>
      </x:c>
      <x:c r="AO14" s="39" t="str">
        <x:v>683618</x:v>
      </x:c>
      <x:c r="AP14" s="39" t="str">
        <x:v>2024-06-19</x:v>
      </x:c>
      <x:c r="AQ14" s="39" t="str">
        <x:v>cláusulas de subordinação e definições revisadas</x:v>
      </x:c>
      <x:c r="AR14" s="39" t="str">
        <x:v>revisto — mínimo júnior não isolado</x:v>
      </x:c>
      <x:c r="AS14" s="39" t="str">
        <x:v>FundosNet/B3; documento 683618; referência 2024-06-19; cláusulas candidatas revisadas</x:v>
      </x:c>
      <x:c r="AT14" s="39" t="str">
        <x:v>N/D</x:v>
      </x:c>
      <x:c r="AU14" s="39" t="str">
        <x:v>mínimo estrutural comparável; originador; cedente; sacado/devedor; tipo de recebível</x:v>
      </x:c>
      <x:c r="AV14" s="39" t="str">
        <x:v>minimo_estrutural_ausente</x:v>
      </x:c>
    </x:row>
    <x:row r="15" ht="31.5" customHeight="1">
      <x:c r="A15" s="38" t="n">
        <x:v>7</x:v>
      </x:c>
      <x:c r="B15" s="73" t="n">
        <x:v>44395657000170</x:v>
      </x:c>
      <x:c r="C15" s="38" t="str">
        <x:v>44.395.657/0001-70</x:v>
      </x:c>
      <x:c r="D15" s="38" t="str">
        <x:v>CM ESTADUAL FUNDO DE INVESTIMENTO EM DIREITOS CREDITÓRIOS NÃO PADRONIZADOS</x:v>
      </x:c>
      <x:c r="E15" s="38" t="str">
        <x:v>CM Estadual I e II</x:v>
      </x:c>
      <x:c r="F15" s="38" t="str">
        <x:v>Flagships</x:v>
      </x:c>
      <x:c r="G15" s="38" t="str">
        <x:v>2026-06</x:v>
      </x:c>
      <x:c r="H15" s="38" t="str">
        <x:v>localizado</x:v>
      </x:c>
      <x:c r="I15" s="79" t="n">
        <x:v>18067373.92</x:v>
      </x:c>
      <x:c r="J15" s="79" t="n">
        <x:v>18067373.918162156</x:v>
      </x:c>
      <x:c r="K15" s="79" t="n">
        <x:v>0.0099996608780912</x:v>
      </x:c>
      <x:c r="L15" s="85" t="n">
        <x:v>5.534650980473646e-10</x:v>
      </x:c>
      <x:c r="M15" s="38" t="str">
        <x:v>Calculado com classes reportadas e PL oficial reconciliado</x:v>
      </x:c>
      <x:c r="N15" s="85" t="str">
        <x:v>N/D</x:v>
      </x:c>
      <x:c r="O15" s="85" t="str">
        <x:v>N/D</x:v>
      </x:c>
      <x:c r="P15" s="85" t="str">
        <x:v>N/D</x:v>
      </x:c>
      <x:c r="Q15" s="85" t="str">
        <x:v>N/D</x:v>
      </x:c>
      <x:c r="R15" s="85" t="str">
        <x:v>N/D</x:v>
      </x:c>
      <x:c r="S15" s="85" t="str">
        <x:v>N/D</x:v>
      </x:c>
      <x:c r="T15" s="38" t="str">
        <x:v>N/D</x:v>
      </x:c>
      <x:c r="U15" s="38" t="str">
        <x:v>sem_indice</x:v>
      </x:c>
      <x:c r="V15" s="38" t="str">
        <x:v>N/D</x:v>
      </x:c>
      <x:c r="W15" s="67" t="b">
        <x:v>0</x:v>
      </x:c>
      <x:c r="X15" s="38" t="str">
        <x:v>N/D — mínimo estrutural ou subordinação atual ausente</x:v>
      </x:c>
      <x:c r="Y15" s="67" t="b">
        <x:v>0</x:v>
      </x:c>
      <x:c r="Z15" s="85" t="str">
        <x:v>N/D</x:v>
      </x:c>
      <x:c r="AA15" s="85" t="str">
        <x:v>N/D</x:v>
      </x:c>
      <x:c r="AB15" s="38" t="str">
        <x:v>não medido</x:v>
      </x:c>
      <x:c r="AC15" s="38" t="str">
        <x:v>N/D</x:v>
      </x:c>
      <x:c r="AD15" s="38" t="str">
        <x:v>N/D</x:v>
      </x:c>
      <x:c r="AE15" s="38" t="str">
        <x:v>Consignado estadual</x:v>
      </x:c>
      <x:c r="AF15" s="38" t="str">
        <x:v>N/D</x:v>
      </x:c>
      <x:c r="AG15" s="38" t="str">
        <x:v>N/D</x:v>
      </x:c>
      <x:c r="AH15" s="38" t="str">
        <x:v>N/D</x:v>
      </x:c>
      <x:c r="AI15" s="38" t="str">
        <x:v>N/D</x:v>
      </x:c>
      <x:c r="AJ15" s="38" t="str">
        <x:v>N/D</x:v>
      </x:c>
      <x:c r="AK15" s="38" t="str">
        <x:v>N/D</x:v>
      </x:c>
      <x:c r="AL15" s="38" t="str">
        <x:v>N/D</x:v>
      </x:c>
      <x:c r="AM15" s="38" t="str">
        <x:v>sem_overlay</x:v>
      </x:c>
      <x:c r="AN15" s="38" t="str">
        <x:v>N/D</x:v>
      </x:c>
      <x:c r="AO15" s="38" t="str">
        <x:v>N/D</x:v>
      </x:c>
      <x:c r="AP15" s="38" t="str">
        <x:v>N/D</x:v>
      </x:c>
      <x:c r="AQ15" s="38" t="str">
        <x:v>N/D</x:v>
      </x:c>
      <x:c r="AR15" s="38" t="str">
        <x:v>lacuna — regulamento integral não disponível nas fontes locais</x:v>
      </x:c>
      <x:c r="AS15" s="38" t="str">
        <x:v>N/D</x:v>
      </x:c>
      <x:c r="AT15" s="38" t="str">
        <x:v>N/D</x:v>
      </x:c>
      <x:c r="AU15" s="38" t="str">
        <x:v>mínimo estrutural comparável; originador; cedente; sacado/devedor; tipo de recebível</x:v>
      </x:c>
      <x:c r="AV15" s="38" t="str">
        <x:v>minimo_estrutural_ausente</x:v>
      </x:c>
    </x:row>
    <x:row r="16" ht="31.5" customHeight="1">
      <x:c r="A16" s="39" t="n">
        <x:v>8</x:v>
      </x:c>
      <x:c r="B16" s="72" t="n">
        <x:v>65839682000176</x:v>
      </x:c>
      <x:c r="C16" s="39" t="str">
        <x:v>65.839.682/0001-76</x:v>
      </x:c>
      <x:c r="D16" s="39" t="str">
        <x:v>FUNDO DE INVESTIMENTOS EM DIREITOS CREDITÓRIOS PICPAY FGTS II DE RESPONSABILIDADE LIMITADA</x:v>
      </x:c>
      <x:c r="E16" s="39" t="str">
        <x:v>PicPay FGTS I e II</x:v>
      </x:c>
      <x:c r="F16" s="39" t="str">
        <x:v>Flagships</x:v>
      </x:c>
      <x:c r="G16" s="39" t="str">
        <x:v>2026-06</x:v>
      </x:c>
      <x:c r="H16" s="39" t="str">
        <x:v>localizado</x:v>
      </x:c>
      <x:c r="I16" s="78" t="n">
        <x:v>1420614297.06</x:v>
      </x:c>
      <x:c r="J16" s="78" t="n">
        <x:v>1420606312.2909636</x:v>
      </x:c>
      <x:c r="K16" s="78" t="n">
        <x:v>148124314.96942985</x:v>
      </x:c>
      <x:c r="L16" s="84" t="n">
        <x:v>0.1042677912477561</x:v>
      </x:c>
      <x:c r="M16" s="39" t="str">
        <x:v>Calculado com classes reportadas e PL oficial reconciliado</x:v>
      </x:c>
      <x:c r="N16" s="84" t="str">
        <x:v>N/D</x:v>
      </x:c>
      <x:c r="O16" s="84" t="str">
        <x:v>N/D</x:v>
      </x:c>
      <x:c r="P16" s="84" t="str">
        <x:v>N/D</x:v>
      </x:c>
      <x:c r="Q16" s="84" t="str">
        <x:v>N/D</x:v>
      </x:c>
      <x:c r="R16" s="84" t="str">
        <x:v>N/D</x:v>
      </x:c>
      <x:c r="S16" s="84" t="str">
        <x:v>N/D</x:v>
      </x:c>
      <x:c r="T16" s="39" t="str">
        <x:v>N/D</x:v>
      </x:c>
      <x:c r="U16" s="39" t="str">
        <x:v>sem_indice</x:v>
      </x:c>
      <x:c r="V16" s="39" t="str">
        <x:v>N/D</x:v>
      </x:c>
      <x:c r="W16" s="66" t="b">
        <x:v>0</x:v>
      </x:c>
      <x:c r="X16" s="39" t="str">
        <x:v>N/D — mínimo estrutural ou subordinação atual ausente</x:v>
      </x:c>
      <x:c r="Y16" s="66" t="b">
        <x:v>0</x:v>
      </x:c>
      <x:c r="Z16" s="84" t="str">
        <x:v>N/D</x:v>
      </x:c>
      <x:c r="AA16" s="84" t="str">
        <x:v>N/D</x:v>
      </x:c>
      <x:c r="AB16" s="39" t="str">
        <x:v>não medido</x:v>
      </x:c>
      <x:c r="AC16" s="39" t="str">
        <x:v>N/D</x:v>
      </x:c>
      <x:c r="AD16" s="39" t="str">
        <x:v>N/D</x:v>
      </x:c>
      <x:c r="AE16" s="39" t="str">
        <x:v>Consignado FGTS</x:v>
      </x:c>
      <x:c r="AF16" s="39" t="str">
        <x:v>N/D</x:v>
      </x:c>
      <x:c r="AG16" s="39" t="str">
        <x:v>N/D</x:v>
      </x:c>
      <x:c r="AH16" s="39" t="str">
        <x:v>N/D</x:v>
      </x:c>
      <x:c r="AI16" s="39" t="str">
        <x:v>N/D</x:v>
      </x:c>
      <x:c r="AJ16" s="39" t="str">
        <x:v>N/D</x:v>
      </x:c>
      <x:c r="AK16" s="39" t="str">
        <x:v>N/D</x:v>
      </x:c>
      <x:c r="AL16" s="39" t="str">
        <x:v>N/D</x:v>
      </x:c>
      <x:c r="AM16" s="39" t="str">
        <x:v>sem_overlay</x:v>
      </x:c>
      <x:c r="AN16" s="39" t="str">
        <x:v>N/D</x:v>
      </x:c>
      <x:c r="AO16" s="39" t="str">
        <x:v>1201421</x:v>
      </x:c>
      <x:c r="AP16" s="39" t="str">
        <x:v>2026-05-20</x:v>
      </x:c>
      <x:c r="AQ16" s="39" t="str">
        <x:v>cláusulas de subordinação e definições revisadas</x:v>
      </x:c>
      <x:c r="AR16" s="39" t="str">
        <x:v>revisto — mínimo júnior não isolado</x:v>
      </x:c>
      <x:c r="AS16" s="39" t="str">
        <x:v>FundosNet/B3; documento 1201421; referência 2026-05-20; cláusulas candidatas revisadas</x:v>
      </x:c>
      <x:c r="AT16" s="39" t="str">
        <x:v>N/D</x:v>
      </x:c>
      <x:c r="AU16" s="39" t="str">
        <x:v>mínimo estrutural comparável; originador; cedente; sacado/devedor; tipo de recebível</x:v>
      </x:c>
      <x:c r="AV16" s="39" t="str">
        <x:v>minimo_estrutural_ausente</x:v>
      </x:c>
    </x:row>
    <x:row r="17" ht="31.5" customHeight="1">
      <x:c r="A17" s="38" t="n">
        <x:v>8</x:v>
      </x:c>
      <x:c r="B17" s="73" t="n">
        <x:v>58148845000109</x:v>
      </x:c>
      <x:c r="C17" s="38" t="str">
        <x:v>58.148.845/0001-09</x:v>
      </x:c>
      <x:c r="D17" s="38" t="str">
        <x:v>FUNDO DE INVESTIMENTO EM DIREITOS CREDITÓRIOS PICPAY FGTS</x:v>
      </x:c>
      <x:c r="E17" s="38" t="str">
        <x:v>PicPay FGTS I e II</x:v>
      </x:c>
      <x:c r="F17" s="38" t="str">
        <x:v>Flagships</x:v>
      </x:c>
      <x:c r="G17" s="38" t="str">
        <x:v>2026-06</x:v>
      </x:c>
      <x:c r="H17" s="38" t="str">
        <x:v>localizado</x:v>
      </x:c>
      <x:c r="I17" s="79" t="n">
        <x:v>868936209.65</x:v>
      </x:c>
      <x:c r="J17" s="79" t="n">
        <x:v>868936209.6507403</x:v>
      </x:c>
      <x:c r="K17" s="79" t="n">
        <x:v>236698919.58063805</x:v>
      </x:c>
      <x:c r="L17" s="85" t="n">
        <x:v>0.27240080106223025</x:v>
      </x:c>
      <x:c r="M17" s="38" t="str">
        <x:v>Calculado com classes reportadas e PL oficial reconciliado</x:v>
      </x:c>
      <x:c r="N17" s="85" t="str">
        <x:v>N/D</x:v>
      </x:c>
      <x:c r="O17" s="85" t="str">
        <x:v>N/D</x:v>
      </x:c>
      <x:c r="P17" s="85" t="str">
        <x:v>N/D</x:v>
      </x:c>
      <x:c r="Q17" s="85" t="str">
        <x:v>N/D</x:v>
      </x:c>
      <x:c r="R17" s="85" t="str">
        <x:v>N/D</x:v>
      </x:c>
      <x:c r="S17" s="85" t="str">
        <x:v>N/D</x:v>
      </x:c>
      <x:c r="T17" s="38" t="str">
        <x:v>N/D</x:v>
      </x:c>
      <x:c r="U17" s="38" t="str">
        <x:v>sem_indice</x:v>
      </x:c>
      <x:c r="V17" s="38" t="str">
        <x:v>N/D</x:v>
      </x:c>
      <x:c r="W17" s="67" t="b">
        <x:v>0</x:v>
      </x:c>
      <x:c r="X17" s="38" t="str">
        <x:v>N/D — mínimo estrutural ou subordinação atual ausente</x:v>
      </x:c>
      <x:c r="Y17" s="67" t="b">
        <x:v>0</x:v>
      </x:c>
      <x:c r="Z17" s="85" t="str">
        <x:v>N/D</x:v>
      </x:c>
      <x:c r="AA17" s="85" t="str">
        <x:v>N/D</x:v>
      </x:c>
      <x:c r="AB17" s="38" t="str">
        <x:v>não medido</x:v>
      </x:c>
      <x:c r="AC17" s="38" t="str">
        <x:v>N/D</x:v>
      </x:c>
      <x:c r="AD17" s="38" t="str">
        <x:v>N/D</x:v>
      </x:c>
      <x:c r="AE17" s="38" t="str">
        <x:v>Consignado FGTS</x:v>
      </x:c>
      <x:c r="AF17" s="38" t="str">
        <x:v>N/D</x:v>
      </x:c>
      <x:c r="AG17" s="38" t="str">
        <x:v>N/D</x:v>
      </x:c>
      <x:c r="AH17" s="38" t="str">
        <x:v>N/D</x:v>
      </x:c>
      <x:c r="AI17" s="38" t="str">
        <x:v>N/D</x:v>
      </x:c>
      <x:c r="AJ17" s="38" t="str">
        <x:v>N/D</x:v>
      </x:c>
      <x:c r="AK17" s="38" t="str">
        <x:v>N/D</x:v>
      </x:c>
      <x:c r="AL17" s="38" t="str">
        <x:v>N/D</x:v>
      </x:c>
      <x:c r="AM17" s="38" t="str">
        <x:v>sem_overlay</x:v>
      </x:c>
      <x:c r="AN17" s="38" t="str">
        <x:v>N/D</x:v>
      </x:c>
      <x:c r="AO17" s="38" t="str">
        <x:v>877220</x:v>
      </x:c>
      <x:c r="AP17" s="38" t="str">
        <x:v>2025-04-07</x:v>
      </x:c>
      <x:c r="AQ17" s="38" t="str">
        <x:v>cláusulas de subordinação e definições revisadas</x:v>
      </x:c>
      <x:c r="AR17" s="38" t="str">
        <x:v>revisto — mínimo júnior não isolado</x:v>
      </x:c>
      <x:c r="AS17" s="38" t="str">
        <x:v>FundosNet/B3; documento 877220; referência 2025-04-07; cláusulas candidatas revisadas</x:v>
      </x:c>
      <x:c r="AT17" s="38" t="str">
        <x:v>N/D</x:v>
      </x:c>
      <x:c r="AU17" s="38" t="str">
        <x:v>mínimo estrutural comparável; originador; cedente; sacado/devedor; tipo de recebível</x:v>
      </x:c>
      <x:c r="AV17" s="38" t="str">
        <x:v>minimo_estrutural_ausente</x:v>
      </x:c>
    </x:row>
    <x:row r="18" ht="31.5" customHeight="1">
      <x:c r="A18" s="39" t="n">
        <x:v>9</x:v>
      </x:c>
      <x:c r="B18" s="72" t="n">
        <x:v>62010175000137</x:v>
      </x:c>
      <x:c r="C18" s="39" t="str">
        <x:v>62.010.175/0001-37</x:v>
      </x:c>
      <x:c r="D18" s="39" t="str">
        <x:v>FUNDO DE INVESTIMENTO EM DIREITOS CREDITÓRIOS MT FGTS RECEIVABLES IV</x:v>
      </x:c>
      <x:c r="E18" s="39" t="str">
        <x:v>MT FGTS II e IV</x:v>
      </x:c>
      <x:c r="F18" s="39" t="str">
        <x:v>Flagships</x:v>
      </x:c>
      <x:c r="G18" s="39" t="str">
        <x:v>2026-06</x:v>
      </x:c>
      <x:c r="H18" s="39" t="str">
        <x:v>localizado</x:v>
      </x:c>
      <x:c r="I18" s="78" t="n">
        <x:v>553851632.17</x:v>
      </x:c>
      <x:c r="J18" s="78" t="n">
        <x:v>553851633.1098243</x:v>
      </x:c>
      <x:c r="K18" s="78" t="n">
        <x:v>95186729.57982424</x:v>
      </x:c>
      <x:c r="L18" s="84" t="n">
        <x:v>0.17186322843697516</x:v>
      </x:c>
      <x:c r="M18" s="39" t="str">
        <x:v>Calculado com classes reportadas e PL oficial reconciliado</x:v>
      </x:c>
      <x:c r="N18" s="84" t="str">
        <x:v>N/D</x:v>
      </x:c>
      <x:c r="O18" s="84" t="str">
        <x:v>N/D</x:v>
      </x:c>
      <x:c r="P18" s="84" t="str">
        <x:v>N/D</x:v>
      </x:c>
      <x:c r="Q18" s="84" t="str">
        <x:v>N/D</x:v>
      </x:c>
      <x:c r="R18" s="84" t="str">
        <x:v>N/D</x:v>
      </x:c>
      <x:c r="S18" s="84" t="str">
        <x:v>N/D</x:v>
      </x:c>
      <x:c r="T18" s="39" t="str">
        <x:v>N/D</x:v>
      </x:c>
      <x:c r="U18" s="39" t="str">
        <x:v>sem_indice</x:v>
      </x:c>
      <x:c r="V18" s="39" t="str">
        <x:v>N/D</x:v>
      </x:c>
      <x:c r="W18" s="66" t="b">
        <x:v>0</x:v>
      </x:c>
      <x:c r="X18" s="39" t="str">
        <x:v>N/D — mínimo estrutural ou subordinação atual ausente</x:v>
      </x:c>
      <x:c r="Y18" s="66" t="b">
        <x:v>0</x:v>
      </x:c>
      <x:c r="Z18" s="84" t="str">
        <x:v>N/D</x:v>
      </x:c>
      <x:c r="AA18" s="84" t="str">
        <x:v>N/D</x:v>
      </x:c>
      <x:c r="AB18" s="39" t="str">
        <x:v>não medido</x:v>
      </x:c>
      <x:c r="AC18" s="39" t="str">
        <x:v>N/D</x:v>
      </x:c>
      <x:c r="AD18" s="39" t="str">
        <x:v>N/D</x:v>
      </x:c>
      <x:c r="AE18" s="39" t="str">
        <x:v>Consignado FGTS</x:v>
      </x:c>
      <x:c r="AF18" s="39" t="str">
        <x:v>N/D</x:v>
      </x:c>
      <x:c r="AG18" s="39" t="str">
        <x:v>N/D</x:v>
      </x:c>
      <x:c r="AH18" s="39" t="str">
        <x:v>N/D</x:v>
      </x:c>
      <x:c r="AI18" s="39" t="str">
        <x:v>N/D</x:v>
      </x:c>
      <x:c r="AJ18" s="39" t="str">
        <x:v>N/D</x:v>
      </x:c>
      <x:c r="AK18" s="39" t="str">
        <x:v>N/D</x:v>
      </x:c>
      <x:c r="AL18" s="39" t="str">
        <x:v>N/D</x:v>
      </x:c>
      <x:c r="AM18" s="39" t="str">
        <x:v>sem_overlay</x:v>
      </x:c>
      <x:c r="AN18" s="39" t="str">
        <x:v>N/D</x:v>
      </x:c>
      <x:c r="AO18" s="39" t="str">
        <x:v>N/D</x:v>
      </x:c>
      <x:c r="AP18" s="39" t="str">
        <x:v>N/D</x:v>
      </x:c>
      <x:c r="AQ18" s="39" t="str">
        <x:v>N/D</x:v>
      </x:c>
      <x:c r="AR18" s="39" t="str">
        <x:v>lacuna — regulamento integral não disponível nas fontes locais</x:v>
      </x:c>
      <x:c r="AS18" s="39" t="str">
        <x:v>N/D</x:v>
      </x:c>
      <x:c r="AT18" s="39" t="str">
        <x:v>N/D</x:v>
      </x:c>
      <x:c r="AU18" s="39" t="str">
        <x:v>mínimo estrutural comparável; originador; cedente; sacado/devedor; tipo de recebível</x:v>
      </x:c>
      <x:c r="AV18" s="39" t="str">
        <x:v>minimo_estrutural_ausente</x:v>
      </x:c>
    </x:row>
    <x:row r="19" ht="31.5" customHeight="1">
      <x:c r="A19" s="38" t="n">
        <x:v>9</x:v>
      </x:c>
      <x:c r="B19" s="73" t="n">
        <x:v>54464892000100</x:v>
      </x:c>
      <x:c r="C19" s="38" t="str">
        <x:v>54.464.892/0001-00</x:v>
      </x:c>
      <x:c r="D19" s="38" t="str">
        <x:v>FUNDO DE INVESTIMENTO EM DIREITOS CREDITÓRIOS MT FGTS RECEIVABLES II</x:v>
      </x:c>
      <x:c r="E19" s="38" t="str">
        <x:v>MT FGTS II e IV</x:v>
      </x:c>
      <x:c r="F19" s="38" t="str">
        <x:v>Flagships</x:v>
      </x:c>
      <x:c r="G19" s="38" t="str">
        <x:v>2026-06</x:v>
      </x:c>
      <x:c r="H19" s="38" t="str">
        <x:v>localizado</x:v>
      </x:c>
      <x:c r="I19" s="79" t="n">
        <x:v>697493758.97</x:v>
      </x:c>
      <x:c r="J19" s="79" t="n">
        <x:v>697493753.1297442</x:v>
      </x:c>
      <x:c r="K19" s="79" t="n">
        <x:v>135018676.32594317</x:v>
      </x:c>
      <x:c r="L19" s="85" t="n">
        <x:v>0.19357689526186925</x:v>
      </x:c>
      <x:c r="M19" s="38" t="str">
        <x:v>Calculado com classes reportadas e PL oficial reconciliado</x:v>
      </x:c>
      <x:c r="N19" s="85" t="str">
        <x:v>N/D</x:v>
      </x:c>
      <x:c r="O19" s="85" t="str">
        <x:v>N/D</x:v>
      </x:c>
      <x:c r="P19" s="85" t="str">
        <x:v>N/D</x:v>
      </x:c>
      <x:c r="Q19" s="85" t="str">
        <x:v>N/D</x:v>
      </x:c>
      <x:c r="R19" s="85" t="str">
        <x:v>N/D</x:v>
      </x:c>
      <x:c r="S19" s="85" t="str">
        <x:v>N/D</x:v>
      </x:c>
      <x:c r="T19" s="38" t="str">
        <x:v>N/D</x:v>
      </x:c>
      <x:c r="U19" s="38" t="str">
        <x:v>sem_indice</x:v>
      </x:c>
      <x:c r="V19" s="38" t="str">
        <x:v>N/D</x:v>
      </x:c>
      <x:c r="W19" s="67" t="b">
        <x:v>0</x:v>
      </x:c>
      <x:c r="X19" s="38" t="str">
        <x:v>N/D — mínimo estrutural ou subordinação atual ausente</x:v>
      </x:c>
      <x:c r="Y19" s="67" t="b">
        <x:v>0</x:v>
      </x:c>
      <x:c r="Z19" s="85" t="str">
        <x:v>N/D</x:v>
      </x:c>
      <x:c r="AA19" s="85" t="str">
        <x:v>N/D</x:v>
      </x:c>
      <x:c r="AB19" s="38" t="str">
        <x:v>não medido</x:v>
      </x:c>
      <x:c r="AC19" s="38" t="str">
        <x:v>N/D</x:v>
      </x:c>
      <x:c r="AD19" s="38" t="str">
        <x:v>N/D</x:v>
      </x:c>
      <x:c r="AE19" s="38" t="str">
        <x:v>Consignado FGTS</x:v>
      </x:c>
      <x:c r="AF19" s="38" t="str">
        <x:v>75% Parati / 25% QI Tech</x:v>
      </x:c>
      <x:c r="AG19" s="38" t="str">
        <x:v>cedente</x:v>
      </x:c>
      <x:c r="AH19" s="38" t="str">
        <x:v>N/D</x:v>
      </x:c>
      <x:c r="AI19" s="38" t="str">
        <x:v>75% Parati / 25% QI Tech</x:v>
      </x:c>
      <x:c r="AJ19" s="38" t="str">
        <x:v>N/D</x:v>
      </x:c>
      <x:c r="AK19" s="38" t="str">
        <x:v>N/D</x:v>
      </x:c>
      <x:c r="AL19" s="38" t="str">
        <x:v>IMG_8707.jpg</x:v>
      </x:c>
      <x:c r="AM19" s="38" t="str">
        <x:v>manual_aplicado</x:v>
      </x:c>
      <x:c r="AN19" s="38" t="str">
        <x:v>OBS da foto: Rating atual Ba1; se ajustar o rating na base, pode considerar perspectiva estável. Denominação cortada.</x:v>
      </x:c>
      <x:c r="AO19" s="38" t="str">
        <x:v>N/D</x:v>
      </x:c>
      <x:c r="AP19" s="38" t="str">
        <x:v>N/D</x:v>
      </x:c>
      <x:c r="AQ19" s="38" t="str">
        <x:v>N/D</x:v>
      </x:c>
      <x:c r="AR19" s="38" t="str">
        <x:v>lacuna — regulamento integral não disponível nas fontes locais</x:v>
      </x:c>
      <x:c r="AS19" s="38" t="str">
        <x:v>N/D</x:v>
      </x:c>
      <x:c r="AT19" s="38" t="str">
        <x:v>N/D</x:v>
      </x:c>
      <x:c r="AU19" s="38" t="str">
        <x:v>mínimo estrutural comparável; originador; sacado/devedor; tipo de recebível</x:v>
      </x:c>
      <x:c r="AV19" s="38" t="str">
        <x:v>minimo_estrutural_ausente</x:v>
      </x:c>
    </x:row>
    <x:row r="20" ht="31.5" customHeight="1">
      <x:c r="A20" s="39" t="n">
        <x:v>10</x:v>
      </x:c>
      <x:c r="B20" s="72" t="n">
        <x:v>63848380000139</x:v>
      </x:c>
      <x:c r="C20" s="39" t="str">
        <x:v>63.848.380/0001-39</x:v>
      </x:c>
      <x:c r="D20" s="39" t="str">
        <x:v>FUNDO DE INVESTIMENTO EM DIREITOS CREDITÓRIOS DAYCOVAL FGTS I RESPONSABILIDADE LIMITADA</x:v>
      </x:c>
      <x:c r="E20" s="39" t="str">
        <x:v>Daycoval FGTS I</x:v>
      </x:c>
      <x:c r="F20" s="39" t="str">
        <x:v>Flagships</x:v>
      </x:c>
      <x:c r="G20" s="39" t="str">
        <x:v>2026-06</x:v>
      </x:c>
      <x:c r="H20" s="39" t="str">
        <x:v>localizado</x:v>
      </x:c>
      <x:c r="I20" s="78" t="n">
        <x:v>102701036.48</x:v>
      </x:c>
      <x:c r="J20" s="78" t="n">
        <x:v>102701036.48048994</x:v>
      </x:c>
      <x:c r="K20" s="78" t="n">
        <x:v>17481658.780036133</x:v>
      </x:c>
      <x:c r="L20" s="84" t="n">
        <x:v>0.1702189128679389</x:v>
      </x:c>
      <x:c r="M20" s="39" t="str">
        <x:v>Calculado com classes reportadas e PL oficial reconciliado</x:v>
      </x:c>
      <x:c r="N20" s="84" t="str">
        <x:v>N/D</x:v>
      </x:c>
      <x:c r="O20" s="84" t="str">
        <x:v>N/D</x:v>
      </x:c>
      <x:c r="P20" s="84" t="str">
        <x:v>N/D</x:v>
      </x:c>
      <x:c r="Q20" s="84" t="str">
        <x:v>N/D</x:v>
      </x:c>
      <x:c r="R20" s="84" t="str">
        <x:v>N/D</x:v>
      </x:c>
      <x:c r="S20" s="84" t="str">
        <x:v>N/D</x:v>
      </x:c>
      <x:c r="T20" s="39" t="str">
        <x:v>N/D</x:v>
      </x:c>
      <x:c r="U20" s="39" t="str">
        <x:v>sem_indice</x:v>
      </x:c>
      <x:c r="V20" s="39" t="str">
        <x:v>N/D</x:v>
      </x:c>
      <x:c r="W20" s="66" t="b">
        <x:v>0</x:v>
      </x:c>
      <x:c r="X20" s="39" t="str">
        <x:v>N/D — mínimo estrutural ou subordinação atual ausente</x:v>
      </x:c>
      <x:c r="Y20" s="66" t="b">
        <x:v>0</x:v>
      </x:c>
      <x:c r="Z20" s="84" t="str">
        <x:v>N/D</x:v>
      </x:c>
      <x:c r="AA20" s="84" t="str">
        <x:v>N/D</x:v>
      </x:c>
      <x:c r="AB20" s="39" t="str">
        <x:v>não medido</x:v>
      </x:c>
      <x:c r="AC20" s="39" t="str">
        <x:v>N/D</x:v>
      </x:c>
      <x:c r="AD20" s="39" t="str">
        <x:v>N/D</x:v>
      </x:c>
      <x:c r="AE20" s="39" t="str">
        <x:v>Consignado FGTS</x:v>
      </x:c>
      <x:c r="AF20" s="39" t="str">
        <x:v>N/D</x:v>
      </x:c>
      <x:c r="AG20" s="39" t="str">
        <x:v>N/D</x:v>
      </x:c>
      <x:c r="AH20" s="39" t="str">
        <x:v>N/D</x:v>
      </x:c>
      <x:c r="AI20" s="39" t="str">
        <x:v>N/D</x:v>
      </x:c>
      <x:c r="AJ20" s="39" t="str">
        <x:v>N/D</x:v>
      </x:c>
      <x:c r="AK20" s="39" t="str">
        <x:v>N/D</x:v>
      </x:c>
      <x:c r="AL20" s="39" t="str">
        <x:v>N/D</x:v>
      </x:c>
      <x:c r="AM20" s="39" t="str">
        <x:v>sem_overlay</x:v>
      </x:c>
      <x:c r="AN20" s="39" t="str">
        <x:v>N/D</x:v>
      </x:c>
      <x:c r="AO20" s="39" t="str">
        <x:v>1068666</x:v>
      </x:c>
      <x:c r="AP20" s="39" t="str">
        <x:v>2025-12-18</x:v>
      </x:c>
      <x:c r="AQ20" s="39" t="str">
        <x:v>cláusulas de subordinação e definições revisadas</x:v>
      </x:c>
      <x:c r="AR20" s="39" t="str">
        <x:v>revisto — mínimo júnior não isolado</x:v>
      </x:c>
      <x:c r="AS20" s="39" t="str">
        <x:v>FundosNet/B3; documento 1068666; referência 2025-12-18; cláusulas candidatas revisadas</x:v>
      </x:c>
      <x:c r="AT20" s="39" t="str">
        <x:v>N/D</x:v>
      </x:c>
      <x:c r="AU20" s="39" t="str">
        <x:v>mínimo estrutural comparável; originador; cedente; sacado/devedor; tipo de recebível</x:v>
      </x:c>
      <x:c r="AV20" s="39" t="str">
        <x:v>minimo_estrutural_ausente</x:v>
      </x:c>
    </x:row>
    <x:row r="21" ht="31.5" customHeight="1">
      <x:c r="A21" s="38" t="n">
        <x:v>11</x:v>
      </x:c>
      <x:c r="B21" s="73" t="n">
        <x:v>62393679000183</x:v>
      </x:c>
      <x:c r="C21" s="38" t="str">
        <x:v>62.393.679/0001-83</x:v>
      </x:c>
      <x:c r="D21" s="38" t="str">
        <x:v>CLOUDWALK BELA FUNDO DE INVESTIMENTO EM DIREITOS CREDITÓRIOS SEGMENTO MEIOS DE PAGAMENTO</x:v>
      </x:c>
      <x:c r="E21" s="38" t="str">
        <x:v>Cloudwalk Bela Pi e Big Picture I–IV</x:v>
      </x:c>
      <x:c r="F21" s="38" t="str">
        <x:v>Flagships</x:v>
      </x:c>
      <x:c r="G21" s="38" t="str">
        <x:v>2026-06</x:v>
      </x:c>
      <x:c r="H21" s="38" t="str">
        <x:v>localizado</x:v>
      </x:c>
      <x:c r="I21" s="79" t="n">
        <x:v>10010957003.11</x:v>
      </x:c>
      <x:c r="J21" s="79" t="n">
        <x:v>10010957000.26428</x:v>
      </x:c>
      <x:c r="K21" s="79" t="n">
        <x:v>1555296816.2721715</x:v>
      </x:c>
      <x:c r="L21" s="85" t="n">
        <x:v>0.15535945422490613</x:v>
      </x:c>
      <x:c r="M21" s="38" t="str">
        <x:v>Calculado com classes reportadas e PL oficial reconciliado</x:v>
      </x:c>
      <x:c r="N21" s="85" t="str">
        <x:v>N/D</x:v>
      </x:c>
      <x:c r="O21" s="85" t="str">
        <x:v>N/D</x:v>
      </x:c>
      <x:c r="P21" s="85" t="str">
        <x:v>N/D</x:v>
      </x:c>
      <x:c r="Q21" s="85" t="str">
        <x:v>N/D</x:v>
      </x:c>
      <x:c r="R21" s="85" t="str">
        <x:v>N/D</x:v>
      </x:c>
      <x:c r="S21" s="85" t="str">
        <x:v>N/D</x:v>
      </x:c>
      <x:c r="T21" s="38" t="str">
        <x:v>1,0% até D+180; 2,5% após D+180</x:v>
      </x:c>
      <x:c r="U21" s="38" t="str">
        <x:v>sem_indice</x:v>
      </x:c>
      <x:c r="V21" s="38" t="str">
        <x:v>N/D</x:v>
      </x:c>
      <x:c r="W21" s="67" t="b">
        <x:v>0</x:v>
      </x:c>
      <x:c r="X21" s="38" t="str">
        <x:v>N/D — mínimo estrutural ou subordinação atual ausente</x:v>
      </x:c>
      <x:c r="Y21" s="67" t="b">
        <x:v>0</x:v>
      </x:c>
      <x:c r="Z21" s="85" t="str">
        <x:v>N/D</x:v>
      </x:c>
      <x:c r="AA21" s="85" t="str">
        <x:v>N/D</x:v>
      </x:c>
      <x:c r="AB21" s="38" t="str">
        <x:v>não medido</x:v>
      </x:c>
      <x:c r="AC21" s="38" t="str">
        <x:v>N/D</x:v>
      </x:c>
      <x:c r="AD21" s="38" t="str">
        <x:v>N/D</x:v>
      </x:c>
      <x:c r="AE21" s="38" t="str">
        <x:v>Adquirência — banco emissor</x:v>
      </x:c>
      <x:c r="AF21" s="38" t="str">
        <x:v>N/D</x:v>
      </x:c>
      <x:c r="AG21" s="38" t="str">
        <x:v>N/D</x:v>
      </x:c>
      <x:c r="AH21" s="38" t="str">
        <x:v>N/D</x:v>
      </x:c>
      <x:c r="AI21" s="38" t="str">
        <x:v>N/D</x:v>
      </x:c>
      <x:c r="AJ21" s="38" t="str">
        <x:v>N/D</x:v>
      </x:c>
      <x:c r="AK21" s="38" t="str">
        <x:v>N/D</x:v>
      </x:c>
      <x:c r="AL21" s="38" t="str">
        <x:v>N/D</x:v>
      </x:c>
      <x:c r="AM21" s="38" t="str">
        <x:v>sem_overlay</x:v>
      </x:c>
      <x:c r="AN21" s="38" t="str">
        <x:v>N/D</x:v>
      </x:c>
      <x:c r="AO21" s="38" t="str">
        <x:v>1117954</x:v>
      </x:c>
      <x:c r="AP21" s="38" t="str">
        <x:v>2026-02-19</x:v>
      </x:c>
      <x:c r="AQ21" s="38" t="str">
        <x:v>p. 162–166</x:v>
      </x:c>
      <x:c r="AR21" s="38" t="str">
        <x:v>revisto — mínimo júnior localizado</x:v>
      </x:c>
      <x:c r="AS21" s="38" t="str">
        <x:v>FundosNet/B3; documento 1117954; referência 2026-02-19; p. 162–166</x:v>
      </x:c>
      <x:c r="AT21" s="38" t="str">
        <x:v>Cotas subordinadas júnior / PL: 1,0% até D+180 e 2,5% após D+180; condição temporal preservada.</x:v>
      </x:c>
      <x:c r="AU21" s="38" t="str">
        <x:v>mínimo estrutural comparável; originador; cedente; sacado/devedor; tipo de recebível</x:v>
      </x:c>
      <x:c r="AV21" s="38" t="str">
        <x:v>minimo_estrutural_ausente</x:v>
      </x:c>
    </x:row>
    <x:row r="22" ht="31.5" customHeight="1">
      <x:c r="A22" s="39" t="n">
        <x:v>11</x:v>
      </x:c>
      <x:c r="B22" s="72" t="n">
        <x:v>60356171000180</x:v>
      </x:c>
      <x:c r="C22" s="39" t="str">
        <x:v>60.356.171/0001-80</x:v>
      </x:c>
      <x:c r="D22" s="39" t="str">
        <x:v>CLOUDWALK PI FUNDO DE INVESTIMENTO EM DIREITOS CREDITÓRIOS SEGMENTO MEIOS DE PAGAMENTO</x:v>
      </x:c>
      <x:c r="E22" s="39" t="str">
        <x:v>Cloudwalk Bela Pi e Big Picture I–IV</x:v>
      </x:c>
      <x:c r="F22" s="39" t="str">
        <x:v>Flagships</x:v>
      </x:c>
      <x:c r="G22" s="39" t="str">
        <x:v>2026-06</x:v>
      </x:c>
      <x:c r="H22" s="39" t="str">
        <x:v>localizado</x:v>
      </x:c>
      <x:c r="I22" s="78" t="n">
        <x:v>3254537202.75</x:v>
      </x:c>
      <x:c r="J22" s="78" t="n">
        <x:v>3254537213.2680163</x:v>
      </x:c>
      <x:c r="K22" s="78" t="n">
        <x:v>524782216.95515686</x:v>
      </x:c>
      <x:c r="L22" s="84" t="n">
        <x:v>0.1612463414189057</x:v>
      </x:c>
      <x:c r="M22" s="39" t="str">
        <x:v>Calculado com classes reportadas e PL oficial reconciliado</x:v>
      </x:c>
      <x:c r="N22" s="84" t="n">
        <x:v>0.025</x:v>
      </x:c>
      <x:c r="O22" s="84" t="str">
        <x:v>N/D</x:v>
      </x:c>
      <x:c r="P22" s="84" t="str">
        <x:v>N/D</x:v>
      </x:c>
      <x:c r="Q22" s="84" t="str">
        <x:v>N/D</x:v>
      </x:c>
      <x:c r="R22" s="84" t="str">
        <x:v>N/D</x:v>
      </x:c>
      <x:c r="S22" s="84" t="str">
        <x:v>N/D</x:v>
      </x:c>
      <x:c r="T22" s="39" t="str">
        <x:v>2,5%</x:v>
      </x:c>
      <x:c r="U22" s="39" t="str">
        <x:v>junior_pl</x:v>
      </x:c>
      <x:c r="V22" s="39" t="str">
        <x:v>direto no regulamento</x:v>
      </x:c>
      <x:c r="W22" s="66" t="b">
        <x:v>0</x:v>
      </x:c>
      <x:c r="X22" s="39" t="str">
        <x:v>N/D — equivalência entre mínimo júnior e subordinação total não comprovada</x:v>
      </x:c>
      <x:c r="Y22" s="66" t="b">
        <x:v>1</x:v>
      </x:c>
      <x:c r="Z22" s="84" t="str">
        <x:v>N/D</x:v>
      </x:c>
      <x:c r="AA22" s="84" t="str">
        <x:v>N/D</x:v>
      </x:c>
      <x:c r="AB22" s="39" t="str">
        <x:v>não medido</x:v>
      </x:c>
      <x:c r="AC22" s="39" t="str">
        <x:v>N/D</x:v>
      </x:c>
      <x:c r="AD22" s="39" t="str">
        <x:v>N/D</x:v>
      </x:c>
      <x:c r="AE22" s="39" t="str">
        <x:v>Adquirência — banco emissor</x:v>
      </x:c>
      <x:c r="AF22" s="39" t="str">
        <x:v>N/D</x:v>
      </x:c>
      <x:c r="AG22" s="39" t="str">
        <x:v>N/D</x:v>
      </x:c>
      <x:c r="AH22" s="39" t="str">
        <x:v>N/D</x:v>
      </x:c>
      <x:c r="AI22" s="39" t="str">
        <x:v>N/D</x:v>
      </x:c>
      <x:c r="AJ22" s="39" t="str">
        <x:v>N/D</x:v>
      </x:c>
      <x:c r="AK22" s="39" t="str">
        <x:v>N/D</x:v>
      </x:c>
      <x:c r="AL22" s="39" t="str">
        <x:v>N/D</x:v>
      </x:c>
      <x:c r="AM22" s="39" t="str">
        <x:v>sem_overlay</x:v>
      </x:c>
      <x:c r="AN22" s="39" t="str">
        <x:v>N/D</x:v>
      </x:c>
      <x:c r="AO22" s="39" t="str">
        <x:v>993687</x:v>
      </x:c>
      <x:c r="AP22" s="39" t="str">
        <x:v>2025-09-04</x:v>
      </x:c>
      <x:c r="AQ22" s="39" t="str">
        <x:v>p. 112–113; apêndice Mezanino B</x:v>
      </x:c>
      <x:c r="AR22" s="39" t="str">
        <x:v>revisto — mínimo júnior localizado</x:v>
      </x:c>
      <x:c r="AS22" s="39" t="str">
        <x:v>FundosNet/B3; documento 993687; referência 2025-09-04; p. 112–113; apêndice Mezanino B</x:v>
      </x:c>
      <x:c r="AT22" s="39" t="str">
        <x:v>Cotas subordinadas júnior / PL, mínimo de 2,5%.</x:v>
      </x:c>
      <x:c r="AU22" s="39" t="str">
        <x:v>mínimo estrutural comparável; originador; cedente; sacado/devedor; tipo de recebível</x:v>
      </x:c>
      <x:c r="AV22" s="39" t="str">
        <x:v>estrutura_incomparavel</x:v>
      </x:c>
    </x:row>
    <x:row r="23" ht="31.5" customHeight="1">
      <x:c r="A23" s="38" t="n">
        <x:v>11</x:v>
      </x:c>
      <x:c r="B23" s="73" t="n">
        <x:v>54218673000141</x:v>
      </x:c>
      <x:c r="C23" s="38" t="str">
        <x:v>54.218.673/0001-41</x:v>
      </x:c>
      <x:c r="D23" s="38" t="str">
        <x:v>CLOUDWALK BIG PICTURE I FUNDO DE INVESTIMENTO EM DIREITOS CREDITÓRIOS SEGMENTO MEIOS DE PAGAMENTO</x:v>
      </x:c>
      <x:c r="E23" s="38" t="str">
        <x:v>Cloudwalk Bela Pi e Big Picture I–IV</x:v>
      </x:c>
      <x:c r="F23" s="38" t="str">
        <x:v>Flagships</x:v>
      </x:c>
      <x:c r="G23" s="38" t="str">
        <x:v>2026-06</x:v>
      </x:c>
      <x:c r="H23" s="38" t="str">
        <x:v>localizado</x:v>
      </x:c>
      <x:c r="I23" s="79" t="n">
        <x:v>904073803.43</x:v>
      </x:c>
      <x:c r="J23" s="79" t="n">
        <x:v>904073803.4307282</x:v>
      </x:c>
      <x:c r="K23" s="79" t="n">
        <x:v>23050123.39000326</x:v>
      </x:c>
      <x:c r="L23" s="85" t="n">
        <x:v>0.02549584259885921</x:v>
      </x:c>
      <x:c r="M23" s="38" t="str">
        <x:v>Calculado com classes reportadas e PL oficial reconciliado</x:v>
      </x:c>
      <x:c r="N23" s="85" t="n">
        <x:v>0.025</x:v>
      </x:c>
      <x:c r="O23" s="85" t="str">
        <x:v>N/D</x:v>
      </x:c>
      <x:c r="P23" s="85" t="str">
        <x:v>N/D</x:v>
      </x:c>
      <x:c r="Q23" s="85" t="str">
        <x:v>N/D</x:v>
      </x:c>
      <x:c r="R23" s="85" t="str">
        <x:v>N/D</x:v>
      </x:c>
      <x:c r="S23" s="85" t="n">
        <x:v>0.025</x:v>
      </x:c>
      <x:c r="T23" s="38" t="str">
        <x:v>2,5%</x:v>
      </x:c>
      <x:c r="U23" s="38" t="str">
        <x:v>junior_pl</x:v>
      </x:c>
      <x:c r="V23" s="38" t="str">
        <x:v>direto no regulamento</x:v>
      </x:c>
      <x:c r="W23" s="67" t="b">
        <x:v>1</x:v>
      </x:c>
      <x:c r="X23" s="38" t="str">
        <x:v>Comparável — documento confirma ausência de mezanino</x:v>
      </x:c>
      <x:c r="Y23" s="67" t="b">
        <x:v>0</x:v>
      </x:c>
      <x:c r="Z23" s="85" t="n">
        <x:v>0.0004958425988592086</x:v>
      </x:c>
      <x:c r="AA23" s="85" t="n">
        <x:v>0.0005085565116504703</x:v>
      </x:c>
      <x:c r="AB23" s="38" t="str">
        <x:v>acima do mínimo</x:v>
      </x:c>
      <x:c r="AC23" s="38" t="str">
        <x:v>N/D</x:v>
      </x:c>
      <x:c r="AD23" s="38" t="str">
        <x:v>N/D</x:v>
      </x:c>
      <x:c r="AE23" s="38" t="str">
        <x:v>Adquirência — banco emissor</x:v>
      </x:c>
      <x:c r="AF23" s="38" t="str">
        <x:v>N/D</x:v>
      </x:c>
      <x:c r="AG23" s="38" t="str">
        <x:v>N/D</x:v>
      </x:c>
      <x:c r="AH23" s="38" t="str">
        <x:v>N/D</x:v>
      </x:c>
      <x:c r="AI23" s="38" t="str">
        <x:v>N/D</x:v>
      </x:c>
      <x:c r="AJ23" s="38" t="str">
        <x:v>N/D</x:v>
      </x:c>
      <x:c r="AK23" s="38" t="str">
        <x:v>N/D</x:v>
      </x:c>
      <x:c r="AL23" s="38" t="str">
        <x:v>N/D</x:v>
      </x:c>
      <x:c r="AM23" s="38" t="str">
        <x:v>sem_overlay</x:v>
      </x:c>
      <x:c r="AN23" s="38" t="str">
        <x:v>N/D</x:v>
      </x:c>
      <x:c r="AO23" s="38" t="str">
        <x:v>1072697</x:v>
      </x:c>
      <x:c r="AP23" s="38" t="str">
        <x:v>2025-12-23</x:v>
      </x:c>
      <x:c r="AQ23" s="38" t="str">
        <x:v>p. 90; Suplemento 1, definição “Índice de Subordinação”</x:v>
      </x:c>
      <x:c r="AR23" s="38" t="str">
        <x:v>revisto — mínimo júnior localizado</x:v>
      </x:c>
      <x:c r="AS23" s="38" t="str">
        <x:v>FundosNet/B3; documento 1072697; referência 2025-12-23; p. 90; Suplemento 1, definição “Índice de Subordinação”</x:v>
      </x:c>
      <x:c r="AT23" s="38" t="str">
        <x:v>Cotas subordinadas / PL, razão mínima de 2,5%; a estrutura não tem mezanino no regulamento lido.</x:v>
      </x:c>
      <x:c r="AU23" s="38" t="str">
        <x:v>originador; cedente; sacado/devedor; tipo de recebível</x:v>
      </x:c>
      <x:c r="AV23" s="38" t="str">
        <x:v>completo_para_folga</x:v>
      </x:c>
    </x:row>
    <x:row r="24" ht="31.5" customHeight="1">
      <x:c r="A24" s="39" t="n">
        <x:v>11</x:v>
      </x:c>
      <x:c r="B24" s="72" t="n">
        <x:v>54248022000102</x:v>
      </x:c>
      <x:c r="C24" s="39" t="str">
        <x:v>54.248.022/0001-02</x:v>
      </x:c>
      <x:c r="D24" s="39" t="str">
        <x:v>CLOUDWALK BIG PICTURE IV FUNDO DE INVESTIMENTO EM DIREITOS CREDITÓRIOS SEGMENTO MEIOS DE PAGAMENTO</x:v>
      </x:c>
      <x:c r="E24" s="39" t="str">
        <x:v>Cloudwalk Bela Pi e Big Picture I–IV</x:v>
      </x:c>
      <x:c r="F24" s="39" t="str">
        <x:v>Flagships</x:v>
      </x:c>
      <x:c r="G24" s="39" t="str">
        <x:v>2026-06</x:v>
      </x:c>
      <x:c r="H24" s="39" t="str">
        <x:v>localizado</x:v>
      </x:c>
      <x:c r="I24" s="78" t="n">
        <x:v>310583203.44</x:v>
      </x:c>
      <x:c r="J24" s="78" t="n">
        <x:v>310582827.7614887</x:v>
      </x:c>
      <x:c r="K24" s="78" t="n">
        <x:v>69501050.47028863</x:v>
      </x:c>
      <x:c r="L24" s="84" t="n">
        <x:v>0.22377594699423337</x:v>
      </x:c>
      <x:c r="M24" s="39" t="str">
        <x:v>Calculado com classes reportadas e PL oficial reconciliado</x:v>
      </x:c>
      <x:c r="N24" s="84" t="n">
        <x:v>0.2</x:v>
      </x:c>
      <x:c r="O24" s="84" t="str">
        <x:v>N/D</x:v>
      </x:c>
      <x:c r="P24" s="84" t="str">
        <x:v>N/D</x:v>
      </x:c>
      <x:c r="Q24" s="84" t="str">
        <x:v>N/D</x:v>
      </x:c>
      <x:c r="R24" s="84" t="str">
        <x:v>N/D</x:v>
      </x:c>
      <x:c r="S24" s="84" t="n">
        <x:v>0.2</x:v>
      </x:c>
      <x:c r="T24" s="39" t="str">
        <x:v>20,0%</x:v>
      </x:c>
      <x:c r="U24" s="39" t="str">
        <x:v>junior_pl</x:v>
      </x:c>
      <x:c r="V24" s="39" t="str">
        <x:v>direto no regulamento</x:v>
      </x:c>
      <x:c r="W24" s="66" t="b">
        <x:v>1</x:v>
      </x:c>
      <x:c r="X24" s="39" t="str">
        <x:v>Comparável — documento confirma ausência de mezanino</x:v>
      </x:c>
      <x:c r="Y24" s="66" t="b">
        <x:v>0</x:v>
      </x:c>
      <x:c r="Z24" s="84" t="n">
        <x:v>0.023775946994233355</x:v>
      </x:c>
      <x:c r="AA24" s="84" t="n">
        <x:v>0.029719933742791693</x:v>
      </x:c>
      <x:c r="AB24" s="39" t="str">
        <x:v>acima do mínimo</x:v>
      </x:c>
      <x:c r="AC24" s="39" t="str">
        <x:v>N/D</x:v>
      </x:c>
      <x:c r="AD24" s="39" t="str">
        <x:v>N/D</x:v>
      </x:c>
      <x:c r="AE24" s="39" t="str">
        <x:v>Adquirência — banco emissor</x:v>
      </x:c>
      <x:c r="AF24" s="39" t="str">
        <x:v>N/D</x:v>
      </x:c>
      <x:c r="AG24" s="39" t="str">
        <x:v>N/D</x:v>
      </x:c>
      <x:c r="AH24" s="39" t="str">
        <x:v>N/D</x:v>
      </x:c>
      <x:c r="AI24" s="39" t="str">
        <x:v>N/D</x:v>
      </x:c>
      <x:c r="AJ24" s="39" t="str">
        <x:v>N/D</x:v>
      </x:c>
      <x:c r="AK24" s="39" t="str">
        <x:v>N/D</x:v>
      </x:c>
      <x:c r="AL24" s="39" t="str">
        <x:v>N/D</x:v>
      </x:c>
      <x:c r="AM24" s="39" t="str">
        <x:v>sem_overlay</x:v>
      </x:c>
      <x:c r="AN24" s="39" t="str">
        <x:v>N/D</x:v>
      </x:c>
      <x:c r="AO24" s="39" t="str">
        <x:v>1072746</x:v>
      </x:c>
      <x:c r="AP24" s="39" t="str">
        <x:v>2025-12-22</x:v>
      </x:c>
      <x:c r="AQ24" s="39" t="str">
        <x:v>p. 91; Suplemento 1, definição “Índice de Subordinação”</x:v>
      </x:c>
      <x:c r="AR24" s="39" t="str">
        <x:v>revisto — mínimo júnior localizado</x:v>
      </x:c>
      <x:c r="AS24" s="39" t="str">
        <x:v>FundosNet/B3; documento 1072746; referência 2025-12-22; p. 91; Suplemento 1, definição “Índice de Subordinação”</x:v>
      </x:c>
      <x:c r="AT24" s="39" t="str">
        <x:v>Cotas subordinadas / PL, razão mínima de 20,0%; a estrutura não tem mezanino no regulamento lido.</x:v>
      </x:c>
      <x:c r="AU24" s="39" t="str">
        <x:v>originador; cedente; sacado/devedor; tipo de recebível</x:v>
      </x:c>
      <x:c r="AV24" s="39" t="str">
        <x:v>completo_para_folga</x:v>
      </x:c>
    </x:row>
    <x:row r="25" ht="31.5" customHeight="1">
      <x:c r="A25" s="38" t="n">
        <x:v>11</x:v>
      </x:c>
      <x:c r="B25" s="73" t="n">
        <x:v>54218941000125</x:v>
      </x:c>
      <x:c r="C25" s="38" t="str">
        <x:v>54.218.941/0001-25</x:v>
      </x:c>
      <x:c r="D25" s="38" t="str">
        <x:v>CLOUDWALK BIG PICTURE II FUNDO DE INVESTIMENTO EM DIREITOS CREDITÓRIOS SEGMENTO MEIOS DE PAGAMENTO</x:v>
      </x:c>
      <x:c r="E25" s="38" t="str">
        <x:v>Cloudwalk Bela Pi e Big Picture I–IV</x:v>
      </x:c>
      <x:c r="F25" s="38" t="str">
        <x:v>Flagships</x:v>
      </x:c>
      <x:c r="G25" s="38" t="str">
        <x:v>2026-06</x:v>
      </x:c>
      <x:c r="H25" s="38" t="str">
        <x:v>localizado</x:v>
      </x:c>
      <x:c r="I25" s="79" t="n">
        <x:v>301953274.03</x:v>
      </x:c>
      <x:c r="J25" s="79" t="n">
        <x:v>301953274.0413766</x:v>
      </x:c>
      <x:c r="K25" s="79" t="n">
        <x:v>9760713.340036629</x:v>
      </x:c>
      <x:c r="L25" s="85" t="n">
        <x:v>0.03232524426632603</x:v>
      </x:c>
      <x:c r="M25" s="38" t="str">
        <x:v>Calculado com classes reportadas e PL oficial reconciliado</x:v>
      </x:c>
      <x:c r="N25" s="85" t="n">
        <x:v>0.03</x:v>
      </x:c>
      <x:c r="O25" s="85" t="str">
        <x:v>N/D</x:v>
      </x:c>
      <x:c r="P25" s="85" t="str">
        <x:v>N/D</x:v>
      </x:c>
      <x:c r="Q25" s="85" t="str">
        <x:v>N/D</x:v>
      </x:c>
      <x:c r="R25" s="85" t="str">
        <x:v>N/D</x:v>
      </x:c>
      <x:c r="S25" s="85" t="n">
        <x:v>0.03</x:v>
      </x:c>
      <x:c r="T25" s="38" t="str">
        <x:v>3,0%</x:v>
      </x:c>
      <x:c r="U25" s="38" t="str">
        <x:v>junior_pl</x:v>
      </x:c>
      <x:c r="V25" s="38" t="str">
        <x:v>direto no regulamento</x:v>
      </x:c>
      <x:c r="W25" s="67" t="b">
        <x:v>1</x:v>
      </x:c>
      <x:c r="X25" s="38" t="str">
        <x:v>Comparável — documento confirma ausência de mezanino</x:v>
      </x:c>
      <x:c r="Y25" s="67" t="b">
        <x:v>0</x:v>
      </x:c>
      <x:c r="Z25" s="85" t="n">
        <x:v>0.002325244266326028</x:v>
      </x:c>
      <x:c r="AA25" s="85" t="n">
        <x:v>0.0023971590374495134</x:v>
      </x:c>
      <x:c r="AB25" s="38" t="str">
        <x:v>acima do mínimo</x:v>
      </x:c>
      <x:c r="AC25" s="38" t="str">
        <x:v>N/D</x:v>
      </x:c>
      <x:c r="AD25" s="38" t="str">
        <x:v>N/D</x:v>
      </x:c>
      <x:c r="AE25" s="38" t="str">
        <x:v>Adquirência — banco emissor</x:v>
      </x:c>
      <x:c r="AF25" s="38" t="str">
        <x:v>N/D</x:v>
      </x:c>
      <x:c r="AG25" s="38" t="str">
        <x:v>N/D</x:v>
      </x:c>
      <x:c r="AH25" s="38" t="str">
        <x:v>N/D</x:v>
      </x:c>
      <x:c r="AI25" s="38" t="str">
        <x:v>N/D</x:v>
      </x:c>
      <x:c r="AJ25" s="38" t="str">
        <x:v>N/D</x:v>
      </x:c>
      <x:c r="AK25" s="38" t="str">
        <x:v>N/D</x:v>
      </x:c>
      <x:c r="AL25" s="38" t="str">
        <x:v>N/D</x:v>
      </x:c>
      <x:c r="AM25" s="38" t="str">
        <x:v>sem_overlay</x:v>
      </x:c>
      <x:c r="AN25" s="38" t="str">
        <x:v>N/D</x:v>
      </x:c>
      <x:c r="AO25" s="38" t="str">
        <x:v>1072783</x:v>
      </x:c>
      <x:c r="AP25" s="38" t="str">
        <x:v>2025-12-22</x:v>
      </x:c>
      <x:c r="AQ25" s="38" t="str">
        <x:v>p. 90; Suplemento 1, definição “Índice de Subordinação”</x:v>
      </x:c>
      <x:c r="AR25" s="38" t="str">
        <x:v>revisto — mínimo júnior localizado</x:v>
      </x:c>
      <x:c r="AS25" s="38" t="str">
        <x:v>FundosNet/B3; documento 1072783; referência 2025-12-22; p. 90; Suplemento 1, definição “Índice de Subordinação”</x:v>
      </x:c>
      <x:c r="AT25" s="38" t="str">
        <x:v>Cotas subordinadas / PL, razão mínima de 3,0%; a estrutura não tem mezanino no regulamento lido.</x:v>
      </x:c>
      <x:c r="AU25" s="38" t="str">
        <x:v>originador; cedente; sacado/devedor; tipo de recebível</x:v>
      </x:c>
      <x:c r="AV25" s="38" t="str">
        <x:v>completo_para_folga</x:v>
      </x:c>
    </x:row>
    <x:row r="26" ht="31.5" customHeight="1">
      <x:c r="A26" s="39" t="n">
        <x:v>11</x:v>
      </x:c>
      <x:c r="B26" s="72" t="n">
        <x:v>54219179000100</x:v>
      </x:c>
      <x:c r="C26" s="39" t="str">
        <x:v>54.219.179/0001-00</x:v>
      </x:c>
      <x:c r="D26" s="39" t="str">
        <x:v>CLOUDWALK BIG PICTURE III FUNDO DE INVESTIMENTO EM DIREITOS CREDITÓRIOS SEGMENTO MEIOS DE PAGAMENTO</x:v>
      </x:c>
      <x:c r="E26" s="39" t="str">
        <x:v>Cloudwalk Bela Pi e Big Picture I–IV</x:v>
      </x:c>
      <x:c r="F26" s="39" t="str">
        <x:v>Flagships</x:v>
      </x:c>
      <x:c r="G26" s="39" t="str">
        <x:v>2026-06</x:v>
      </x:c>
      <x:c r="H26" s="39" t="str">
        <x:v>localizado</x:v>
      </x:c>
      <x:c r="I26" s="78" t="n">
        <x:v>151890811.96</x:v>
      </x:c>
      <x:c r="J26" s="78" t="n">
        <x:v>151900811.9605531</x:v>
      </x:c>
      <x:c r="K26" s="78" t="n">
        <x:v>8801192.709978115</x:v>
      </x:c>
      <x:c r="L26" s="84" t="n">
        <x:v>0.05794420739745524</x:v>
      </x:c>
      <x:c r="M26" s="39" t="str">
        <x:v>Calculado com classes reportadas e PL oficial reconciliado</x:v>
      </x:c>
      <x:c r="N26" s="84" t="str">
        <x:v>N/D</x:v>
      </x:c>
      <x:c r="O26" s="84" t="str">
        <x:v>N/D</x:v>
      </x:c>
      <x:c r="P26" s="84" t="str">
        <x:v>N/D</x:v>
      </x:c>
      <x:c r="Q26" s="84" t="str">
        <x:v>N/D</x:v>
      </x:c>
      <x:c r="R26" s="84" t="str">
        <x:v>N/D</x:v>
      </x:c>
      <x:c r="S26" s="84" t="str">
        <x:v>N/D</x:v>
      </x:c>
      <x:c r="T26" s="39" t="str">
        <x:v>N/D</x:v>
      </x:c>
      <x:c r="U26" s="39" t="str">
        <x:v>sem_indice</x:v>
      </x:c>
      <x:c r="V26" s="39" t="str">
        <x:v>N/D</x:v>
      </x:c>
      <x:c r="W26" s="66" t="b">
        <x:v>0</x:v>
      </x:c>
      <x:c r="X26" s="39" t="str">
        <x:v>N/D — mínimo estrutural ou subordinação atual ausente</x:v>
      </x:c>
      <x:c r="Y26" s="66" t="b">
        <x:v>0</x:v>
      </x:c>
      <x:c r="Z26" s="84" t="str">
        <x:v>N/D</x:v>
      </x:c>
      <x:c r="AA26" s="84" t="str">
        <x:v>N/D</x:v>
      </x:c>
      <x:c r="AB26" s="39" t="str">
        <x:v>não medido</x:v>
      </x:c>
      <x:c r="AC26" s="39" t="str">
        <x:v>N/D</x:v>
      </x:c>
      <x:c r="AD26" s="39" t="str">
        <x:v>N/D</x:v>
      </x:c>
      <x:c r="AE26" s="39" t="str">
        <x:v>Adquirência — banco emissor</x:v>
      </x:c>
      <x:c r="AF26" s="39" t="str">
        <x:v>N/D</x:v>
      </x:c>
      <x:c r="AG26" s="39" t="str">
        <x:v>N/D</x:v>
      </x:c>
      <x:c r="AH26" s="39" t="str">
        <x:v>N/D</x:v>
      </x:c>
      <x:c r="AI26" s="39" t="str">
        <x:v>N/D</x:v>
      </x:c>
      <x:c r="AJ26" s="39" t="str">
        <x:v>N/D</x:v>
      </x:c>
      <x:c r="AK26" s="39" t="str">
        <x:v>N/D</x:v>
      </x:c>
      <x:c r="AL26" s="39" t="str">
        <x:v>N/D</x:v>
      </x:c>
      <x:c r="AM26" s="39" t="str">
        <x:v>sem_overlay</x:v>
      </x:c>
      <x:c r="AN26" s="39" t="str">
        <x:v>N/D</x:v>
      </x:c>
      <x:c r="AO26" s="39" t="str">
        <x:v>1072799</x:v>
      </x:c>
      <x:c r="AP26" s="39" t="str">
        <x:v>2025-12-22</x:v>
      </x:c>
      <x:c r="AQ26" s="39" t="str">
        <x:v>p. 90; Suplemento 1, definição “Índice de Subordinação”</x:v>
      </x:c>
      <x:c r="AR26" s="39" t="str">
        <x:v>revisto — conflito interno do documento</x:v>
      </x:c>
      <x:c r="AS26" s="39" t="str">
        <x:v>FundosNet/B3; documento 1072799; referência 2025-12-22; p. 90; Suplemento 1, definição “Índice de Subordinação”</x:v>
      </x:c>
      <x:c r="AT26" s="39" t="str">
        <x:v>N/D</x:v>
      </x:c>
      <x:c r="AU26" s="39" t="str">
        <x:v>mínimo estrutural comparável; originador; cedente; sacado/devedor; tipo de recebível</x:v>
      </x:c>
      <x:c r="AV26" s="39" t="str">
        <x:v>minimo_estrutural_ausente</x:v>
      </x:c>
    </x:row>
    <x:row r="27" ht="31.5" customHeight="1">
      <x:c r="A27" s="38" t="n">
        <x:v>12</x:v>
      </x:c>
      <x:c r="B27" s="73" t="n">
        <x:v>26286939000158</x:v>
      </x:c>
      <x:c r="C27" s="38" t="str">
        <x:v>26.286.939/0001-58</x:v>
      </x:c>
      <x:c r="D27" s="38" t="str">
        <x:v>CIELO FUNDO DE INVESTIMENTO EM DIREITOS CREDITÓRIOS</x:v>
      </x:c>
      <x:c r="E27" s="38" t="str">
        <x:v>Cielo</x:v>
      </x:c>
      <x:c r="F27" s="38" t="str">
        <x:v>Flagships</x:v>
      </x:c>
      <x:c r="G27" s="38" t="str">
        <x:v>2026-06</x:v>
      </x:c>
      <x:c r="H27" s="38" t="str">
        <x:v>localizado</x:v>
      </x:c>
      <x:c r="I27" s="79" t="n">
        <x:v>6479950762.42</x:v>
      </x:c>
      <x:c r="J27" s="79" t="n">
        <x:v>6479950569.116418</x:v>
      </x:c>
      <x:c r="K27" s="79" t="n">
        <x:v>5452833865.316418</x:v>
      </x:c>
      <x:c r="L27" s="85" t="n">
        <x:v>0.8414931016049888</x:v>
      </x:c>
      <x:c r="M27" s="38" t="str">
        <x:v>Calculado com classes reportadas e PL oficial reconciliado</x:v>
      </x:c>
      <x:c r="N27" s="85" t="str">
        <x:v>N/D</x:v>
      </x:c>
      <x:c r="O27" s="85" t="str">
        <x:v>N/D</x:v>
      </x:c>
      <x:c r="P27" s="85" t="str">
        <x:v>N/D</x:v>
      </x:c>
      <x:c r="Q27" s="85" t="str">
        <x:v>N/D</x:v>
      </x:c>
      <x:c r="R27" s="85" t="str">
        <x:v>N/D</x:v>
      </x:c>
      <x:c r="S27" s="85" t="str">
        <x:v>N/D</x:v>
      </x:c>
      <x:c r="T27" s="38" t="str">
        <x:v>N/D</x:v>
      </x:c>
      <x:c r="U27" s="38" t="str">
        <x:v>sem_indice</x:v>
      </x:c>
      <x:c r="V27" s="38" t="str">
        <x:v>N/D</x:v>
      </x:c>
      <x:c r="W27" s="67" t="b">
        <x:v>0</x:v>
      </x:c>
      <x:c r="X27" s="38" t="str">
        <x:v>N/D — mínimo estrutural ou subordinação atual ausente</x:v>
      </x:c>
      <x:c r="Y27" s="67" t="b">
        <x:v>0</x:v>
      </x:c>
      <x:c r="Z27" s="85" t="str">
        <x:v>N/D</x:v>
      </x:c>
      <x:c r="AA27" s="85" t="str">
        <x:v>N/D</x:v>
      </x:c>
      <x:c r="AB27" s="38" t="str">
        <x:v>não medido</x:v>
      </x:c>
      <x:c r="AC27" s="38" t="str">
        <x:v>N/D</x:v>
      </x:c>
      <x:c r="AD27" s="38" t="str">
        <x:v>N/D</x:v>
      </x:c>
      <x:c r="AE27" s="38" t="str">
        <x:v>Adquirência — banco emissor</x:v>
      </x:c>
      <x:c r="AF27" s="38" t="str">
        <x:v>N/D</x:v>
      </x:c>
      <x:c r="AG27" s="38" t="str">
        <x:v>N/D</x:v>
      </x:c>
      <x:c r="AH27" s="38" t="str">
        <x:v>N/D</x:v>
      </x:c>
      <x:c r="AI27" s="38" t="str">
        <x:v>N/D</x:v>
      </x:c>
      <x:c r="AJ27" s="38" t="str">
        <x:v>N/D</x:v>
      </x:c>
      <x:c r="AK27" s="38" t="str">
        <x:v>N/D</x:v>
      </x:c>
      <x:c r="AL27" s="38" t="str">
        <x:v>N/D</x:v>
      </x:c>
      <x:c r="AM27" s="38" t="str">
        <x:v>sem_overlay</x:v>
      </x:c>
      <x:c r="AN27" s="38" t="str">
        <x:v>N/D</x:v>
      </x:c>
      <x:c r="AO27" s="38" t="str">
        <x:v>N/D</x:v>
      </x:c>
      <x:c r="AP27" s="38" t="str">
        <x:v>N/D</x:v>
      </x:c>
      <x:c r="AQ27" s="38" t="str">
        <x:v>N/D</x:v>
      </x:c>
      <x:c r="AR27" s="38" t="str">
        <x:v>lacuna — regulamento integral não disponível nas fontes locais</x:v>
      </x:c>
      <x:c r="AS27" s="38" t="str">
        <x:v>N/D</x:v>
      </x:c>
      <x:c r="AT27" s="38" t="str">
        <x:v>N/D</x:v>
      </x:c>
      <x:c r="AU27" s="38" t="str">
        <x:v>mínimo estrutural comparável; originador; cedente; sacado/devedor; tipo de recebível</x:v>
      </x:c>
      <x:c r="AV27" s="38" t="str">
        <x:v>minimo_estrutural_ausente</x:v>
      </x:c>
    </x:row>
    <x:row r="28" ht="31.5" customHeight="1">
      <x:c r="A28" s="39" t="n">
        <x:v>13</x:v>
      </x:c>
      <x:c r="B28" s="72" t="n">
        <x:v>54979779000168</x:v>
      </x:c>
      <x:c r="C28" s="39" t="str">
        <x:v>54.979.779/0001-68</x:v>
      </x:c>
      <x:c r="D28" s="39" t="str">
        <x:v>FIDC ACR BEM BANCOS EMISSORES DE CARTÃO DE CRÉDITO - RESPONSABILIDADE LIMITADA</x:v>
      </x:c>
      <x:c r="E28" s="39" t="str">
        <x:v>ACR BEM, ACR I e ACR IV</x:v>
      </x:c>
      <x:c r="F28" s="39" t="str">
        <x:v>Flagships</x:v>
      </x:c>
      <x:c r="G28" s="39" t="str">
        <x:v>2026-06</x:v>
      </x:c>
      <x:c r="H28" s="39" t="str">
        <x:v>localizado</x:v>
      </x:c>
      <x:c r="I28" s="78" t="n">
        <x:v>3677016076.94</x:v>
      </x:c>
      <x:c r="J28" s="78" t="n">
        <x:v>3677016076.8526</x:v>
      </x:c>
      <x:c r="K28" s="78" t="n">
        <x:v>110934471.0526</x:v>
      </x:c>
      <x:c r="L28" s="84" t="n">
        <x:v>0.030169699759626637</x:v>
      </x:c>
      <x:c r="M28" s="39" t="str">
        <x:v>Calculado com classes reportadas e PL oficial reconciliado</x:v>
      </x:c>
      <x:c r="N28" s="84" t="str">
        <x:v>N/D</x:v>
      </x:c>
      <x:c r="O28" s="84" t="str">
        <x:v>N/D</x:v>
      </x:c>
      <x:c r="P28" s="84" t="str">
        <x:v>N/D</x:v>
      </x:c>
      <x:c r="Q28" s="84" t="str">
        <x:v>N/D</x:v>
      </x:c>
      <x:c r="R28" s="84" t="str">
        <x:v>N/D</x:v>
      </x:c>
      <x:c r="S28" s="84" t="str">
        <x:v>N/D</x:v>
      </x:c>
      <x:c r="T28" s="39" t="str">
        <x:v>N/D</x:v>
      </x:c>
      <x:c r="U28" s="39" t="str">
        <x:v>sem_indice</x:v>
      </x:c>
      <x:c r="V28" s="39" t="str">
        <x:v>N/D</x:v>
      </x:c>
      <x:c r="W28" s="66" t="b">
        <x:v>0</x:v>
      </x:c>
      <x:c r="X28" s="39" t="str">
        <x:v>N/D — mínimo estrutural ou subordinação atual ausente</x:v>
      </x:c>
      <x:c r="Y28" s="66" t="b">
        <x:v>0</x:v>
      </x:c>
      <x:c r="Z28" s="84" t="str">
        <x:v>N/D</x:v>
      </x:c>
      <x:c r="AA28" s="84" t="str">
        <x:v>N/D</x:v>
      </x:c>
      <x:c r="AB28" s="39" t="str">
        <x:v>não medido</x:v>
      </x:c>
      <x:c r="AC28" s="39" t="str">
        <x:v>N/D</x:v>
      </x:c>
      <x:c r="AD28" s="39" t="str">
        <x:v>N/D</x:v>
      </x:c>
      <x:c r="AE28" s="39" t="str">
        <x:v>Adquirência — banco emissor</x:v>
      </x:c>
      <x:c r="AF28" s="39" t="str">
        <x:v>N/D</x:v>
      </x:c>
      <x:c r="AG28" s="39" t="str">
        <x:v>N/D</x:v>
      </x:c>
      <x:c r="AH28" s="39" t="str">
        <x:v>N/D</x:v>
      </x:c>
      <x:c r="AI28" s="39" t="str">
        <x:v>N/D</x:v>
      </x:c>
      <x:c r="AJ28" s="39" t="str">
        <x:v>N/D</x:v>
      </x:c>
      <x:c r="AK28" s="39" t="str">
        <x:v>N/D</x:v>
      </x:c>
      <x:c r="AL28" s="39" t="str">
        <x:v>N/D</x:v>
      </x:c>
      <x:c r="AM28" s="39" t="str">
        <x:v>sem_overlay</x:v>
      </x:c>
      <x:c r="AN28" s="39" t="str">
        <x:v>N/D</x:v>
      </x:c>
      <x:c r="AO28" s="39" t="str">
        <x:v>N/D</x:v>
      </x:c>
      <x:c r="AP28" s="39" t="str">
        <x:v>N/D</x:v>
      </x:c>
      <x:c r="AQ28" s="39" t="str">
        <x:v>N/D</x:v>
      </x:c>
      <x:c r="AR28" s="39" t="str">
        <x:v>lacuna — regulamento integral não disponível nas fontes locais</x:v>
      </x:c>
      <x:c r="AS28" s="39" t="str">
        <x:v>N/D</x:v>
      </x:c>
      <x:c r="AT28" s="39" t="str">
        <x:v>N/D</x:v>
      </x:c>
      <x:c r="AU28" s="39" t="str">
        <x:v>mínimo estrutural comparável; originador; cedente; sacado/devedor; tipo de recebível</x:v>
      </x:c>
      <x:c r="AV28" s="39" t="str">
        <x:v>minimo_estrutural_ausente</x:v>
      </x:c>
    </x:row>
    <x:row r="29" ht="31.5" customHeight="1">
      <x:c r="A29" s="38" t="n">
        <x:v>13</x:v>
      </x:c>
      <x:c r="B29" s="73" t="n">
        <x:v>52256912000122</x:v>
      </x:c>
      <x:c r="C29" s="38" t="str">
        <x:v>52.256.912/0001-22</x:v>
      </x:c>
      <x:c r="D29" s="38" t="str">
        <x:v>FUNDO DE INVESTIMENTO EM DIREITOS CREDITÓRIOS ACR I BANCOS EMISSORES DE CARTÃO DE CRÉDITO RESP LIMI</x:v>
      </x:c>
      <x:c r="E29" s="38" t="str">
        <x:v>ACR BEM, ACR I e ACR IV</x:v>
      </x:c>
      <x:c r="F29" s="38" t="str">
        <x:v>Flagships</x:v>
      </x:c>
      <x:c r="G29" s="38" t="str">
        <x:v>2026-06</x:v>
      </x:c>
      <x:c r="H29" s="38" t="str">
        <x:v>localizado</x:v>
      </x:c>
      <x:c r="I29" s="79" t="n">
        <x:v>2661592324.9</x:v>
      </x:c>
      <x:c r="J29" s="79" t="n">
        <x:v>2661592324.9045186</x:v>
      </x:c>
      <x:c r="K29" s="79" t="n">
        <x:v>221001960.99022916</x:v>
      </x:c>
      <x:c r="L29" s="85" t="n">
        <x:v>0.0830337384590003</x:v>
      </x:c>
      <x:c r="M29" s="38" t="str">
        <x:v>Calculado com classes reportadas e PL oficial reconciliado</x:v>
      </x:c>
      <x:c r="N29" s="85" t="str">
        <x:v>N/D</x:v>
      </x:c>
      <x:c r="O29" s="85" t="str">
        <x:v>N/D</x:v>
      </x:c>
      <x:c r="P29" s="85" t="str">
        <x:v>N/D</x:v>
      </x:c>
      <x:c r="Q29" s="85" t="str">
        <x:v>N/D</x:v>
      </x:c>
      <x:c r="R29" s="85" t="str">
        <x:v>N/D</x:v>
      </x:c>
      <x:c r="S29" s="85" t="str">
        <x:v>N/D</x:v>
      </x:c>
      <x:c r="T29" s="38" t="str">
        <x:v>N/D</x:v>
      </x:c>
      <x:c r="U29" s="38" t="str">
        <x:v>sem_indice</x:v>
      </x:c>
      <x:c r="V29" s="38" t="str">
        <x:v>N/D</x:v>
      </x:c>
      <x:c r="W29" s="67" t="b">
        <x:v>0</x:v>
      </x:c>
      <x:c r="X29" s="38" t="str">
        <x:v>N/D — mínimo estrutural ou subordinação atual ausente</x:v>
      </x:c>
      <x:c r="Y29" s="67" t="b">
        <x:v>0</x:v>
      </x:c>
      <x:c r="Z29" s="85" t="str">
        <x:v>N/D</x:v>
      </x:c>
      <x:c r="AA29" s="85" t="str">
        <x:v>N/D</x:v>
      </x:c>
      <x:c r="AB29" s="38" t="str">
        <x:v>não medido</x:v>
      </x:c>
      <x:c r="AC29" s="38" t="str">
        <x:v>N/D</x:v>
      </x:c>
      <x:c r="AD29" s="38" t="str">
        <x:v>N/D</x:v>
      </x:c>
      <x:c r="AE29" s="38" t="str">
        <x:v>Adquirência — banco emissor</x:v>
      </x:c>
      <x:c r="AF29" s="38" t="str">
        <x:v>N/D</x:v>
      </x:c>
      <x:c r="AG29" s="38" t="str">
        <x:v>N/D</x:v>
      </x:c>
      <x:c r="AH29" s="38" t="str">
        <x:v>N/D</x:v>
      </x:c>
      <x:c r="AI29" s="38" t="str">
        <x:v>N/D</x:v>
      </x:c>
      <x:c r="AJ29" s="38" t="str">
        <x:v>N/D</x:v>
      </x:c>
      <x:c r="AK29" s="38" t="str">
        <x:v>N/D</x:v>
      </x:c>
      <x:c r="AL29" s="38" t="str">
        <x:v>N/D</x:v>
      </x:c>
      <x:c r="AM29" s="38" t="str">
        <x:v>sem_overlay</x:v>
      </x:c>
      <x:c r="AN29" s="38" t="str">
        <x:v>N/D</x:v>
      </x:c>
      <x:c r="AO29" s="38" t="str">
        <x:v>N/D</x:v>
      </x:c>
      <x:c r="AP29" s="38" t="str">
        <x:v>N/D</x:v>
      </x:c>
      <x:c r="AQ29" s="38" t="str">
        <x:v>N/D</x:v>
      </x:c>
      <x:c r="AR29" s="38" t="str">
        <x:v>lacuna — regulamento integral não disponível nas fontes locais</x:v>
      </x:c>
      <x:c r="AS29" s="38" t="str">
        <x:v>N/D</x:v>
      </x:c>
      <x:c r="AT29" s="38" t="str">
        <x:v>N/D</x:v>
      </x:c>
      <x:c r="AU29" s="38" t="str">
        <x:v>mínimo estrutural comparável; originador; cedente; sacado/devedor; tipo de recebível</x:v>
      </x:c>
      <x:c r="AV29" s="38" t="str">
        <x:v>minimo_estrutural_ausente</x:v>
      </x:c>
    </x:row>
    <x:row r="30" ht="31.5" customHeight="1">
      <x:c r="A30" s="39" t="n">
        <x:v>13</x:v>
      </x:c>
      <x:c r="B30" s="72" t="n">
        <x:v>51983832000106</x:v>
      </x:c>
      <x:c r="C30" s="39" t="str">
        <x:v>51.983.832/0001-06</x:v>
      </x:c>
      <x:c r="D30" s="39" t="str">
        <x:v>FUNDO DE INVESTIMENTO EM DIREITOS CREDITÓRIOS - ACR IV</x:v>
      </x:c>
      <x:c r="E30" s="39" t="str">
        <x:v>ACR BEM, ACR I e ACR IV</x:v>
      </x:c>
      <x:c r="F30" s="39" t="str">
        <x:v>Flagships</x:v>
      </x:c>
      <x:c r="G30" s="39" t="str">
        <x:v>2026-06</x:v>
      </x:c>
      <x:c r="H30" s="39" t="str">
        <x:v>localizado</x:v>
      </x:c>
      <x:c r="I30" s="78" t="n">
        <x:v>527467198.34</x:v>
      </x:c>
      <x:c r="J30" s="78" t="n">
        <x:v>527467198.3400203</x:v>
      </x:c>
      <x:c r="K30" s="78" t="n">
        <x:v>16982962.2100203</x:v>
      </x:c>
      <x:c r="L30" s="84" t="n">
        <x:v>0.03219719114945467</x:v>
      </x:c>
      <x:c r="M30" s="39" t="str">
        <x:v>Calculado com classes reportadas e PL oficial reconciliado</x:v>
      </x:c>
      <x:c r="N30" s="84" t="str">
        <x:v>N/D</x:v>
      </x:c>
      <x:c r="O30" s="84" t="str">
        <x:v>N/D</x:v>
      </x:c>
      <x:c r="P30" s="84" t="str">
        <x:v>N/D</x:v>
      </x:c>
      <x:c r="Q30" s="84" t="str">
        <x:v>N/D</x:v>
      </x:c>
      <x:c r="R30" s="84" t="str">
        <x:v>N/D</x:v>
      </x:c>
      <x:c r="S30" s="84" t="str">
        <x:v>N/D</x:v>
      </x:c>
      <x:c r="T30" s="39" t="str">
        <x:v>N/D</x:v>
      </x:c>
      <x:c r="U30" s="39" t="str">
        <x:v>sem_indice</x:v>
      </x:c>
      <x:c r="V30" s="39" t="str">
        <x:v>N/D</x:v>
      </x:c>
      <x:c r="W30" s="66" t="b">
        <x:v>0</x:v>
      </x:c>
      <x:c r="X30" s="39" t="str">
        <x:v>N/D — mínimo estrutural ou subordinação atual ausente</x:v>
      </x:c>
      <x:c r="Y30" s="66" t="b">
        <x:v>0</x:v>
      </x:c>
      <x:c r="Z30" s="84" t="str">
        <x:v>N/D</x:v>
      </x:c>
      <x:c r="AA30" s="84" t="str">
        <x:v>N/D</x:v>
      </x:c>
      <x:c r="AB30" s="39" t="str">
        <x:v>não medido</x:v>
      </x:c>
      <x:c r="AC30" s="39" t="str">
        <x:v>N/D</x:v>
      </x:c>
      <x:c r="AD30" s="39" t="str">
        <x:v>N/D</x:v>
      </x:c>
      <x:c r="AE30" s="39" t="str">
        <x:v>Adquirência — banco emissor</x:v>
      </x:c>
      <x:c r="AF30" s="39" t="str">
        <x:v>N/D</x:v>
      </x:c>
      <x:c r="AG30" s="39" t="str">
        <x:v>N/D</x:v>
      </x:c>
      <x:c r="AH30" s="39" t="str">
        <x:v>N/D</x:v>
      </x:c>
      <x:c r="AI30" s="39" t="str">
        <x:v>N/D</x:v>
      </x:c>
      <x:c r="AJ30" s="39" t="str">
        <x:v>N/D</x:v>
      </x:c>
      <x:c r="AK30" s="39" t="str">
        <x:v>N/D</x:v>
      </x:c>
      <x:c r="AL30" s="39" t="str">
        <x:v>N/D</x:v>
      </x:c>
      <x:c r="AM30" s="39" t="str">
        <x:v>sem_overlay</x:v>
      </x:c>
      <x:c r="AN30" s="39" t="str">
        <x:v>N/D</x:v>
      </x:c>
      <x:c r="AO30" s="39" t="str">
        <x:v>N/D</x:v>
      </x:c>
      <x:c r="AP30" s="39" t="str">
        <x:v>N/D</x:v>
      </x:c>
      <x:c r="AQ30" s="39" t="str">
        <x:v>N/D</x:v>
      </x:c>
      <x:c r="AR30" s="39" t="str">
        <x:v>lacuna — regulamento integral não disponível nas fontes locais</x:v>
      </x:c>
      <x:c r="AS30" s="39" t="str">
        <x:v>N/D</x:v>
      </x:c>
      <x:c r="AT30" s="39" t="str">
        <x:v>N/D</x:v>
      </x:c>
      <x:c r="AU30" s="39" t="str">
        <x:v>mínimo estrutural comparável; originador; cedente; sacado/devedor; tipo de recebível</x:v>
      </x:c>
      <x:c r="AV30" s="39" t="str">
        <x:v>minimo_estrutural_ausente</x:v>
      </x:c>
    </x:row>
    <x:row r="31" ht="31.5" customHeight="1">
      <x:c r="A31" s="38" t="n">
        <x:v>14</x:v>
      </x:c>
      <x:c r="B31" s="73" t="n">
        <x:v>26287464000114</x:v>
      </x:c>
      <x:c r="C31" s="38" t="str">
        <x:v>26.287.464/0001-14</x:v>
      </x:c>
      <x:c r="D31" s="38" t="str">
        <x:v>TAPSO FUNDO DE INVESTIMENTO EM DIREITOS CREDITÓRIOS RESPONSABILIDADE LIMITADA</x:v>
      </x:c>
      <x:c r="E31" s="38" t="str">
        <x:v>Tapso</x:v>
      </x:c>
      <x:c r="F31" s="38" t="str">
        <x:v>Flagships</x:v>
      </x:c>
      <x:c r="G31" s="38" t="str">
        <x:v>2026-06</x:v>
      </x:c>
      <x:c r="H31" s="38" t="str">
        <x:v>localizado</x:v>
      </x:c>
      <x:c r="I31" s="79" t="n">
        <x:v>41496046291.59</x:v>
      </x:c>
      <x:c r="J31" s="79" t="n">
        <x:v>41496046291.58866</x:v>
      </x:c>
      <x:c r="K31" s="79" t="n">
        <x:v>41496046291.58866</x:v>
      </x:c>
      <x:c r="L31" s="85" t="n">
        <x:v>0.9999999999999678</x:v>
      </x:c>
      <x:c r="M31" s="38" t="str">
        <x:v>Calculado com classes reportadas e PL oficial reconciliado</x:v>
      </x:c>
      <x:c r="N31" s="85" t="str">
        <x:v>N/D</x:v>
      </x:c>
      <x:c r="O31" s="85" t="str">
        <x:v>N/D</x:v>
      </x:c>
      <x:c r="P31" s="85" t="str">
        <x:v>N/D</x:v>
      </x:c>
      <x:c r="Q31" s="85" t="str">
        <x:v>N/D</x:v>
      </x:c>
      <x:c r="R31" s="85" t="str">
        <x:v>N/D</x:v>
      </x:c>
      <x:c r="S31" s="85" t="str">
        <x:v>N/D</x:v>
      </x:c>
      <x:c r="T31" s="38" t="str">
        <x:v>N/D</x:v>
      </x:c>
      <x:c r="U31" s="38" t="str">
        <x:v>sem_indice</x:v>
      </x:c>
      <x:c r="V31" s="38" t="str">
        <x:v>N/D</x:v>
      </x:c>
      <x:c r="W31" s="67" t="b">
        <x:v>0</x:v>
      </x:c>
      <x:c r="X31" s="38" t="str">
        <x:v>N/D — mínimo estrutural ou subordinação atual ausente</x:v>
      </x:c>
      <x:c r="Y31" s="67" t="b">
        <x:v>0</x:v>
      </x:c>
      <x:c r="Z31" s="85" t="str">
        <x:v>N/D</x:v>
      </x:c>
      <x:c r="AA31" s="85" t="str">
        <x:v>N/D</x:v>
      </x:c>
      <x:c r="AB31" s="38" t="str">
        <x:v>não medido</x:v>
      </x:c>
      <x:c r="AC31" s="38" t="str">
        <x:v>N/D</x:v>
      </x:c>
      <x:c r="AD31" s="38" t="str">
        <x:v>N/D</x:v>
      </x:c>
      <x:c r="AE31" s="38" t="str">
        <x:v>Adquirência — risco adquirente</x:v>
      </x:c>
      <x:c r="AF31" s="38" t="str">
        <x:v>N/D</x:v>
      </x:c>
      <x:c r="AG31" s="38" t="str">
        <x:v>N/D</x:v>
      </x:c>
      <x:c r="AH31" s="38" t="str">
        <x:v>N/D</x:v>
      </x:c>
      <x:c r="AI31" s="38" t="str">
        <x:v>N/D</x:v>
      </x:c>
      <x:c r="AJ31" s="38" t="str">
        <x:v>N/D</x:v>
      </x:c>
      <x:c r="AK31" s="38" t="str">
        <x:v>N/D</x:v>
      </x:c>
      <x:c r="AL31" s="38" t="str">
        <x:v>N/D</x:v>
      </x:c>
      <x:c r="AM31" s="38" t="str">
        <x:v>sem_overlay</x:v>
      </x:c>
      <x:c r="AN31" s="38" t="str">
        <x:v>N/D</x:v>
      </x:c>
      <x:c r="AO31" s="38" t="str">
        <x:v>N/D</x:v>
      </x:c>
      <x:c r="AP31" s="38" t="str">
        <x:v>N/D</x:v>
      </x:c>
      <x:c r="AQ31" s="38" t="str">
        <x:v>N/D</x:v>
      </x:c>
      <x:c r="AR31" s="38" t="str">
        <x:v>lacuna — regulamento integral não disponível nas fontes locais</x:v>
      </x:c>
      <x:c r="AS31" s="38" t="str">
        <x:v>N/D</x:v>
      </x:c>
      <x:c r="AT31" s="38" t="str">
        <x:v>N/D</x:v>
      </x:c>
      <x:c r="AU31" s="38" t="str">
        <x:v>mínimo estrutural comparável; originador; cedente; sacado/devedor; tipo de recebível</x:v>
      </x:c>
      <x:c r="AV31" s="38" t="str">
        <x:v>minimo_estrutural_ausente</x:v>
      </x:c>
    </x:row>
    <x:row r="32" ht="31.5" customHeight="1">
      <x:c r="A32" s="39" t="n">
        <x:v>15</x:v>
      </x:c>
      <x:c r="B32" s="72" t="n">
        <x:v>63572282000111</x:v>
      </x:c>
      <x:c r="C32" s="39" t="str">
        <x:v>63.572.282/0001-11</x:v>
      </x:c>
      <x:c r="D32" s="39" t="str">
        <x:v>SELLER 3 FUNDO DE INVESTIMENTO EM DIREITOS CREDITÓRIOS SEGMENTO MEIOS DE PAGAMENTO DE RESP LIMITADA</x:v>
      </x:c>
      <x:c r="E32" s="39" t="str">
        <x:v>Seller I, II e III</x:v>
      </x:c>
      <x:c r="F32" s="39" t="str">
        <x:v>Flagships</x:v>
      </x:c>
      <x:c r="G32" s="39" t="str">
        <x:v>2026-06</x:v>
      </x:c>
      <x:c r="H32" s="39" t="str">
        <x:v>localizado</x:v>
      </x:c>
      <x:c r="I32" s="78" t="n">
        <x:v>1876075238.87</x:v>
      </x:c>
      <x:c r="J32" s="78" t="n">
        <x:v>1876075238.8757677</x:v>
      </x:c>
      <x:c r="K32" s="78" t="n">
        <x:v>291366900.5507678</x:v>
      </x:c>
      <x:c r="L32" s="84" t="n">
        <x:v>0.15530661804708018</x:v>
      </x:c>
      <x:c r="M32" s="39" t="str">
        <x:v>Calculado com classes reportadas e PL oficial reconciliado</x:v>
      </x:c>
      <x:c r="N32" s="84" t="n">
        <x:v>0.1</x:v>
      </x:c>
      <x:c r="O32" s="84" t="str">
        <x:v>N/D</x:v>
      </x:c>
      <x:c r="P32" s="84" t="str">
        <x:v>N/D</x:v>
      </x:c>
      <x:c r="Q32" s="84" t="str">
        <x:v>N/D</x:v>
      </x:c>
      <x:c r="R32" s="84" t="str">
        <x:v>N/D</x:v>
      </x:c>
      <x:c r="S32" s="84" t="str">
        <x:v>N/D</x:v>
      </x:c>
      <x:c r="T32" s="39" t="str">
        <x:v>10,0%</x:v>
      </x:c>
      <x:c r="U32" s="39" t="str">
        <x:v>junior_pl</x:v>
      </x:c>
      <x:c r="V32" s="39" t="str">
        <x:v>direto no regulamento</x:v>
      </x:c>
      <x:c r="W32" s="66" t="b">
        <x:v>0</x:v>
      </x:c>
      <x:c r="X32" s="39" t="str">
        <x:v>N/D — equivalência entre mínimo júnior e subordinação total não comprovada</x:v>
      </x:c>
      <x:c r="Y32" s="66" t="b">
        <x:v>1</x:v>
      </x:c>
      <x:c r="Z32" s="84" t="str">
        <x:v>N/D</x:v>
      </x:c>
      <x:c r="AA32" s="84" t="str">
        <x:v>N/D</x:v>
      </x:c>
      <x:c r="AB32" s="39" t="str">
        <x:v>não medido</x:v>
      </x:c>
      <x:c r="AC32" s="39" t="str">
        <x:v>N/D</x:v>
      </x:c>
      <x:c r="AD32" s="39" t="str">
        <x:v>N/D</x:v>
      </x:c>
      <x:c r="AE32" s="39" t="str">
        <x:v>Adquirência — risco adquirente</x:v>
      </x:c>
      <x:c r="AF32" s="39" t="str">
        <x:v>N/D</x:v>
      </x:c>
      <x:c r="AG32" s="39" t="str">
        <x:v>N/D</x:v>
      </x:c>
      <x:c r="AH32" s="39" t="str">
        <x:v>N/D</x:v>
      </x:c>
      <x:c r="AI32" s="39" t="str">
        <x:v>N/D</x:v>
      </x:c>
      <x:c r="AJ32" s="39" t="str">
        <x:v>N/D</x:v>
      </x:c>
      <x:c r="AK32" s="39" t="str">
        <x:v>N/D</x:v>
      </x:c>
      <x:c r="AL32" s="39" t="str">
        <x:v>N/D</x:v>
      </x:c>
      <x:c r="AM32" s="39" t="str">
        <x:v>sem_overlay</x:v>
      </x:c>
      <x:c r="AN32" s="39" t="str">
        <x:v>N/D</x:v>
      </x:c>
      <x:c r="AO32" s="39" t="str">
        <x:v>1089845</x:v>
      </x:c>
      <x:c r="AP32" s="39" t="str">
        <x:v>2026-01-21</x:v>
      </x:c>
      <x:c r="AQ32" s="39" t="str">
        <x:v>p. 99; item 8.8</x:v>
      </x:c>
      <x:c r="AR32" s="39" t="str">
        <x:v>revisto — mínimo júnior localizado</x:v>
      </x:c>
      <x:c r="AS32" s="39" t="str">
        <x:v>FundosNet/B3; documento 1089845; referência 2026-01-21; p. 99; item 8.8</x:v>
      </x:c>
      <x:c r="AT32" s="39" t="str">
        <x:v>Totalidade das cotas subordinadas júnior / PL, mínimo de 10,0%.</x:v>
      </x:c>
      <x:c r="AU32" s="39" t="str">
        <x:v>mínimo estrutural comparável; originador; cedente; sacado/devedor; tipo de recebível</x:v>
      </x:c>
      <x:c r="AV32" s="39" t="str">
        <x:v>estrutura_incomparavel</x:v>
      </x:c>
    </x:row>
    <x:row r="33" ht="31.5" customHeight="1">
      <x:c r="A33" s="38" t="n">
        <x:v>15</x:v>
      </x:c>
      <x:c r="B33" s="73" t="n">
        <x:v>50473039000102</x:v>
      </x:c>
      <x:c r="C33" s="38" t="str">
        <x:v>50.473.039/0001-02</x:v>
      </x:c>
      <x:c r="D33" s="38" t="str">
        <x:v>SELLER FIDC SEGMENTO MEIOS DE PAGAMENTO DE RESPONSABILIDADE LIMITADA</x:v>
      </x:c>
      <x:c r="E33" s="38" t="str">
        <x:v>Seller I, II e III</x:v>
      </x:c>
      <x:c r="F33" s="38" t="str">
        <x:v>Flagships</x:v>
      </x:c>
      <x:c r="G33" s="38" t="str">
        <x:v>2026-06</x:v>
      </x:c>
      <x:c r="H33" s="38" t="str">
        <x:v>localizado</x:v>
      </x:c>
      <x:c r="I33" s="79" t="n">
        <x:v>3656448188.16</x:v>
      </x:c>
      <x:c r="J33" s="79" t="n">
        <x:v>3656448188.156041</x:v>
      </x:c>
      <x:c r="K33" s="79" t="n">
        <x:v>1877109875.6587489</x:v>
      </x:c>
      <x:c r="L33" s="85" t="n">
        <x:v>0.513369745464204</x:v>
      </x:c>
      <x:c r="M33" s="38" t="str">
        <x:v>Calculado com classes reportadas e PL oficial reconciliado</x:v>
      </x:c>
      <x:c r="N33" s="85" t="n">
        <x:v>0.1</x:v>
      </x:c>
      <x:c r="O33" s="85" t="str">
        <x:v>N/D</x:v>
      </x:c>
      <x:c r="P33" s="85" t="str">
        <x:v>N/D</x:v>
      </x:c>
      <x:c r="Q33" s="85" t="str">
        <x:v>N/D</x:v>
      </x:c>
      <x:c r="R33" s="85" t="str">
        <x:v>N/D</x:v>
      </x:c>
      <x:c r="S33" s="85" t="str">
        <x:v>N/D</x:v>
      </x:c>
      <x:c r="T33" s="38" t="str">
        <x:v>10,0%</x:v>
      </x:c>
      <x:c r="U33" s="38" t="str">
        <x:v>junior_pl</x:v>
      </x:c>
      <x:c r="V33" s="38" t="str">
        <x:v>direto no regulamento</x:v>
      </x:c>
      <x:c r="W33" s="67" t="b">
        <x:v>0</x:v>
      </x:c>
      <x:c r="X33" s="38" t="str">
        <x:v>N/D — equivalência entre mínimo júnior e subordinação total não comprovada</x:v>
      </x:c>
      <x:c r="Y33" s="67" t="b">
        <x:v>1</x:v>
      </x:c>
      <x:c r="Z33" s="85" t="str">
        <x:v>N/D</x:v>
      </x:c>
      <x:c r="AA33" s="85" t="str">
        <x:v>N/D</x:v>
      </x:c>
      <x:c r="AB33" s="38" t="str">
        <x:v>não medido</x:v>
      </x:c>
      <x:c r="AC33" s="38" t="str">
        <x:v>N/D</x:v>
      </x:c>
      <x:c r="AD33" s="38" t="str">
        <x:v>N/D</x:v>
      </x:c>
      <x:c r="AE33" s="38" t="str">
        <x:v>Adquirência — risco adquirente</x:v>
      </x:c>
      <x:c r="AF33" s="38" t="str">
        <x:v>Mercado Livre</x:v>
      </x:c>
      <x:c r="AG33" s="38" t="str">
        <x:v>cedente</x:v>
      </x:c>
      <x:c r="AH33" s="38" t="str">
        <x:v>N/D</x:v>
      </x:c>
      <x:c r="AI33" s="38" t="str">
        <x:v>Mercado Livre</x:v>
      </x:c>
      <x:c r="AJ33" s="38" t="str">
        <x:v>N/D</x:v>
      </x:c>
      <x:c r="AK33" s="38" t="str">
        <x:v>recebíveis com risco Grupo Mercado Livre</x:v>
      </x:c>
      <x:c r="AL33" s="38" t="str">
        <x:v>IMG_8706.JPG</x:v>
      </x:c>
      <x:c r="AM33" s="38" t="str">
        <x:v>manual_aplicado</x:v>
      </x:c>
      <x:c r="AN33" s="38" t="str">
        <x:v>Denominação cortada pela largura da coluna na foto.</x:v>
      </x:c>
      <x:c r="AO33" s="38" t="str">
        <x:v>909547</x:v>
      </x:c>
      <x:c r="AP33" s="38" t="str">
        <x:v>2025-05-19</x:v>
      </x:c>
      <x:c r="AQ33" s="38" t="str">
        <x:v>p. 99; item 8.8</x:v>
      </x:c>
      <x:c r="AR33" s="38" t="str">
        <x:v>revisto — mínimo júnior localizado</x:v>
      </x:c>
      <x:c r="AS33" s="38" t="str">
        <x:v>FundosNet/B3; documento 909547; referência 2025-05-19; p. 99; item 8.8</x:v>
      </x:c>
      <x:c r="AT33" s="38" t="str">
        <x:v>Totalidade das cotas subordinadas júnior / PL, mínimo de 10,0%.</x:v>
      </x:c>
      <x:c r="AU33" s="38" t="str">
        <x:v>mínimo estrutural comparável; originador; sacado/devedor</x:v>
      </x:c>
      <x:c r="AV33" s="38" t="str">
        <x:v>estrutura_incomparavel</x:v>
      </x:c>
    </x:row>
    <x:row r="34" ht="31.5" customHeight="1">
      <x:c r="A34" s="39" t="n">
        <x:v>15</x:v>
      </x:c>
      <x:c r="B34" s="72" t="n">
        <x:v>55471753000177</x:v>
      </x:c>
      <x:c r="C34" s="39" t="str">
        <x:v>55.471.753/0001-77</x:v>
      </x:c>
      <x:c r="D34" s="39" t="str">
        <x:v>SELLER II FUNDO DE INVESTIMENTO EM DIREITOS CREDITÓRIOS SEGMENTO MEIOS DE PAGAMENTO RESP LTDA</x:v>
      </x:c>
      <x:c r="E34" s="39" t="str">
        <x:v>Seller I, II e III</x:v>
      </x:c>
      <x:c r="F34" s="39" t="str">
        <x:v>Flagships</x:v>
      </x:c>
      <x:c r="G34" s="39" t="str">
        <x:v>2026-06</x:v>
      </x:c>
      <x:c r="H34" s="39" t="str">
        <x:v>localizado</x:v>
      </x:c>
      <x:c r="I34" s="78" t="n">
        <x:v>2879663753.83</x:v>
      </x:c>
      <x:c r="J34" s="78" t="n">
        <x:v>2879663753.828124</x:v>
      </x:c>
      <x:c r="K34" s="78" t="n">
        <x:v>1873472272.3481245</x:v>
      </x:c>
      <x:c r="L34" s="84" t="n">
        <x:v>0.6505871631215192</x:v>
      </x:c>
      <x:c r="M34" s="39" t="str">
        <x:v>Calculado com classes reportadas e PL oficial reconciliado</x:v>
      </x:c>
      <x:c r="N34" s="84" t="n">
        <x:v>0.33299999999999996</x:v>
      </x:c>
      <x:c r="O34" s="84" t="str">
        <x:v>N/D</x:v>
      </x:c>
      <x:c r="P34" s="84" t="str">
        <x:v>N/D</x:v>
      </x:c>
      <x:c r="Q34" s="84" t="str">
        <x:v>N/D</x:v>
      </x:c>
      <x:c r="R34" s="84" t="str">
        <x:v>N/D</x:v>
      </x:c>
      <x:c r="S34" s="84" t="str">
        <x:v>N/D</x:v>
      </x:c>
      <x:c r="T34" s="39" t="str">
        <x:v>33,3%</x:v>
      </x:c>
      <x:c r="U34" s="39" t="str">
        <x:v>junior_pl</x:v>
      </x:c>
      <x:c r="V34" s="39" t="str">
        <x:v>direto no regulamento</x:v>
      </x:c>
      <x:c r="W34" s="66" t="b">
        <x:v>0</x:v>
      </x:c>
      <x:c r="X34" s="39" t="str">
        <x:v>N/D — equivalência entre mínimo júnior e subordinação total não comprovada</x:v>
      </x:c>
      <x:c r="Y34" s="66" t="b">
        <x:v>1</x:v>
      </x:c>
      <x:c r="Z34" s="84" t="str">
        <x:v>N/D</x:v>
      </x:c>
      <x:c r="AA34" s="84" t="str">
        <x:v>N/D</x:v>
      </x:c>
      <x:c r="AB34" s="39" t="str">
        <x:v>não medido</x:v>
      </x:c>
      <x:c r="AC34" s="39" t="str">
        <x:v>N/D</x:v>
      </x:c>
      <x:c r="AD34" s="39" t="str">
        <x:v>N/D</x:v>
      </x:c>
      <x:c r="AE34" s="39" t="str">
        <x:v>Adquirência — risco adquirente</x:v>
      </x:c>
      <x:c r="AF34" s="39" t="str">
        <x:v>N/D</x:v>
      </x:c>
      <x:c r="AG34" s="39" t="str">
        <x:v>N/D</x:v>
      </x:c>
      <x:c r="AH34" s="39" t="str">
        <x:v>N/D</x:v>
      </x:c>
      <x:c r="AI34" s="39" t="str">
        <x:v>N/D</x:v>
      </x:c>
      <x:c r="AJ34" s="39" t="str">
        <x:v>N/D</x:v>
      </x:c>
      <x:c r="AK34" s="39" t="str">
        <x:v>N/D</x:v>
      </x:c>
      <x:c r="AL34" s="39" t="str">
        <x:v>N/D</x:v>
      </x:c>
      <x:c r="AM34" s="39" t="str">
        <x:v>sem_overlay</x:v>
      </x:c>
      <x:c r="AN34" s="39" t="str">
        <x:v>N/D</x:v>
      </x:c>
      <x:c r="AO34" s="39" t="str">
        <x:v>704724</x:v>
      </x:c>
      <x:c r="AP34" s="39" t="str">
        <x:v>2024-07-25</x:v>
      </x:c>
      <x:c r="AQ34" s="39" t="str">
        <x:v>p. 106–107</x:v>
      </x:c>
      <x:c r="AR34" s="39" t="str">
        <x:v>revisto — mínimo júnior localizado</x:v>
      </x:c>
      <x:c r="AS34" s="39" t="str">
        <x:v>FundosNet/B3; documento 704724; referência 2024-07-25; p. 106–107</x:v>
      </x:c>
      <x:c r="AT34" s="39" t="str">
        <x:v>Cotas subordinadas júnior / PL, mínimo de 33,3%.</x:v>
      </x:c>
      <x:c r="AU34" s="39" t="str">
        <x:v>mínimo estrutural comparável; originador; cedente; sacado/devedor; tipo de recebível</x:v>
      </x:c>
      <x:c r="AV34" s="39" t="str">
        <x:v>estrutura_incomparavel</x:v>
      </x:c>
    </x:row>
    <x:row r="35" ht="31.5" customHeight="1">
      <x:c r="A35" s="38" t="n">
        <x:v>16</x:v>
      </x:c>
      <x:c r="B35" s="73" t="n">
        <x:v>28169275000172</x:v>
      </x:c>
      <x:c r="C35" s="38" t="str">
        <x:v>28.169.275/0001-72</x:v>
      </x:c>
      <x:c r="D35" s="38" t="str">
        <x:v>FUNDO DE INVESTIMENTO EM DIREITOS CREDITÓRIOS PAGSEGURO I</x:v>
      </x:c>
      <x:c r="E35" s="38" t="str">
        <x:v>PagSeguro I</x:v>
      </x:c>
      <x:c r="F35" s="38" t="str">
        <x:v>Flagships</x:v>
      </x:c>
      <x:c r="G35" s="38" t="str">
        <x:v>2026-06</x:v>
      </x:c>
      <x:c r="H35" s="38" t="str">
        <x:v>localizado</x:v>
      </x:c>
      <x:c r="I35" s="79" t="n">
        <x:v>6234652185.61</x:v>
      </x:c>
      <x:c r="J35" s="79" t="n">
        <x:v>6233925629.525884</x:v>
      </x:c>
      <x:c r="K35" s="79" t="n">
        <x:v>3942647146.695884</x:v>
      </x:c>
      <x:c r="L35" s="85" t="n">
        <x:v>0.6323764388646702</x:v>
      </x:c>
      <x:c r="M35" s="38" t="str">
        <x:v>Calculado com classes reportadas e PL oficial reconciliado</x:v>
      </x:c>
      <x:c r="N35" s="85" t="str">
        <x:v>N/D</x:v>
      </x:c>
      <x:c r="O35" s="85" t="str">
        <x:v>N/D</x:v>
      </x:c>
      <x:c r="P35" s="85" t="str">
        <x:v>N/D</x:v>
      </x:c>
      <x:c r="Q35" s="85" t="str">
        <x:v>N/D</x:v>
      </x:c>
      <x:c r="R35" s="85" t="str">
        <x:v>N/D</x:v>
      </x:c>
      <x:c r="S35" s="85" t="str">
        <x:v>N/D</x:v>
      </x:c>
      <x:c r="T35" s="38" t="str">
        <x:v>N/D</x:v>
      </x:c>
      <x:c r="U35" s="38" t="str">
        <x:v>sem_indice</x:v>
      </x:c>
      <x:c r="V35" s="38" t="str">
        <x:v>N/D</x:v>
      </x:c>
      <x:c r="W35" s="67" t="b">
        <x:v>0</x:v>
      </x:c>
      <x:c r="X35" s="38" t="str">
        <x:v>N/D — mínimo estrutural ou subordinação atual ausente</x:v>
      </x:c>
      <x:c r="Y35" s="67" t="b">
        <x:v>0</x:v>
      </x:c>
      <x:c r="Z35" s="85" t="str">
        <x:v>N/D</x:v>
      </x:c>
      <x:c r="AA35" s="85" t="str">
        <x:v>N/D</x:v>
      </x:c>
      <x:c r="AB35" s="38" t="str">
        <x:v>não medido</x:v>
      </x:c>
      <x:c r="AC35" s="38" t="str">
        <x:v>N/D</x:v>
      </x:c>
      <x:c r="AD35" s="38" t="str">
        <x:v>N/D</x:v>
      </x:c>
      <x:c r="AE35" s="38" t="str">
        <x:v>Adquirência — risco adquirente</x:v>
      </x:c>
      <x:c r="AF35" s="38" t="str">
        <x:v>PagSeguro</x:v>
      </x:c>
      <x:c r="AG35" s="38" t="str">
        <x:v>cedente</x:v>
      </x:c>
      <x:c r="AH35" s="38" t="str">
        <x:v>N/D</x:v>
      </x:c>
      <x:c r="AI35" s="38" t="str">
        <x:v>PagSeguro</x:v>
      </x:c>
      <x:c r="AJ35" s="38" t="str">
        <x:v>N/D</x:v>
      </x:c>
      <x:c r="AK35" s="38" t="str">
        <x:v>recebíveis dos ECs</x:v>
      </x:c>
      <x:c r="AL35" s="38" t="str">
        <x:v>IMG_8705.JPG</x:v>
      </x:c>
      <x:c r="AM35" s="38" t="str">
        <x:v>manual_aplicado</x:v>
      </x:c>
      <x:c r="AN35" s="38" t="str">
        <x:v>OBS da foto: compra de recebíveis dos ECs correndo risco da PagSeguro. Denominação cortada.</x:v>
      </x:c>
      <x:c r="AO35" s="38" t="str">
        <x:v>1149521</x:v>
      </x:c>
      <x:c r="AP35" s="38" t="str">
        <x:v>2026-03-25</x:v>
      </x:c>
      <x:c r="AQ35" s="38" t="str">
        <x:v>cláusulas de subordinação e definições revisadas</x:v>
      </x:c>
      <x:c r="AR35" s="38" t="str">
        <x:v>revisto — mínimo júnior não isolado</x:v>
      </x:c>
      <x:c r="AS35" s="38" t="str">
        <x:v>FundosNet/B3; documento 1149521; referência 2026-03-25; cláusulas candidatas revisadas</x:v>
      </x:c>
      <x:c r="AT35" s="38" t="str">
        <x:v>N/D</x:v>
      </x:c>
      <x:c r="AU35" s="38" t="str">
        <x:v>mínimo estrutural comparável; originador; sacado/devedor</x:v>
      </x:c>
      <x:c r="AV35" s="38" t="str">
        <x:v>minimo_estrutural_ausente</x:v>
      </x:c>
    </x:row>
    <x:row r="36" ht="31.5" customHeight="1">
      <x:c r="A36" s="39" t="n">
        <x:v>17</x:v>
      </x:c>
      <x:c r="B36" s="72" t="n">
        <x:v>66929956000180</x:v>
      </x:c>
      <x:c r="C36" s="39" t="str">
        <x:v>66.929.956/0001-80</x:v>
      </x:c>
      <x:c r="D36" s="39" t="str">
        <x:v>BV AUTO III SEGMENTO FINANCEIRO FIDC RESPONSABILIDADE LIMITADA</x:v>
      </x:c>
      <x:c r="E36" s="39" t="str">
        <x:v>BV Auto I, II e III</x:v>
      </x:c>
      <x:c r="F36" s="39" t="str">
        <x:v>Flagships</x:v>
      </x:c>
      <x:c r="G36" s="39" t="str">
        <x:v>2026-06</x:v>
      </x:c>
      <x:c r="H36" s="39" t="str">
        <x:v>localizado</x:v>
      </x:c>
      <x:c r="I36" s="78" t="n">
        <x:v>1461910524.62</x:v>
      </x:c>
      <x:c r="J36" s="78" t="n">
        <x:v>1461731133.5572965</x:v>
      </x:c>
      <x:c r="K36" s="78" t="n">
        <x:v>219348408.30443612</x:v>
      </x:c>
      <x:c r="L36" s="84" t="n">
        <x:v>0.15004229370429645</x:v>
      </x:c>
      <x:c r="M36" s="39" t="str">
        <x:v>Calculado com classes reportadas e PL oficial reconciliado</x:v>
      </x:c>
      <x:c r="N36" s="84" t="str">
        <x:v>N/D</x:v>
      </x:c>
      <x:c r="O36" s="84" t="str">
        <x:v>N/D</x:v>
      </x:c>
      <x:c r="P36" s="84" t="str">
        <x:v>N/D</x:v>
      </x:c>
      <x:c r="Q36" s="84" t="str">
        <x:v>N/D</x:v>
      </x:c>
      <x:c r="R36" s="84" t="str">
        <x:v>N/D</x:v>
      </x:c>
      <x:c r="S36" s="84" t="str">
        <x:v>N/D</x:v>
      </x:c>
      <x:c r="T36" s="39" t="str">
        <x:v>N/D</x:v>
      </x:c>
      <x:c r="U36" s="39" t="str">
        <x:v>sem_indice</x:v>
      </x:c>
      <x:c r="V36" s="39" t="str">
        <x:v>N/D</x:v>
      </x:c>
      <x:c r="W36" s="66" t="b">
        <x:v>0</x:v>
      </x:c>
      <x:c r="X36" s="39" t="str">
        <x:v>N/D — mínimo estrutural ou subordinação atual ausente</x:v>
      </x:c>
      <x:c r="Y36" s="66" t="b">
        <x:v>0</x:v>
      </x:c>
      <x:c r="Z36" s="84" t="str">
        <x:v>N/D</x:v>
      </x:c>
      <x:c r="AA36" s="84" t="str">
        <x:v>N/D</x:v>
      </x:c>
      <x:c r="AB36" s="39" t="str">
        <x:v>não medido</x:v>
      </x:c>
      <x:c r="AC36" s="39" t="str">
        <x:v>N/D</x:v>
      </x:c>
      <x:c r="AD36" s="39" t="str">
        <x:v>N/D</x:v>
      </x:c>
      <x:c r="AE36" s="39" t="str">
        <x:v>Veículos</x:v>
      </x:c>
      <x:c r="AF36" s="39" t="str">
        <x:v>N/D</x:v>
      </x:c>
      <x:c r="AG36" s="39" t="str">
        <x:v>N/D</x:v>
      </x:c>
      <x:c r="AH36" s="39" t="str">
        <x:v>N/D</x:v>
      </x:c>
      <x:c r="AI36" s="39" t="str">
        <x:v>N/D</x:v>
      </x:c>
      <x:c r="AJ36" s="39" t="str">
        <x:v>N/D</x:v>
      </x:c>
      <x:c r="AK36" s="39" t="str">
        <x:v>N/D</x:v>
      </x:c>
      <x:c r="AL36" s="39" t="str">
        <x:v>N/D</x:v>
      </x:c>
      <x:c r="AM36" s="39" t="str">
        <x:v>sem_overlay</x:v>
      </x:c>
      <x:c r="AN36" s="39" t="str">
        <x:v>N/D</x:v>
      </x:c>
      <x:c r="AO36" s="39" t="str">
        <x:v>N/D</x:v>
      </x:c>
      <x:c r="AP36" s="39" t="str">
        <x:v>N/D</x:v>
      </x:c>
      <x:c r="AQ36" s="39" t="str">
        <x:v>N/D</x:v>
      </x:c>
      <x:c r="AR36" s="39" t="str">
        <x:v>lacuna — regulamento integral não disponível nas fontes locais</x:v>
      </x:c>
      <x:c r="AS36" s="39" t="str">
        <x:v>N/D</x:v>
      </x:c>
      <x:c r="AT36" s="39" t="str">
        <x:v>N/D</x:v>
      </x:c>
      <x:c r="AU36" s="39" t="str">
        <x:v>mínimo estrutural comparável; originador; cedente; sacado/devedor; tipo de recebível</x:v>
      </x:c>
      <x:c r="AV36" s="39" t="str">
        <x:v>minimo_estrutural_ausente</x:v>
      </x:c>
    </x:row>
    <x:row r="37" ht="31.5" customHeight="1">
      <x:c r="A37" s="38" t="n">
        <x:v>17</x:v>
      </x:c>
      <x:c r="B37" s="73" t="n">
        <x:v>57532556000146</x:v>
      </x:c>
      <x:c r="C37" s="38" t="str">
        <x:v>57.532.556/0001-46</x:v>
      </x:c>
      <x:c r="D37" s="38" t="str">
        <x:v>FIDC BV AUTO I SEGMENTO FINANCEIRO - RESPONSABILIDADE LIMITADA</x:v>
      </x:c>
      <x:c r="E37" s="38" t="str">
        <x:v>BV Auto I, II e III</x:v>
      </x:c>
      <x:c r="F37" s="38" t="str">
        <x:v>Flagships</x:v>
      </x:c>
      <x:c r="G37" s="38" t="str">
        <x:v>2026-06</x:v>
      </x:c>
      <x:c r="H37" s="38" t="str">
        <x:v>localizado</x:v>
      </x:c>
      <x:c r="I37" s="79" t="n">
        <x:v>1246401933.83</x:v>
      </x:c>
      <x:c r="J37" s="79" t="n">
        <x:v>1246401933.8335</x:v>
      </x:c>
      <x:c r="K37" s="79" t="n">
        <x:v>193453533.31025</x:v>
      </x:c>
      <x:c r="L37" s="85" t="n">
        <x:v>0.1552095901486588</x:v>
      </x:c>
      <x:c r="M37" s="38" t="str">
        <x:v>Calculado com classes reportadas e PL oficial reconciliado</x:v>
      </x:c>
      <x:c r="N37" s="85" t="str">
        <x:v>N/D</x:v>
      </x:c>
      <x:c r="O37" s="85" t="str">
        <x:v>N/D</x:v>
      </x:c>
      <x:c r="P37" s="85" t="str">
        <x:v>N/D</x:v>
      </x:c>
      <x:c r="Q37" s="85" t="str">
        <x:v>N/D</x:v>
      </x:c>
      <x:c r="R37" s="85" t="str">
        <x:v>N/D</x:v>
      </x:c>
      <x:c r="S37" s="85" t="str">
        <x:v>N/D</x:v>
      </x:c>
      <x:c r="T37" s="38" t="str">
        <x:v>N/D</x:v>
      </x:c>
      <x:c r="U37" s="38" t="str">
        <x:v>sem_indice</x:v>
      </x:c>
      <x:c r="V37" s="38" t="str">
        <x:v>N/D</x:v>
      </x:c>
      <x:c r="W37" s="67" t="b">
        <x:v>0</x:v>
      </x:c>
      <x:c r="X37" s="38" t="str">
        <x:v>N/D — mínimo estrutural ou subordinação atual ausente</x:v>
      </x:c>
      <x:c r="Y37" s="67" t="b">
        <x:v>0</x:v>
      </x:c>
      <x:c r="Z37" s="85" t="str">
        <x:v>N/D</x:v>
      </x:c>
      <x:c r="AA37" s="85" t="str">
        <x:v>N/D</x:v>
      </x:c>
      <x:c r="AB37" s="38" t="str">
        <x:v>não medido</x:v>
      </x:c>
      <x:c r="AC37" s="38" t="str">
        <x:v>N/D</x:v>
      </x:c>
      <x:c r="AD37" s="38" t="str">
        <x:v>N/D</x:v>
      </x:c>
      <x:c r="AE37" s="38" t="str">
        <x:v>Veículos</x:v>
      </x:c>
      <x:c r="AF37" s="38" t="str">
        <x:v>N/D</x:v>
      </x:c>
      <x:c r="AG37" s="38" t="str">
        <x:v>N/D</x:v>
      </x:c>
      <x:c r="AH37" s="38" t="str">
        <x:v>N/D</x:v>
      </x:c>
      <x:c r="AI37" s="38" t="str">
        <x:v>N/D</x:v>
      </x:c>
      <x:c r="AJ37" s="38" t="str">
        <x:v>N/D</x:v>
      </x:c>
      <x:c r="AK37" s="38" t="str">
        <x:v>N/D</x:v>
      </x:c>
      <x:c r="AL37" s="38" t="str">
        <x:v>N/D</x:v>
      </x:c>
      <x:c r="AM37" s="38" t="str">
        <x:v>sem_overlay</x:v>
      </x:c>
      <x:c r="AN37" s="38" t="str">
        <x:v>N/D</x:v>
      </x:c>
      <x:c r="AO37" s="38" t="str">
        <x:v>N/D</x:v>
      </x:c>
      <x:c r="AP37" s="38" t="str">
        <x:v>N/D</x:v>
      </x:c>
      <x:c r="AQ37" s="38" t="str">
        <x:v>N/D</x:v>
      </x:c>
      <x:c r="AR37" s="38" t="str">
        <x:v>lacuna — regulamento integral não disponível nas fontes locais</x:v>
      </x:c>
      <x:c r="AS37" s="38" t="str">
        <x:v>N/D</x:v>
      </x:c>
      <x:c r="AT37" s="38" t="str">
        <x:v>N/D</x:v>
      </x:c>
      <x:c r="AU37" s="38" t="str">
        <x:v>mínimo estrutural comparável; originador; cedente; sacado/devedor; tipo de recebível</x:v>
      </x:c>
      <x:c r="AV37" s="38" t="str">
        <x:v>minimo_estrutural_ausente</x:v>
      </x:c>
    </x:row>
    <x:row r="38" ht="31.5" customHeight="1">
      <x:c r="A38" s="39" t="n">
        <x:v>17</x:v>
      </x:c>
      <x:c r="B38" s="72" t="n">
        <x:v>60598366000136</x:v>
      </x:c>
      <x:c r="C38" s="39" t="str">
        <x:v>60.598.366/0001-36</x:v>
      </x:c>
      <x:c r="D38" s="39" t="str">
        <x:v>FIDC BV AUTO II SEGMENTO FINANCEIRO - RESPONSABILIDADE LIMITADA</x:v>
      </x:c>
      <x:c r="E38" s="39" t="str">
        <x:v>BV Auto I, II e III</x:v>
      </x:c>
      <x:c r="F38" s="39" t="str">
        <x:v>Flagships</x:v>
      </x:c>
      <x:c r="G38" s="39" t="str">
        <x:v>2026-06</x:v>
      </x:c>
      <x:c r="H38" s="39" t="str">
        <x:v>localizado</x:v>
      </x:c>
      <x:c r="I38" s="78" t="n">
        <x:v>1013813788.76</x:v>
      </x:c>
      <x:c r="J38" s="78" t="n">
        <x:v>1013813788.7625</x:v>
      </x:c>
      <x:c r="K38" s="78" t="n">
        <x:v>157769309.37975</x:v>
      </x:c>
      <x:c r="L38" s="84" t="n">
        <x:v>0.1556196129199607</x:v>
      </x:c>
      <x:c r="M38" s="39" t="str">
        <x:v>Calculado com classes reportadas e PL oficial reconciliado</x:v>
      </x:c>
      <x:c r="N38" s="84" t="str">
        <x:v>N/D</x:v>
      </x:c>
      <x:c r="O38" s="84" t="str">
        <x:v>N/D</x:v>
      </x:c>
      <x:c r="P38" s="84" t="str">
        <x:v>N/D</x:v>
      </x:c>
      <x:c r="Q38" s="84" t="str">
        <x:v>N/D</x:v>
      </x:c>
      <x:c r="R38" s="84" t="str">
        <x:v>N/D</x:v>
      </x:c>
      <x:c r="S38" s="84" t="str">
        <x:v>N/D</x:v>
      </x:c>
      <x:c r="T38" s="39" t="str">
        <x:v>N/D</x:v>
      </x:c>
      <x:c r="U38" s="39" t="str">
        <x:v>sem_indice</x:v>
      </x:c>
      <x:c r="V38" s="39" t="str">
        <x:v>N/D</x:v>
      </x:c>
      <x:c r="W38" s="66" t="b">
        <x:v>0</x:v>
      </x:c>
      <x:c r="X38" s="39" t="str">
        <x:v>N/D — mínimo estrutural ou subordinação atual ausente</x:v>
      </x:c>
      <x:c r="Y38" s="66" t="b">
        <x:v>0</x:v>
      </x:c>
      <x:c r="Z38" s="84" t="str">
        <x:v>N/D</x:v>
      </x:c>
      <x:c r="AA38" s="84" t="str">
        <x:v>N/D</x:v>
      </x:c>
      <x:c r="AB38" s="39" t="str">
        <x:v>não medido</x:v>
      </x:c>
      <x:c r="AC38" s="39" t="str">
        <x:v>N/D</x:v>
      </x:c>
      <x:c r="AD38" s="39" t="str">
        <x:v>N/D</x:v>
      </x:c>
      <x:c r="AE38" s="39" t="str">
        <x:v>Veículos</x:v>
      </x:c>
      <x:c r="AF38" s="39" t="str">
        <x:v>N/D</x:v>
      </x:c>
      <x:c r="AG38" s="39" t="str">
        <x:v>N/D</x:v>
      </x:c>
      <x:c r="AH38" s="39" t="str">
        <x:v>N/D</x:v>
      </x:c>
      <x:c r="AI38" s="39" t="str">
        <x:v>N/D</x:v>
      </x:c>
      <x:c r="AJ38" s="39" t="str">
        <x:v>N/D</x:v>
      </x:c>
      <x:c r="AK38" s="39" t="str">
        <x:v>N/D</x:v>
      </x:c>
      <x:c r="AL38" s="39" t="str">
        <x:v>N/D</x:v>
      </x:c>
      <x:c r="AM38" s="39" t="str">
        <x:v>sem_overlay</x:v>
      </x:c>
      <x:c r="AN38" s="39" t="str">
        <x:v>N/D</x:v>
      </x:c>
      <x:c r="AO38" s="39" t="str">
        <x:v>928235</x:v>
      </x:c>
      <x:c r="AP38" s="39" t="str">
        <x:v>2025-06-11</x:v>
      </x:c>
      <x:c r="AQ38" s="39" t="str">
        <x:v>cláusulas de subordinação e definições revisadas</x:v>
      </x:c>
      <x:c r="AR38" s="39" t="str">
        <x:v>revisto — mínimo júnior não isolado</x:v>
      </x:c>
      <x:c r="AS38" s="39" t="str">
        <x:v>FundosNet/B3; documento 928235; referência 2025-06-11; cláusulas candidatas revisadas</x:v>
      </x:c>
      <x:c r="AT38" s="39" t="str">
        <x:v>N/D</x:v>
      </x:c>
      <x:c r="AU38" s="39" t="str">
        <x:v>mínimo estrutural comparável; originador; cedente; sacado/devedor; tipo de recebível</x:v>
      </x:c>
      <x:c r="AV38" s="39" t="str">
        <x:v>minimo_estrutural_ausente</x:v>
      </x:c>
    </x:row>
    <x:row r="39" ht="31.5" customHeight="1">
      <x:c r="A39" s="38" t="n">
        <x:v>18</x:v>
      </x:c>
      <x:c r="B39" s="73" t="n">
        <x:v>59929098000109</x:v>
      </x:c>
      <x:c r="C39" s="38" t="str">
        <x:v>59.929.098/0001-09</x:v>
      </x:c>
      <x:c r="D39" s="38" t="str">
        <x:v>FUNDO DE INVESTIMENTO EM DIREITOS CREDITÓRIOS CREDITAS AUTO XII</x:v>
      </x:c>
      <x:c r="E39" s="38" t="str">
        <x:v>Creditas Auto X, XI e XII</x:v>
      </x:c>
      <x:c r="F39" s="38" t="str">
        <x:v>Flagships</x:v>
      </x:c>
      <x:c r="G39" s="38" t="str">
        <x:v>2026-06</x:v>
      </x:c>
      <x:c r="H39" s="38" t="str">
        <x:v>localizado</x:v>
      </x:c>
      <x:c r="I39" s="79" t="n">
        <x:v>2207591119.67</x:v>
      </x:c>
      <x:c r="J39" s="79" t="n">
        <x:v>2207591119.663099</x:v>
      </x:c>
      <x:c r="K39" s="79" t="n">
        <x:v>547661524.260283</x:v>
      </x:c>
      <x:c r="L39" s="85" t="n">
        <x:v>0.24808105059878557</x:v>
      </x:c>
      <x:c r="M39" s="38" t="str">
        <x:v>Calculado com classes reportadas e PL oficial reconciliado</x:v>
      </x:c>
      <x:c r="N39" s="85" t="str">
        <x:v>N/D</x:v>
      </x:c>
      <x:c r="O39" s="85" t="str">
        <x:v>N/D</x:v>
      </x:c>
      <x:c r="P39" s="85" t="str">
        <x:v>N/D</x:v>
      </x:c>
      <x:c r="Q39" s="85" t="str">
        <x:v>N/D</x:v>
      </x:c>
      <x:c r="R39" s="85" t="str">
        <x:v>N/D</x:v>
      </x:c>
      <x:c r="S39" s="85" t="str">
        <x:v>N/D</x:v>
      </x:c>
      <x:c r="T39" s="38" t="str">
        <x:v>N/D</x:v>
      </x:c>
      <x:c r="U39" s="38" t="str">
        <x:v>sem_indice</x:v>
      </x:c>
      <x:c r="V39" s="38" t="str">
        <x:v>N/D</x:v>
      </x:c>
      <x:c r="W39" s="67" t="b">
        <x:v>0</x:v>
      </x:c>
      <x:c r="X39" s="38" t="str">
        <x:v>N/D — mínimo estrutural ou subordinação atual ausente</x:v>
      </x:c>
      <x:c r="Y39" s="67" t="b">
        <x:v>0</x:v>
      </x:c>
      <x:c r="Z39" s="85" t="str">
        <x:v>N/D</x:v>
      </x:c>
      <x:c r="AA39" s="85" t="str">
        <x:v>N/D</x:v>
      </x:c>
      <x:c r="AB39" s="38" t="str">
        <x:v>não medido</x:v>
      </x:c>
      <x:c r="AC39" s="38" t="str">
        <x:v>N/D</x:v>
      </x:c>
      <x:c r="AD39" s="38" t="str">
        <x:v>N/D</x:v>
      </x:c>
      <x:c r="AE39" s="38" t="str">
        <x:v>Veículos</x:v>
      </x:c>
      <x:c r="AF39" s="38" t="str">
        <x:v>N/D</x:v>
      </x:c>
      <x:c r="AG39" s="38" t="str">
        <x:v>N/D</x:v>
      </x:c>
      <x:c r="AH39" s="38" t="str">
        <x:v>N/D</x:v>
      </x:c>
      <x:c r="AI39" s="38" t="str">
        <x:v>N/D</x:v>
      </x:c>
      <x:c r="AJ39" s="38" t="str">
        <x:v>N/D</x:v>
      </x:c>
      <x:c r="AK39" s="38" t="str">
        <x:v>N/D</x:v>
      </x:c>
      <x:c r="AL39" s="38" t="str">
        <x:v>N/D</x:v>
      </x:c>
      <x:c r="AM39" s="38" t="str">
        <x:v>sem_overlay</x:v>
      </x:c>
      <x:c r="AN39" s="38" t="str">
        <x:v>N/D</x:v>
      </x:c>
      <x:c r="AO39" s="38" t="str">
        <x:v>N/D</x:v>
      </x:c>
      <x:c r="AP39" s="38" t="str">
        <x:v>N/D</x:v>
      </x:c>
      <x:c r="AQ39" s="38" t="str">
        <x:v>N/D</x:v>
      </x:c>
      <x:c r="AR39" s="38" t="str">
        <x:v>lacuna — regulamento integral não disponível nas fontes locais</x:v>
      </x:c>
      <x:c r="AS39" s="38" t="str">
        <x:v>N/D</x:v>
      </x:c>
      <x:c r="AT39" s="38" t="str">
        <x:v>N/D</x:v>
      </x:c>
      <x:c r="AU39" s="38" t="str">
        <x:v>mínimo estrutural comparável; originador; cedente; sacado/devedor; tipo de recebível</x:v>
      </x:c>
      <x:c r="AV39" s="38" t="str">
        <x:v>minimo_estrutural_ausente</x:v>
      </x:c>
    </x:row>
    <x:row r="40" ht="31.5" customHeight="1">
      <x:c r="A40" s="39" t="n">
        <x:v>18</x:v>
      </x:c>
      <x:c r="B40" s="72" t="n">
        <x:v>53095241000128</x:v>
      </x:c>
      <x:c r="C40" s="39" t="str">
        <x:v>53.095.241/0001-28</x:v>
      </x:c>
      <x:c r="D40" s="39" t="str">
        <x:v>FUNDO DE INVESTIMENTO EM DIREITOS CREDITÓRIOS CREDITAS AUTO X - RESPONSABILIDADE LIMITADA</x:v>
      </x:c>
      <x:c r="E40" s="39" t="str">
        <x:v>Creditas Auto X, XI e XII</x:v>
      </x:c>
      <x:c r="F40" s="39" t="str">
        <x:v>Flagships</x:v>
      </x:c>
      <x:c r="G40" s="39" t="str">
        <x:v>2026-06</x:v>
      </x:c>
      <x:c r="H40" s="39" t="str">
        <x:v>localizado</x:v>
      </x:c>
      <x:c r="I40" s="78" t="n">
        <x:v>384997010.3</x:v>
      </x:c>
      <x:c r="J40" s="78" t="n">
        <x:v>384997010.30154943</x:v>
      </x:c>
      <x:c r="K40" s="78" t="n">
        <x:v>96078938.55016547</x:v>
      </x:c>
      <x:c r="L40" s="84" t="n">
        <x:v>0.24955762247425814</x:v>
      </x:c>
      <x:c r="M40" s="39" t="str">
        <x:v>Calculado com classes reportadas e PL oficial reconciliado</x:v>
      </x:c>
      <x:c r="N40" s="84" t="str">
        <x:v>N/D</x:v>
      </x:c>
      <x:c r="O40" s="84" t="str">
        <x:v>N/D</x:v>
      </x:c>
      <x:c r="P40" s="84" t="str">
        <x:v>N/D</x:v>
      </x:c>
      <x:c r="Q40" s="84" t="str">
        <x:v>N/D</x:v>
      </x:c>
      <x:c r="R40" s="84" t="str">
        <x:v>N/D</x:v>
      </x:c>
      <x:c r="S40" s="84" t="str">
        <x:v>N/D</x:v>
      </x:c>
      <x:c r="T40" s="39" t="str">
        <x:v>N/D</x:v>
      </x:c>
      <x:c r="U40" s="39" t="str">
        <x:v>sem_indice</x:v>
      </x:c>
      <x:c r="V40" s="39" t="str">
        <x:v>N/D</x:v>
      </x:c>
      <x:c r="W40" s="66" t="b">
        <x:v>0</x:v>
      </x:c>
      <x:c r="X40" s="39" t="str">
        <x:v>N/D — mínimo estrutural ou subordinação atual ausente</x:v>
      </x:c>
      <x:c r="Y40" s="66" t="b">
        <x:v>0</x:v>
      </x:c>
      <x:c r="Z40" s="84" t="str">
        <x:v>N/D</x:v>
      </x:c>
      <x:c r="AA40" s="84" t="str">
        <x:v>N/D</x:v>
      </x:c>
      <x:c r="AB40" s="39" t="str">
        <x:v>não medido</x:v>
      </x:c>
      <x:c r="AC40" s="39" t="str">
        <x:v>N/D</x:v>
      </x:c>
      <x:c r="AD40" s="39" t="str">
        <x:v>N/D</x:v>
      </x:c>
      <x:c r="AE40" s="39" t="str">
        <x:v>Veículos</x:v>
      </x:c>
      <x:c r="AF40" s="39" t="str">
        <x:v>N/D</x:v>
      </x:c>
      <x:c r="AG40" s="39" t="str">
        <x:v>N/D</x:v>
      </x:c>
      <x:c r="AH40" s="39" t="str">
        <x:v>N/D</x:v>
      </x:c>
      <x:c r="AI40" s="39" t="str">
        <x:v>N/D</x:v>
      </x:c>
      <x:c r="AJ40" s="39" t="str">
        <x:v>N/D</x:v>
      </x:c>
      <x:c r="AK40" s="39" t="str">
        <x:v>N/D</x:v>
      </x:c>
      <x:c r="AL40" s="39" t="str">
        <x:v>N/D</x:v>
      </x:c>
      <x:c r="AM40" s="39" t="str">
        <x:v>sem_overlay</x:v>
      </x:c>
      <x:c r="AN40" s="39" t="str">
        <x:v>N/D</x:v>
      </x:c>
      <x:c r="AO40" s="39" t="str">
        <x:v>N/D</x:v>
      </x:c>
      <x:c r="AP40" s="39" t="str">
        <x:v>N/D</x:v>
      </x:c>
      <x:c r="AQ40" s="39" t="str">
        <x:v>N/D</x:v>
      </x:c>
      <x:c r="AR40" s="39" t="str">
        <x:v>lacuna — regulamento integral não disponível nas fontes locais</x:v>
      </x:c>
      <x:c r="AS40" s="39" t="str">
        <x:v>N/D</x:v>
      </x:c>
      <x:c r="AT40" s="39" t="str">
        <x:v>N/D</x:v>
      </x:c>
      <x:c r="AU40" s="39" t="str">
        <x:v>mínimo estrutural comparável; originador; cedente; sacado/devedor; tipo de recebível</x:v>
      </x:c>
      <x:c r="AV40" s="39" t="str">
        <x:v>minimo_estrutural_ausente</x:v>
      </x:c>
    </x:row>
    <x:row r="41" ht="31.5" customHeight="1">
      <x:c r="A41" s="38" t="n">
        <x:v>18</x:v>
      </x:c>
      <x:c r="B41" s="73" t="n">
        <x:v>58035124000192</x:v>
      </x:c>
      <x:c r="C41" s="38" t="str">
        <x:v>58.035.124/0001-92</x:v>
      </x:c>
      <x:c r="D41" s="38" t="str">
        <x:v>FUNDO DE INVESTIMENTO EM DIREITOS CREDITÓRIOS CREDITAS AUTO XI</x:v>
      </x:c>
      <x:c r="E41" s="38" t="str">
        <x:v>Creditas Auto X, XI e XII</x:v>
      </x:c>
      <x:c r="F41" s="38" t="str">
        <x:v>Flagships</x:v>
      </x:c>
      <x:c r="G41" s="38" t="str">
        <x:v>2026-06</x:v>
      </x:c>
      <x:c r="H41" s="38" t="str">
        <x:v>localizado</x:v>
      </x:c>
      <x:c r="I41" s="79" t="n">
        <x:v>294240334.75</x:v>
      </x:c>
      <x:c r="J41" s="79" t="n">
        <x:v>294240334.749625</x:v>
      </x:c>
      <x:c r="K41" s="79" t="n">
        <x:v>74894840.74002503</x:v>
      </x:c>
      <x:c r="L41" s="85" t="n">
        <x:v>0.25453628172241954</x:v>
      </x:c>
      <x:c r="M41" s="38" t="str">
        <x:v>Calculado com classes reportadas e PL oficial reconciliado</x:v>
      </x:c>
      <x:c r="N41" s="85" t="str">
        <x:v>N/D</x:v>
      </x:c>
      <x:c r="O41" s="85" t="str">
        <x:v>N/D</x:v>
      </x:c>
      <x:c r="P41" s="85" t="str">
        <x:v>N/D</x:v>
      </x:c>
      <x:c r="Q41" s="85" t="str">
        <x:v>N/D</x:v>
      </x:c>
      <x:c r="R41" s="85" t="str">
        <x:v>N/D</x:v>
      </x:c>
      <x:c r="S41" s="85" t="str">
        <x:v>N/D</x:v>
      </x:c>
      <x:c r="T41" s="38" t="str">
        <x:v>N/D</x:v>
      </x:c>
      <x:c r="U41" s="38" t="str">
        <x:v>sem_indice</x:v>
      </x:c>
      <x:c r="V41" s="38" t="str">
        <x:v>N/D</x:v>
      </x:c>
      <x:c r="W41" s="67" t="b">
        <x:v>0</x:v>
      </x:c>
      <x:c r="X41" s="38" t="str">
        <x:v>N/D — mínimo estrutural ou subordinação atual ausente</x:v>
      </x:c>
      <x:c r="Y41" s="67" t="b">
        <x:v>0</x:v>
      </x:c>
      <x:c r="Z41" s="85" t="str">
        <x:v>N/D</x:v>
      </x:c>
      <x:c r="AA41" s="85" t="str">
        <x:v>N/D</x:v>
      </x:c>
      <x:c r="AB41" s="38" t="str">
        <x:v>não medido</x:v>
      </x:c>
      <x:c r="AC41" s="38" t="str">
        <x:v>N/D</x:v>
      </x:c>
      <x:c r="AD41" s="38" t="str">
        <x:v>N/D</x:v>
      </x:c>
      <x:c r="AE41" s="38" t="str">
        <x:v>Veículos</x:v>
      </x:c>
      <x:c r="AF41" s="38" t="str">
        <x:v>N/D</x:v>
      </x:c>
      <x:c r="AG41" s="38" t="str">
        <x:v>N/D</x:v>
      </x:c>
      <x:c r="AH41" s="38" t="str">
        <x:v>N/D</x:v>
      </x:c>
      <x:c r="AI41" s="38" t="str">
        <x:v>N/D</x:v>
      </x:c>
      <x:c r="AJ41" s="38" t="str">
        <x:v>N/D</x:v>
      </x:c>
      <x:c r="AK41" s="38" t="str">
        <x:v>N/D</x:v>
      </x:c>
      <x:c r="AL41" s="38" t="str">
        <x:v>N/D</x:v>
      </x:c>
      <x:c r="AM41" s="38" t="str">
        <x:v>sem_overlay</x:v>
      </x:c>
      <x:c r="AN41" s="38" t="str">
        <x:v>N/D</x:v>
      </x:c>
      <x:c r="AO41" s="38" t="str">
        <x:v>N/D</x:v>
      </x:c>
      <x:c r="AP41" s="38" t="str">
        <x:v>N/D</x:v>
      </x:c>
      <x:c r="AQ41" s="38" t="str">
        <x:v>N/D</x:v>
      </x:c>
      <x:c r="AR41" s="38" t="str">
        <x:v>lacuna — regulamento integral não disponível nas fontes locais</x:v>
      </x:c>
      <x:c r="AS41" s="38" t="str">
        <x:v>N/D</x:v>
      </x:c>
      <x:c r="AT41" s="38" t="str">
        <x:v>N/D</x:v>
      </x:c>
      <x:c r="AU41" s="38" t="str">
        <x:v>mínimo estrutural comparável; originador; cedente; sacado/devedor; tipo de recebível</x:v>
      </x:c>
      <x:c r="AV41" s="38" t="str">
        <x:v>minimo_estrutural_ausente</x:v>
      </x:c>
    </x:row>
    <x:row r="42" ht="31.5" customHeight="1">
      <x:c r="A42" s="39" t="n">
        <x:v>19</x:v>
      </x:c>
      <x:c r="B42" s="72" t="n">
        <x:v>63662224000189</x:v>
      </x:c>
      <x:c r="C42" s="39" t="str">
        <x:v>63.662.224/0001-89</x:v>
      </x:c>
      <x:c r="D42" s="39" t="str">
        <x:v>FIDC SANTANDER AUTO LOANS I SEGMENTO FINANCEIRO - RESPONSABILIDADE LIMITADA</x:v>
      </x:c>
      <x:c r="E42" s="39" t="str">
        <x:v>Santander Auto Loans I</x:v>
      </x:c>
      <x:c r="F42" s="39" t="str">
        <x:v>Flagships</x:v>
      </x:c>
      <x:c r="G42" s="39" t="str">
        <x:v>2026-06</x:v>
      </x:c>
      <x:c r="H42" s="39" t="str">
        <x:v>localizado</x:v>
      </x:c>
      <x:c r="I42" s="78" t="n">
        <x:v>2430490971.94</x:v>
      </x:c>
      <x:c r="J42" s="78" t="n">
        <x:v>2430490971.9311447</x:v>
      </x:c>
      <x:c r="K42" s="78" t="n">
        <x:v>323786564.1846</x:v>
      </x:c>
      <x:c r="L42" s="84" t="n">
        <x:v>0.1332185833737765</x:v>
      </x:c>
      <x:c r="M42" s="39" t="str">
        <x:v>Calculado com classes reportadas e PL oficial reconciliado</x:v>
      </x:c>
      <x:c r="N42" s="84" t="str">
        <x:v>N/D</x:v>
      </x:c>
      <x:c r="O42" s="84" t="str">
        <x:v>N/D</x:v>
      </x:c>
      <x:c r="P42" s="84" t="str">
        <x:v>N/D</x:v>
      </x:c>
      <x:c r="Q42" s="84" t="str">
        <x:v>N/D</x:v>
      </x:c>
      <x:c r="R42" s="84" t="str">
        <x:v>N/D</x:v>
      </x:c>
      <x:c r="S42" s="84" t="str">
        <x:v>N/D</x:v>
      </x:c>
      <x:c r="T42" s="39" t="str">
        <x:v>N/D</x:v>
      </x:c>
      <x:c r="U42" s="39" t="str">
        <x:v>sem_indice</x:v>
      </x:c>
      <x:c r="V42" s="39" t="str">
        <x:v>N/D</x:v>
      </x:c>
      <x:c r="W42" s="66" t="b">
        <x:v>0</x:v>
      </x:c>
      <x:c r="X42" s="39" t="str">
        <x:v>N/D — mínimo estrutural ou subordinação atual ausente</x:v>
      </x:c>
      <x:c r="Y42" s="66" t="b">
        <x:v>0</x:v>
      </x:c>
      <x:c r="Z42" s="84" t="str">
        <x:v>N/D</x:v>
      </x:c>
      <x:c r="AA42" s="84" t="str">
        <x:v>N/D</x:v>
      </x:c>
      <x:c r="AB42" s="39" t="str">
        <x:v>não medido</x:v>
      </x:c>
      <x:c r="AC42" s="39" t="str">
        <x:v>N/D</x:v>
      </x:c>
      <x:c r="AD42" s="39" t="str">
        <x:v>N/D</x:v>
      </x:c>
      <x:c r="AE42" s="39" t="str">
        <x:v>Veículos</x:v>
      </x:c>
      <x:c r="AF42" s="39" t="str">
        <x:v>N/D</x:v>
      </x:c>
      <x:c r="AG42" s="39" t="str">
        <x:v>N/D</x:v>
      </x:c>
      <x:c r="AH42" s="39" t="str">
        <x:v>N/D</x:v>
      </x:c>
      <x:c r="AI42" s="39" t="str">
        <x:v>N/D</x:v>
      </x:c>
      <x:c r="AJ42" s="39" t="str">
        <x:v>N/D</x:v>
      </x:c>
      <x:c r="AK42" s="39" t="str">
        <x:v>N/D</x:v>
      </x:c>
      <x:c r="AL42" s="39" t="str">
        <x:v>N/D</x:v>
      </x:c>
      <x:c r="AM42" s="39" t="str">
        <x:v>sem_overlay</x:v>
      </x:c>
      <x:c r="AN42" s="39" t="str">
        <x:v>N/D</x:v>
      </x:c>
      <x:c r="AO42" s="39" t="str">
        <x:v>1059307</x:v>
      </x:c>
      <x:c r="AP42" s="39" t="str">
        <x:v>2025-12-10</x:v>
      </x:c>
      <x:c r="AQ42" s="39" t="str">
        <x:v>cláusulas de subordinação e definições revisadas</x:v>
      </x:c>
      <x:c r="AR42" s="39" t="str">
        <x:v>revisto — mínimo júnior não isolado</x:v>
      </x:c>
      <x:c r="AS42" s="39" t="str">
        <x:v>FundosNet/B3; documento 1059307; referência 2025-12-10; cláusulas candidatas revisadas</x:v>
      </x:c>
      <x:c r="AT42" s="39" t="str">
        <x:v>N/D</x:v>
      </x:c>
      <x:c r="AU42" s="39" t="str">
        <x:v>mínimo estrutural comparável; originador; cedente; sacado/devedor; tipo de recebível</x:v>
      </x:c>
      <x:c r="AV42" s="39" t="str">
        <x:v>minimo_estrutural_ausente</x:v>
      </x:c>
    </x:row>
    <x:row r="43" ht="31.5" customHeight="1">
      <x:c r="A43" s="38" t="n">
        <x:v>20</x:v>
      </x:c>
      <x:c r="B43" s="73" t="n">
        <x:v>50114948000146</x:v>
      </x:c>
      <x:c r="C43" s="38" t="str">
        <x:v>50.114.948/0001-46</x:v>
      </x:c>
      <x:c r="D43" s="38" t="str">
        <x:v>DRIVER BRASIL SIX BANCO VOLKSWAGEN FIDC FINANCIAMENTO DE VEÍCULOS - RESPONSABILIDADE LIMITADA</x:v>
      </x:c>
      <x:c r="E43" s="38" t="str">
        <x:v>Driver Brasil Six Banco Volkswagen</x:v>
      </x:c>
      <x:c r="F43" s="38" t="str">
        <x:v>Flagships</x:v>
      </x:c>
      <x:c r="G43" s="38" t="str">
        <x:v>2026-06</x:v>
      </x:c>
      <x:c r="H43" s="38" t="str">
        <x:v>localizado</x:v>
      </x:c>
      <x:c r="I43" s="79" t="n">
        <x:v>1934784988.69</x:v>
      </x:c>
      <x:c r="J43" s="79" t="n">
        <x:v>1934784988.6742249</x:v>
      </x:c>
      <x:c r="K43" s="79" t="n">
        <x:v>259350084.2942248</x:v>
      </x:c>
      <x:c r="L43" s="85" t="n">
        <x:v>0.13404594609234846</x:v>
      </x:c>
      <x:c r="M43" s="38" t="str">
        <x:v>Calculado com classes reportadas e PL oficial reconciliado</x:v>
      </x:c>
      <x:c r="N43" s="85" t="str">
        <x:v>N/D</x:v>
      </x:c>
      <x:c r="O43" s="85" t="str">
        <x:v>N/D</x:v>
      </x:c>
      <x:c r="P43" s="85" t="str">
        <x:v>N/D</x:v>
      </x:c>
      <x:c r="Q43" s="85" t="str">
        <x:v>N/D</x:v>
      </x:c>
      <x:c r="R43" s="85" t="str">
        <x:v>N/D</x:v>
      </x:c>
      <x:c r="S43" s="85" t="str">
        <x:v>N/D</x:v>
      </x:c>
      <x:c r="T43" s="38" t="str">
        <x:v>N/D</x:v>
      </x:c>
      <x:c r="U43" s="38" t="str">
        <x:v>sem_indice</x:v>
      </x:c>
      <x:c r="V43" s="38" t="str">
        <x:v>N/D</x:v>
      </x:c>
      <x:c r="W43" s="67" t="b">
        <x:v>0</x:v>
      </x:c>
      <x:c r="X43" s="38" t="str">
        <x:v>N/D — mínimo estrutural ou subordinação atual ausente</x:v>
      </x:c>
      <x:c r="Y43" s="67" t="b">
        <x:v>0</x:v>
      </x:c>
      <x:c r="Z43" s="85" t="str">
        <x:v>N/D</x:v>
      </x:c>
      <x:c r="AA43" s="85" t="str">
        <x:v>N/D</x:v>
      </x:c>
      <x:c r="AB43" s="38" t="str">
        <x:v>não medido</x:v>
      </x:c>
      <x:c r="AC43" s="38" t="str">
        <x:v>N/D</x:v>
      </x:c>
      <x:c r="AD43" s="38" t="str">
        <x:v>N/D</x:v>
      </x:c>
      <x:c r="AE43" s="38" t="str">
        <x:v>Veículos</x:v>
      </x:c>
      <x:c r="AF43" s="38" t="str">
        <x:v>N/D</x:v>
      </x:c>
      <x:c r="AG43" s="38" t="str">
        <x:v>N/D</x:v>
      </x:c>
      <x:c r="AH43" s="38" t="str">
        <x:v>N/D</x:v>
      </x:c>
      <x:c r="AI43" s="38" t="str">
        <x:v>N/D</x:v>
      </x:c>
      <x:c r="AJ43" s="38" t="str">
        <x:v>N/D</x:v>
      </x:c>
      <x:c r="AK43" s="38" t="str">
        <x:v>N/D</x:v>
      </x:c>
      <x:c r="AL43" s="38" t="str">
        <x:v>N/D</x:v>
      </x:c>
      <x:c r="AM43" s="38" t="str">
        <x:v>sem_overlay</x:v>
      </x:c>
      <x:c r="AN43" s="38" t="str">
        <x:v>N/D</x:v>
      </x:c>
      <x:c r="AO43" s="38" t="str">
        <x:v>N/D</x:v>
      </x:c>
      <x:c r="AP43" s="38" t="str">
        <x:v>N/D</x:v>
      </x:c>
      <x:c r="AQ43" s="38" t="str">
        <x:v>N/D</x:v>
      </x:c>
      <x:c r="AR43" s="38" t="str">
        <x:v>lacuna — regulamento integral não disponível nas fontes locais</x:v>
      </x:c>
      <x:c r="AS43" s="38" t="str">
        <x:v>N/D</x:v>
      </x:c>
      <x:c r="AT43" s="38" t="str">
        <x:v>N/D</x:v>
      </x:c>
      <x:c r="AU43" s="38" t="str">
        <x:v>mínimo estrutural comparável; originador; cedente; sacado/devedor; tipo de recebível</x:v>
      </x:c>
      <x:c r="AV43" s="38" t="str">
        <x:v>minimo_estrutural_ausente</x:v>
      </x:c>
    </x:row>
    <x:row r="44" ht="31.5" customHeight="1">
      <x:c r="A44" s="39" t="n">
        <x:v>21</x:v>
      </x:c>
      <x:c r="B44" s="72" t="n">
        <x:v>62543802000103</x:v>
      </x:c>
      <x:c r="C44" s="39" t="str">
        <x:v>62.543.802/0001-03</x:v>
      </x:c>
      <x:c r="D44" s="39" t="str">
        <x:v>PINE LIFT I CARTÃO INSS FIDC - RESP LIMITADA</x:v>
      </x:c>
      <x:c r="E44" s="39" t="str">
        <x:v>Pine Lift I Cartão INSS</x:v>
      </x:c>
      <x:c r="F44" s="39" t="str">
        <x:v>Flagships</x:v>
      </x:c>
      <x:c r="G44" s="39" t="str">
        <x:v>2026-06</x:v>
      </x:c>
      <x:c r="H44" s="39" t="str">
        <x:v>localizado</x:v>
      </x:c>
      <x:c r="I44" s="78" t="n">
        <x:v>160667845.39</x:v>
      </x:c>
      <x:c r="J44" s="78" t="n">
        <x:v>160667845.3903731</x:v>
      </x:c>
      <x:c r="K44" s="78" t="n">
        <x:v>27595396.600032363</x:v>
      </x:c>
      <x:c r="L44" s="84" t="n">
        <x:v>0.17175432043075067</x:v>
      </x:c>
      <x:c r="M44" s="39" t="str">
        <x:v>Calculado com classes reportadas e PL oficial reconciliado</x:v>
      </x:c>
      <x:c r="N44" s="84" t="str">
        <x:v>N/D</x:v>
      </x:c>
      <x:c r="O44" s="84" t="str">
        <x:v>N/D</x:v>
      </x:c>
      <x:c r="P44" s="84" t="str">
        <x:v>N/D</x:v>
      </x:c>
      <x:c r="Q44" s="84" t="str">
        <x:v>N/D</x:v>
      </x:c>
      <x:c r="R44" s="84" t="str">
        <x:v>N/D</x:v>
      </x:c>
      <x:c r="S44" s="84" t="str">
        <x:v>N/D</x:v>
      </x:c>
      <x:c r="T44" s="39" t="str">
        <x:v>N/D</x:v>
      </x:c>
      <x:c r="U44" s="39" t="str">
        <x:v>sem_indice</x:v>
      </x:c>
      <x:c r="V44" s="39" t="str">
        <x:v>N/D</x:v>
      </x:c>
      <x:c r="W44" s="66" t="b">
        <x:v>0</x:v>
      </x:c>
      <x:c r="X44" s="39" t="str">
        <x:v>N/D — mínimo estrutural ou subordinação atual ausente</x:v>
      </x:c>
      <x:c r="Y44" s="66" t="b">
        <x:v>0</x:v>
      </x:c>
      <x:c r="Z44" s="84" t="str">
        <x:v>N/D</x:v>
      </x:c>
      <x:c r="AA44" s="84" t="str">
        <x:v>N/D</x:v>
      </x:c>
      <x:c r="AB44" s="39" t="str">
        <x:v>não medido</x:v>
      </x:c>
      <x:c r="AC44" s="39" t="str">
        <x:v>N/D</x:v>
      </x:c>
      <x:c r="AD44" s="39" t="str">
        <x:v>N/D</x:v>
      </x:c>
      <x:c r="AE44" s="39" t="str">
        <x:v>Cartão consignado</x:v>
      </x:c>
      <x:c r="AF44" s="39" t="str">
        <x:v>N/D</x:v>
      </x:c>
      <x:c r="AG44" s="39" t="str">
        <x:v>N/D</x:v>
      </x:c>
      <x:c r="AH44" s="39" t="str">
        <x:v>N/D</x:v>
      </x:c>
      <x:c r="AI44" s="39" t="str">
        <x:v>N/D</x:v>
      </x:c>
      <x:c r="AJ44" s="39" t="str">
        <x:v>N/D</x:v>
      </x:c>
      <x:c r="AK44" s="39" t="str">
        <x:v>N/D</x:v>
      </x:c>
      <x:c r="AL44" s="39" t="str">
        <x:v>N/D</x:v>
      </x:c>
      <x:c r="AM44" s="39" t="str">
        <x:v>sem_overlay</x:v>
      </x:c>
      <x:c r="AN44" s="39" t="str">
        <x:v>N/D</x:v>
      </x:c>
      <x:c r="AO44" s="39" t="str">
        <x:v>N/D</x:v>
      </x:c>
      <x:c r="AP44" s="39" t="str">
        <x:v>N/D</x:v>
      </x:c>
      <x:c r="AQ44" s="39" t="str">
        <x:v>N/D</x:v>
      </x:c>
      <x:c r="AR44" s="39" t="str">
        <x:v>lacuna — regulamento integral não disponível nas fontes locais</x:v>
      </x:c>
      <x:c r="AS44" s="39" t="str">
        <x:v>N/D</x:v>
      </x:c>
      <x:c r="AT44" s="39" t="str">
        <x:v>N/D</x:v>
      </x:c>
      <x:c r="AU44" s="39" t="str">
        <x:v>mínimo estrutural comparável; originador; cedente; sacado/devedor; tipo de recebível</x:v>
      </x:c>
      <x:c r="AV44" s="39" t="str">
        <x:v>minimo_estrutural_ausente</x:v>
      </x:c>
    </x:row>
    <x:row r="45" ht="31.5" customHeight="1">
      <x:c r="A45" s="38" t="n">
        <x:v>22</x:v>
      </x:c>
      <x:c r="B45" s="73" t="n">
        <x:v>55316469000126</x:v>
      </x:c>
      <x:c r="C45" s="38" t="str">
        <x:v>55.316.469/0001-26</x:v>
      </x:c>
      <x:c r="D45" s="38" t="str">
        <x:v>SOMAPAY CARTÃO CONSIGNADO PÚBLICO FUNDO DE INVESTIMENTO EM DIREITOS CREDITÓRIOS RESP LIMITADA</x:v>
      </x:c>
      <x:c r="E45" s="38" t="str">
        <x:v>Somapay Cartão Consignado Público</x:v>
      </x:c>
      <x:c r="F45" s="38" t="str">
        <x:v>Flagships</x:v>
      </x:c>
      <x:c r="G45" s="38" t="str">
        <x:v>2026-06</x:v>
      </x:c>
      <x:c r="H45" s="38" t="str">
        <x:v>localizado</x:v>
      </x:c>
      <x:c r="I45" s="79" t="n">
        <x:v>159189935.48</x:v>
      </x:c>
      <x:c r="J45" s="79" t="n">
        <x:v>159189935.48015338</x:v>
      </x:c>
      <x:c r="K45" s="79" t="n">
        <x:v>68565695.32986915</x:v>
      </x:c>
      <x:c r="L45" s="85" t="n">
        <x:v>0.4307162706180221</x:v>
      </x:c>
      <x:c r="M45" s="38" t="str">
        <x:v>Calculado com classes reportadas e PL oficial reconciliado</x:v>
      </x:c>
      <x:c r="N45" s="85" t="str">
        <x:v>N/D</x:v>
      </x:c>
      <x:c r="O45" s="85" t="str">
        <x:v>N/D</x:v>
      </x:c>
      <x:c r="P45" s="85" t="str">
        <x:v>N/D</x:v>
      </x:c>
      <x:c r="Q45" s="85" t="str">
        <x:v>N/D</x:v>
      </x:c>
      <x:c r="R45" s="85" t="str">
        <x:v>N/D</x:v>
      </x:c>
      <x:c r="S45" s="85" t="str">
        <x:v>N/D</x:v>
      </x:c>
      <x:c r="T45" s="38" t="str">
        <x:v>N/D</x:v>
      </x:c>
      <x:c r="U45" s="38" t="str">
        <x:v>sem_indice</x:v>
      </x:c>
      <x:c r="V45" s="38" t="str">
        <x:v>N/D</x:v>
      </x:c>
      <x:c r="W45" s="67" t="b">
        <x:v>0</x:v>
      </x:c>
      <x:c r="X45" s="38" t="str">
        <x:v>N/D — mínimo estrutural ou subordinação atual ausente</x:v>
      </x:c>
      <x:c r="Y45" s="67" t="b">
        <x:v>0</x:v>
      </x:c>
      <x:c r="Z45" s="85" t="str">
        <x:v>N/D</x:v>
      </x:c>
      <x:c r="AA45" s="85" t="str">
        <x:v>N/D</x:v>
      </x:c>
      <x:c r="AB45" s="38" t="str">
        <x:v>não medido</x:v>
      </x:c>
      <x:c r="AC45" s="38" t="str">
        <x:v>N/D</x:v>
      </x:c>
      <x:c r="AD45" s="38" t="str">
        <x:v>N/D</x:v>
      </x:c>
      <x:c r="AE45" s="38" t="str">
        <x:v>Cartão consignado</x:v>
      </x:c>
      <x:c r="AF45" s="38" t="str">
        <x:v>N/D</x:v>
      </x:c>
      <x:c r="AG45" s="38" t="str">
        <x:v>N/D</x:v>
      </x:c>
      <x:c r="AH45" s="38" t="str">
        <x:v>N/D</x:v>
      </x:c>
      <x:c r="AI45" s="38" t="str">
        <x:v>N/D</x:v>
      </x:c>
      <x:c r="AJ45" s="38" t="str">
        <x:v>N/D</x:v>
      </x:c>
      <x:c r="AK45" s="38" t="str">
        <x:v>N/D</x:v>
      </x:c>
      <x:c r="AL45" s="38" t="str">
        <x:v>N/D</x:v>
      </x:c>
      <x:c r="AM45" s="38" t="str">
        <x:v>sem_overlay</x:v>
      </x:c>
      <x:c r="AN45" s="38" t="str">
        <x:v>N/D</x:v>
      </x:c>
      <x:c r="AO45" s="38" t="str">
        <x:v>N/D</x:v>
      </x:c>
      <x:c r="AP45" s="38" t="str">
        <x:v>N/D</x:v>
      </x:c>
      <x:c r="AQ45" s="38" t="str">
        <x:v>N/D</x:v>
      </x:c>
      <x:c r="AR45" s="38" t="str">
        <x:v>lacuna — regulamento integral não disponível nas fontes locais</x:v>
      </x:c>
      <x:c r="AS45" s="38" t="str">
        <x:v>N/D</x:v>
      </x:c>
      <x:c r="AT45" s="38" t="str">
        <x:v>N/D</x:v>
      </x:c>
      <x:c r="AU45" s="38" t="str">
        <x:v>mínimo estrutural comparável; originador; cedente; sacado/devedor; tipo de recebível</x:v>
      </x:c>
      <x:c r="AV45" s="38" t="str">
        <x:v>minimo_estrutural_ausente</x:v>
      </x:c>
    </x:row>
    <x:row r="46" ht="31.5" customHeight="1">
      <x:c r="A46" s="39" t="n">
        <x:v>23</x:v>
      </x:c>
      <x:c r="B46" s="72" t="n">
        <x:v>58188881000104</x:v>
      </x:c>
      <x:c r="C46" s="39" t="str">
        <x:v>58.188.881/0001-04</x:v>
      </x:c>
      <x:c r="D46" s="39" t="str">
        <x:v>FUNDO DE INVESTIMENTO EM DIREITOS CREDITÓRIOS MT CARTÃO CONSIGNADO I</x:v>
      </x:c>
      <x:c r="E46" s="39" t="str">
        <x:v>MT Cartão Consignado I</x:v>
      </x:c>
      <x:c r="F46" s="39" t="str">
        <x:v>Flagships</x:v>
      </x:c>
      <x:c r="G46" s="39" t="str">
        <x:v>2026-06</x:v>
      </x:c>
      <x:c r="H46" s="39" t="str">
        <x:v>localizado</x:v>
      </x:c>
      <x:c r="I46" s="78" t="n">
        <x:v>68107152.92</x:v>
      </x:c>
      <x:c r="J46" s="78" t="n">
        <x:v>68107152.92015834</x:v>
      </x:c>
      <x:c r="K46" s="78" t="n">
        <x:v>1686167.326386738</x:v>
      </x:c>
      <x:c r="L46" s="84" t="n">
        <x:v>0.0247575658957194</x:v>
      </x:c>
      <x:c r="M46" s="39" t="str">
        <x:v>Calculado com classes reportadas e PL oficial reconciliado</x:v>
      </x:c>
      <x:c r="N46" s="84" t="str">
        <x:v>N/D</x:v>
      </x:c>
      <x:c r="O46" s="84" t="str">
        <x:v>N/D</x:v>
      </x:c>
      <x:c r="P46" s="84" t="str">
        <x:v>N/D</x:v>
      </x:c>
      <x:c r="Q46" s="84" t="str">
        <x:v>N/D</x:v>
      </x:c>
      <x:c r="R46" s="84" t="str">
        <x:v>N/D</x:v>
      </x:c>
      <x:c r="S46" s="84" t="str">
        <x:v>N/D</x:v>
      </x:c>
      <x:c r="T46" s="39" t="str">
        <x:v>N/D</x:v>
      </x:c>
      <x:c r="U46" s="39" t="str">
        <x:v>sem_indice</x:v>
      </x:c>
      <x:c r="V46" s="39" t="str">
        <x:v>N/D</x:v>
      </x:c>
      <x:c r="W46" s="66" t="b">
        <x:v>0</x:v>
      </x:c>
      <x:c r="X46" s="39" t="str">
        <x:v>N/D — mínimo estrutural ou subordinação atual ausente</x:v>
      </x:c>
      <x:c r="Y46" s="66" t="b">
        <x:v>0</x:v>
      </x:c>
      <x:c r="Z46" s="84" t="str">
        <x:v>N/D</x:v>
      </x:c>
      <x:c r="AA46" s="84" t="str">
        <x:v>N/D</x:v>
      </x:c>
      <x:c r="AB46" s="39" t="str">
        <x:v>não medido</x:v>
      </x:c>
      <x:c r="AC46" s="39" t="str">
        <x:v>N/D</x:v>
      </x:c>
      <x:c r="AD46" s="39" t="str">
        <x:v>N/D</x:v>
      </x:c>
      <x:c r="AE46" s="39" t="str">
        <x:v>Cartão consignado</x:v>
      </x:c>
      <x:c r="AF46" s="39" t="str">
        <x:v>N/D</x:v>
      </x:c>
      <x:c r="AG46" s="39" t="str">
        <x:v>N/D</x:v>
      </x:c>
      <x:c r="AH46" s="39" t="str">
        <x:v>N/D</x:v>
      </x:c>
      <x:c r="AI46" s="39" t="str">
        <x:v>N/D</x:v>
      </x:c>
      <x:c r="AJ46" s="39" t="str">
        <x:v>N/D</x:v>
      </x:c>
      <x:c r="AK46" s="39" t="str">
        <x:v>N/D</x:v>
      </x:c>
      <x:c r="AL46" s="39" t="str">
        <x:v>N/D</x:v>
      </x:c>
      <x:c r="AM46" s="39" t="str">
        <x:v>sem_overlay</x:v>
      </x:c>
      <x:c r="AN46" s="39" t="str">
        <x:v>N/D</x:v>
      </x:c>
      <x:c r="AO46" s="39" t="str">
        <x:v>N/D</x:v>
      </x:c>
      <x:c r="AP46" s="39" t="str">
        <x:v>N/D</x:v>
      </x:c>
      <x:c r="AQ46" s="39" t="str">
        <x:v>N/D</x:v>
      </x:c>
      <x:c r="AR46" s="39" t="str">
        <x:v>lacuna — regulamento integral não disponível nas fontes locais</x:v>
      </x:c>
      <x:c r="AS46" s="39" t="str">
        <x:v>N/D</x:v>
      </x:c>
      <x:c r="AT46" s="39" t="str">
        <x:v>N/D</x:v>
      </x:c>
      <x:c r="AU46" s="39" t="str">
        <x:v>mínimo estrutural comparável; originador; cedente; sacado/devedor; tipo de recebível</x:v>
      </x:c>
      <x:c r="AV46" s="39" t="str">
        <x:v>minimo_estrutural_ausente</x:v>
      </x:c>
    </x:row>
    <x:row r="47" ht="31.5" customHeight="1">
      <x:c r="A47" s="38" t="n">
        <x:v>24</x:v>
      </x:c>
      <x:c r="B47" s="73" t="n">
        <x:v>12803721000119</x:v>
      </x:c>
      <x:c r="C47" s="38" t="str">
        <x:v>12.803.721/0001-19</x:v>
      </x:c>
      <x:c r="D47" s="38" t="str">
        <x:v>FUNDO DE INVESTIMENTO EM DIREITOS CREDITÓRIOS FRATTO</x:v>
      </x:c>
      <x:c r="E47" s="38" t="str">
        <x:v>Fratto</x:v>
      </x:c>
      <x:c r="F47" s="38" t="str">
        <x:v>Flagships</x:v>
      </x:c>
      <x:c r="G47" s="38" t="str">
        <x:v>2026-06</x:v>
      </x:c>
      <x:c r="H47" s="38" t="str">
        <x:v>localizado</x:v>
      </x:c>
      <x:c r="I47" s="79" t="n">
        <x:v>103640698.41</x:v>
      </x:c>
      <x:c r="J47" s="79" t="n">
        <x:v>103640698.41011196</x:v>
      </x:c>
      <x:c r="K47" s="79" t="n">
        <x:v>93613927.21010137</x:v>
      </x:c>
      <x:c r="L47" s="85" t="n">
        <x:v>0.9032544998854314</x:v>
      </x:c>
      <x:c r="M47" s="38" t="str">
        <x:v>Calculado com classes reportadas e PL oficial reconciliado</x:v>
      </x:c>
      <x:c r="N47" s="85" t="str">
        <x:v>N/D</x:v>
      </x:c>
      <x:c r="O47" s="85" t="str">
        <x:v>N/D</x:v>
      </x:c>
      <x:c r="P47" s="85" t="str">
        <x:v>N/D</x:v>
      </x:c>
      <x:c r="Q47" s="85" t="str">
        <x:v>N/D</x:v>
      </x:c>
      <x:c r="R47" s="85" t="str">
        <x:v>N/D</x:v>
      </x:c>
      <x:c r="S47" s="85" t="str">
        <x:v>N/D</x:v>
      </x:c>
      <x:c r="T47" s="38" t="str">
        <x:v>N/D</x:v>
      </x:c>
      <x:c r="U47" s="38" t="str">
        <x:v>sem_indice</x:v>
      </x:c>
      <x:c r="V47" s="38" t="str">
        <x:v>N/D</x:v>
      </x:c>
      <x:c r="W47" s="67" t="b">
        <x:v>0</x:v>
      </x:c>
      <x:c r="X47" s="38" t="str">
        <x:v>N/D — mínimo estrutural ou subordinação atual ausente</x:v>
      </x:c>
      <x:c r="Y47" s="67" t="b">
        <x:v>0</x:v>
      </x:c>
      <x:c r="Z47" s="85" t="str">
        <x:v>N/D</x:v>
      </x:c>
      <x:c r="AA47" s="85" t="str">
        <x:v>N/D</x:v>
      </x:c>
      <x:c r="AB47" s="38" t="str">
        <x:v>não medido</x:v>
      </x:c>
      <x:c r="AC47" s="38" t="str">
        <x:v>N/D</x:v>
      </x:c>
      <x:c r="AD47" s="38" t="str">
        <x:v>N/D</x:v>
      </x:c>
      <x:c r="AE47" s="38" t="str">
        <x:v>Factoring</x:v>
      </x:c>
      <x:c r="AF47" s="38" t="str">
        <x:v>N/D</x:v>
      </x:c>
      <x:c r="AG47" s="38" t="str">
        <x:v>N/D</x:v>
      </x:c>
      <x:c r="AH47" s="38" t="str">
        <x:v>N/D</x:v>
      </x:c>
      <x:c r="AI47" s="38" t="str">
        <x:v>N/D</x:v>
      </x:c>
      <x:c r="AJ47" s="38" t="str">
        <x:v>N/D</x:v>
      </x:c>
      <x:c r="AK47" s="38" t="str">
        <x:v>N/D</x:v>
      </x:c>
      <x:c r="AL47" s="38" t="str">
        <x:v>N/D</x:v>
      </x:c>
      <x:c r="AM47" s="38" t="str">
        <x:v>sem_overlay</x:v>
      </x:c>
      <x:c r="AN47" s="38" t="str">
        <x:v>N/D</x:v>
      </x:c>
      <x:c r="AO47" s="38" t="str">
        <x:v>N/D</x:v>
      </x:c>
      <x:c r="AP47" s="38" t="str">
        <x:v>N/D</x:v>
      </x:c>
      <x:c r="AQ47" s="38" t="str">
        <x:v>N/D</x:v>
      </x:c>
      <x:c r="AR47" s="38" t="str">
        <x:v>lacuna — regulamento integral não disponível nas fontes locais</x:v>
      </x:c>
      <x:c r="AS47" s="38" t="str">
        <x:v>N/D</x:v>
      </x:c>
      <x:c r="AT47" s="38" t="str">
        <x:v>N/D</x:v>
      </x:c>
      <x:c r="AU47" s="38" t="str">
        <x:v>mínimo estrutural comparável; originador; cedente; sacado/devedor; tipo de recebível</x:v>
      </x:c>
      <x:c r="AV47" s="38" t="str">
        <x:v>minimo_estrutural_ausente</x:v>
      </x:c>
    </x:row>
    <x:row r="48" ht="31.5" customHeight="1">
      <x:c r="A48" s="39" t="n">
        <x:v>25</x:v>
      </x:c>
      <x:c r="B48" s="72" t="n">
        <x:v>12778706000168</x:v>
      </x:c>
      <x:c r="C48" s="39" t="str">
        <x:v>12.778.706/0001-68</x:v>
      </x:c>
      <x:c r="D48" s="39" t="str">
        <x:v>FUNDO DE INVESTIMENTO EM DIREITOS CREDITÓRIOS - BRASILFACTORS CRÉDITO CORPORATIVO</x:v>
      </x:c>
      <x:c r="E48" s="39" t="str">
        <x:v>Brasilfactors Crédito Corporativo</x:v>
      </x:c>
      <x:c r="F48" s="39" t="str">
        <x:v>Flagships</x:v>
      </x:c>
      <x:c r="G48" s="39" t="str">
        <x:v>2026-06</x:v>
      </x:c>
      <x:c r="H48" s="39" t="str">
        <x:v>localizado</x:v>
      </x:c>
      <x:c r="I48" s="78" t="n">
        <x:v>110933332.06</x:v>
      </x:c>
      <x:c r="J48" s="78" t="n">
        <x:v>110933332.0562384</x:v>
      </x:c>
      <x:c r="K48" s="78" t="n">
        <x:v>2297997.439768207</x:v>
      </x:c>
      <x:c r="L48" s="84" t="n">
        <x:v>0.020715121389532402</x:v>
      </x:c>
      <x:c r="M48" s="39" t="str">
        <x:v>Calculado com classes reportadas e PL oficial reconciliado</x:v>
      </x:c>
      <x:c r="N48" s="84" t="str">
        <x:v>N/D</x:v>
      </x:c>
      <x:c r="O48" s="84" t="str">
        <x:v>N/D</x:v>
      </x:c>
      <x:c r="P48" s="84" t="str">
        <x:v>N/D</x:v>
      </x:c>
      <x:c r="Q48" s="84" t="str">
        <x:v>N/D</x:v>
      </x:c>
      <x:c r="R48" s="84" t="str">
        <x:v>N/D</x:v>
      </x:c>
      <x:c r="S48" s="84" t="str">
        <x:v>N/D</x:v>
      </x:c>
      <x:c r="T48" s="39" t="str">
        <x:v>N/D</x:v>
      </x:c>
      <x:c r="U48" s="39" t="str">
        <x:v>sem_indice</x:v>
      </x:c>
      <x:c r="V48" s="39" t="str">
        <x:v>N/D</x:v>
      </x:c>
      <x:c r="W48" s="66" t="b">
        <x:v>0</x:v>
      </x:c>
      <x:c r="X48" s="39" t="str">
        <x:v>N/D — mínimo estrutural ou subordinação atual ausente</x:v>
      </x:c>
      <x:c r="Y48" s="66" t="b">
        <x:v>0</x:v>
      </x:c>
      <x:c r="Z48" s="84" t="str">
        <x:v>N/D</x:v>
      </x:c>
      <x:c r="AA48" s="84" t="str">
        <x:v>N/D</x:v>
      </x:c>
      <x:c r="AB48" s="39" t="str">
        <x:v>não medido</x:v>
      </x:c>
      <x:c r="AC48" s="39" t="str">
        <x:v>N/D</x:v>
      </x:c>
      <x:c r="AD48" s="39" t="str">
        <x:v>N/D</x:v>
      </x:c>
      <x:c r="AE48" s="39" t="str">
        <x:v>Factoring</x:v>
      </x:c>
      <x:c r="AF48" s="39" t="str">
        <x:v>N/D</x:v>
      </x:c>
      <x:c r="AG48" s="39" t="str">
        <x:v>N/D</x:v>
      </x:c>
      <x:c r="AH48" s="39" t="str">
        <x:v>N/D</x:v>
      </x:c>
      <x:c r="AI48" s="39" t="str">
        <x:v>N/D</x:v>
      </x:c>
      <x:c r="AJ48" s="39" t="str">
        <x:v>N/D</x:v>
      </x:c>
      <x:c r="AK48" s="39" t="str">
        <x:v>N/D</x:v>
      </x:c>
      <x:c r="AL48" s="39" t="str">
        <x:v>N/D</x:v>
      </x:c>
      <x:c r="AM48" s="39" t="str">
        <x:v>sem_overlay</x:v>
      </x:c>
      <x:c r="AN48" s="39" t="str">
        <x:v>N/D</x:v>
      </x:c>
      <x:c r="AO48" s="39" t="str">
        <x:v>N/D</x:v>
      </x:c>
      <x:c r="AP48" s="39" t="str">
        <x:v>N/D</x:v>
      </x:c>
      <x:c r="AQ48" s="39" t="str">
        <x:v>N/D</x:v>
      </x:c>
      <x:c r="AR48" s="39" t="str">
        <x:v>lacuna — regulamento integral não disponível nas fontes locais</x:v>
      </x:c>
      <x:c r="AS48" s="39" t="str">
        <x:v>N/D</x:v>
      </x:c>
      <x:c r="AT48" s="39" t="str">
        <x:v>N/D</x:v>
      </x:c>
      <x:c r="AU48" s="39" t="str">
        <x:v>mínimo estrutural comparável; originador; cedente; sacado/devedor; tipo de recebível</x:v>
      </x:c>
      <x:c r="AV48" s="39" t="str">
        <x:v>minimo_estrutural_ausente</x:v>
      </x:c>
    </x:row>
    <x:row r="49" ht="31.5" customHeight="1">
      <x:c r="A49" s="38" t="n">
        <x:v>26</x:v>
      </x:c>
      <x:c r="B49" s="73" t="n">
        <x:v>41970012000126</x:v>
      </x:c>
      <x:c r="C49" s="38" t="str">
        <x:v>41.970.012/0001-26</x:v>
      </x:c>
      <x:c r="D49" s="38" t="str">
        <x:v>MERCADO CRÉDITO II BRASIL FUNDO DE INVESTIMENTO EM DIREITOS CREDITÓRIOS DE RESPONSABILIDADE LIMITADA</x:v>
      </x:c>
      <x:c r="E49" s="38" t="str">
        <x:v>Mercado Crédito, Mercado Crédito I e II</x:v>
      </x:c>
      <x:c r="F49" s="38" t="str">
        <x:v>Flagships</x:v>
      </x:c>
      <x:c r="G49" s="38" t="str">
        <x:v>2026-06</x:v>
      </x:c>
      <x:c r="H49" s="38" t="str">
        <x:v>localizado</x:v>
      </x:c>
      <x:c r="I49" s="79" t="n">
        <x:v>1761615997.81</x:v>
      </x:c>
      <x:c r="J49" s="79" t="n">
        <x:v>1761615997.788163</x:v>
      </x:c>
      <x:c r="K49" s="79" t="n">
        <x:v>553707443.8909049</x:v>
      </x:c>
      <x:c r="L49" s="85" t="n">
        <x:v>0.3143179016194569</x:v>
      </x:c>
      <x:c r="M49" s="38" t="str">
        <x:v>Calculado com classes reportadas e PL oficial reconciliado</x:v>
      </x:c>
      <x:c r="N49" s="85" t="n">
        <x:v>0.1</x:v>
      </x:c>
      <x:c r="O49" s="85" t="str">
        <x:v>N/D</x:v>
      </x:c>
      <x:c r="P49" s="85" t="str">
        <x:v>N/D</x:v>
      </x:c>
      <x:c r="Q49" s="85" t="str">
        <x:v>N/D</x:v>
      </x:c>
      <x:c r="R49" s="85" t="str">
        <x:v>N/D</x:v>
      </x:c>
      <x:c r="S49" s="85" t="str">
        <x:v>N/D</x:v>
      </x:c>
      <x:c r="T49" s="38" t="str">
        <x:v>10,0%</x:v>
      </x:c>
      <x:c r="U49" s="38" t="str">
        <x:v>junior_pl</x:v>
      </x:c>
      <x:c r="V49" s="38" t="str">
        <x:v>direto no regulamento</x:v>
      </x:c>
      <x:c r="W49" s="67" t="b">
        <x:v>0</x:v>
      </x:c>
      <x:c r="X49" s="38" t="str">
        <x:v>N/D — equivalência entre mínimo júnior e subordinação total não comprovada</x:v>
      </x:c>
      <x:c r="Y49" s="67" t="b">
        <x:v>1</x:v>
      </x:c>
      <x:c r="Z49" s="85" t="str">
        <x:v>N/D</x:v>
      </x:c>
      <x:c r="AA49" s="85" t="str">
        <x:v>N/D</x:v>
      </x:c>
      <x:c r="AB49" s="38" t="str">
        <x:v>não medido</x:v>
      </x:c>
      <x:c r="AC49" s="38" t="str">
        <x:v>N/D</x:v>
      </x:c>
      <x:c r="AD49" s="38" t="str">
        <x:v>N/D</x:v>
      </x:c>
      <x:c r="AE49" s="38" t="str">
        <x:v>Crédito PJ</x:v>
      </x:c>
      <x:c r="AF49" s="38" t="str">
        <x:v>N/D</x:v>
      </x:c>
      <x:c r="AG49" s="38" t="str">
        <x:v>N/D</x:v>
      </x:c>
      <x:c r="AH49" s="38" t="str">
        <x:v>N/D</x:v>
      </x:c>
      <x:c r="AI49" s="38" t="str">
        <x:v>N/D</x:v>
      </x:c>
      <x:c r="AJ49" s="38" t="str">
        <x:v>N/D</x:v>
      </x:c>
      <x:c r="AK49" s="38" t="str">
        <x:v>N/D</x:v>
      </x:c>
      <x:c r="AL49" s="38" t="str">
        <x:v>N/D</x:v>
      </x:c>
      <x:c r="AM49" s="38" t="str">
        <x:v>sem_overlay</x:v>
      </x:c>
      <x:c r="AN49" s="38" t="str">
        <x:v>N/D</x:v>
      </x:c>
      <x:c r="AO49" s="38" t="str">
        <x:v>1077334</x:v>
      </x:c>
      <x:c r="AP49" s="38" t="str">
        <x:v>2025-12-19</x:v>
      </x:c>
      <x:c r="AQ49" s="38" t="str">
        <x:v>cláusula 7.29.2</x:v>
      </x:c>
      <x:c r="AR49" s="38" t="str">
        <x:v>revisto — mínimo júnior localizado</x:v>
      </x:c>
      <x:c r="AS49" s="38" t="str">
        <x:v>FundosNet/B3; documento 1077334; referência 2025-12-19; cláusula 7.29.2</x:v>
      </x:c>
      <x:c r="AT49" s="38" t="str">
        <x:v>Razão de subordinação júnior na primeira integralização: mínimo de 10,0%.</x:v>
      </x:c>
      <x:c r="AU49" s="38" t="str">
        <x:v>mínimo estrutural comparável; originador; cedente; sacado/devedor; tipo de recebível</x:v>
      </x:c>
      <x:c r="AV49" s="38" t="str">
        <x:v>estrutura_incomparavel</x:v>
      </x:c>
    </x:row>
    <x:row r="50" ht="31.5" customHeight="1">
      <x:c r="A50" s="39" t="n">
        <x:v>26</x:v>
      </x:c>
      <x:c r="B50" s="72" t="n">
        <x:v>33254370000104</x:v>
      </x:c>
      <x:c r="C50" s="39" t="str">
        <x:v>33.254.370/0001-04</x:v>
      </x:c>
      <x:c r="D50" s="39" t="str">
        <x:v>MERCADO CRÉDITO FUNDO DE INVESTIMENTO EM DIREITOS CREDITÓRIOS RESPONSABILIDADE LIMITADA</x:v>
      </x:c>
      <x:c r="E50" s="39" t="str">
        <x:v>Mercado Crédito, Mercado Crédito I e II</x:v>
      </x:c>
      <x:c r="F50" s="39" t="str">
        <x:v>Flagships</x:v>
      </x:c>
      <x:c r="G50" s="39" t="str">
        <x:v>2026-06</x:v>
      </x:c>
      <x:c r="H50" s="39" t="str">
        <x:v>localizado</x:v>
      </x:c>
      <x:c r="I50" s="78" t="n">
        <x:v>3017886933.33</x:v>
      </x:c>
      <x:c r="J50" s="78" t="n">
        <x:v>3017886933.278073</x:v>
      </x:c>
      <x:c r="K50" s="78" t="n">
        <x:v>2094655705.2937295</x:v>
      </x:c>
      <x:c r="L50" s="84" t="n">
        <x:v>0.6940802460688752</x:v>
      </x:c>
      <x:c r="M50" s="39" t="str">
        <x:v>Calculado com classes reportadas e PL oficial reconciliado</x:v>
      </x:c>
      <x:c r="N50" s="84" t="str">
        <x:v>N/D</x:v>
      </x:c>
      <x:c r="O50" s="84" t="str">
        <x:v>N/D</x:v>
      </x:c>
      <x:c r="P50" s="84" t="str">
        <x:v>N/D</x:v>
      </x:c>
      <x:c r="Q50" s="84" t="str">
        <x:v>N/D</x:v>
      </x:c>
      <x:c r="R50" s="84" t="str">
        <x:v>N/D</x:v>
      </x:c>
      <x:c r="S50" s="84" t="str">
        <x:v>N/D</x:v>
      </x:c>
      <x:c r="T50" s="39" t="str">
        <x:v>N/D</x:v>
      </x:c>
      <x:c r="U50" s="39" t="str">
        <x:v>sem_indice</x:v>
      </x:c>
      <x:c r="V50" s="39" t="str">
        <x:v>N/D</x:v>
      </x:c>
      <x:c r="W50" s="66" t="b">
        <x:v>0</x:v>
      </x:c>
      <x:c r="X50" s="39" t="str">
        <x:v>N/D — mínimo estrutural ou subordinação atual ausente</x:v>
      </x:c>
      <x:c r="Y50" s="66" t="b">
        <x:v>0</x:v>
      </x:c>
      <x:c r="Z50" s="84" t="str">
        <x:v>N/D</x:v>
      </x:c>
      <x:c r="AA50" s="84" t="str">
        <x:v>N/D</x:v>
      </x:c>
      <x:c r="AB50" s="39" t="str">
        <x:v>não medido</x:v>
      </x:c>
      <x:c r="AC50" s="39" t="str">
        <x:v>N/D</x:v>
      </x:c>
      <x:c r="AD50" s="39" t="str">
        <x:v>N/D</x:v>
      </x:c>
      <x:c r="AE50" s="39" t="str">
        <x:v>Crédito PJ</x:v>
      </x:c>
      <x:c r="AF50" s="39" t="str">
        <x:v>N/D</x:v>
      </x:c>
      <x:c r="AG50" s="39" t="str">
        <x:v>N/D</x:v>
      </x:c>
      <x:c r="AH50" s="39" t="str">
        <x:v>N/D</x:v>
      </x:c>
      <x:c r="AI50" s="39" t="str">
        <x:v>N/D</x:v>
      </x:c>
      <x:c r="AJ50" s="39" t="str">
        <x:v>N/D</x:v>
      </x:c>
      <x:c r="AK50" s="39" t="str">
        <x:v>N/D</x:v>
      </x:c>
      <x:c r="AL50" s="39" t="str">
        <x:v>N/D</x:v>
      </x:c>
      <x:c r="AM50" s="39" t="str">
        <x:v>sem_overlay</x:v>
      </x:c>
      <x:c r="AN50" s="39" t="str">
        <x:v>N/D</x:v>
      </x:c>
      <x:c r="AO50" s="39" t="str">
        <x:v>1128340</x:v>
      </x:c>
      <x:c r="AP50" s="39" t="str">
        <x:v>2026-03-03</x:v>
      </x:c>
      <x:c r="AQ50" s="39" t="str">
        <x:v>cláusulas de subordinação e definições revisadas</x:v>
      </x:c>
      <x:c r="AR50" s="39" t="str">
        <x:v>revisto — mínimo júnior não isolado</x:v>
      </x:c>
      <x:c r="AS50" s="39" t="str">
        <x:v>FundosNet/B3; documento 1128340; referência 2026-03-03; cláusulas candidatas revisadas</x:v>
      </x:c>
      <x:c r="AT50" s="39" t="str">
        <x:v>N/D</x:v>
      </x:c>
      <x:c r="AU50" s="39" t="str">
        <x:v>mínimo estrutural comparável; originador; cedente; sacado/devedor; tipo de recebível</x:v>
      </x:c>
      <x:c r="AV50" s="39" t="str">
        <x:v>minimo_estrutural_ausente</x:v>
      </x:c>
    </x:row>
    <x:row r="51" ht="31.5" customHeight="1">
      <x:c r="A51" s="38" t="n">
        <x:v>26</x:v>
      </x:c>
      <x:c r="B51" s="73" t="n">
        <x:v>37511828000114</x:v>
      </x:c>
      <x:c r="C51" s="38" t="str">
        <x:v>37.511.828/0001-14</x:v>
      </x:c>
      <x:c r="D51" s="38" t="str">
        <x:v>MERCADO CRÉDITO I BRASIL FIDC SEGMENTO FINANCEIRO DE RESPONSABILIDADE LIMITADA</x:v>
      </x:c>
      <x:c r="E51" s="38" t="str">
        <x:v>Mercado Crédito, Mercado Crédito I e II</x:v>
      </x:c>
      <x:c r="F51" s="38" t="str">
        <x:v>Flagships</x:v>
      </x:c>
      <x:c r="G51" s="38" t="str">
        <x:v>2026-06</x:v>
      </x:c>
      <x:c r="H51" s="38" t="str">
        <x:v>localizado</x:v>
      </x:c>
      <x:c r="I51" s="79" t="n">
        <x:v>754432811.09</x:v>
      </x:c>
      <x:c r="J51" s="79" t="n">
        <x:v>754432812.5793618</x:v>
      </x:c>
      <x:c r="K51" s="79" t="n">
        <x:v>243724037.2329124</x:v>
      </x:c>
      <x:c r="L51" s="85" t="n">
        <x:v>0.3230559880882982</x:v>
      </x:c>
      <x:c r="M51" s="38" t="str">
        <x:v>Calculado com classes reportadas e PL oficial reconciliado</x:v>
      </x:c>
      <x:c r="N51" s="85" t="n">
        <x:v>0.1</x:v>
      </x:c>
      <x:c r="O51" s="85" t="str">
        <x:v>N/D</x:v>
      </x:c>
      <x:c r="P51" s="85" t="str">
        <x:v>N/D</x:v>
      </x:c>
      <x:c r="Q51" s="85" t="str">
        <x:v>N/D</x:v>
      </x:c>
      <x:c r="R51" s="85" t="str">
        <x:v>N/D</x:v>
      </x:c>
      <x:c r="S51" s="85" t="str">
        <x:v>N/D</x:v>
      </x:c>
      <x:c r="T51" s="38" t="str">
        <x:v>10,0% base; aumentos condicionais</x:v>
      </x:c>
      <x:c r="U51" s="38" t="str">
        <x:v>junior_pl</x:v>
      </x:c>
      <x:c r="V51" s="38" t="str">
        <x:v>direto no regulamento</x:v>
      </x:c>
      <x:c r="W51" s="67" t="b">
        <x:v>0</x:v>
      </x:c>
      <x:c r="X51" s="38" t="str">
        <x:v>N/D — equivalência entre mínimo júnior e subordinação total não comprovada</x:v>
      </x:c>
      <x:c r="Y51" s="67" t="b">
        <x:v>1</x:v>
      </x:c>
      <x:c r="Z51" s="85" t="str">
        <x:v>N/D</x:v>
      </x:c>
      <x:c r="AA51" s="85" t="str">
        <x:v>N/D</x:v>
      </x:c>
      <x:c r="AB51" s="38" t="str">
        <x:v>não medido</x:v>
      </x:c>
      <x:c r="AC51" s="38" t="str">
        <x:v>N/D</x:v>
      </x:c>
      <x:c r="AD51" s="38" t="str">
        <x:v>N/D</x:v>
      </x:c>
      <x:c r="AE51" s="38" t="str">
        <x:v>Crédito PJ</x:v>
      </x:c>
      <x:c r="AF51" s="38" t="str">
        <x:v>N/D</x:v>
      </x:c>
      <x:c r="AG51" s="38" t="str">
        <x:v>N/D</x:v>
      </x:c>
      <x:c r="AH51" s="38" t="str">
        <x:v>N/D</x:v>
      </x:c>
      <x:c r="AI51" s="38" t="str">
        <x:v>N/D</x:v>
      </x:c>
      <x:c r="AJ51" s="38" t="str">
        <x:v>N/D</x:v>
      </x:c>
      <x:c r="AK51" s="38" t="str">
        <x:v>N/D</x:v>
      </x:c>
      <x:c r="AL51" s="38" t="str">
        <x:v>N/D</x:v>
      </x:c>
      <x:c r="AM51" s="38" t="str">
        <x:v>sem_overlay</x:v>
      </x:c>
      <x:c r="AN51" s="38" t="str">
        <x:v>N/D</x:v>
      </x:c>
      <x:c r="AO51" s="38" t="str">
        <x:v>1200490</x:v>
      </x:c>
      <x:c r="AP51" s="38" t="str">
        <x:v>2026-03-27</x:v>
      </x:c>
      <x:c r="AQ51" s="38" t="str">
        <x:v>p. 41–42; definição “Minimum Junior Ratio”</x:v>
      </x:c>
      <x:c r="AR51" s="38" t="str">
        <x:v>revisto — mínimo júnior localizado</x:v>
      </x:c>
      <x:c r="AS51" s="38" t="str">
        <x:v>FundosNet/B3; documento 1200490; referência 2026-03-27; p. 41–42; definição “Minimum Junior Ratio”</x:v>
      </x:c>
      <x:c r="AT51" s="38" t="str">
        <x:v>Cotas subordinadas júnior / PL, mínimo-base de 10,0%, com aumentos condicionados a juros excedentes e inadimplência.</x:v>
      </x:c>
      <x:c r="AU51" s="38" t="str">
        <x:v>mínimo estrutural comparável; originador; cedente; sacado/devedor; tipo de recebível</x:v>
      </x:c>
      <x:c r="AV51" s="38" t="str">
        <x:v>estrutura_incomparavel</x:v>
      </x:c>
    </x:row>
  </x:sheetData>
  <x:mergeCells>
    <x:mergeCell ref="A1:AV1"/>
    <x:mergeCell ref="A2:AV2"/>
    <x:mergeCell ref="A3:H3"/>
    <x:mergeCell ref="I3:M3"/>
    <x:mergeCell ref="N3:V3"/>
    <x:mergeCell ref="W3:AB3"/>
    <x:mergeCell ref="AC3:AE3"/>
    <x:mergeCell ref="AF3:AN3"/>
    <x:mergeCell ref="AO3:AT3"/>
    <x:mergeCell ref="AU3:AV3"/>
  </x:mergeCells>
  <x:conditionalFormatting sqref="AB5:AB51">
    <x:cfRule type="containsText" dxfId="17" priority="1" operator="containsText" text="abaixo do mínimo"/>
    <x:cfRule type="containsText" dxfId="18" priority="2" operator="containsText" text="folga estreita"/>
    <x:cfRule type="containsText" dxfId="19" priority="3" operator="containsText" text="acima do mínimo"/>
    <x:cfRule type="containsText" dxfId="20" priority="4" operator="containsText" text="não medido"/>
  </x:conditionalFormatting>
  <x:conditionalFormatting sqref="AE5:AE51">
    <x:cfRule type="containsText" dxfId="21" priority="5" operator="containsText" text="Adquirência"/>
    <x:cfRule type="containsText" dxfId="22" priority="6" operator="containsText" text="Agro / revenda"/>
    <x:cfRule type="containsText" dxfId="23" priority="7" operator="containsText" text="Consignado INSS"/>
    <x:cfRule type="containsText" dxfId="24" priority="8" operator="containsText" text="Consignado FGTS"/>
    <x:cfRule type="containsText" dxfId="25" priority="9" operator="containsText" text="Consignado CLT"/>
    <x:cfRule type="containsText" dxfId="26" priority="10" operator="containsText" text="Consignado estadual"/>
    <x:cfRule type="containsText" dxfId="27" priority="11" operator="containsText" text="Veículos"/>
    <x:cfRule type="containsText" dxfId="28" priority="12" operator="containsText" text="Cartão consignado"/>
    <x:cfRule type="containsText" dxfId="29" priority="13" operator="containsText" text="Factoring"/>
    <x:cfRule type="containsText" dxfId="30" priority="14" operator="containsText" text="Crédito PJ"/>
    <x:cfRule type="containsText" dxfId="31" priority="15" operator="containsText" text="Financeiro"/>
    <x:cfRule type="containsText" dxfId="32" priority="16" operator="containsText" text="Outros"/>
  </x:conditionalFormatting>
  <x:conditionalFormatting sqref="AM5:AM51">
    <x:cfRule type="containsText" dxfId="33" priority="17" operator="containsText" text="manual_aplicado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6.25" hidden="0" customWidth="1"/>
    <x:col min="3" max="3" width="13.130000114440918" hidden="0" customWidth="1"/>
    <x:col min="4" max="4" width="11.880000114440918" hidden="0" customWidth="1"/>
    <x:col min="5" max="5" width="18.1299991607666" hidden="0" customWidth="1"/>
    <x:col min="6" max="6" width="16.8799991607666" hidden="0" customWidth="1"/>
    <x:col min="7" max="7" width="16.8799991607666" hidden="0" customWidth="1"/>
    <x:col min="8" max="8" width="15.630000114440918" hidden="0" customWidth="1"/>
  </x:cols>
  <x:sheetData>
    <x:row r="1" ht="25.5" customHeight="1">
      <x:c r="A1" s="26" t="str">
        <x:v>Cobertura e lacunas · Carteira 101 + Flagships</x:v>
      </x:c>
      <x:c r="B1" s="26"/>
      <x:c r="C1" s="26"/>
      <x:c r="D1" s="26"/>
      <x:c r="E1" s="26"/>
      <x:c r="F1" s="26"/>
      <x:c r="G1" s="26"/>
      <x:c r="H1" s="26"/>
    </x:row>
    <x:row r="2" ht="22.5" customHeight="1">
      <x:c r="A2" s="29" t="str">
        <x:v>Cobertura por quantidade e PL. O denominador de cada percentual permanece explícito.</x:v>
      </x:c>
      <x:c r="B2" s="29"/>
      <x:c r="C2" s="29"/>
      <x:c r="D2" s="29"/>
      <x:c r="E2" s="29"/>
      <x:c r="F2" s="29"/>
      <x:c r="G2" s="29"/>
      <x:c r="H2" s="29"/>
    </x:row>
    <x:row r="4" ht="25.5" customHeight="1">
      <x:c r="A4" s="32" t="str">
        <x:v>Coorte</x:v>
      </x:c>
      <x:c r="B4" s="32" t="str">
        <x:v>Campo</x:v>
      </x:c>
      <x:c r="C4" s="32" t="str">
        <x:v>Linhas com dado</x:v>
      </x:c>
      <x:c r="D4" s="32" t="str">
        <x:v>Linhas totais</x:v>
      </x:c>
      <x:c r="E4" s="32" t="str">
        <x:v>Cobertura por quantidade</x:v>
      </x:c>
      <x:c r="F4" s="32" t="str">
        <x:v>PL com dado</x:v>
      </x:c>
      <x:c r="G4" s="32" t="str">
        <x:v>PL total</x:v>
      </x:c>
      <x:c r="H4" s="32" t="str">
        <x:v>Cobertura por PL</x:v>
      </x:c>
    </x:row>
    <x:row r="5">
      <x:c r="A5" s="90" t="str">
        <x:v>Carteira 101</x:v>
      </x:c>
      <x:c r="B5" s="90" t="str">
        <x:v>nome_oficial_cvm</x:v>
      </x:c>
      <x:c r="C5" s="90" t="n">
        <x:v>100</x:v>
      </x:c>
      <x:c r="D5" s="90" t="n">
        <x:v>101</x:v>
      </x:c>
      <x:c r="E5" s="93" t="n">
        <x:v>0.9900990099009901</x:v>
      </x:c>
      <x:c r="F5" s="96" t="n">
        <x:v>55280316935.75</x:v>
      </x:c>
      <x:c r="G5" s="96" t="n">
        <x:v>55280316935.75</x:v>
      </x:c>
      <x:c r="H5" s="93" t="n">
        <x:v>1</x:v>
      </x:c>
    </x:row>
    <x:row r="6">
      <x:c r="A6" s="92" t="str">
        <x:v>Carteira 101</x:v>
      </x:c>
      <x:c r="B6" s="92" t="str">
        <x:v>pl_atual_brl</x:v>
      </x:c>
      <x:c r="C6" s="92" t="n">
        <x:v>78</x:v>
      </x:c>
      <x:c r="D6" s="92" t="n">
        <x:v>101</x:v>
      </x:c>
      <x:c r="E6" s="94" t="n">
        <x:v>0.7722772277227723</x:v>
      </x:c>
      <x:c r="F6" s="97" t="n">
        <x:v>55280316935.75</x:v>
      </x:c>
      <x:c r="G6" s="97" t="n">
        <x:v>55280316935.75</x:v>
      </x:c>
      <x:c r="H6" s="94" t="n">
        <x:v>1</x:v>
      </x:c>
    </x:row>
    <x:row r="7">
      <x:c r="A7" s="91" t="str">
        <x:v>Carteira 101</x:v>
      </x:c>
      <x:c r="B7" s="91" t="str">
        <x:v>sub_pl_atual</x:v>
      </x:c>
      <x:c r="C7" s="91" t="n">
        <x:v>68</x:v>
      </x:c>
      <x:c r="D7" s="91" t="n">
        <x:v>101</x:v>
      </x:c>
      <x:c r="E7" s="95" t="n">
        <x:v>0.6732673267326733</x:v>
      </x:c>
      <x:c r="F7" s="98" t="n">
        <x:v>49430794942.99</x:v>
      </x:c>
      <x:c r="G7" s="98" t="n">
        <x:v>55280316935.75</x:v>
      </x:c>
      <x:c r="H7" s="95" t="n">
        <x:v>0.8941843622286273</x:v>
      </x:c>
    </x:row>
    <x:row r="8">
      <x:c r="A8" s="92" t="str">
        <x:v>Carteira 101</x:v>
      </x:c>
      <x:c r="B8" s="92" t="str">
        <x:v>indice_minimo_junior</x:v>
      </x:c>
      <x:c r="C8" s="92" t="n">
        <x:v>83</x:v>
      </x:c>
      <x:c r="D8" s="92" t="n">
        <x:v>101</x:v>
      </x:c>
      <x:c r="E8" s="94" t="n">
        <x:v>0.8217821782178217</x:v>
      </x:c>
      <x:c r="F8" s="97" t="n">
        <x:v>53459615195.97001</x:v>
      </x:c>
      <x:c r="G8" s="97" t="n">
        <x:v>55280316935.75</x:v>
      </x:c>
      <x:c r="H8" s="94" t="n">
        <x:v>0.9670641949846974</x:v>
      </x:c>
    </x:row>
    <x:row r="9">
      <x:c r="A9" s="91" t="str">
        <x:v>Carteira 101</x:v>
      </x:c>
      <x:c r="B9" s="91" t="str">
        <x:v>indice_minimo_estrutural</x:v>
      </x:c>
      <x:c r="C9" s="91" t="n">
        <x:v>99</x:v>
      </x:c>
      <x:c r="D9" s="91" t="n">
        <x:v>101</x:v>
      </x:c>
      <x:c r="E9" s="95" t="n">
        <x:v>0.9801980198019802</x:v>
      </x:c>
      <x:c r="F9" s="98" t="n">
        <x:v>55279707906.53</x:v>
      </x:c>
      <x:c r="G9" s="98" t="n">
        <x:v>55280316935.75</x:v>
      </x:c>
      <x:c r="H9" s="95" t="n">
        <x:v>0.9999889828920353</x:v>
      </x:c>
    </x:row>
    <x:row r="10">
      <x:c r="A10" s="92" t="str">
        <x:v>Carteira 101</x:v>
      </x:c>
      <x:c r="B10" s="92" t="str">
        <x:v>folga_pp</x:v>
      </x:c>
      <x:c r="C10" s="92" t="n">
        <x:v>23</x:v>
      </x:c>
      <x:c r="D10" s="92" t="n">
        <x:v>101</x:v>
      </x:c>
      <x:c r="E10" s="94" t="n">
        <x:v>0.22772277227722773</x:v>
      </x:c>
      <x:c r="F10" s="97" t="n">
        <x:v>12352315458.92</x:v>
      </x:c>
      <x:c r="G10" s="97" t="n">
        <x:v>55280316935.75</x:v>
      </x:c>
      <x:c r="H10" s="94" t="n">
        <x:v>0.22344870911786885</x:v>
      </x:c>
    </x:row>
    <x:row r="11">
      <x:c r="A11" s="91" t="str">
        <x:v>Carteira 101</x:v>
      </x:c>
      <x:c r="B11" s="91" t="str">
        <x:v>cedente_originador_literal</x:v>
      </x:c>
      <x:c r="C11" s="91" t="n">
        <x:v>85</x:v>
      </x:c>
      <x:c r="D11" s="91" t="n">
        <x:v>101</x:v>
      </x:c>
      <x:c r="E11" s="95" t="n">
        <x:v>0.8415841584158416</x:v>
      </x:c>
      <x:c r="F11" s="98" t="n">
        <x:v>44136859363.67</x:v>
      </x:c>
      <x:c r="G11" s="98" t="n">
        <x:v>55280316935.75</x:v>
      </x:c>
      <x:c r="H11" s="95" t="n">
        <x:v>0.7984190722887574</x:v>
      </x:c>
    </x:row>
    <x:row r="12">
      <x:c r="A12" s="92" t="str">
        <x:v>Carteira 101</x:v>
      </x:c>
      <x:c r="B12" s="92" t="str">
        <x:v>originador</x:v>
      </x:c>
      <x:c r="C12" s="92" t="n">
        <x:v>1</x:v>
      </x:c>
      <x:c r="D12" s="92" t="n">
        <x:v>101</x:v>
      </x:c>
      <x:c r="E12" s="94" t="n">
        <x:v>0.009900990099009901</x:v>
      </x:c>
      <x:c r="F12" s="97" t="n">
        <x:v>285125290.74</x:v>
      </x:c>
      <x:c r="G12" s="97" t="n">
        <x:v>55280316935.75</x:v>
      </x:c>
      <x:c r="H12" s="94" t="n">
        <x:v>0.005157808539183833</x:v>
      </x:c>
    </x:row>
    <x:row r="13">
      <x:c r="A13" s="91" t="str">
        <x:v>Carteira 101</x:v>
      </x:c>
      <x:c r="B13" s="91" t="str">
        <x:v>cedente</x:v>
      </x:c>
      <x:c r="C13" s="91" t="n">
        <x:v>85</x:v>
      </x:c>
      <x:c r="D13" s="91" t="n">
        <x:v>101</x:v>
      </x:c>
      <x:c r="E13" s="95" t="n">
        <x:v>0.8415841584158416</x:v>
      </x:c>
      <x:c r="F13" s="98" t="n">
        <x:v>44136859363.67</x:v>
      </x:c>
      <x:c r="G13" s="98" t="n">
        <x:v>55280316935.75</x:v>
      </x:c>
      <x:c r="H13" s="95" t="n">
        <x:v>0.7984190722887574</x:v>
      </x:c>
    </x:row>
    <x:row r="14">
      <x:c r="A14" s="92" t="str">
        <x:v>Carteira 101</x:v>
      </x:c>
      <x:c r="B14" s="92" t="str">
        <x:v>sacado_devedor</x:v>
      </x:c>
      <x:c r="C14" s="92" t="n">
        <x:v>2</x:v>
      </x:c>
      <x:c r="D14" s="92" t="n">
        <x:v>101</x:v>
      </x:c>
      <x:c r="E14" s="94" t="n">
        <x:v>0.019801980198019802</x:v>
      </x:c>
      <x:c r="F14" s="97" t="n">
        <x:v>3288414628.0099998</x:v>
      </x:c>
      <x:c r="G14" s="97" t="n">
        <x:v>55280316935.75</x:v>
      </x:c>
      <x:c r="H14" s="94" t="n">
        <x:v>0.05948617537471767</x:v>
      </x:c>
    </x:row>
    <x:row r="15">
      <x:c r="A15" s="91" t="str">
        <x:v>Carteira 101</x:v>
      </x:c>
      <x:c r="B15" s="91" t="str">
        <x:v>tipo_recebivel_literal</x:v>
      </x:c>
      <x:c r="C15" s="91" t="n">
        <x:v>52</x:v>
      </x:c>
      <x:c r="D15" s="91" t="n">
        <x:v>101</x:v>
      </x:c>
      <x:c r="E15" s="95" t="n">
        <x:v>0.5148514851485149</x:v>
      </x:c>
      <x:c r="F15" s="98" t="n">
        <x:v>37802372553.91</x:v>
      </x:c>
      <x:c r="G15" s="98" t="n">
        <x:v>55280316935.75</x:v>
      </x:c>
      <x:c r="H15" s="95" t="n">
        <x:v>0.6838306046227289</x:v>
      </x:c>
    </x:row>
    <x:row r="16">
      <x:c r="A16" s="92" t="str">
        <x:v>Carteira 101</x:v>
      </x:c>
      <x:c r="B16" s="92" t="str">
        <x:v>fonte_partes_recebivel</x:v>
      </x:c>
      <x:c r="C16" s="92" t="n">
        <x:v>86</x:v>
      </x:c>
      <x:c r="D16" s="92" t="n">
        <x:v>101</x:v>
      </x:c>
      <x:c r="E16" s="94" t="n">
        <x:v>0.8514851485148515</x:v>
      </x:c>
      <x:c r="F16" s="97" t="n">
        <x:v>44189878659.229996</x:v>
      </x:c>
      <x:c r="G16" s="97" t="n">
        <x:v>55280316935.75</x:v>
      </x:c>
      <x:c r="H16" s="94" t="n">
        <x:v>0.7993781712682662</x:v>
      </x:c>
    </x:row>
    <x:row r="17">
      <x:c r="A17" s="91" t="str">
        <x:v>Flagships</x:v>
      </x:c>
      <x:c r="B17" s="91" t="str">
        <x:v>nome_oficial_cvm</x:v>
      </x:c>
      <x:c r="C17" s="91" t="n">
        <x:v>47</x:v>
      </x:c>
      <x:c r="D17" s="91" t="n">
        <x:v>47</x:v>
      </x:c>
      <x:c r="E17" s="95" t="n">
        <x:v>1</x:v>
      </x:c>
      <x:c r="F17" s="98" t="n">
        <x:v>116961399364.23997</x:v>
      </x:c>
      <x:c r="G17" s="98" t="n">
        <x:v>116961399364.23997</x:v>
      </x:c>
      <x:c r="H17" s="95" t="n">
        <x:v>1</x:v>
      </x:c>
    </x:row>
    <x:row r="18">
      <x:c r="A18" s="92" t="str">
        <x:v>Flagships</x:v>
      </x:c>
      <x:c r="B18" s="92" t="str">
        <x:v>pl_atual_brl</x:v>
      </x:c>
      <x:c r="C18" s="92" t="n">
        <x:v>47</x:v>
      </x:c>
      <x:c r="D18" s="92" t="n">
        <x:v>47</x:v>
      </x:c>
      <x:c r="E18" s="94" t="n">
        <x:v>1</x:v>
      </x:c>
      <x:c r="F18" s="97" t="n">
        <x:v>116961399364.23997</x:v>
      </x:c>
      <x:c r="G18" s="97" t="n">
        <x:v>116961399364.23997</x:v>
      </x:c>
      <x:c r="H18" s="94" t="n">
        <x:v>1</x:v>
      </x:c>
    </x:row>
    <x:row r="19">
      <x:c r="A19" s="91" t="str">
        <x:v>Flagships</x:v>
      </x:c>
      <x:c r="B19" s="91" t="str">
        <x:v>sub_pl_atual</x:v>
      </x:c>
      <x:c r="C19" s="91" t="n">
        <x:v>47</x:v>
      </x:c>
      <x:c r="D19" s="91" t="n">
        <x:v>47</x:v>
      </x:c>
      <x:c r="E19" s="95" t="n">
        <x:v>1</x:v>
      </x:c>
      <x:c r="F19" s="98" t="n">
        <x:v>116961399364.23997</x:v>
      </x:c>
      <x:c r="G19" s="98" t="n">
        <x:v>116961399364.23997</x:v>
      </x:c>
      <x:c r="H19" s="95" t="n">
        <x:v>1</x:v>
      </x:c>
    </x:row>
    <x:row r="20">
      <x:c r="A20" s="92" t="str">
        <x:v>Flagships</x:v>
      </x:c>
      <x:c r="B20" s="92" t="str">
        <x:v>indice_minimo_junior</x:v>
      </x:c>
      <x:c r="C20" s="92" t="n">
        <x:v>11</x:v>
      </x:c>
      <x:c r="D20" s="92" t="n">
        <x:v>47</x:v>
      </x:c>
      <x:c r="E20" s="94" t="n">
        <x:v>0.23404255319148937</x:v>
      </x:c>
      <x:c r="F20" s="97" t="n">
        <x:v>19925214353.5</x:v>
      </x:c>
      <x:c r="G20" s="97" t="n">
        <x:v>116961399364.23997</x:v>
      </x:c>
      <x:c r="H20" s="94" t="n">
        <x:v>0.17035718161552688</x:v>
      </x:c>
    </x:row>
    <x:row r="21">
      <x:c r="A21" s="91" t="str">
        <x:v>Flagships</x:v>
      </x:c>
      <x:c r="B21" s="91" t="str">
        <x:v>indice_minimo_estrutural</x:v>
      </x:c>
      <x:c r="C21" s="91" t="n">
        <x:v>11</x:v>
      </x:c>
      <x:c r="D21" s="91" t="n">
        <x:v>47</x:v>
      </x:c>
      <x:c r="E21" s="95" t="n">
        <x:v>0.23404255319148937</x:v>
      </x:c>
      <x:c r="F21" s="98" t="n">
        <x:v>19925214353.5</x:v>
      </x:c>
      <x:c r="G21" s="98" t="n">
        <x:v>116961399364.23997</x:v>
      </x:c>
      <x:c r="H21" s="95" t="n">
        <x:v>0.17035718161552688</x:v>
      </x:c>
    </x:row>
    <x:row r="22">
      <x:c r="A22" s="92" t="str">
        <x:v>Flagships</x:v>
      </x:c>
      <x:c r="B22" s="92" t="str">
        <x:v>folga_pp</x:v>
      </x:c>
      <x:c r="C22" s="92" t="n">
        <x:v>4</x:v>
      </x:c>
      <x:c r="D22" s="92" t="n">
        <x:v>47</x:v>
      </x:c>
      <x:c r="E22" s="94" t="n">
        <x:v>0.0851063829787234</x:v>
      </x:c>
      <x:c r="F22" s="97" t="n">
        <x:v>4588677783.34</x:v>
      </x:c>
      <x:c r="G22" s="97" t="n">
        <x:v>116961399364.23997</x:v>
      </x:c>
      <x:c r="H22" s="94" t="n">
        <x:v>0.03923241178955108</x:v>
      </x:c>
    </x:row>
    <x:row r="23">
      <x:c r="A23" s="91" t="str">
        <x:v>Flagships</x:v>
      </x:c>
      <x:c r="B23" s="91" t="str">
        <x:v>cedente_originador_literal</x:v>
      </x:c>
      <x:c r="C23" s="91" t="n">
        <x:v>3</x:v>
      </x:c>
      <x:c r="D23" s="91" t="n">
        <x:v>47</x:v>
      </x:c>
      <x:c r="E23" s="95" t="n">
        <x:v>0.06382978723404255</x:v>
      </x:c>
      <x:c r="F23" s="98" t="n">
        <x:v>10588594132.74</x:v>
      </x:c>
      <x:c r="G23" s="98" t="n">
        <x:v>116961399364.23997</x:v>
      </x:c>
      <x:c r="H23" s="95" t="n">
        <x:v>0.09053067242950052</x:v>
      </x:c>
    </x:row>
    <x:row r="24">
      <x:c r="A24" s="92" t="str">
        <x:v>Flagships</x:v>
      </x:c>
      <x:c r="B24" s="92" t="str">
        <x:v>originador</x:v>
      </x:c>
      <x:c r="C24" s="92" t="n">
        <x:v>0</x:v>
      </x:c>
      <x:c r="D24" s="92" t="n">
        <x:v>47</x:v>
      </x:c>
      <x:c r="E24" s="94" t="n">
        <x:v>0</x:v>
      </x:c>
      <x:c r="F24" s="97" t="n">
        <x:v>0</x:v>
      </x:c>
      <x:c r="G24" s="97" t="n">
        <x:v>116961399364.23997</x:v>
      </x:c>
      <x:c r="H24" s="94" t="n">
        <x:v>0</x:v>
      </x:c>
    </x:row>
    <x:row r="25">
      <x:c r="A25" s="91" t="str">
        <x:v>Flagships</x:v>
      </x:c>
      <x:c r="B25" s="91" t="str">
        <x:v>cedente</x:v>
      </x:c>
      <x:c r="C25" s="91" t="n">
        <x:v>3</x:v>
      </x:c>
      <x:c r="D25" s="91" t="n">
        <x:v>47</x:v>
      </x:c>
      <x:c r="E25" s="95" t="n">
        <x:v>0.06382978723404255</x:v>
      </x:c>
      <x:c r="F25" s="98" t="n">
        <x:v>10588594132.74</x:v>
      </x:c>
      <x:c r="G25" s="98" t="n">
        <x:v>116961399364.23997</x:v>
      </x:c>
      <x:c r="H25" s="95" t="n">
        <x:v>0.09053067242950052</x:v>
      </x:c>
    </x:row>
    <x:row r="26">
      <x:c r="A26" s="92" t="str">
        <x:v>Flagships</x:v>
      </x:c>
      <x:c r="B26" s="92" t="str">
        <x:v>sacado_devedor</x:v>
      </x:c>
      <x:c r="C26" s="92" t="n">
        <x:v>0</x:v>
      </x:c>
      <x:c r="D26" s="92" t="n">
        <x:v>47</x:v>
      </x:c>
      <x:c r="E26" s="94" t="n">
        <x:v>0</x:v>
      </x:c>
      <x:c r="F26" s="97" t="n">
        <x:v>0</x:v>
      </x:c>
      <x:c r="G26" s="97" t="n">
        <x:v>116961399364.23997</x:v>
      </x:c>
      <x:c r="H26" s="94" t="n">
        <x:v>0</x:v>
      </x:c>
    </x:row>
    <x:row r="27">
      <x:c r="A27" s="91" t="str">
        <x:v>Flagships</x:v>
      </x:c>
      <x:c r="B27" s="91" t="str">
        <x:v>tipo_recebivel_literal</x:v>
      </x:c>
      <x:c r="C27" s="91" t="n">
        <x:v>2</x:v>
      </x:c>
      <x:c r="D27" s="91" t="n">
        <x:v>47</x:v>
      </x:c>
      <x:c r="E27" s="95" t="n">
        <x:v>0.0425531914893617</x:v>
      </x:c>
      <x:c r="F27" s="98" t="n">
        <x:v>9891100373.77</x:v>
      </x:c>
      <x:c r="G27" s="98" t="n">
        <x:v>116961399364.23997</x:v>
      </x:c>
      <x:c r="H27" s="95" t="n">
        <x:v>0.08456721984803925</x:v>
      </x:c>
    </x:row>
    <x:row r="28">
      <x:c r="A28" s="92" t="str">
        <x:v>Flagships</x:v>
      </x:c>
      <x:c r="B28" s="92" t="str">
        <x:v>fonte_partes_recebivel</x:v>
      </x:c>
      <x:c r="C28" s="92" t="n">
        <x:v>3</x:v>
      </x:c>
      <x:c r="D28" s="92" t="n">
        <x:v>47</x:v>
      </x:c>
      <x:c r="E28" s="94" t="n">
        <x:v>0.06382978723404255</x:v>
      </x:c>
      <x:c r="F28" s="97" t="n">
        <x:v>10588594132.74</x:v>
      </x:c>
      <x:c r="G28" s="97" t="n">
        <x:v>116961399364.23997</x:v>
      </x:c>
      <x:c r="H28" s="94" t="n">
        <x:v>0.09053067242950052</x:v>
      </x:c>
    </x:row>
    <x:row r="31">
      <x:c r="A31" s="99" t="str">
        <x:v>LACUNAS POR CNPJ</x:v>
      </x:c>
      <x:c r="B31" s="99"/>
      <x:c r="C31" s="99"/>
      <x:c r="D31" s="99"/>
      <x:c r="E31" s="99"/>
      <x:c r="F31" s="99"/>
      <x:c r="G31" s="99"/>
    </x:row>
    <x:row r="32">
      <x:c r="A32" s="100" t="str">
        <x:v>Coorte</x:v>
      </x:c>
      <x:c r="B32" s="100" t="str">
        <x:v>CNPJ</x:v>
      </x:c>
      <x:c r="C32" s="100" t="str">
        <x:v>Nome de referência</x:v>
      </x:c>
      <x:c r="D32" s="100" t="str">
        <x:v>Status do preenchimento</x:v>
      </x:c>
      <x:c r="E32" s="100" t="str">
        <x:v>Campos não preenchidos</x:v>
      </x:c>
      <x:c r="F32" s="100" t="str">
        <x:v>Motivo da comparabilidade</x:v>
      </x:c>
      <x:c r="G32" s="100" t="str">
        <x:v>Status da curadoria</x:v>
      </x:c>
    </x:row>
    <x:row r="33" ht="34.5" customHeight="1">
      <x:c r="A33" s="101" t="str">
        <x:v>Carteira 101</x:v>
      </x:c>
      <x:c r="B33" s="102" t="str">
        <x:v>42462306000100</x:v>
      </x:c>
      <x:c r="C33" s="101" t="str">
        <x:v>IS GREEN SOLFACIL II FIDC</x:v>
      </x:c>
      <x:c r="D33" s="101" t="str">
        <x:v>estrutura_incomparavel</x:v>
      </x:c>
      <x:c r="E33" s="101" t="str">
        <x:v>originador; sacado/devedor</x:v>
      </x:c>
      <x:c r="F33" s="101" t="str">
        <x:v>Mínimo júnior isolado; a subordinação atual disponível agrega todas as classes subordinadas.</x:v>
      </x:c>
      <x:c r="G33" s="101" t="str">
        <x:v>revisto — mínimo júnior localizado</x:v>
      </x:c>
    </x:row>
    <x:row r="34" ht="34.5" customHeight="1">
      <x:c r="A34" s="101" t="str">
        <x:v>Carteira 101</x:v>
      </x:c>
      <x:c r="B34" s="102" t="str">
        <x:v>54810968000102</x:v>
      </x:c>
      <x:c r="C34" s="101" t="str">
        <x:v>ANGA FGTS III FUNDO DE INVESTIMENTO EM DIREITOS CR</x:v>
      </x:c>
      <x:c r="D34" s="101" t="str">
        <x:v>estrutura_incomparavel</x:v>
      </x:c>
      <x:c r="E34" s="101" t="str">
        <x:v>originador; sacado/devedor</x:v>
      </x:c>
      <x:c r="F34" s="101" t="str">
        <x:v>Mínimo júnior isolado; a subordinação atual disponível agrega todas as classes subordinadas.</x:v>
      </x:c>
      <x:c r="G34" s="101" t="str">
        <x:v>revisto — mínimo júnior localizado</x:v>
      </x:c>
    </x:row>
    <x:row r="35" ht="34.5" customHeight="1">
      <x:c r="A35" s="101" t="str">
        <x:v>Carteira 101</x:v>
      </x:c>
      <x:c r="B35" s="102" t="str">
        <x:v>53270983000142</x:v>
      </x:c>
      <x:c r="C35" s="101" t="str">
        <x:v>ANGA FGTS MAIS AG FIDC RESPONSABILIDADE LIMITADA</x:v>
      </x:c>
      <x:c r="D35" s="101" t="str">
        <x:v>estrutura_incomparavel</x:v>
      </x:c>
      <x:c r="E35" s="101" t="str">
        <x:v>originador; sacado/devedor; tipo de recebível</x:v>
      </x:c>
      <x:c r="F35" s="101" t="str">
        <x:v>Mínimo júnior isolado; a subordinação atual disponível agrega todas as classes subordinadas.</x:v>
      </x:c>
      <x:c r="G35" s="101" t="str">
        <x:v>revisto — mínimo júnior localizado</x:v>
      </x:c>
    </x:row>
    <x:row r="36" ht="34.5" customHeight="1">
      <x:c r="A36" s="101" t="str">
        <x:v>Carteira 101</x:v>
      </x:c>
      <x:c r="B36" s="102" t="str">
        <x:v>52968533000165</x:v>
      </x:c>
      <x:c r="C36" s="101" t="str">
        <x:v>MCPO FUNDO DE INVESTIMENTO EM DIREITOS CREDITORIO</x:v>
      </x:c>
      <x:c r="D36" s="101" t="str">
        <x:v>completo_para_folga</x:v>
      </x:c>
      <x:c r="E36" s="101" t="str">
        <x:v>originador; sacado/devedor; tipo de recebível</x:v>
      </x:c>
      <x:c r="F36" s="101" t="str">
        <x:v>Suporte total ou combinado; não representa mínimo júnior isolado.</x:v>
      </x:c>
      <x:c r="G36" s="101" t="str">
        <x:v>revisto — suporte estrutural total localizado</x:v>
      </x:c>
    </x:row>
    <x:row r="37" ht="34.5" customHeight="1">
      <x:c r="A37" s="101" t="str">
        <x:v>Carteira 101</x:v>
      </x:c>
      <x:c r="B37" s="102" t="str">
        <x:v>52100879000147</x:v>
      </x:c>
      <x:c r="C37" s="101" t="str">
        <x:v>SOTREQ FUNDO DE INVESTIMENTO EM DIREITOS CREDITORIOS</x:v>
      </x:c>
      <x:c r="D37" s="101" t="str">
        <x:v>completo_para_folga</x:v>
      </x:c>
      <x:c r="E37" s="101" t="str">
        <x:v>originador; sacado/devedor; tipo de recebível</x:v>
      </x:c>
      <x:c r="F37" s="101" t="str">
        <x:v>Suporte total ou combinado; não representa mínimo júnior isolado.</x:v>
      </x:c>
      <x:c r="G37" s="101" t="str">
        <x:v>revisto — suporte estrutural total localizado</x:v>
      </x:c>
    </x:row>
    <x:row r="38" ht="34.5" customHeight="1">
      <x:c r="A38" s="101" t="str">
        <x:v>Carteira 101</x:v>
      </x:c>
      <x:c r="B38" s="102" t="str">
        <x:v>53662209000187</x:v>
      </x:c>
      <x:c r="C38" s="101" t="str">
        <x:v>PNEUCASH FUNDO DE INVESTIMENTO EM DIREITOS CREDITORIOS</x:v>
      </x:c>
      <x:c r="D38" s="101" t="str">
        <x:v>sub_pl_atual_ausente</x:v>
      </x:c>
      <x:c r="E38" s="101" t="str">
        <x:v>Sub/PL atual; originador; sacado/devedor; tipo de recebível</x:v>
      </x:c>
      <x:c r="F38" s="101" t="str">
        <x:v>Suporte total ou combinado; não representa mínimo júnior isolado.</x:v>
      </x:c>
      <x:c r="G38" s="101" t="str">
        <x:v>revisto — suporte estrutural total localizado</x:v>
      </x:c>
    </x:row>
    <x:row r="39" ht="34.5" customHeight="1">
      <x:c r="A39" s="101" t="str">
        <x:v>Carteira 101</x:v>
      </x:c>
      <x:c r="B39" s="102" t="str">
        <x:v>53577135000180</x:v>
      </x:c>
      <x:c r="C39" s="101" t="str">
        <x:v>ANGA FGTS II FUNDO DE INVESTIMENTO EM DIREITOS CR</x:v>
      </x:c>
      <x:c r="D39" s="101" t="str">
        <x:v>estrutura_incomparavel</x:v>
      </x:c>
      <x:c r="E39" s="101" t="str">
        <x:v>originador; sacado/devedor</x:v>
      </x:c>
      <x:c r="F39" s="101" t="str">
        <x:v>Mínimo júnior isolado; a subordinação atual disponível agrega todas as classes subordinadas.</x:v>
      </x:c>
      <x:c r="G39" s="101" t="str">
        <x:v>revisto — mínimo júnior localizado</x:v>
      </x:c>
    </x:row>
    <x:row r="40" ht="34.5" customHeight="1">
      <x:c r="A40" s="101" t="str">
        <x:v>Carteira 101</x:v>
      </x:c>
      <x:c r="B40" s="102" t="str">
        <x:v>62626887000185</x:v>
      </x:c>
      <x:c r="C40" s="101" t="str">
        <x:v>TOP 2025 C FIDC RESP LTDA</x:v>
      </x:c>
      <x:c r="D40" s="101" t="str">
        <x:v>estrutura_incomparavel</x:v>
      </x:c>
      <x:c r="E40" s="101" t="str">
        <x:v>originador; sacado/devedor; tipo de recebível</x:v>
      </x:c>
      <x:c r="F40" s="101" t="str">
        <x:v>Mínimo júnior isolado; a subordinação atual disponível agrega todas as classes subordinadas.</x:v>
      </x:c>
      <x:c r="G40" s="101" t="str">
        <x:v>revisto — mínimo júnior localizado</x:v>
      </x:c>
    </x:row>
    <x:row r="41" ht="34.5" customHeight="1">
      <x:c r="A41" s="101" t="str">
        <x:v>Carteira 101</x:v>
      </x:c>
      <x:c r="B41" s="102" t="str">
        <x:v>50098465000103</x:v>
      </x:c>
      <x:c r="C41" s="101" t="str">
        <x:v>CHEMICAL XIII FUNDO DE INVESTIMENTO EM DIREITOS</x:v>
      </x:c>
      <x:c r="D41" s="101" t="str">
        <x:v>sub_pl_atual_ausente</x:v>
      </x:c>
      <x:c r="E41" s="101" t="str">
        <x:v>PL atual; Sub/PL atual; originador; sacado/devedor; tipo de recebível</x:v>
      </x:c>
      <x:c r="F41" s="101" t="str">
        <x:v>Suporte total ou combinado; não representa mínimo júnior isolado.</x:v>
      </x:c>
      <x:c r="G41" s="101" t="str">
        <x:v>revisto — suporte estrutural total localizado</x:v>
      </x:c>
    </x:row>
    <x:row r="42" ht="34.5" customHeight="1">
      <x:c r="A42" s="101" t="str">
        <x:v>Carteira 101</x:v>
      </x:c>
      <x:c r="B42" s="102" t="str">
        <x:v>48967719000122</x:v>
      </x:c>
      <x:c r="C42" s="101" t="str">
        <x:v>SOULPAY FIDC</x:v>
      </x:c>
      <x:c r="D42" s="101" t="str">
        <x:v>completo_para_folga</x:v>
      </x:c>
      <x:c r="E42" s="101" t="str">
        <x:v>originador; sacado/devedor; tipo de recebível</x:v>
      </x:c>
      <x:c r="F42" s="101" t="str">
        <x:v>Estrutura com uma única classe subordinada; métrica atual e piso usam o total subordinado sobre o PL.</x:v>
      </x:c>
      <x:c r="G42" s="101" t="str">
        <x:v>revisto — mínimo júnior localizado</x:v>
      </x:c>
    </x:row>
    <x:row r="43" ht="34.5" customHeight="1">
      <x:c r="A43" s="101" t="str">
        <x:v>Carteira 101</x:v>
      </x:c>
      <x:c r="B43" s="102" t="str">
        <x:v>37645417000111</x:v>
      </x:c>
      <x:c r="C43" s="101" t="str">
        <x:v>UBYFOL AGRO FIDC III</x:v>
      </x:c>
      <x:c r="D43" s="101" t="str">
        <x:v>sub_pl_atual_ausente</x:v>
      </x:c>
      <x:c r="E43" s="101" t="str">
        <x:v>PL atual; Sub/PL atual; originador; sacado/devedor</x:v>
      </x:c>
      <x:c r="F43" s="101" t="str">
        <x:v>Mínimo júnior isolado; a subordinação atual disponível agrega todas as classes subordinadas.</x:v>
      </x:c>
      <x:c r="G43" s="101" t="str">
        <x:v>revisto — mínimo júnior localizado</x:v>
      </x:c>
    </x:row>
    <x:row r="44" ht="34.5" customHeight="1">
      <x:c r="A44" s="101" t="str">
        <x:v>Carteira 101</x:v>
      </x:c>
      <x:c r="B44" s="102" t="str">
        <x:v>50832746000130</x:v>
      </x:c>
      <x:c r="C44" s="101" t="str">
        <x:v>BOASAFRA FIDC DO AGRONEGOCIO</x:v>
      </x:c>
      <x:c r="D44" s="101" t="str">
        <x:v>sub_pl_atual_ausente</x:v>
      </x:c>
      <x:c r="E44" s="101" t="str">
        <x:v>PL atual; Sub/PL atual; originador; sacado/devedor</x:v>
      </x:c>
      <x:c r="F44" s="101" t="str">
        <x:v>Mínimo júnior isolado; a subordinação atual disponível agrega mais de uma classe subordinada ou usa denominador distinto.</x:v>
      </x:c>
      <x:c r="G44" s="101" t="str">
        <x:v>revisto — mínimo júnior localizado</x:v>
      </x:c>
    </x:row>
    <x:row r="45" ht="34.5" customHeight="1">
      <x:c r="A45" s="101" t="str">
        <x:v>Carteira 101</x:v>
      </x:c>
      <x:c r="B45" s="102" t="str">
        <x:v>33076242000118</x:v>
      </x:c>
      <x:c r="C45" s="101" t="str">
        <x:v>FUNDO DE INVESTIMENTO EM DIREITOS CREDITORIOS ALBA</x:v>
      </x:c>
      <x:c r="D45" s="101" t="str">
        <x:v>completo_para_folga</x:v>
      </x:c>
      <x:c r="E45" s="101" t="str">
        <x:v>originador; sacado/devedor; tipo de recebível</x:v>
      </x:c>
      <x:c r="F45" s="101" t="str">
        <x:v>Estrutura com uma única classe subordinada; métrica atual e piso usam o total subordinado sobre o PL.</x:v>
      </x:c>
      <x:c r="G45" s="101" t="str">
        <x:v>revisto — mínimo júnior localizado</x:v>
      </x:c>
    </x:row>
    <x:row r="46" ht="34.5" customHeight="1">
      <x:c r="A46" s="101" t="str">
        <x:v>Carteira 101</x:v>
      </x:c>
      <x:c r="B46" s="102" t="str">
        <x:v>44173467000109</x:v>
      </x:c>
      <x:c r="C46" s="101" t="str">
        <x:v>RECEIVABLES 48 FUNDO DE INVEST INSS MEU TUDO</x:v>
      </x:c>
      <x:c r="D46" s="101" t="str">
        <x:v>sub_pl_atual_ausente</x:v>
      </x:c>
      <x:c r="E46" s="101" t="str">
        <x:v>Sub/PL atual; originador; sacado/devedor</x:v>
      </x:c>
      <x:c r="F46" s="101" t="str">
        <x:v>Mínimo júnior isolado; a subordinação atual disponível agrega mais de uma classe subordinada ou usa denominador distinto.</x:v>
      </x:c>
      <x:c r="G46" s="101" t="str">
        <x:v>revisto — mínimo júnior localizado</x:v>
      </x:c>
    </x:row>
    <x:row r="47" ht="34.5" customHeight="1">
      <x:c r="A47" s="101" t="str">
        <x:v>Carteira 101</x:v>
      </x:c>
      <x:c r="B47" s="102" t="str">
        <x:v>54252144000164</x:v>
      </x:c>
      <x:c r="C47" s="101" t="str">
        <x:v>J17 FGTS FUNDO DE INVESTIMENTO</x:v>
      </x:c>
      <x:c r="D47" s="101" t="str">
        <x:v>estrutura_incomparavel</x:v>
      </x:c>
      <x:c r="E47" s="101" t="str">
        <x:v>originador; sacado/devedor</x:v>
      </x:c>
      <x:c r="F47" s="101" t="str">
        <x:v>Mínimo júnior isolado; a subordinação atual disponível agrega todas as classes subordinadas.</x:v>
      </x:c>
      <x:c r="G47" s="101" t="str">
        <x:v>revisto — mínimo júnior localizado</x:v>
      </x:c>
    </x:row>
    <x:row r="48" ht="34.5" customHeight="1">
      <x:c r="A48" s="101" t="str">
        <x:v>Carteira 101</x:v>
      </x:c>
      <x:c r="B48" s="102" t="str">
        <x:v>48313595000161</x:v>
      </x:c>
      <x:c r="C48" s="101" t="str">
        <x:v>IBBA AGRO BR FUNDO DE INVESTIMENTO EM DIREITOS CRE</x:v>
      </x:c>
      <x:c r="D48" s="101" t="str">
        <x:v>minimo_estrutural_ausente</x:v>
      </x:c>
      <x:c r="E48" s="101" t="str">
        <x:v>mínimo estrutural comparável; originador; sacado/devedor; tipo de recebível</x:v>
      </x:c>
      <x:c r="F48" s="101" t="str">
        <x:v>Regulamento revisado sem índice percentual isolável.</x:v>
      </x:c>
      <x:c r="G48" s="101" t="str">
        <x:v>revisto — regulamento sem índice percentual isolável</x:v>
      </x:c>
    </x:row>
    <x:row r="49" ht="34.5" customHeight="1">
      <x:c r="A49" s="101" t="str">
        <x:v>Carteira 101</x:v>
      </x:c>
      <x:c r="B49" s="102" t="str">
        <x:v>32526025000110</x:v>
      </x:c>
      <x:c r="C49" s="101" t="str">
        <x:v>COBUCCIO FUNDO I F D C NAO P</x:v>
      </x:c>
      <x:c r="D49" s="101" t="str">
        <x:v>estrutura_incomparavel</x:v>
      </x:c>
      <x:c r="E49" s="101" t="str">
        <x:v>originador; cedente; sacado/devedor; tipo de recebível</x:v>
      </x:c>
      <x:c r="F49" s="101" t="str">
        <x:v>Mínimo júnior isolado; a subordinação atual disponível agrega todas as classes subordinadas.</x:v>
      </x:c>
      <x:c r="G49" s="101" t="str">
        <x:v>revisto — mínimo júnior localizado</x:v>
      </x:c>
    </x:row>
    <x:row r="50" ht="34.5" customHeight="1">
      <x:c r="A50" s="101" t="str">
        <x:v>Carteira 101</x:v>
      </x:c>
      <x:c r="B50" s="102" t="str">
        <x:v>45523699000102</x:v>
      </x:c>
      <x:c r="C50" s="101" t="str">
        <x:v>VIXTRA FUNDO DE INVE E D C RL</x:v>
      </x:c>
      <x:c r="D50" s="101" t="str">
        <x:v>estrutura_incomparavel</x:v>
      </x:c>
      <x:c r="E50" s="101" t="str">
        <x:v>originador; sacado/devedor</x:v>
      </x:c>
      <x:c r="F50" s="101" t="str">
        <x:v>Mínimo júnior isolado; a subordinação atual disponível agrega todas as classes subordinadas.</x:v>
      </x:c>
      <x:c r="G50" s="101" t="str">
        <x:v>revisto — mínimo júnior localizado</x:v>
      </x:c>
    </x:row>
    <x:row r="51" ht="34.5" customHeight="1">
      <x:c r="A51" s="101" t="str">
        <x:v>Carteira 101</x:v>
      </x:c>
      <x:c r="B51" s="102" t="str">
        <x:v>54083697000130</x:v>
      </x:c>
      <x:c r="C51" s="101" t="str">
        <x:v>PERNAMBUCANAS FIDC DE RESPONSABILIDADE LIMITADA</x:v>
      </x:c>
      <x:c r="D51" s="101" t="str">
        <x:v>completo_para_folga</x:v>
      </x:c>
      <x:c r="E51" s="101" t="str">
        <x:v>originador; sacado/devedor; tipo de recebível</x:v>
      </x:c>
      <x:c r="F51" s="101" t="str">
        <x:v>Estrutura com uma única classe subordinada; métrica atual e piso usam o total subordinado sobre o PL.</x:v>
      </x:c>
      <x:c r="G51" s="101" t="str">
        <x:v>revisto — mínimo júnior localizado</x:v>
      </x:c>
    </x:row>
    <x:row r="52" ht="34.5" customHeight="1">
      <x:c r="A52" s="101" t="str">
        <x:v>Carteira 101</x:v>
      </x:c>
      <x:c r="B52" s="102" t="str">
        <x:v>56936116000191</x:v>
      </x:c>
      <x:c r="C52" s="101" t="str">
        <x:v>FATOR TARKEN FUNDO DE INVESTIMENTO EM DIREITOS CRE</x:v>
      </x:c>
      <x:c r="D52" s="101" t="str">
        <x:v>sub_pl_atual_ausente</x:v>
      </x:c>
      <x:c r="E52" s="101" t="str">
        <x:v>PL atual; Sub/PL atual; originador; sacado/devedor; tipo de recebível</x:v>
      </x:c>
      <x:c r="F52" s="101" t="str">
        <x:v>Mínimo júnior isolado; a subordinação atual disponível agrega todas as classes subordinadas.</x:v>
      </x:c>
      <x:c r="G52" s="101" t="str">
        <x:v>revisto — mínimo júnior localizado</x:v>
      </x:c>
    </x:row>
    <x:row r="53" ht="34.5" customHeight="1">
      <x:c r="A53" s="101" t="str">
        <x:v>Carteira 101</x:v>
      </x:c>
      <x:c r="B53" s="102" t="str">
        <x:v>50089559000108</x:v>
      </x:c>
      <x:c r="C53" s="101" t="str">
        <x:v>AGRICONNECTION FIAGRO DIREITOS CREDITORIOS</x:v>
      </x:c>
      <x:c r="D53" s="101" t="str">
        <x:v>sub_pl_atual_ausente</x:v>
      </x:c>
      <x:c r="E53" s="101" t="str">
        <x:v>PL atual; Sub/PL atual; originador; sacado/devedor</x:v>
      </x:c>
      <x:c r="F53" s="101" t="str">
        <x:v>Mínimo júnior isolado; a subordinação atual disponível agrega todas as classes subordinadas.</x:v>
      </x:c>
      <x:c r="G53" s="101" t="str">
        <x:v>revisto — mínimo júnior localizado</x:v>
      </x:c>
    </x:row>
    <x:row r="54" ht="34.5" customHeight="1">
      <x:c r="A54" s="101" t="str">
        <x:v>Carteira 101</x:v>
      </x:c>
      <x:c r="B54" s="102" t="str">
        <x:v>57131490000182</x:v>
      </x:c>
      <x:c r="C54" s="101" t="str">
        <x:v>PONTO RURAL FIAGRO FIDC LTDA</x:v>
      </x:c>
      <x:c r="D54" s="101" t="str">
        <x:v>sub_pl_atual_ausente</x:v>
      </x:c>
      <x:c r="E54" s="101" t="str">
        <x:v>PL atual; Sub/PL atual; originador; sacado/devedor</x:v>
      </x:c>
      <x:c r="F54" s="101" t="str">
        <x:v>Suporte total ou combinado; não representa mínimo júnior isolado.</x:v>
      </x:c>
      <x:c r="G54" s="101" t="str">
        <x:v>revisto — suporte estrutural total localizado</x:v>
      </x:c>
    </x:row>
    <x:row r="55" ht="34.5" customHeight="1">
      <x:c r="A55" s="101" t="str">
        <x:v>Carteira 101</x:v>
      </x:c>
      <x:c r="B55" s="102" t="str">
        <x:v>47151680000108</x:v>
      </x:c>
      <x:c r="C55" s="101" t="str">
        <x:v>FARM TECH IBBA I FUNDO DE INVESTIMENTO EM DIREITOS</x:v>
      </x:c>
      <x:c r="D55" s="101" t="str">
        <x:v>completo_para_folga</x:v>
      </x:c>
      <x:c r="E55" s="101" t="str">
        <x:v>originador; sacado/devedor; tipo de recebível</x:v>
      </x:c>
      <x:c r="F55" s="101" t="str">
        <x:v>Suporte total ou combinado; não representa mínimo júnior isolado.</x:v>
      </x:c>
      <x:c r="G55" s="101" t="str">
        <x:v>revisto — suporte estrutural total localizado</x:v>
      </x:c>
    </x:row>
    <x:row r="56" ht="34.5" customHeight="1">
      <x:c r="A56" s="101" t="str">
        <x:v>Carteira 101</x:v>
      </x:c>
      <x:c r="B56" s="102" t="str">
        <x:v>43309233000183</x:v>
      </x:c>
      <x:c r="C56" s="101" t="str">
        <x:v>FUNDO DE INVESTIMENTO EM DIREITOS CREDITORIOS LIVERPOOL</x:v>
      </x:c>
      <x:c r="D56" s="101" t="str">
        <x:v>sub_pl_atual_ausente</x:v>
      </x:c>
      <x:c r="E56" s="101" t="str">
        <x:v>PL atual; Sub/PL atual; originador; sacado/devedor</x:v>
      </x:c>
      <x:c r="F56" s="101" t="str">
        <x:v>Suporte total ou combinado; não representa mínimo júnior isolado.</x:v>
      </x:c>
      <x:c r="G56" s="101" t="str">
        <x:v>revisto — suporte estrutural total localizado</x:v>
      </x:c>
    </x:row>
    <x:row r="57" ht="34.5" customHeight="1">
      <x:c r="A57" s="101" t="str">
        <x:v>Carteira 101</x:v>
      </x:c>
      <x:c r="B57" s="102" t="str">
        <x:v>43616659000180</x:v>
      </x:c>
      <x:c r="C57" s="101" t="str">
        <x:v>TALO 1 FUNDO DE INVESTIMENTO EM DIREITOS CREDITORIOS</x:v>
      </x:c>
      <x:c r="D57" s="101" t="str">
        <x:v>completo_para_folga</x:v>
      </x:c>
      <x:c r="E57" s="101" t="str">
        <x:v>originador; sacado/devedor; tipo de recebível</x:v>
      </x:c>
      <x:c r="F57" s="101" t="str">
        <x:v>Suporte total ou combinado; não representa mínimo júnior isolado.</x:v>
      </x:c>
      <x:c r="G57" s="101" t="str">
        <x:v>revisto — suporte estrutural total localizado</x:v>
      </x:c>
    </x:row>
    <x:row r="58" ht="34.5" customHeight="1">
      <x:c r="A58" s="101" t="str">
        <x:v>Carteira 101</x:v>
      </x:c>
      <x:c r="B58" s="102" t="str">
        <x:v>52343195000176</x:v>
      </x:c>
      <x:c r="C58" s="101" t="str">
        <x:v>FARMTECH SYNGENTA FUNDO DE INVESTIMENTO EM DIREITO</x:v>
      </x:c>
      <x:c r="D58" s="101" t="str">
        <x:v>sub_pl_atual_ausente</x:v>
      </x:c>
      <x:c r="E58" s="101" t="str">
        <x:v>PL atual; Sub/PL atual; originador; sacado/devedor; tipo de recebível</x:v>
      </x:c>
      <x:c r="F58" s="101" t="str">
        <x:v>Suporte total ou combinado; não representa mínimo júnior isolado.</x:v>
      </x:c>
      <x:c r="G58" s="101" t="str">
        <x:v>revisto — suporte estrutural total localizado</x:v>
      </x:c>
    </x:row>
    <x:row r="59" ht="34.5" customHeight="1">
      <x:c r="A59" s="101" t="str">
        <x:v>Carteira 101</x:v>
      </x:c>
      <x:c r="B59" s="102" t="str">
        <x:v>44574361000117</x:v>
      </x:c>
      <x:c r="C59" s="101" t="str">
        <x:v>FUNDO DE INVESTIMENTO EM DIREITOS CREDITORIOS UPL</x:v>
      </x:c>
      <x:c r="D59" s="101" t="str">
        <x:v>sub_pl_atual_ausente</x:v>
      </x:c>
      <x:c r="E59" s="101" t="str">
        <x:v>Sub/PL atual; originador; sacado/devedor</x:v>
      </x:c>
      <x:c r="F59" s="101" t="str">
        <x:v>Suporte total ou combinado; não representa mínimo júnior isolado.</x:v>
      </x:c>
      <x:c r="G59" s="101" t="str">
        <x:v>revisto — suporte estrutural total localizado</x:v>
      </x:c>
    </x:row>
    <x:row r="60" ht="34.5" customHeight="1">
      <x:c r="A60" s="101" t="str">
        <x:v>Carteira 101</x:v>
      </x:c>
      <x:c r="B60" s="102" t="str">
        <x:v>45123558000100</x:v>
      </x:c>
      <x:c r="C60" s="101" t="str">
        <x:v>CLASSE I DO CANAA FUNDO DE INVESTIMENTO NAS CADEIAS USINA COCAL</x:v>
      </x:c>
      <x:c r="D60" s="101" t="str">
        <x:v>fora_perimetro</x:v>
      </x:c>
      <x:c r="E60" s="101" t="str">
        <x:v>nome oficial CVM; PL atual; Sub/PL atual; mínimo estrutural comparável; originador; cedente; sacado/devedor; tipo de recebível</x:v>
      </x:c>
      <x:c r="F60" s="101" t="str">
        <x:v>Veículo fora do endpoint documental FIDC consultado.</x:v>
      </x:c>
      <x:c r="G60" s="101" t="str">
        <x:v>fora do perímetro FIDC — regulamento não localizado</x:v>
      </x:c>
    </x:row>
    <x:row r="61" ht="34.5" customHeight="1">
      <x:c r="A61" s="101" t="str">
        <x:v>Carteira 101</x:v>
      </x:c>
      <x:c r="B61" s="102" t="str">
        <x:v>50857998000113</x:v>
      </x:c>
      <x:c r="C61" s="101" t="str">
        <x:v>LEO I FUNDO INV DIR CREDITORIOS</x:v>
      </x:c>
      <x:c r="D61" s="101" t="str">
        <x:v>estrutura_incomparavel</x:v>
      </x:c>
      <x:c r="E61" s="101" t="str">
        <x:v>originador; cedente; sacado/devedor; tipo de recebível</x:v>
      </x:c>
      <x:c r="F61" s="101" t="str">
        <x:v>Mínimo júnior isolado; a subordinação atual disponível agrega todas as classes subordinadas.</x:v>
      </x:c>
      <x:c r="G61" s="101" t="str">
        <x:v>revisto — mínimo júnior localizado</x:v>
      </x:c>
    </x:row>
    <x:row r="62" ht="34.5" customHeight="1">
      <x:c r="A62" s="101" t="str">
        <x:v>Carteira 101</x:v>
      </x:c>
      <x:c r="B62" s="102" t="str">
        <x:v>38376526000143</x:v>
      </x:c>
      <x:c r="C62" s="101" t="str">
        <x:v>HOTFUND FIDC</x:v>
      </x:c>
      <x:c r="D62" s="101" t="str">
        <x:v>estrutura_incomparavel</x:v>
      </x:c>
      <x:c r="E62" s="101" t="str">
        <x:v>originador; sacado/devedor</x:v>
      </x:c>
      <x:c r="F62" s="101" t="str">
        <x:v>Mínimo júnior isolado; a subordinação atual disponível agrega todas as classes subordinadas.</x:v>
      </x:c>
      <x:c r="G62" s="101" t="str">
        <x:v>revisto — mínimo júnior localizado</x:v>
      </x:c>
    </x:row>
    <x:row r="63" ht="34.5" customHeight="1">
      <x:c r="A63" s="101" t="str">
        <x:v>Carteira 101</x:v>
      </x:c>
      <x:c r="B63" s="102" t="str">
        <x:v>45598747000121</x:v>
      </x:c>
      <x:c r="C63" s="101" t="str">
        <x:v>FIDC SUMUP</x:v>
      </x:c>
      <x:c r="D63" s="101" t="str">
        <x:v>completo_para_folga</x:v>
      </x:c>
      <x:c r="E63" s="101" t="str">
        <x:v>originador; sacado/devedor; tipo de recebível</x:v>
      </x:c>
      <x:c r="F63" s="101" t="str">
        <x:v>Estrutura com uma única classe subordinada; métrica atual e piso usam o total subordinado sobre o PL.</x:v>
      </x:c>
      <x:c r="G63" s="101" t="str">
        <x:v>revisto — mínimo júnior localizado</x:v>
      </x:c>
    </x:row>
    <x:row r="64" ht="34.5" customHeight="1">
      <x:c r="A64" s="101" t="str">
        <x:v>Carteira 101</x:v>
      </x:c>
      <x:c r="B64" s="102" t="str">
        <x:v>41197066000109</x:v>
      </x:c>
      <x:c r="C64" s="101" t="str">
        <x:v>MOVILEPAY CREDITO I FIDC SEGMENTO FINANCEIRO DE RE</x:v>
      </x:c>
      <x:c r="D64" s="101" t="str">
        <x:v>estrutura_incomparavel</x:v>
      </x:c>
      <x:c r="E64" s="101" t="str">
        <x:v>originador; sacado/devedor</x:v>
      </x:c>
      <x:c r="F64" s="101" t="str">
        <x:v>Mínimo júnior isolado; a subordinação atual disponível agrega todas as classes subordinadas.</x:v>
      </x:c>
      <x:c r="G64" s="101" t="str">
        <x:v>revisto — mínimo júnior localizado</x:v>
      </x:c>
    </x:row>
    <x:row r="65" ht="34.5" customHeight="1">
      <x:c r="A65" s="101" t="str">
        <x:v>Carteira 101</x:v>
      </x:c>
      <x:c r="B65" s="102" t="str">
        <x:v>44124617000194</x:v>
      </x:c>
      <x:c r="C65" s="101" t="str">
        <x:v>CLOUDWALK AKIRA II FUNDO DE INVESTIMENTO EM DIREITO</x:v>
      </x:c>
      <x:c r="D65" s="101" t="str">
        <x:v>sub_pl_atual_ausente</x:v>
      </x:c>
      <x:c r="E65" s="101" t="str">
        <x:v>PL atual; Sub/PL atual; originador; sacado/devedor; tipo de recebível</x:v>
      </x:c>
      <x:c r="F65" s="101" t="str">
        <x:v>Estrutura com uma única classe subordinada; métrica atual e piso usam o total subordinado sobre o PL.</x:v>
      </x:c>
      <x:c r="G65" s="101" t="str">
        <x:v>revisto — mínimo júnior localizado</x:v>
      </x:c>
    </x:row>
    <x:row r="66" ht="34.5" customHeight="1">
      <x:c r="A66" s="101" t="str">
        <x:v>Carteira 101</x:v>
      </x:c>
      <x:c r="B66" s="102" t="str">
        <x:v>42085816000105</x:v>
      </x:c>
      <x:c r="C66" s="101" t="str">
        <x:v>CLOUDWALK KICK ASS I FUNDO DE INVESTIMENTO EM DIRE</x:v>
      </x:c>
      <x:c r="D66" s="101" t="str">
        <x:v>sub_pl_atual_ausente</x:v>
      </x:c>
      <x:c r="E66" s="101" t="str">
        <x:v>PL atual; Sub/PL atual; originador; sacado/devedor; tipo de recebível</x:v>
      </x:c>
      <x:c r="F66" s="101" t="str">
        <x:v>Estrutura com uma única classe subordinada; métrica atual e piso usam o total subordinado sobre o PL.</x:v>
      </x:c>
      <x:c r="G66" s="101" t="str">
        <x:v>revisto — mínimo júnior localizado</x:v>
      </x:c>
    </x:row>
    <x:row r="67" ht="34.5" customHeight="1">
      <x:c r="A67" s="101" t="str">
        <x:v>Carteira 101</x:v>
      </x:c>
      <x:c r="B67" s="102" t="str">
        <x:v>38385876000176</x:v>
      </x:c>
      <x:c r="C67" s="101" t="str">
        <x:v>ESTRATEGIA EDUCACIONAL FIDC</x:v>
      </x:c>
      <x:c r="D67" s="101" t="str">
        <x:v>sub_pl_atual_ausente</x:v>
      </x:c>
      <x:c r="E67" s="101" t="str">
        <x:v>PL atual; Sub/PL atual; originador; sacado/devedor</x:v>
      </x:c>
      <x:c r="F67" s="101" t="str">
        <x:v>Mínimo júnior isolado; a subordinação atual disponível agrega todas as classes subordinadas.</x:v>
      </x:c>
      <x:c r="G67" s="101" t="str">
        <x:v>revisto — mínimo júnior localizado</x:v>
      </x:c>
    </x:row>
    <x:row r="68" ht="34.5" customHeight="1">
      <x:c r="A68" s="101" t="str">
        <x:v>Carteira 101</x:v>
      </x:c>
      <x:c r="B68" s="102" t="str">
        <x:v>40919667000107</x:v>
      </x:c>
      <x:c r="C68" s="101" t="str">
        <x:v>RECARGAPAY I FUNDO DE INVESTIMENTO EM DIREITOS CRE</x:v>
      </x:c>
      <x:c r="D68" s="101" t="str">
        <x:v>completo_para_folga</x:v>
      </x:c>
      <x:c r="E68" s="101" t="str">
        <x:v>originador; sacado/devedor</x:v>
      </x:c>
      <x:c r="F68" s="101" t="str">
        <x:v>Estrutura com uma única classe subordinada; métrica atual e piso usam o total subordinado sobre o PL.</x:v>
      </x:c>
      <x:c r="G68" s="101" t="str">
        <x:v>revisto — mínimo júnior localizado</x:v>
      </x:c>
    </x:row>
    <x:row r="69" ht="34.5" customHeight="1">
      <x:c r="A69" s="101" t="str">
        <x:v>Carteira 101</x:v>
      </x:c>
      <x:c r="B69" s="102" t="str">
        <x:v>42102603000144</x:v>
      </x:c>
      <x:c r="C69" s="101" t="str">
        <x:v>CLOUDWALK KICK ASS II FUNDO DE INVESTIMENTO EM DIR</x:v>
      </x:c>
      <x:c r="D69" s="101" t="str">
        <x:v>sub_pl_atual_ausente</x:v>
      </x:c>
      <x:c r="E69" s="101" t="str">
        <x:v>PL atual; Sub/PL atual; originador; sacado/devedor; tipo de recebível</x:v>
      </x:c>
      <x:c r="F69" s="101" t="str">
        <x:v>Estrutura com uma única classe subordinada; métrica atual e piso usam o total subordinado sobre o PL.</x:v>
      </x:c>
      <x:c r="G69" s="101" t="str">
        <x:v>revisto — mínimo júnior localizado</x:v>
      </x:c>
    </x:row>
    <x:row r="70" ht="34.5" customHeight="1">
      <x:c r="A70" s="101" t="str">
        <x:v>Carteira 101</x:v>
      </x:c>
      <x:c r="B70" s="102" t="str">
        <x:v>28169275000172</x:v>
      </x:c>
      <x:c r="C70" s="101" t="str">
        <x:v>FUNDO DE INVESTIMENTO EM DIREITOS CREDITORIOS PAGSEGURO I</x:v>
      </x:c>
      <x:c r="D70" s="101" t="str">
        <x:v>estrutura_incomparavel</x:v>
      </x:c>
      <x:c r="E70" s="101" t="str">
        <x:v>originador; sacado/devedor</x:v>
      </x:c>
      <x:c r="F70" s="101" t="str">
        <x:v>Mínimo júnior isolado; a subordinação atual disponível agrega mais de uma classe subordinada ou usa denominador distinto.</x:v>
      </x:c>
      <x:c r="G70" s="101" t="str">
        <x:v>revisto — mínimo júnior localizado</x:v>
      </x:c>
    </x:row>
    <x:row r="71" ht="34.5" customHeight="1">
      <x:c r="A71" s="101" t="str">
        <x:v>Carteira 101</x:v>
      </x:c>
      <x:c r="B71" s="102" t="str">
        <x:v>38658727000133</x:v>
      </x:c>
      <x:c r="C71" s="101" t="str">
        <x:v>FIDC FORNEC MADEIRA MADEIRA I</x:v>
      </x:c>
      <x:c r="D71" s="101" t="str">
        <x:v>completo_para_folga</x:v>
      </x:c>
      <x:c r="E71" s="101" t="str">
        <x:v>originador; tipo de recebível</x:v>
      </x:c>
      <x:c r="F71" s="101" t="str">
        <x:v>Estrutura com uma única classe subordinada; métrica atual e piso usam o total subordinado sobre o PL.</x:v>
      </x:c>
      <x:c r="G71" s="101" t="str">
        <x:v>revisto — mínimo júnior localizado</x:v>
      </x:c>
    </x:row>
    <x:row r="72" ht="34.5" customHeight="1">
      <x:c r="A72" s="101" t="str">
        <x:v>Carteira 101</x:v>
      </x:c>
      <x:c r="B72" s="102" t="str">
        <x:v>52271464000136</x:v>
      </x:c>
      <x:c r="C72" s="101" t="str">
        <x:v>KIWIFY FUNDO DE INVESTIMENTO E</x:v>
      </x:c>
      <x:c r="D72" s="101" t="str">
        <x:v>estrutura_incomparavel</x:v>
      </x:c>
      <x:c r="E72" s="101" t="str">
        <x:v>originador; cedente; sacado/devedor; tipo de recebível</x:v>
      </x:c>
      <x:c r="F72" s="101" t="str">
        <x:v>Mínimo júnior isolado; a subordinação atual disponível agrega todas as classes subordinadas.</x:v>
      </x:c>
      <x:c r="G72" s="101" t="str">
        <x:v>revisto — mínimo júnior localizado</x:v>
      </x:c>
    </x:row>
    <x:row r="73" ht="34.5" customHeight="1">
      <x:c r="A73" s="101" t="str">
        <x:v>Carteira 101</x:v>
      </x:c>
      <x:c r="B73" s="102" t="str">
        <x:v>29226654000110</x:v>
      </x:c>
      <x:c r="C73" s="101" t="str">
        <x:v>INVESTCRED FUNDO DE INVESTIMENTO EM DIREITOS CREDI</x:v>
      </x:c>
      <x:c r="D73" s="101" t="str">
        <x:v>completo_para_folga</x:v>
      </x:c>
      <x:c r="E73" s="101" t="str">
        <x:v>originador; sacado/devedor</x:v>
      </x:c>
      <x:c r="F73" s="101" t="str">
        <x:v>Estrutura com uma única classe subordinada; métrica atual e piso usam o total subordinado sobre o PL.</x:v>
      </x:c>
      <x:c r="G73" s="101" t="str">
        <x:v>revisto — mínimo júnior localizado</x:v>
      </x:c>
    </x:row>
    <x:row r="74" ht="34.5" customHeight="1">
      <x:c r="A74" s="101" t="str">
        <x:v>Carteira 101</x:v>
      </x:c>
      <x:c r="B74" s="102" t="str">
        <x:v>54857414000160</x:v>
      </x:c>
      <x:c r="C74" s="101" t="str">
        <x:v>INDIE MERX RAIZ I CREDITO AGRO FUNDO DE INVESTIMEN</x:v>
      </x:c>
      <x:c r="D74" s="101" t="str">
        <x:v>estrutura_incomparavel</x:v>
      </x:c>
      <x:c r="E74" s="101" t="str">
        <x:v>originador; sacado/devedor</x:v>
      </x:c>
      <x:c r="F74" s="101" t="str">
        <x:v>Mínimo júnior isolado; a subordinação atual disponível agrega todas as classes subordinadas.</x:v>
      </x:c>
      <x:c r="G74" s="101" t="str">
        <x:v>revisto — mínimo júnior localizado</x:v>
      </x:c>
    </x:row>
    <x:row r="75" ht="34.5" customHeight="1">
      <x:c r="A75" s="101" t="str">
        <x:v>Carteira 101</x:v>
      </x:c>
      <x:c r="B75" s="102" t="str">
        <x:v>44124465000120</x:v>
      </x:c>
      <x:c r="C75" s="101" t="str">
        <x:v>TMAQ21 FUNDO I E D CREDITORIOS</x:v>
      </x:c>
      <x:c r="D75" s="101" t="str">
        <x:v>sub_pl_atual_ausente</x:v>
      </x:c>
      <x:c r="E75" s="101" t="str">
        <x:v>PL atual; Sub/PL atual; originador; sacado/devedor</x:v>
      </x:c>
      <x:c r="F75" s="101" t="str">
        <x:v>Mínimo júnior isolado; a subordinação atual disponível agrega todas as classes subordinadas.</x:v>
      </x:c>
      <x:c r="G75" s="101" t="str">
        <x:v>revisto — mínimo júnior localizado</x:v>
      </x:c>
    </x:row>
    <x:row r="76" ht="34.5" customHeight="1">
      <x:c r="A76" s="101" t="str">
        <x:v>Carteira 101</x:v>
      </x:c>
      <x:c r="B76" s="102" t="str">
        <x:v>55401645000128</x:v>
      </x:c>
      <x:c r="C76" s="101" t="str">
        <x:v>QUATA FIDC FGTS FUNDO DE INVESTIMENTO EM DIREITOS</x:v>
      </x:c>
      <x:c r="D76" s="101" t="str">
        <x:v>estrutura_incomparavel</x:v>
      </x:c>
      <x:c r="E76" s="101" t="str">
        <x:v>originador; sacado/devedor</x:v>
      </x:c>
      <x:c r="F76" s="101" t="str">
        <x:v>Mínimo júnior isolado; a subordinação atual disponível agrega todas as classes subordinadas.</x:v>
      </x:c>
      <x:c r="G76" s="101" t="str">
        <x:v>revisto — mínimo júnior localizado</x:v>
      </x:c>
    </x:row>
    <x:row r="77" ht="34.5" customHeight="1">
      <x:c r="A77" s="101" t="str">
        <x:v>Carteira 101</x:v>
      </x:c>
      <x:c r="B77" s="102" t="str">
        <x:v>63622842000103</x:v>
      </x:c>
      <x:c r="C77" s="101" t="str">
        <x:v>DESBRAVA UNO ART ESP FIDC RL</x:v>
      </x:c>
      <x:c r="D77" s="101" t="str">
        <x:v>completo_para_folga</x:v>
      </x:c>
      <x:c r="E77" s="101" t="str">
        <x:v>originador; sacado/devedor; tipo de recebível</x:v>
      </x:c>
      <x:c r="F77" s="101" t="str">
        <x:v>Estrutura com uma única classe subordinada; métrica atual e piso usam o total subordinado sobre o PL.</x:v>
      </x:c>
      <x:c r="G77" s="101" t="str">
        <x:v>revisto — mínimo júnior localizado</x:v>
      </x:c>
    </x:row>
    <x:row r="78" ht="34.5" customHeight="1">
      <x:c r="A78" s="101" t="str">
        <x:v>Carteira 101</x:v>
      </x:c>
      <x:c r="B78" s="102" t="str">
        <x:v>44272584000120</x:v>
      </x:c>
      <x:c r="C78" s="101" t="str">
        <x:v>LAVORO AGRO FIDC DAS CADEIAS PRODUTIVAS AGROINDUST</x:v>
      </x:c>
      <x:c r="D78" s="101" t="str">
        <x:v>sub_pl_atual_ausente</x:v>
      </x:c>
      <x:c r="E78" s="101" t="str">
        <x:v>PL atual; Sub/PL atual; originador; sacado/devedor; tipo de recebível</x:v>
      </x:c>
      <x:c r="F78" s="101" t="str">
        <x:v>Mínimo júnior isolado; a subordinação atual disponível agrega todas as classes subordinadas.</x:v>
      </x:c>
      <x:c r="G78" s="101" t="str">
        <x:v>revisto — mínimo júnior localizado</x:v>
      </x:c>
    </x:row>
    <x:row r="79" ht="34.5" customHeight="1">
      <x:c r="A79" s="101" t="str">
        <x:v>Carteira 101</x:v>
      </x:c>
      <x:c r="B79" s="102" t="str">
        <x:v>62838025000116</x:v>
      </x:c>
      <x:c r="C79" s="101" t="str">
        <x:v>TOP 2025 J FIDC RESP LTDA</x:v>
      </x:c>
      <x:c r="D79" s="101" t="str">
        <x:v>estrutura_incomparavel</x:v>
      </x:c>
      <x:c r="E79" s="101" t="str">
        <x:v>originador; sacado/devedor</x:v>
      </x:c>
      <x:c r="F79" s="101" t="str">
        <x:v>Mínimo júnior isolado; a subordinação atual disponível agrega todas as classes subordinadas.</x:v>
      </x:c>
      <x:c r="G79" s="101" t="str">
        <x:v>revisto — mínimo júnior localizado</x:v>
      </x:c>
    </x:row>
    <x:row r="80" ht="34.5" customHeight="1">
      <x:c r="A80" s="101" t="str">
        <x:v>Carteira 101</x:v>
      </x:c>
      <x:c r="B80" s="102" t="str">
        <x:v>47280025000150</x:v>
      </x:c>
      <x:c r="C80" s="101" t="str">
        <x:v>FUNDO DE INVESTIMENTO EM DIREITOS CREDITORIOS ALBA</x:v>
      </x:c>
      <x:c r="D80" s="101" t="str">
        <x:v>completo_para_folga</x:v>
      </x:c>
      <x:c r="E80" s="101" t="str">
        <x:v>originador; sacado/devedor; tipo de recebível</x:v>
      </x:c>
      <x:c r="F80" s="101" t="str">
        <x:v>Estrutura com uma única classe subordinada; métrica atual e piso usam o total subordinado sobre o PL.</x:v>
      </x:c>
      <x:c r="G80" s="101" t="str">
        <x:v>revisto — mínimo júnior localizado</x:v>
      </x:c>
    </x:row>
    <x:row r="81" ht="34.5" customHeight="1">
      <x:c r="A81" s="101" t="str">
        <x:v>Carteira 101</x:v>
      </x:c>
      <x:c r="B81" s="102" t="str">
        <x:v>57270666000187</x:v>
      </x:c>
      <x:c r="C81" s="101" t="str">
        <x:v>MOBILITAS FIDC RL</x:v>
      </x:c>
      <x:c r="D81" s="101" t="str">
        <x:v>estrutura_incomparavel</x:v>
      </x:c>
      <x:c r="E81" s="101" t="str">
        <x:v>originador; cedente; sacado/devedor</x:v>
      </x:c>
      <x:c r="F81" s="101" t="str">
        <x:v>Mínimo júnior isolado; a subordinação atual disponível agrega todas as classes subordinadas.</x:v>
      </x:c>
      <x:c r="G81" s="101" t="str">
        <x:v>revisto — mínimo júnior localizado</x:v>
      </x:c>
    </x:row>
    <x:row r="82" ht="34.5" customHeight="1">
      <x:c r="A82" s="101" t="str">
        <x:v>Carteira 101</x:v>
      </x:c>
      <x:c r="B82" s="102" t="str">
        <x:v>58288437000152</x:v>
      </x:c>
      <x:c r="C82" s="101" t="str">
        <x:v>ALTOMAX FIDC SEG RECEB COM LTD</x:v>
      </x:c>
      <x:c r="D82" s="101" t="str">
        <x:v>estrutura_incomparavel</x:v>
      </x:c>
      <x:c r="E82" s="101" t="str">
        <x:v>originador; cedente; sacado/devedor; tipo de recebível</x:v>
      </x:c>
      <x:c r="F82" s="101" t="str">
        <x:v>Mínimo júnior isolado; a subordinação atual disponível agrega todas as classes subordinadas.</x:v>
      </x:c>
      <x:c r="G82" s="101" t="str">
        <x:v>revisto — mínimo júnior localizado</x:v>
      </x:c>
    </x:row>
    <x:row r="83" ht="34.5" customHeight="1">
      <x:c r="A83" s="101" t="str">
        <x:v>Carteira 101</x:v>
      </x:c>
      <x:c r="B83" s="102" t="str">
        <x:v>55476342000174</x:v>
      </x:c>
      <x:c r="C83" s="101" t="str">
        <x:v>LAVORO AGRO II FUNDO DE INVESTIMENTO EM DIREITOS C</x:v>
      </x:c>
      <x:c r="D83" s="101" t="str">
        <x:v>sub_pl_atual_ausente</x:v>
      </x:c>
      <x:c r="E83" s="101" t="str">
        <x:v>PL atual; Sub/PL atual; originador; sacado/devedor; tipo de recebível</x:v>
      </x:c>
      <x:c r="F83" s="101" t="str">
        <x:v>Estrutura com uma única classe subordinada; métrica atual e piso usam o total subordinado sobre o PL.</x:v>
      </x:c>
      <x:c r="G83" s="101" t="str">
        <x:v>revisto — mínimo júnior localizado</x:v>
      </x:c>
    </x:row>
    <x:row r="84" ht="34.5" customHeight="1">
      <x:c r="A84" s="101" t="str">
        <x:v>Carteira 101</x:v>
      </x:c>
      <x:c r="B84" s="102" t="str">
        <x:v>63679792000192</x:v>
      </x:c>
      <x:c r="C84" s="101" t="str">
        <x:v>BLUE HEALTH FIDC RECEB LTDA</x:v>
      </x:c>
      <x:c r="D84" s="101" t="str">
        <x:v>estrutura_incomparavel</x:v>
      </x:c>
      <x:c r="E84" s="101" t="str">
        <x:v>originador; sacado/devedor</x:v>
      </x:c>
      <x:c r="F84" s="101" t="str">
        <x:v>Mínimo júnior isolado; a subordinação atual disponível agrega todas as classes subordinadas.</x:v>
      </x:c>
      <x:c r="G84" s="101" t="str">
        <x:v>revisto — mínimo júnior localizado</x:v>
      </x:c>
    </x:row>
    <x:row r="85" ht="34.5" customHeight="1">
      <x:c r="A85" s="101" t="str">
        <x:v>Carteira 101</x:v>
      </x:c>
      <x:c r="B85" s="102" t="str">
        <x:v>42154687000160</x:v>
      </x:c>
      <x:c r="C85" s="101" t="str">
        <x:v>MULTIPLIKE PLUS FUNDO I D CRED</x:v>
      </x:c>
      <x:c r="D85" s="101" t="str">
        <x:v>estrutura_incomparavel</x:v>
      </x:c>
      <x:c r="E85" s="101" t="str">
        <x:v>originador; sacado/devedor</x:v>
      </x:c>
      <x:c r="F85" s="101" t="str">
        <x:v>Mínimo júnior isolado; a subordinação atual disponível agrega todas as classes subordinadas.</x:v>
      </x:c>
      <x:c r="G85" s="101" t="str">
        <x:v>revisto — mínimo júnior calculado de cláusulas contratuais</x:v>
      </x:c>
    </x:row>
    <x:row r="86" ht="34.5" customHeight="1">
      <x:c r="A86" s="101" t="str">
        <x:v>Carteira 101</x:v>
      </x:c>
      <x:c r="B86" s="102" t="str">
        <x:v>48946335000123</x:v>
      </x:c>
      <x:c r="C86" s="101" t="str">
        <x:v>NAGRO OIKOS FIAGRO FUNDO DE INVESTIMENTO EM DIREI</x:v>
      </x:c>
      <x:c r="D86" s="101" t="str">
        <x:v>sub_pl_atual_ausente</x:v>
      </x:c>
      <x:c r="E86" s="101" t="str">
        <x:v>PL atual; Sub/PL atual; originador; sacado/devedor; tipo de recebível</x:v>
      </x:c>
      <x:c r="F86" s="101" t="str">
        <x:v>Mínimo júnior isolado; a subordinação atual disponível agrega todas as classes subordinadas.</x:v>
      </x:c>
      <x:c r="G86" s="101" t="str">
        <x:v>revisto — mínimo júnior localizado</x:v>
      </x:c>
    </x:row>
    <x:row r="87" ht="34.5" customHeight="1">
      <x:c r="A87" s="101" t="str">
        <x:v>Carteira 101</x:v>
      </x:c>
      <x:c r="B87" s="102" t="str">
        <x:v>55374251000128</x:v>
      </x:c>
      <x:c r="C87" s="101" t="str">
        <x:v>FUNDO DE INVESTIMENTO EM DIREITOS CREDITORIOS BLUE</x:v>
      </x:c>
      <x:c r="D87" s="101" t="str">
        <x:v>sub_pl_atual_ausente</x:v>
      </x:c>
      <x:c r="E87" s="101" t="str">
        <x:v>Sub/PL atual; originador; sacado/devedor</x:v>
      </x:c>
      <x:c r="F87" s="101" t="str">
        <x:v>Mínimo júnior isolado; a subordinação atual disponível agrega todas as classes subordinadas.</x:v>
      </x:c>
      <x:c r="G87" s="101" t="str">
        <x:v>revisto — mínimo júnior localizado</x:v>
      </x:c>
    </x:row>
    <x:row r="88" ht="34.5" customHeight="1">
      <x:c r="A88" s="101" t="str">
        <x:v>Carteira 101</x:v>
      </x:c>
      <x:c r="B88" s="102" t="str">
        <x:v>35868110000154</x:v>
      </x:c>
      <x:c r="C88" s="101" t="str">
        <x:v>FUNDO DE INVESTIMENTO EM DIREITOS CREDITORIOS BV</x:v>
      </x:c>
      <x:c r="D88" s="101" t="str">
        <x:v>sub_pl_atual_ausente</x:v>
      </x:c>
      <x:c r="E88" s="101" t="str">
        <x:v>PL atual; Sub/PL atual; originador; sacado/devedor</x:v>
      </x:c>
      <x:c r="F88" s="101" t="str">
        <x:v>Estrutura com uma única classe subordinada; métrica atual e piso usam o total subordinado sobre o PL.</x:v>
      </x:c>
      <x:c r="G88" s="101" t="str">
        <x:v>revisto — mínimo júnior localizado</x:v>
      </x:c>
    </x:row>
    <x:row r="89" ht="34.5" customHeight="1">
      <x:c r="A89" s="101" t="str">
        <x:v>Carteira 101</x:v>
      </x:c>
      <x:c r="B89" s="102" t="str">
        <x:v>48953864000154</x:v>
      </x:c>
      <x:c r="C89" s="101" t="str">
        <x:v>FUNDO INVESTIMENTO E D C A II</x:v>
      </x:c>
      <x:c r="D89" s="101" t="str">
        <x:v>sub_pl_atual_ausente</x:v>
      </x:c>
      <x:c r="E89" s="101" t="str">
        <x:v>PL atual; Sub/PL atual; originador; sacado/devedor</x:v>
      </x:c>
      <x:c r="F89" s="101" t="str">
        <x:v>Estrutura com uma única classe subordinada; métrica atual e piso usam o total subordinado sobre o PL.</x:v>
      </x:c>
      <x:c r="G89" s="101" t="str">
        <x:v>revisto — mínimo júnior localizado</x:v>
      </x:c>
    </x:row>
    <x:row r="90" ht="34.5" customHeight="1">
      <x:c r="A90" s="101" t="str">
        <x:v>Carteira 101</x:v>
      </x:c>
      <x:c r="B90" s="102" t="str">
        <x:v>65976848000104</x:v>
      </x:c>
      <x:c r="C90" s="101" t="str">
        <x:v>FUNDO DE INVESTIMENTO EM DIREITOS CREDITORIOS AGIBANK II</x:v>
      </x:c>
      <x:c r="D90" s="101" t="str">
        <x:v>estrutura_incomparavel</x:v>
      </x:c>
      <x:c r="E90" s="101" t="str">
        <x:v>originador; cedente; sacado/devedor; tipo de recebível</x:v>
      </x:c>
      <x:c r="F90" s="101" t="str">
        <x:v>Mínimo júnior isolado; a subordinação atual disponível agrega todas as classes subordinadas.</x:v>
      </x:c>
      <x:c r="G90" s="101" t="str">
        <x:v>revisto — mínimo júnior localizado</x:v>
      </x:c>
    </x:row>
    <x:row r="91" ht="34.5" customHeight="1">
      <x:c r="A91" s="101" t="str">
        <x:v>Carteira 101</x:v>
      </x:c>
      <x:c r="B91" s="102" t="str">
        <x:v>50536324000117</x:v>
      </x:c>
      <x:c r="C91" s="101" t="str">
        <x:v>MAQNELSON FUNDO DE INVESTIMENTO EM DIREITOS CREDIT</x:v>
      </x:c>
      <x:c r="D91" s="101" t="str">
        <x:v>completo_para_folga</x:v>
      </x:c>
      <x:c r="E91" s="101" t="str">
        <x:v>originador; sacado/devedor</x:v>
      </x:c>
      <x:c r="F91" s="101" t="str">
        <x:v>Estrutura com uma única classe subordinada; métrica atual e piso usam o total subordinado sobre o PL.</x:v>
      </x:c>
      <x:c r="G91" s="101" t="str">
        <x:v>revisto — mínimo júnior localizado</x:v>
      </x:c>
    </x:row>
    <x:row r="92" ht="34.5" customHeight="1">
      <x:c r="A92" s="101" t="str">
        <x:v>Carteira 101</x:v>
      </x:c>
      <x:c r="B92" s="102" t="str">
        <x:v>57816252000100</x:v>
      </x:c>
      <x:c r="C92" s="101" t="str">
        <x:v>NATURA PAY FUNDO DE INVESTIMENTO EM DIREITOS CREDI</x:v>
      </x:c>
      <x:c r="D92" s="101" t="str">
        <x:v>completo_para_folga</x:v>
      </x:c>
      <x:c r="E92" s="101" t="str">
        <x:v>originador; sacado/devedor</x:v>
      </x:c>
      <x:c r="F92" s="101" t="str">
        <x:v>Estrutura com uma única classe subordinada; métrica atual e piso usam o total subordinado sobre o PL.</x:v>
      </x:c>
      <x:c r="G92" s="101" t="str">
        <x:v>revisto — mínimo júnior localizado</x:v>
      </x:c>
    </x:row>
    <x:row r="93" ht="34.5" customHeight="1">
      <x:c r="A93" s="101" t="str">
        <x:v>Carteira 101</x:v>
      </x:c>
      <x:c r="B93" s="102" t="str">
        <x:v>50473039000102</x:v>
      </x:c>
      <x:c r="C93" s="101" t="str">
        <x:v>SELLER FUNDO DE INVESTIMENTO EM DIREITOS CREDITORIOS</x:v>
      </x:c>
      <x:c r="D93" s="101" t="str">
        <x:v>estrutura_incomparavel</x:v>
      </x:c>
      <x:c r="E93" s="101" t="str">
        <x:v>originador; sacado/devedor</x:v>
      </x:c>
      <x:c r="F93" s="101" t="str">
        <x:v>Mínimo júnior isolado; a subordinação atual disponível agrega todas as classes subordinadas.</x:v>
      </x:c>
      <x:c r="G93" s="101" t="str">
        <x:v>revisto — mínimo júnior localizado</x:v>
      </x:c>
    </x:row>
    <x:row r="94" ht="34.5" customHeight="1">
      <x:c r="A94" s="101" t="str">
        <x:v>Carteira 101</x:v>
      </x:c>
      <x:c r="B94" s="102" t="str">
        <x:v>62588266000154</x:v>
      </x:c>
      <x:c r="C94" s="101" t="str">
        <x:v>VTK FIDC RESP LIMIT</x:v>
      </x:c>
      <x:c r="D94" s="101" t="str">
        <x:v>sub_pl_atual_ausente</x:v>
      </x:c>
      <x:c r="E94" s="101" t="str">
        <x:v>Sub/PL atual; originador; sacado/devedor</x:v>
      </x:c>
      <x:c r="F94" s="101" t="str">
        <x:v>Mínimo júnior isolado; a subordinação atual disponível agrega todas as classes subordinadas.</x:v>
      </x:c>
      <x:c r="G94" s="101" t="str">
        <x:v>revisto — mínimo júnior localizado</x:v>
      </x:c>
    </x:row>
    <x:row r="95" ht="34.5" customHeight="1">
      <x:c r="A95" s="101" t="str">
        <x:v>Carteira 101</x:v>
      </x:c>
      <x:c r="B95" s="102" t="str">
        <x:v>50988212000105</x:v>
      </x:c>
      <x:c r="C95" s="101" t="str">
        <x:v>CARTAO DE COMPRA SUPPLIER FUNDO DE INVESTIMENTO EM</x:v>
      </x:c>
      <x:c r="D95" s="101" t="str">
        <x:v>estrutura_incomparavel</x:v>
      </x:c>
      <x:c r="E95" s="101" t="str">
        <x:v>originador; sacado/devedor</x:v>
      </x:c>
      <x:c r="F95" s="101" t="str">
        <x:v>Mínimo júnior usa PL ajustado; não é comparável à subordinação atual sobre o PL oficial.</x:v>
      </x:c>
      <x:c r="G95" s="101" t="str">
        <x:v>revisto — mínimo júnior localizado</x:v>
      </x:c>
    </x:row>
    <x:row r="96" ht="34.5" customHeight="1">
      <x:c r="A96" s="101" t="str">
        <x:v>Carteira 101</x:v>
      </x:c>
      <x:c r="B96" s="102" t="str">
        <x:v>58476088000100</x:v>
      </x:c>
      <x:c r="C96" s="101" t="str">
        <x:v>CONSORCIO DALTEZ</x:v>
      </x:c>
      <x:c r="D96" s="101" t="str">
        <x:v>completo_para_folga</x:v>
      </x:c>
      <x:c r="E96" s="101" t="str">
        <x:v>originador; sacado/devedor</x:v>
      </x:c>
      <x:c r="F96" s="101" t="str">
        <x:v>Estrutura com uma única classe subordinada; métrica atual e piso usam o total subordinado sobre o PL.</x:v>
      </x:c>
      <x:c r="G96" s="101" t="str">
        <x:v>revisto — mínimo júnior localizado</x:v>
      </x:c>
    </x:row>
    <x:row r="97" ht="34.5" customHeight="1">
      <x:c r="A97" s="101" t="str">
        <x:v>Carteira 101</x:v>
      </x:c>
      <x:c r="B97" s="102" t="str">
        <x:v>58349979000198</x:v>
      </x:c>
      <x:c r="C97" s="101" t="str">
        <x:v>VOLKSWAGEN TERA FIDC SEGMENTO RECEBIVEIS COMERCIAI</x:v>
      </x:c>
      <x:c r="D97" s="101" t="str">
        <x:v>sub_pl_atual_ausente</x:v>
      </x:c>
      <x:c r="E97" s="101" t="str">
        <x:v>Sub/PL atual; originador; sacado/devedor</x:v>
      </x:c>
      <x:c r="F97" s="101" t="str">
        <x:v>Estrutura com uma única classe subordinada; métrica atual e piso usam o total subordinado sobre o PL.</x:v>
      </x:c>
      <x:c r="G97" s="101" t="str">
        <x:v>revisto — mínimo júnior localizado</x:v>
      </x:c>
    </x:row>
    <x:row r="98" ht="34.5" customHeight="1">
      <x:c r="A98" s="101" t="str">
        <x:v>Carteira 101</x:v>
      </x:c>
      <x:c r="B98" s="102" t="str">
        <x:v>54559035000194</x:v>
      </x:c>
      <x:c r="C98" s="101" t="str">
        <x:v>FUNDO DE INVESTIMENTO EM DIREITOS CREDITORIOS RESP</x:v>
      </x:c>
      <x:c r="D98" s="101" t="str">
        <x:v>sub_pl_atual_ausente</x:v>
      </x:c>
      <x:c r="E98" s="101" t="str">
        <x:v>Sub/PL atual; originador; sacado/devedor; tipo de recebível</x:v>
      </x:c>
      <x:c r="F98" s="101" t="str">
        <x:v>Estrutura com uma única classe subordinada; métrica atual e piso usam o total subordinado sobre o PL.</x:v>
      </x:c>
      <x:c r="G98" s="101" t="str">
        <x:v>revisto — mínimo júnior localizado</x:v>
      </x:c>
    </x:row>
    <x:row r="99" ht="34.5" customHeight="1">
      <x:c r="A99" s="101" t="str">
        <x:v>Carteira 101</x:v>
      </x:c>
      <x:c r="B99" s="102" t="str">
        <x:v>55070804000159</x:v>
      </x:c>
      <x:c r="C99" s="101" t="str">
        <x:v>ESTRATEGIA VINCULADA II FUNDO DE INVESTIMENTO EM D</x:v>
      </x:c>
      <x:c r="D99" s="101" t="str">
        <x:v>sub_pl_atual_ausente</x:v>
      </x:c>
      <x:c r="E99" s="101" t="str">
        <x:v>PL atual; Sub/PL atual; originador; sacado/devedor; tipo de recebível</x:v>
      </x:c>
      <x:c r="F99" s="101" t="str">
        <x:v>Estrutura com uma única classe subordinada; métrica atual e piso usam o total subordinado sobre o PL.</x:v>
      </x:c>
      <x:c r="G99" s="101" t="str">
        <x:v>revisto — mínimo júnior localizado</x:v>
      </x:c>
    </x:row>
    <x:row r="100" ht="34.5" customHeight="1">
      <x:c r="A100" s="101" t="str">
        <x:v>Carteira 101</x:v>
      </x:c>
      <x:c r="B100" s="102" t="str">
        <x:v>43866348000179</x:v>
      </x:c>
      <x:c r="C100" s="101" t="str">
        <x:v>FUNDO DE INVESTIMENTO EM DIREITOS CREDITORIOS OPEA</x:v>
      </x:c>
      <x:c r="D100" s="101" t="str">
        <x:v>estrutura_incomparavel</x:v>
      </x:c>
      <x:c r="E100" s="101" t="str">
        <x:v>originador; sacado/devedor</x:v>
      </x:c>
      <x:c r="F100" s="101" t="str">
        <x:v>Mínimo júnior isolado; a subordinação atual disponível agrega todas as classes subordinadas.</x:v>
      </x:c>
      <x:c r="G100" s="101" t="str">
        <x:v>revisto — mínimo júnior localizado</x:v>
      </x:c>
    </x:row>
    <x:row r="101" ht="34.5" customHeight="1">
      <x:c r="A101" s="101" t="str">
        <x:v>Carteira 101</x:v>
      </x:c>
      <x:c r="B101" s="102" t="str">
        <x:v>47936340000192</x:v>
      </x:c>
      <x:c r="C101" s="101" t="str">
        <x:v>FUNDO DE INVESTIMENTO EM DIREITOS CREDITORIOS OPEA</x:v>
      </x:c>
      <x:c r="D101" s="101" t="str">
        <x:v>sub_pl_atual_ausente</x:v>
      </x:c>
      <x:c r="E101" s="101" t="str">
        <x:v>PL atual; Sub/PL atual; originador; sacado/devedor</x:v>
      </x:c>
      <x:c r="F101" s="101" t="str">
        <x:v>Suporte total ou combinado; não representa mínimo júnior isolado.</x:v>
      </x:c>
      <x:c r="G101" s="101" t="str">
        <x:v>revisto — suporte estrutural total localizado</x:v>
      </x:c>
    </x:row>
    <x:row r="102" ht="34.5" customHeight="1">
      <x:c r="A102" s="101" t="str">
        <x:v>Carteira 101</x:v>
      </x:c>
      <x:c r="B102" s="102" t="str">
        <x:v>58291962000127</x:v>
      </x:c>
      <x:c r="C102" s="101" t="str">
        <x:v>HELM FUNDO I E D C RESPONS</x:v>
      </x:c>
      <x:c r="D102" s="101" t="str">
        <x:v>sub_pl_atual_ausente</x:v>
      </x:c>
      <x:c r="E102" s="101" t="str">
        <x:v>PL atual; Sub/PL atual; originador; sacado/devedor</x:v>
      </x:c>
      <x:c r="F102" s="101" t="str">
        <x:v>Suporte total ou combinado; não representa mínimo júnior isolado.</x:v>
      </x:c>
      <x:c r="G102" s="101" t="str">
        <x:v>revisto — suporte estrutural total localizado</x:v>
      </x:c>
    </x:row>
    <x:row r="103" ht="34.5" customHeight="1">
      <x:c r="A103" s="101" t="str">
        <x:v>Carteira 101</x:v>
      </x:c>
      <x:c r="B103" s="102" t="str">
        <x:v>57259989000170</x:v>
      </x:c>
      <x:c r="C103" s="101" t="str">
        <x:v>TRES TENTOS FUNDO DE INVESTIMENTO EM DIREITOS CRE</x:v>
      </x:c>
      <x:c r="D103" s="101" t="str">
        <x:v>sub_pl_atual_ausente</x:v>
      </x:c>
      <x:c r="E103" s="101" t="str">
        <x:v>PL atual; Sub/PL atual; originador; sacado/devedor</x:v>
      </x:c>
      <x:c r="F103" s="101" t="str">
        <x:v>Suporte total ou combinado; não representa mínimo júnior isolado.</x:v>
      </x:c>
      <x:c r="G103" s="101" t="str">
        <x:v>revisto — suporte estrutural total localizado</x:v>
      </x:c>
    </x:row>
    <x:row r="104" ht="34.5" customHeight="1">
      <x:c r="A104" s="101" t="str">
        <x:v>Carteira 101</x:v>
      </x:c>
      <x:c r="B104" s="102" t="str">
        <x:v>58171340000165</x:v>
      </x:c>
      <x:c r="C104" s="101" t="str">
        <x:v>FRIMESA FUNDO DE INVESTIMENTO EM DIREITOS CREDITOR</x:v>
      </x:c>
      <x:c r="D104" s="101" t="str">
        <x:v>estrutura_incomparavel</x:v>
      </x:c>
      <x:c r="E104" s="101" t="str">
        <x:v>originador; sacado/devedor</x:v>
      </x:c>
      <x:c r="F104" s="101" t="str">
        <x:v>Mínimo júnior isolado; a subordinação atual disponível agrega todas as classes subordinadas.</x:v>
      </x:c>
      <x:c r="G104" s="101" t="str">
        <x:v>revisto — mínimo júnior localizado</x:v>
      </x:c>
    </x:row>
    <x:row r="105" ht="34.5" customHeight="1">
      <x:c r="A105" s="101" t="str">
        <x:v>Carteira 101</x:v>
      </x:c>
      <x:c r="B105" s="102" t="str">
        <x:v>51554551000138</x:v>
      </x:c>
      <x:c r="C105" s="101" t="str">
        <x:v>CLASSE UNICA DO FIDC CREDITO NITRO AGRO RESPONSA</x:v>
      </x:c>
      <x:c r="D105" s="101" t="str">
        <x:v>completo_para_folga</x:v>
      </x:c>
      <x:c r="E105" s="101" t="str">
        <x:v>originador; sacado/devedor</x:v>
      </x:c>
      <x:c r="F105" s="101" t="str">
        <x:v>Suporte total ou combinado; não representa mínimo júnior isolado.</x:v>
      </x:c>
      <x:c r="G105" s="101" t="str">
        <x:v>revisto — suporte estrutural total localizado</x:v>
      </x:c>
    </x:row>
    <x:row r="106" ht="34.5" customHeight="1">
      <x:c r="A106" s="101" t="str">
        <x:v>Carteira 101</x:v>
      </x:c>
      <x:c r="B106" s="102" t="str">
        <x:v>57752597000148</x:v>
      </x:c>
      <x:c r="C106" s="101" t="str">
        <x:v>AGROMERCANTIL CREDITO AGRO FUNDO DE INVESTIMENTO EM DIREITOS CREDITORIOS</x:v>
      </x:c>
      <x:c r="D106" s="101" t="str">
        <x:v>estrutura_incomparavel</x:v>
      </x:c>
      <x:c r="E106" s="101" t="str">
        <x:v>originador; sacado/devedor</x:v>
      </x:c>
      <x:c r="F106" s="101" t="str">
        <x:v>Mínimo júnior isolado; a subordinação atual disponível agrega todas as classes subordinadas.</x:v>
      </x:c>
      <x:c r="G106" s="101" t="str">
        <x:v>revisto — mínimo júnior localizado</x:v>
      </x:c>
    </x:row>
    <x:row r="107" ht="34.5" customHeight="1">
      <x:c r="A107" s="101" t="str">
        <x:v>Carteira 101</x:v>
      </x:c>
      <x:c r="B107" s="102" t="str">
        <x:v>47425750000179</x:v>
      </x:c>
      <x:c r="C107" s="101" t="str">
        <x:v>FIDC CROPFIELD CEREALIS</x:v>
      </x:c>
      <x:c r="D107" s="101" t="str">
        <x:v>estrutura_incomparavel</x:v>
      </x:c>
      <x:c r="E107" s="101" t="str">
        <x:v>originador; cedente; sacado/devedor; tipo de recebível</x:v>
      </x:c>
      <x:c r="F107" s="101" t="str">
        <x:v>Mínimo júnior isolado; a subordinação atual disponível agrega todas as classes subordinadas.</x:v>
      </x:c>
      <x:c r="G107" s="101" t="str">
        <x:v>revisto — mínimo júnior calculado de cláusulas contratuais</x:v>
      </x:c>
    </x:row>
    <x:row r="108" ht="34.5" customHeight="1">
      <x:c r="A108" s="101" t="str">
        <x:v>Carteira 101</x:v>
      </x:c>
      <x:c r="B108" s="102" t="str">
        <x:v>37035970000132</x:v>
      </x:c>
      <x:c r="C108" s="101" t="str">
        <x:v>CD BANCK FIDC</x:v>
      </x:c>
      <x:c r="D108" s="101" t="str">
        <x:v>estrutura_incomparavel</x:v>
      </x:c>
      <x:c r="E108" s="101" t="str">
        <x:v>originador; sacado/devedor</x:v>
      </x:c>
      <x:c r="F108" s="101" t="str">
        <x:v>Mínimo júnior isolado; a subordinação atual disponível agrega todas as classes subordinadas.</x:v>
      </x:c>
      <x:c r="G108" s="101" t="str">
        <x:v>revisto — mínimo júnior calculado de cláusulas contratuais</x:v>
      </x:c>
    </x:row>
    <x:row r="109" ht="34.5" customHeight="1">
      <x:c r="A109" s="101" t="str">
        <x:v>Carteira 101</x:v>
      </x:c>
      <x:c r="B109" s="102" t="str">
        <x:v>17468142000180</x:v>
      </x:c>
      <x:c r="C109" s="101" t="str">
        <x:v>VALOREM FIDC MULTISSETORIAL</x:v>
      </x:c>
      <x:c r="D109" s="101" t="str">
        <x:v>estrutura_incomparavel</x:v>
      </x:c>
      <x:c r="E109" s="101" t="str">
        <x:v>originador; sacado/devedor</x:v>
      </x:c>
      <x:c r="F109" s="101" t="str">
        <x:v>Mínimo júnior isolado; a subordinação atual disponível agrega todas as classes subordinadas.</x:v>
      </x:c>
      <x:c r="G109" s="101" t="str">
        <x:v>revisto — mínimo júnior localizado</x:v>
      </x:c>
    </x:row>
    <x:row r="110" ht="34.5" customHeight="1">
      <x:c r="A110" s="101" t="str">
        <x:v>Carteira 101</x:v>
      </x:c>
      <x:c r="B110" s="102" t="str">
        <x:v>29492605000129</x:v>
      </x:c>
      <x:c r="C110" s="101" t="str">
        <x:v>GAZIN FUNDO DE INVESTIMENTO EM DIREITOS CREDITORIO</x:v>
      </x:c>
      <x:c r="D110" s="101" t="str">
        <x:v>completo_para_folga</x:v>
      </x:c>
      <x:c r="E110" s="101" t="str">
        <x:v>originador; cedente; sacado/devedor; tipo de recebível</x:v>
      </x:c>
      <x:c r="F110" s="101" t="str">
        <x:v>Estrutura documental com cotas seniores e juniores; a métrica atual e o piso usam o total subordinado sobre o PL.</x:v>
      </x:c>
      <x:c r="G110" s="101" t="str">
        <x:v>revisto — mínimo júnior localizado</x:v>
      </x:c>
    </x:row>
    <x:row r="111" ht="34.5" customHeight="1">
      <x:c r="A111" s="101" t="str">
        <x:v>Carteira 101</x:v>
      </x:c>
      <x:c r="B111" s="102" t="str">
        <x:v>31739396000117</x:v>
      </x:c>
      <x:c r="C111" s="101" t="str">
        <x:v>FIDC LF III</x:v>
      </x:c>
      <x:c r="D111" s="101" t="str">
        <x:v>estrutura_incomparavel</x:v>
      </x:c>
      <x:c r="E111" s="101" t="str">
        <x:v>originador; sacado/devedor</x:v>
      </x:c>
      <x:c r="F111" s="101" t="str">
        <x:v>Mínimo júnior isolado; a subordinação atual disponível agrega todas as classes subordinadas.</x:v>
      </x:c>
      <x:c r="G111" s="101" t="str">
        <x:v>revisto — mínimo júnior localizado</x:v>
      </x:c>
    </x:row>
    <x:row r="112" ht="34.5" customHeight="1">
      <x:c r="A112" s="101" t="str">
        <x:v>Carteira 101</x:v>
      </x:c>
      <x:c r="B112" s="102" t="str">
        <x:v>26749095000134</x:v>
      </x:c>
      <x:c r="C112" s="101" t="str">
        <x:v>CREDITO UNIVERSITARIO II FUNDO DE INVESTIMENTO EM</x:v>
      </x:c>
      <x:c r="D112" s="101" t="str">
        <x:v>sub_pl_atual_ausente</x:v>
      </x:c>
      <x:c r="E112" s="101" t="str">
        <x:v>Sub/PL atual; originador; sacado/devedor</x:v>
      </x:c>
      <x:c r="F112" s="101" t="str">
        <x:v>Mínimo júnior isolado; a subordinação atual disponível agrega mais de uma classe subordinada ou usa denominador distinto.</x:v>
      </x:c>
      <x:c r="G112" s="101" t="str">
        <x:v>revisto — mínimo júnior localizado</x:v>
      </x:c>
    </x:row>
    <x:row r="113" ht="34.5" customHeight="1">
      <x:c r="A113" s="101" t="str">
        <x:v>Carteira 101</x:v>
      </x:c>
      <x:c r="B113" s="102" t="str">
        <x:v>62393829000159</x:v>
      </x:c>
      <x:c r="C113" s="101" t="str">
        <x:v>TOP 2025 V FIDC RESP LIMITADA</x:v>
      </x:c>
      <x:c r="D113" s="101" t="str">
        <x:v>completo_para_folga</x:v>
      </x:c>
      <x:c r="E113" s="101" t="str">
        <x:v>originador</x:v>
      </x:c>
      <x:c r="F113" s="101" t="str">
        <x:v>Estrutura com uma única classe subordinada; métrica atual e piso usam o total subordinado sobre o PL.</x:v>
      </x:c>
      <x:c r="G113" s="101" t="str">
        <x:v>revisto — mínimo júnior localizado</x:v>
      </x:c>
    </x:row>
    <x:row r="114" ht="34.5" customHeight="1">
      <x:c r="A114" s="101" t="str">
        <x:v>Carteira 101</x:v>
      </x:c>
      <x:c r="B114" s="102" t="str">
        <x:v>47640584000123</x:v>
      </x:c>
      <x:c r="C114" s="101" t="str">
        <x:v>SOL AGORA GREEN ESG FIDC IS SEGMENTO FINANCEIRO DE</x:v>
      </x:c>
      <x:c r="D114" s="101" t="str">
        <x:v>estrutura_incomparavel</x:v>
      </x:c>
      <x:c r="E114" s="101" t="str">
        <x:v>sacado/devedor</x:v>
      </x:c>
      <x:c r="F114" s="101" t="str">
        <x:v>Mínimo júnior isolado; a subordinação atual disponível agrega todas as classes subordinadas.</x:v>
      </x:c>
      <x:c r="G114" s="101" t="str">
        <x:v>revisto — mínimo júnior localizado</x:v>
      </x:c>
    </x:row>
    <x:row r="115" ht="34.5" customHeight="1">
      <x:c r="A115" s="101" t="str">
        <x:v>Carteira 101</x:v>
      </x:c>
      <x:c r="B115" s="102" t="str">
        <x:v>57028406000108</x:v>
      </x:c>
      <x:c r="C115" s="101" t="str">
        <x:v>IS GREEN SOLFACIL VI FIDC RL</x:v>
      </x:c>
      <x:c r="D115" s="101" t="str">
        <x:v>estrutura_incomparavel</x:v>
      </x:c>
      <x:c r="E115" s="101" t="str">
        <x:v>originador; sacado/devedor</x:v>
      </x:c>
      <x:c r="F115" s="101" t="str">
        <x:v>Mínimo júnior isolado; a subordinação atual disponível agrega todas as classes subordinadas.</x:v>
      </x:c>
      <x:c r="G115" s="101" t="str">
        <x:v>revisto — mínimo júnior localizado</x:v>
      </x:c>
    </x:row>
    <x:row r="116" ht="34.5" customHeight="1">
      <x:c r="A116" s="101" t="str">
        <x:v>Carteira 101</x:v>
      </x:c>
      <x:c r="B116" s="102" t="str">
        <x:v>31570767000180</x:v>
      </x:c>
      <x:c r="C116" s="101" t="str">
        <x:v>FUNDO DE INVESTIMENTO EM DIREITOS</x:v>
      </x:c>
      <x:c r="D116" s="101" t="str">
        <x:v>estrutura_incomparavel</x:v>
      </x:c>
      <x:c r="E116" s="101" t="str">
        <x:v>originador; sacado/devedor; tipo de recebível</x:v>
      </x:c>
      <x:c r="F116" s="101" t="str">
        <x:v>Mínimo júnior isolado; a subordinação atual disponível agrega todas as classes subordinadas.</x:v>
      </x:c>
      <x:c r="G116" s="101" t="str">
        <x:v>revisto — mínimo júnior localizado</x:v>
      </x:c>
    </x:row>
    <x:row r="117" ht="34.5" customHeight="1">
      <x:c r="A117" s="101" t="str">
        <x:v>Carteira 101</x:v>
      </x:c>
      <x:c r="B117" s="102" t="str">
        <x:v>54464892000100</x:v>
      </x:c>
      <x:c r="C117" s="101" t="str">
        <x:v>FUNDO I E D C MF RECEIV</x:v>
      </x:c>
      <x:c r="D117" s="101" t="str">
        <x:v>estrutura_incomparavel</x:v>
      </x:c>
      <x:c r="E117" s="101" t="str">
        <x:v>originador; sacado/devedor; tipo de recebível</x:v>
      </x:c>
      <x:c r="F117" s="101" t="str">
        <x:v>Mínimo júnior isolado; a subordinação atual disponível agrega mais de uma classe subordinada ou usa denominador distinto.</x:v>
      </x:c>
      <x:c r="G117" s="101" t="str">
        <x:v>revisto — mínimo júnior localizado</x:v>
      </x:c>
    </x:row>
    <x:row r="118" ht="34.5" customHeight="1">
      <x:c r="A118" s="101" t="str">
        <x:v>Carteira 101</x:v>
      </x:c>
      <x:c r="B118" s="102" t="str">
        <x:v>11468186000124</x:v>
      </x:c>
      <x:c r="C118" s="101" t="str">
        <x:v>ATLANTA FIDC NAO PADRONIZADO</x:v>
      </x:c>
      <x:c r="D118" s="101" t="str">
        <x:v>estrutura_incomparavel</x:v>
      </x:c>
      <x:c r="E118" s="101" t="str">
        <x:v>originador; sacado/devedor</x:v>
      </x:c>
      <x:c r="F118" s="101" t="str">
        <x:v>Mínimo júnior isolado; a subordinação atual disponível agrega todas as classes subordinadas.</x:v>
      </x:c>
      <x:c r="G118" s="101" t="str">
        <x:v>revisto — mínimo júnior localizado</x:v>
      </x:c>
    </x:row>
    <x:row r="119" ht="34.5" customHeight="1">
      <x:c r="A119" s="101" t="str">
        <x:v>Carteira 101</x:v>
      </x:c>
      <x:c r="B119" s="102" t="str">
        <x:v>43193260000133</x:v>
      </x:c>
      <x:c r="C119" s="101" t="str">
        <x:v>RESIDENCE CLUB FIDC</x:v>
      </x:c>
      <x:c r="D119" s="101" t="str">
        <x:v>estrutura_incomparavel</x:v>
      </x:c>
      <x:c r="E119" s="101" t="str">
        <x:v>originador; sacado/devedor; tipo de recebível</x:v>
      </x:c>
      <x:c r="F119" s="101" t="str">
        <x:v>Mínimo júnior isolado; a subordinação atual disponível agrega mais de uma classe subordinada ou usa denominador distinto.</x:v>
      </x:c>
      <x:c r="G119" s="101" t="str">
        <x:v>revisto — mínimo júnior localizado</x:v>
      </x:c>
    </x:row>
    <x:row r="120" ht="34.5" customHeight="1">
      <x:c r="A120" s="101" t="str">
        <x:v>Carteira 101</x:v>
      </x:c>
      <x:c r="B120" s="102" t="str">
        <x:v>58152340000118</x:v>
      </x:c>
      <x:c r="C120" s="101" t="str">
        <x:v>MONEE II FUNDO DE INVESTIMENTO</x:v>
      </x:c>
      <x:c r="D120" s="101" t="str">
        <x:v>completo_para_folga</x:v>
      </x:c>
      <x:c r="E120" s="101" t="str">
        <x:v>originador; sacado/devedor; tipo de recebível</x:v>
      </x:c>
      <x:c r="F120" s="101" t="str">
        <x:v>Estrutura com uma única classe subordinada; métrica atual e piso usam o total subordinado sobre o PL.</x:v>
      </x:c>
      <x:c r="G120" s="101" t="str">
        <x:v>revisto — mínimo júnior localizado</x:v>
      </x:c>
    </x:row>
    <x:row r="121" ht="34.5" customHeight="1">
      <x:c r="A121" s="101" t="str">
        <x:v>Carteira 101</x:v>
      </x:c>
      <x:c r="B121" s="102" t="str">
        <x:v>52340225000190</x:v>
      </x:c>
      <x:c r="C121" s="101" t="str">
        <x:v>INOVA CREDTECH III FUNDO DE INVESTIMENTO</x:v>
      </x:c>
      <x:c r="D121" s="101" t="str">
        <x:v>estrutura_incomparavel</x:v>
      </x:c>
      <x:c r="E121" s="101" t="str">
        <x:v>originador; cedente; sacado/devedor; tipo de recebível</x:v>
      </x:c>
      <x:c r="F121" s="101" t="str">
        <x:v>Mínimo júnior isolado; a subordinação atual disponível agrega todas as classes subordinadas.</x:v>
      </x:c>
      <x:c r="G121" s="101" t="str">
        <x:v>revisto — mínimo júnior localizado</x:v>
      </x:c>
    </x:row>
    <x:row r="122" ht="34.5" customHeight="1">
      <x:c r="A122" s="101" t="str">
        <x:v>Carteira 101</x:v>
      </x:c>
      <x:c r="B122" s="102" t="str">
        <x:v>63546406000194</x:v>
      </x:c>
      <x:c r="C122" s="101" t="str">
        <x:v>PINE INSS III FUNDO DE INVESTIMENTO EM DIREITOS CREDITORIOS RESPONSABILIDADE</x:v>
      </x:c>
      <x:c r="D122" s="101" t="str">
        <x:v>estrutura_incomparavel</x:v>
      </x:c>
      <x:c r="E122" s="101" t="str">
        <x:v>originador; cedente; sacado/devedor; tipo de recebível</x:v>
      </x:c>
      <x:c r="F122" s="101" t="str">
        <x:v>Mínimo júnior isolado; a subordinação atual disponível agrega todas as classes subordinadas.</x:v>
      </x:c>
      <x:c r="G122" s="101" t="str">
        <x:v>revisto — mínimo júnior localizado</x:v>
      </x:c>
    </x:row>
    <x:row r="123" ht="34.5" customHeight="1">
      <x:c r="A123" s="101" t="str">
        <x:v>Carteira 101</x:v>
      </x:c>
      <x:c r="B123" s="102" t="str">
        <x:v>37294759000134</x:v>
      </x:c>
      <x:c r="C123" s="101" t="str">
        <x:v>FUNDO I E D C GALLERIA</x:v>
      </x:c>
      <x:c r="D123" s="101" t="str">
        <x:v>completo_para_folga</x:v>
      </x:c>
      <x:c r="E123" s="101" t="str">
        <x:v>originador; sacado/devedor</x:v>
      </x:c>
      <x:c r="F123" s="101" t="str">
        <x:v>Suporte total ou combinado; não representa mínimo júnior isolado.</x:v>
      </x:c>
      <x:c r="G123" s="101" t="str">
        <x:v>revisto — suporte estrutural total localizado</x:v>
      </x:c>
    </x:row>
    <x:row r="124" ht="34.5" customHeight="1">
      <x:c r="A124" s="101" t="str">
        <x:v>Carteira 101</x:v>
      </x:c>
      <x:c r="B124" s="102" t="str">
        <x:v>42085830000109</x:v>
      </x:c>
      <x:c r="C124" s="101" t="str">
        <x:v>CLOUDWALK AKIRA I FUNDO DE INVESTIMENTO EM DIREITO</x:v>
      </x:c>
      <x:c r="D124" s="101" t="str">
        <x:v>completo_para_folga</x:v>
      </x:c>
      <x:c r="E124" s="101" t="str">
        <x:v>originador; sacado/devedor; tipo de recebível</x:v>
      </x:c>
      <x:c r="F124" s="101" t="str">
        <x:v>Estrutura com uma única classe subordinada; métrica atual e piso usam o total subordinado sobre o PL.</x:v>
      </x:c>
      <x:c r="G124" s="101" t="str">
        <x:v>revisto — mínimo júnior localizado</x:v>
      </x:c>
    </x:row>
    <x:row r="125" ht="34.5" customHeight="1">
      <x:c r="A125" s="101" t="str">
        <x:v>Carteira 101</x:v>
      </x:c>
      <x:c r="B125" s="102" t="str">
        <x:v>61288838000117</x:v>
      </x:c>
      <x:c r="C125" s="101" t="str">
        <x:v>FIDC MOVILE III</x:v>
      </x:c>
      <x:c r="D125" s="101" t="str">
        <x:v>estrutura_incomparavel</x:v>
      </x:c>
      <x:c r="E125" s="101" t="str">
        <x:v>originador; sacado/devedor</x:v>
      </x:c>
      <x:c r="F125" s="101" t="str">
        <x:v>Mínimo júnior isolado; a subordinação atual disponível agrega todas as classes subordinadas.</x:v>
      </x:c>
      <x:c r="G125" s="101" t="str">
        <x:v>revisto — mínimo júnior localizado</x:v>
      </x:c>
    </x:row>
    <x:row r="126" ht="34.5" customHeight="1">
      <x:c r="A126" s="101" t="str">
        <x:v>Carteira 101</x:v>
      </x:c>
      <x:c r="B126" s="102" t="str">
        <x:v>30035329000159</x:v>
      </x:c>
      <x:c r="C126" s="101" t="str">
        <x:v>VIAINVEST II FIDC MULTISSETORIAL</x:v>
      </x:c>
      <x:c r="D126" s="101" t="str">
        <x:v>sub_pl_atual_ausente</x:v>
      </x:c>
      <x:c r="E126" s="101" t="str">
        <x:v>Sub/PL atual; originador; sacado/devedor; tipo de recebível</x:v>
      </x:c>
      <x:c r="F126" s="101" t="str">
        <x:v>Mínimo júnior isolado; a subordinação atual disponível agrega mais de uma classe subordinada ou usa denominador distinto.</x:v>
      </x:c>
      <x:c r="G126" s="101" t="str">
        <x:v>revisto — mínimo júnior localizado</x:v>
      </x:c>
    </x:row>
    <x:row r="127" ht="34.5" customHeight="1">
      <x:c r="A127" s="101" t="str">
        <x:v>Carteira 101</x:v>
      </x:c>
      <x:c r="B127" s="102" t="str">
        <x:v>63657457000193</x:v>
      </x:c>
      <x:c r="C127" s="101" t="str">
        <x:v>MSV3 FUNDO DE INVESTIMENTO EM DIREITOS CREDITORIOS RECEBIVEIS COMERCIAIS</x:v>
      </x:c>
      <x:c r="D127" s="101" t="str">
        <x:v>estrutura_incomparavel</x:v>
      </x:c>
      <x:c r="E127" s="101" t="str">
        <x:v>originador; cedente; sacado/devedor; tipo de recebível</x:v>
      </x:c>
      <x:c r="F127" s="101" t="str">
        <x:v>Mínimo júnior isolado; a subordinação atual disponível agrega todas as classes subordinadas.</x:v>
      </x:c>
      <x:c r="G127" s="101" t="str">
        <x:v>revisto — mínimo júnior localizado</x:v>
      </x:c>
    </x:row>
    <x:row r="128" ht="34.5" customHeight="1">
      <x:c r="A128" s="101" t="str">
        <x:v>Carteira 101</x:v>
      </x:c>
      <x:c r="B128" s="102" t="str">
        <x:v>63066147000102</x:v>
      </x:c>
      <x:c r="C128" s="101" t="str">
        <x:v>FUNDO DE INVESTIMENTO EM DIREITOS</x:v>
      </x:c>
      <x:c r="D128" s="101" t="str">
        <x:v>estrutura_incomparavel</x:v>
      </x:c>
      <x:c r="E128" s="101" t="str">
        <x:v>originador; sacado/devedor; tipo de recebível</x:v>
      </x:c>
      <x:c r="F128" s="101" t="str">
        <x:v>Mínimo júnior isolado; a subordinação atual disponível agrega todas as classes subordinadas.</x:v>
      </x:c>
      <x:c r="G128" s="101" t="str">
        <x:v>revisto — mínimo júnior localizado</x:v>
      </x:c>
    </x:row>
    <x:row r="129" ht="34.5" customHeight="1">
      <x:c r="A129" s="101" t="str">
        <x:v>Carteira 101</x:v>
      </x:c>
      <x:c r="B129" s="102" t="str">
        <x:v>65836995000170</x:v>
      </x:c>
      <x:c r="C129" s="101" t="str">
        <x:v>DAYCOVAL 0410 FUNDO DE INV EM DIREITOS CREDITORIOS</x:v>
      </x:c>
      <x:c r="D129" s="101" t="str">
        <x:v>sub_pl_atual_ausente</x:v>
      </x:c>
      <x:c r="E129" s="101" t="str">
        <x:v>Sub/PL atual; originador; sacado/devedor; tipo de recebível</x:v>
      </x:c>
      <x:c r="F129" s="101" t="str">
        <x:v>Suporte total ou combinado; não representa mínimo júnior isolado.</x:v>
      </x:c>
      <x:c r="G129" s="101" t="str">
        <x:v>revisto — suporte estrutural total localizado</x:v>
      </x:c>
    </x:row>
    <x:row r="130" ht="34.5" customHeight="1">
      <x:c r="A130" s="101" t="str">
        <x:v>Carteira 101</x:v>
      </x:c>
      <x:c r="B130" s="102" t="str">
        <x:v>65873297000145</x:v>
      </x:c>
      <x:c r="C130" s="101" t="str">
        <x:v>ARCELORMITTAL VERTICE FUNDO DE INVESTIMENTO EM DIREITOS CRED</x:v>
      </x:c>
      <x:c r="D130" s="101" t="str">
        <x:v>completo_para_folga</x:v>
      </x:c>
      <x:c r="E130" s="101" t="str">
        <x:v>originador; cedente; sacado/devedor; tipo de recebível</x:v>
      </x:c>
      <x:c r="F130" s="101" t="str">
        <x:v>Estrutura com uma única classe subordinada; métrica atual e piso usam o total subordinado sobre o PL.</x:v>
      </x:c>
      <x:c r="G130" s="101" t="str">
        <x:v>revisto — mínimo júnior localizado</x:v>
      </x:c>
    </x:row>
    <x:row r="131" ht="34.5" customHeight="1">
      <x:c r="A131" s="101" t="str">
        <x:v>Carteira 101</x:v>
      </x:c>
      <x:c r="B131" s="102" t="str">
        <x:v>65347578000164</x:v>
      </x:c>
      <x:c r="C131" s="101" t="str">
        <x:v>ICRED INSS III FUNDO DE INVESTIMENTO EM DIREITOS CREDITORIOS RESPONSABILIDADE</x:v>
      </x:c>
      <x:c r="D131" s="101" t="str">
        <x:v>estrutura_incomparavel</x:v>
      </x:c>
      <x:c r="E131" s="101" t="str">
        <x:v>originador; cedente; sacado/devedor; tipo de recebível</x:v>
      </x:c>
      <x:c r="F131" s="101" t="str">
        <x:v>Mínimo júnior isolado; a subordinação atual disponível agrega todas as classes subordinadas.</x:v>
      </x:c>
      <x:c r="G131" s="101" t="str">
        <x:v>revisto — mínimo júnior localizado</x:v>
      </x:c>
    </x:row>
    <x:row r="132" ht="34.5" customHeight="1">
      <x:c r="A132" s="101" t="str">
        <x:v>Carteira 101</x:v>
      </x:c>
      <x:c r="B132" s="102" t="str">
        <x:v>18185812000114</x:v>
      </x:c>
      <x:c r="C132" s="101" t="str">
        <x:v>GAVEA SUL FUNDO DE INVESTIMENTO EM DIREITOS CREDITORIOS MULTISSETORIAL</x:v>
      </x:c>
      <x:c r="D132" s="101" t="str">
        <x:v>estrutura_incomparavel</x:v>
      </x:c>
      <x:c r="E132" s="101" t="str">
        <x:v>originador; cedente; sacado/devedor; tipo de recebível</x:v>
      </x:c>
      <x:c r="F132" s="101" t="str">
        <x:v>Mínimo júnior isolado; a subordinação atual disponível agrega todas as classes subordinadas.</x:v>
      </x:c>
      <x:c r="G132" s="101" t="str">
        <x:v>revisto — mínimo júnior localizado</x:v>
      </x:c>
    </x:row>
    <x:row r="133" ht="34.5" customHeight="1">
      <x:c r="A133" s="101" t="str">
        <x:v>Carteira 101</x:v>
      </x:c>
      <x:c r="B133" s="102" t="str">
        <x:v>49113994000141</x:v>
      </x:c>
      <x:c r="C133" s="101" t="str">
        <x:v>FUNDO DE INVESTIMENTO EM DIREITOS CREDITORIOS CAP RESPONSABILIDADE LIMITADA</x:v>
      </x:c>
      <x:c r="D133" s="101" t="str">
        <x:v>estrutura_incomparavel</x:v>
      </x:c>
      <x:c r="E133" s="101" t="str">
        <x:v>originador; cedente; sacado/devedor; tipo de recebível</x:v>
      </x:c>
      <x:c r="F133" s="101" t="str">
        <x:v>Mínimo júnior isolado; a subordinação atual disponível agrega todas as classes subordinadas.</x:v>
      </x:c>
      <x:c r="G133" s="101" t="str">
        <x:v>revisto — mínimo júnior localizado</x:v>
      </x:c>
    </x:row>
    <x:row r="134" ht="34.5" customHeight="1">
      <x:c r="A134" s="101" t="str">
        <x:v>Flagships</x:v>
      </x:c>
      <x:c r="B134" s="102" t="str">
        <x:v>58458416000138</x:v>
      </x:c>
      <x:c r="C134" s="101" t="str">
        <x:v>MT Consignado Privado I e II</x:v>
      </x:c>
      <x:c r="D134" s="101" t="str">
        <x:v>minimo_estrutural_ausente</x:v>
      </x:c>
      <x:c r="E134" s="101" t="str">
        <x:v>mínimo estrutural comparável; originador; cedente; sacado/devedor; tipo de recebível</x:v>
      </x:c>
      <x:c r="F134" s="101" t="str">
        <x:v>N/D — mínimo estrutural ou subordinação atual ausente</x:v>
      </x:c>
      <x:c r="G134" s="101" t="str">
        <x:v>lacuna — regulamento integral não disponível nas fontes locais</x:v>
      </x:c>
    </x:row>
    <x:row r="135" ht="34.5" customHeight="1">
      <x:c r="A135" s="101" t="str">
        <x:v>Flagships</x:v>
      </x:c>
      <x:c r="B135" s="102" t="str">
        <x:v>60010416000112</x:v>
      </x:c>
      <x:c r="C135" s="101" t="str">
        <x:v>MT Consignado Privado I e II</x:v>
      </x:c>
      <x:c r="D135" s="101" t="str">
        <x:v>completo_para_folga</x:v>
      </x:c>
      <x:c r="E135" s="101" t="str">
        <x:v>originador; cedente; sacado/devedor; tipo de recebível</x:v>
      </x:c>
      <x:c r="F135" s="101" t="str">
        <x:v>Comparável — documento confirma ausência de mezanino</x:v>
      </x:c>
      <x:c r="G135" s="101" t="str">
        <x:v>revisto — mínimo júnior localizado</x:v>
      </x:c>
    </x:row>
    <x:row r="136" ht="34.5" customHeight="1">
      <x:c r="A136" s="101" t="str">
        <x:v>Flagships</x:v>
      </x:c>
      <x:c r="B136" s="102" t="str">
        <x:v>53841740000117</x:v>
      </x:c>
      <x:c r="C136" s="101" t="str">
        <x:v>Paketa</x:v>
      </x:c>
      <x:c r="D136" s="101" t="str">
        <x:v>minimo_estrutural_ausente</x:v>
      </x:c>
      <x:c r="E136" s="101" t="str">
        <x:v>mínimo estrutural comparável; originador; cedente; sacado/devedor; tipo de recebível</x:v>
      </x:c>
      <x:c r="F136" s="101" t="str">
        <x:v>N/D — mínimo estrutural ou subordinação atual ausente</x:v>
      </x:c>
      <x:c r="G136" s="101" t="str">
        <x:v>lacuna — regulamento integral não disponível nas fontes locais</x:v>
      </x:c>
    </x:row>
    <x:row r="137" ht="34.5" customHeight="1">
      <x:c r="A137" s="101" t="str">
        <x:v>Flagships</x:v>
      </x:c>
      <x:c r="B137" s="102" t="str">
        <x:v>62390922000100</x:v>
      </x:c>
      <x:c r="C137" s="101" t="str">
        <x:v>CLT Now</x:v>
      </x:c>
      <x:c r="D137" s="101" t="str">
        <x:v>minimo_estrutural_ausente</x:v>
      </x:c>
      <x:c r="E137" s="101" t="str">
        <x:v>mínimo estrutural comparável; originador; cedente; sacado/devedor; tipo de recebível</x:v>
      </x:c>
      <x:c r="F137" s="101" t="str">
        <x:v>N/D — mínimo estrutural ou subordinação atual ausente</x:v>
      </x:c>
      <x:c r="G137" s="101" t="str">
        <x:v>revisto — mínimo júnior não isolado</x:v>
      </x:c>
    </x:row>
    <x:row r="138" ht="34.5" customHeight="1">
      <x:c r="A138" s="101" t="str">
        <x:v>Flagships</x:v>
      </x:c>
      <x:c r="B138" s="102" t="str">
        <x:v>63546406000194</x:v>
      </x:c>
      <x:c r="C138" s="101" t="str">
        <x:v>Pine INSS I, II e III</x:v>
      </x:c>
      <x:c r="D138" s="101" t="str">
        <x:v>estrutura_incomparavel</x:v>
      </x:c>
      <x:c r="E138" s="101" t="str">
        <x:v>mínimo estrutural comparável; originador; cedente; sacado/devedor; tipo de recebível</x:v>
      </x:c>
      <x:c r="F138" s="101" t="str">
        <x:v>N/D — equivalência entre mínimo júnior e subordinação total não comprovada</x:v>
      </x:c>
      <x:c r="G138" s="101" t="str">
        <x:v>revisto — mínimo júnior localizado</x:v>
      </x:c>
    </x:row>
    <x:row r="139" ht="34.5" customHeight="1">
      <x:c r="A139" s="101" t="str">
        <x:v>Flagships</x:v>
      </x:c>
      <x:c r="B139" s="102" t="str">
        <x:v>61271872000189</x:v>
      </x:c>
      <x:c r="C139" s="101" t="str">
        <x:v>Pine INSS I, II e III</x:v>
      </x:c>
      <x:c r="D139" s="101" t="str">
        <x:v>minimo_estrutural_ausente</x:v>
      </x:c>
      <x:c r="E139" s="101" t="str">
        <x:v>mínimo estrutural comparável; originador; cedente; sacado/devedor; tipo de recebível</x:v>
      </x:c>
      <x:c r="F139" s="101" t="str">
        <x:v>N/D — mínimo estrutural ou subordinação atual ausente</x:v>
      </x:c>
      <x:c r="G139" s="101" t="str">
        <x:v>revisto — mínimo júnior não isolado</x:v>
      </x:c>
    </x:row>
    <x:row r="140" ht="34.5" customHeight="1">
      <x:c r="A140" s="101" t="str">
        <x:v>Flagships</x:v>
      </x:c>
      <x:c r="B140" s="102" t="str">
        <x:v>63321684000143</x:v>
      </x:c>
      <x:c r="C140" s="101" t="str">
        <x:v>Pine INSS I, II e III</x:v>
      </x:c>
      <x:c r="D140" s="101" t="str">
        <x:v>minimo_estrutural_ausente</x:v>
      </x:c>
      <x:c r="E140" s="101" t="str">
        <x:v>mínimo estrutural comparável; originador; cedente; sacado/devedor; tipo de recebível</x:v>
      </x:c>
      <x:c r="F140" s="101" t="str">
        <x:v>N/D — mínimo estrutural ou subordinação atual ausente</x:v>
      </x:c>
      <x:c r="G140" s="101" t="str">
        <x:v>lacuna — regulamento integral não disponível nas fontes locais</x:v>
      </x:c>
    </x:row>
    <x:row r="141" ht="34.5" customHeight="1">
      <x:c r="A141" s="101" t="str">
        <x:v>Flagships</x:v>
      </x:c>
      <x:c r="B141" s="102" t="str">
        <x:v>62310468000130</x:v>
      </x:c>
      <x:c r="C141" s="101" t="str">
        <x:v>MT INSS Receivables VI</x:v>
      </x:c>
      <x:c r="D141" s="101" t="str">
        <x:v>minimo_estrutural_ausente</x:v>
      </x:c>
      <x:c r="E141" s="101" t="str">
        <x:v>mínimo estrutural comparável; originador; cedente; sacado/devedor; tipo de recebível</x:v>
      </x:c>
      <x:c r="F141" s="101" t="str">
        <x:v>N/D — mínimo estrutural ou subordinação atual ausente</x:v>
      </x:c>
      <x:c r="G141" s="101" t="str">
        <x:v>revisto — mínimo júnior não isolado</x:v>
      </x:c>
    </x:row>
    <x:row r="142" ht="34.5" customHeight="1">
      <x:c r="A142" s="101" t="str">
        <x:v>Flagships</x:v>
      </x:c>
      <x:c r="B142" s="102" t="str">
        <x:v>63733796000101</x:v>
      </x:c>
      <x:c r="C142" s="101" t="str">
        <x:v>ICRED Chopin INSS</x:v>
      </x:c>
      <x:c r="D142" s="101" t="str">
        <x:v>minimo_estrutural_ausente</x:v>
      </x:c>
      <x:c r="E142" s="101" t="str">
        <x:v>mínimo estrutural comparável; originador; cedente; sacado/devedor; tipo de recebível</x:v>
      </x:c>
      <x:c r="F142" s="101" t="str">
        <x:v>N/D — mínimo estrutural ou subordinação atual ausente</x:v>
      </x:c>
      <x:c r="G142" s="101" t="str">
        <x:v>lacuna — regulamento integral não disponível nas fontes locais</x:v>
      </x:c>
    </x:row>
    <x:row r="143" ht="34.5" customHeight="1">
      <x:c r="A143" s="101" t="str">
        <x:v>Flagships</x:v>
      </x:c>
      <x:c r="B143" s="102" t="str">
        <x:v>53337453000174</x:v>
      </x:c>
      <x:c r="C143" s="101" t="str">
        <x:v>CM Estadual I e II</x:v>
      </x:c>
      <x:c r="D143" s="101" t="str">
        <x:v>minimo_estrutural_ausente</x:v>
      </x:c>
      <x:c r="E143" s="101" t="str">
        <x:v>mínimo estrutural comparável; originador; cedente; sacado/devedor; tipo de recebível</x:v>
      </x:c>
      <x:c r="F143" s="101" t="str">
        <x:v>N/D — mínimo estrutural ou subordinação atual ausente</x:v>
      </x:c>
      <x:c r="G143" s="101" t="str">
        <x:v>revisto — mínimo júnior não isolado</x:v>
      </x:c>
    </x:row>
    <x:row r="144" ht="34.5" customHeight="1">
      <x:c r="A144" s="101" t="str">
        <x:v>Flagships</x:v>
      </x:c>
      <x:c r="B144" s="102" t="str">
        <x:v>44395657000170</x:v>
      </x:c>
      <x:c r="C144" s="101" t="str">
        <x:v>CM Estadual I e II</x:v>
      </x:c>
      <x:c r="D144" s="101" t="str">
        <x:v>minimo_estrutural_ausente</x:v>
      </x:c>
      <x:c r="E144" s="101" t="str">
        <x:v>mínimo estrutural comparável; originador; cedente; sacado/devedor; tipo de recebível</x:v>
      </x:c>
      <x:c r="F144" s="101" t="str">
        <x:v>N/D — mínimo estrutural ou subordinação atual ausente</x:v>
      </x:c>
      <x:c r="G144" s="101" t="str">
        <x:v>lacuna — regulamento integral não disponível nas fontes locais</x:v>
      </x:c>
    </x:row>
    <x:row r="145" ht="34.5" customHeight="1">
      <x:c r="A145" s="101" t="str">
        <x:v>Flagships</x:v>
      </x:c>
      <x:c r="B145" s="102" t="str">
        <x:v>65839682000176</x:v>
      </x:c>
      <x:c r="C145" s="101" t="str">
        <x:v>PicPay FGTS I e II</x:v>
      </x:c>
      <x:c r="D145" s="101" t="str">
        <x:v>minimo_estrutural_ausente</x:v>
      </x:c>
      <x:c r="E145" s="101" t="str">
        <x:v>mínimo estrutural comparável; originador; cedente; sacado/devedor; tipo de recebível</x:v>
      </x:c>
      <x:c r="F145" s="101" t="str">
        <x:v>N/D — mínimo estrutural ou subordinação atual ausente</x:v>
      </x:c>
      <x:c r="G145" s="101" t="str">
        <x:v>revisto — mínimo júnior não isolado</x:v>
      </x:c>
    </x:row>
    <x:row r="146" ht="34.5" customHeight="1">
      <x:c r="A146" s="101" t="str">
        <x:v>Flagships</x:v>
      </x:c>
      <x:c r="B146" s="102" t="str">
        <x:v>58148845000109</x:v>
      </x:c>
      <x:c r="C146" s="101" t="str">
        <x:v>PicPay FGTS I e II</x:v>
      </x:c>
      <x:c r="D146" s="101" t="str">
        <x:v>minimo_estrutural_ausente</x:v>
      </x:c>
      <x:c r="E146" s="101" t="str">
        <x:v>mínimo estrutural comparável; originador; cedente; sacado/devedor; tipo de recebível</x:v>
      </x:c>
      <x:c r="F146" s="101" t="str">
        <x:v>N/D — mínimo estrutural ou subordinação atual ausente</x:v>
      </x:c>
      <x:c r="G146" s="101" t="str">
        <x:v>revisto — mínimo júnior não isolado</x:v>
      </x:c>
    </x:row>
    <x:row r="147" ht="34.5" customHeight="1">
      <x:c r="A147" s="101" t="str">
        <x:v>Flagships</x:v>
      </x:c>
      <x:c r="B147" s="102" t="str">
        <x:v>62010175000137</x:v>
      </x:c>
      <x:c r="C147" s="101" t="str">
        <x:v>MT FGTS II e IV</x:v>
      </x:c>
      <x:c r="D147" s="101" t="str">
        <x:v>minimo_estrutural_ausente</x:v>
      </x:c>
      <x:c r="E147" s="101" t="str">
        <x:v>mínimo estrutural comparável; originador; cedente; sacado/devedor; tipo de recebível</x:v>
      </x:c>
      <x:c r="F147" s="101" t="str">
        <x:v>N/D — mínimo estrutural ou subordinação atual ausente</x:v>
      </x:c>
      <x:c r="G147" s="101" t="str">
        <x:v>lacuna — regulamento integral não disponível nas fontes locais</x:v>
      </x:c>
    </x:row>
    <x:row r="148" ht="34.5" customHeight="1">
      <x:c r="A148" s="101" t="str">
        <x:v>Flagships</x:v>
      </x:c>
      <x:c r="B148" s="102" t="str">
        <x:v>54464892000100</x:v>
      </x:c>
      <x:c r="C148" s="101" t="str">
        <x:v>MT FGTS II e IV</x:v>
      </x:c>
      <x:c r="D148" s="101" t="str">
        <x:v>minimo_estrutural_ausente</x:v>
      </x:c>
      <x:c r="E148" s="101" t="str">
        <x:v>mínimo estrutural comparável; originador; sacado/devedor; tipo de recebível</x:v>
      </x:c>
      <x:c r="F148" s="101" t="str">
        <x:v>N/D — mínimo estrutural ou subordinação atual ausente</x:v>
      </x:c>
      <x:c r="G148" s="101" t="str">
        <x:v>lacuna — regulamento integral não disponível nas fontes locais</x:v>
      </x:c>
    </x:row>
    <x:row r="149" ht="34.5" customHeight="1">
      <x:c r="A149" s="101" t="str">
        <x:v>Flagships</x:v>
      </x:c>
      <x:c r="B149" s="102" t="str">
        <x:v>63848380000139</x:v>
      </x:c>
      <x:c r="C149" s="101" t="str">
        <x:v>Daycoval FGTS I</x:v>
      </x:c>
      <x:c r="D149" s="101" t="str">
        <x:v>minimo_estrutural_ausente</x:v>
      </x:c>
      <x:c r="E149" s="101" t="str">
        <x:v>mínimo estrutural comparável; originador; cedente; sacado/devedor; tipo de recebível</x:v>
      </x:c>
      <x:c r="F149" s="101" t="str">
        <x:v>N/D — mínimo estrutural ou subordinação atual ausente</x:v>
      </x:c>
      <x:c r="G149" s="101" t="str">
        <x:v>revisto — mínimo júnior não isolado</x:v>
      </x:c>
    </x:row>
    <x:row r="150" ht="34.5" customHeight="1">
      <x:c r="A150" s="101" t="str">
        <x:v>Flagships</x:v>
      </x:c>
      <x:c r="B150" s="102" t="str">
        <x:v>62393679000183</x:v>
      </x:c>
      <x:c r="C150" s="101" t="str">
        <x:v>Cloudwalk Bela Pi e Big Picture I–IV</x:v>
      </x:c>
      <x:c r="D150" s="101" t="str">
        <x:v>minimo_estrutural_ausente</x:v>
      </x:c>
      <x:c r="E150" s="101" t="str">
        <x:v>mínimo estrutural comparável; originador; cedente; sacado/devedor; tipo de recebível</x:v>
      </x:c>
      <x:c r="F150" s="101" t="str">
        <x:v>N/D — mínimo estrutural ou subordinação atual ausente</x:v>
      </x:c>
      <x:c r="G150" s="101" t="str">
        <x:v>revisto — mínimo júnior localizado</x:v>
      </x:c>
    </x:row>
    <x:row r="151" ht="34.5" customHeight="1">
      <x:c r="A151" s="101" t="str">
        <x:v>Flagships</x:v>
      </x:c>
      <x:c r="B151" s="102" t="str">
        <x:v>60356171000180</x:v>
      </x:c>
      <x:c r="C151" s="101" t="str">
        <x:v>Cloudwalk Bela Pi e Big Picture I–IV</x:v>
      </x:c>
      <x:c r="D151" s="101" t="str">
        <x:v>estrutura_incomparavel</x:v>
      </x:c>
      <x:c r="E151" s="101" t="str">
        <x:v>mínimo estrutural comparável; originador; cedente; sacado/devedor; tipo de recebível</x:v>
      </x:c>
      <x:c r="F151" s="101" t="str">
        <x:v>N/D — equivalência entre mínimo júnior e subordinação total não comprovada</x:v>
      </x:c>
      <x:c r="G151" s="101" t="str">
        <x:v>revisto — mínimo júnior localizado</x:v>
      </x:c>
    </x:row>
    <x:row r="152" ht="34.5" customHeight="1">
      <x:c r="A152" s="101" t="str">
        <x:v>Flagships</x:v>
      </x:c>
      <x:c r="B152" s="102" t="str">
        <x:v>54218673000141</x:v>
      </x:c>
      <x:c r="C152" s="101" t="str">
        <x:v>Cloudwalk Bela Pi e Big Picture I–IV</x:v>
      </x:c>
      <x:c r="D152" s="101" t="str">
        <x:v>completo_para_folga</x:v>
      </x:c>
      <x:c r="E152" s="101" t="str">
        <x:v>originador; cedente; sacado/devedor; tipo de recebível</x:v>
      </x:c>
      <x:c r="F152" s="101" t="str">
        <x:v>Comparável — documento confirma ausência de mezanino</x:v>
      </x:c>
      <x:c r="G152" s="101" t="str">
        <x:v>revisto — mínimo júnior localizado</x:v>
      </x:c>
    </x:row>
    <x:row r="153" ht="34.5" customHeight="1">
      <x:c r="A153" s="101" t="str">
        <x:v>Flagships</x:v>
      </x:c>
      <x:c r="B153" s="102" t="str">
        <x:v>54248022000102</x:v>
      </x:c>
      <x:c r="C153" s="101" t="str">
        <x:v>Cloudwalk Bela Pi e Big Picture I–IV</x:v>
      </x:c>
      <x:c r="D153" s="101" t="str">
        <x:v>completo_para_folga</x:v>
      </x:c>
      <x:c r="E153" s="101" t="str">
        <x:v>originador; cedente; sacado/devedor; tipo de recebível</x:v>
      </x:c>
      <x:c r="F153" s="101" t="str">
        <x:v>Comparável — documento confirma ausência de mezanino</x:v>
      </x:c>
      <x:c r="G153" s="101" t="str">
        <x:v>revisto — mínimo júnior localizado</x:v>
      </x:c>
    </x:row>
    <x:row r="154" ht="34.5" customHeight="1">
      <x:c r="A154" s="101" t="str">
        <x:v>Flagships</x:v>
      </x:c>
      <x:c r="B154" s="102" t="str">
        <x:v>54218941000125</x:v>
      </x:c>
      <x:c r="C154" s="101" t="str">
        <x:v>Cloudwalk Bela Pi e Big Picture I–IV</x:v>
      </x:c>
      <x:c r="D154" s="101" t="str">
        <x:v>completo_para_folga</x:v>
      </x:c>
      <x:c r="E154" s="101" t="str">
        <x:v>originador; cedente; sacado/devedor; tipo de recebível</x:v>
      </x:c>
      <x:c r="F154" s="101" t="str">
        <x:v>Comparável — documento confirma ausência de mezanino</x:v>
      </x:c>
      <x:c r="G154" s="101" t="str">
        <x:v>revisto — mínimo júnior localizado</x:v>
      </x:c>
    </x:row>
    <x:row r="155" ht="34.5" customHeight="1">
      <x:c r="A155" s="101" t="str">
        <x:v>Flagships</x:v>
      </x:c>
      <x:c r="B155" s="102" t="str">
        <x:v>54219179000100</x:v>
      </x:c>
      <x:c r="C155" s="101" t="str">
        <x:v>Cloudwalk Bela Pi e Big Picture I–IV</x:v>
      </x:c>
      <x:c r="D155" s="101" t="str">
        <x:v>minimo_estrutural_ausente</x:v>
      </x:c>
      <x:c r="E155" s="101" t="str">
        <x:v>mínimo estrutural comparável; originador; cedente; sacado/devedor; tipo de recebível</x:v>
      </x:c>
      <x:c r="F155" s="101" t="str">
        <x:v>N/D — mínimo estrutural ou subordinação atual ausente</x:v>
      </x:c>
      <x:c r="G155" s="101" t="str">
        <x:v>revisto — conflito interno do documento</x:v>
      </x:c>
    </x:row>
    <x:row r="156" ht="34.5" customHeight="1">
      <x:c r="A156" s="101" t="str">
        <x:v>Flagships</x:v>
      </x:c>
      <x:c r="B156" s="102" t="str">
        <x:v>26286939000158</x:v>
      </x:c>
      <x:c r="C156" s="101" t="str">
        <x:v>Cielo</x:v>
      </x:c>
      <x:c r="D156" s="101" t="str">
        <x:v>minimo_estrutural_ausente</x:v>
      </x:c>
      <x:c r="E156" s="101" t="str">
        <x:v>mínimo estrutural comparável; originador; cedente; sacado/devedor; tipo de recebível</x:v>
      </x:c>
      <x:c r="F156" s="101" t="str">
        <x:v>N/D — mínimo estrutural ou subordinação atual ausente</x:v>
      </x:c>
      <x:c r="G156" s="101" t="str">
        <x:v>lacuna — regulamento integral não disponível nas fontes locais</x:v>
      </x:c>
    </x:row>
    <x:row r="157" ht="34.5" customHeight="1">
      <x:c r="A157" s="101" t="str">
        <x:v>Flagships</x:v>
      </x:c>
      <x:c r="B157" s="102" t="str">
        <x:v>54979779000168</x:v>
      </x:c>
      <x:c r="C157" s="101" t="str">
        <x:v>ACR BEM, ACR I e ACR IV</x:v>
      </x:c>
      <x:c r="D157" s="101" t="str">
        <x:v>minimo_estrutural_ausente</x:v>
      </x:c>
      <x:c r="E157" s="101" t="str">
        <x:v>mínimo estrutural comparável; originador; cedente; sacado/devedor; tipo de recebível</x:v>
      </x:c>
      <x:c r="F157" s="101" t="str">
        <x:v>N/D — mínimo estrutural ou subordinação atual ausente</x:v>
      </x:c>
      <x:c r="G157" s="101" t="str">
        <x:v>lacuna — regulamento integral não disponível nas fontes locais</x:v>
      </x:c>
    </x:row>
    <x:row r="158" ht="34.5" customHeight="1">
      <x:c r="A158" s="101" t="str">
        <x:v>Flagships</x:v>
      </x:c>
      <x:c r="B158" s="102" t="str">
        <x:v>52256912000122</x:v>
      </x:c>
      <x:c r="C158" s="101" t="str">
        <x:v>ACR BEM, ACR I e ACR IV</x:v>
      </x:c>
      <x:c r="D158" s="101" t="str">
        <x:v>minimo_estrutural_ausente</x:v>
      </x:c>
      <x:c r="E158" s="101" t="str">
        <x:v>mínimo estrutural comparável; originador; cedente; sacado/devedor; tipo de recebível</x:v>
      </x:c>
      <x:c r="F158" s="101" t="str">
        <x:v>N/D — mínimo estrutural ou subordinação atual ausente</x:v>
      </x:c>
      <x:c r="G158" s="101" t="str">
        <x:v>lacuna — regulamento integral não disponível nas fontes locais</x:v>
      </x:c>
    </x:row>
    <x:row r="159" ht="34.5" customHeight="1">
      <x:c r="A159" s="101" t="str">
        <x:v>Flagships</x:v>
      </x:c>
      <x:c r="B159" s="102" t="str">
        <x:v>51983832000106</x:v>
      </x:c>
      <x:c r="C159" s="101" t="str">
        <x:v>ACR BEM, ACR I e ACR IV</x:v>
      </x:c>
      <x:c r="D159" s="101" t="str">
        <x:v>minimo_estrutural_ausente</x:v>
      </x:c>
      <x:c r="E159" s="101" t="str">
        <x:v>mínimo estrutural comparável; originador; cedente; sacado/devedor; tipo de recebível</x:v>
      </x:c>
      <x:c r="F159" s="101" t="str">
        <x:v>N/D — mínimo estrutural ou subordinação atual ausente</x:v>
      </x:c>
      <x:c r="G159" s="101" t="str">
        <x:v>lacuna — regulamento integral não disponível nas fontes locais</x:v>
      </x:c>
    </x:row>
    <x:row r="160" ht="34.5" customHeight="1">
      <x:c r="A160" s="101" t="str">
        <x:v>Flagships</x:v>
      </x:c>
      <x:c r="B160" s="102" t="str">
        <x:v>26287464000114</x:v>
      </x:c>
      <x:c r="C160" s="101" t="str">
        <x:v>Tapso</x:v>
      </x:c>
      <x:c r="D160" s="101" t="str">
        <x:v>minimo_estrutural_ausente</x:v>
      </x:c>
      <x:c r="E160" s="101" t="str">
        <x:v>mínimo estrutural comparável; originador; cedente; sacado/devedor; tipo de recebível</x:v>
      </x:c>
      <x:c r="F160" s="101" t="str">
        <x:v>N/D — mínimo estrutural ou subordinação atual ausente</x:v>
      </x:c>
      <x:c r="G160" s="101" t="str">
        <x:v>lacuna — regulamento integral não disponível nas fontes locais</x:v>
      </x:c>
    </x:row>
    <x:row r="161" ht="34.5" customHeight="1">
      <x:c r="A161" s="101" t="str">
        <x:v>Flagships</x:v>
      </x:c>
      <x:c r="B161" s="102" t="str">
        <x:v>63572282000111</x:v>
      </x:c>
      <x:c r="C161" s="101" t="str">
        <x:v>Seller I, II e III</x:v>
      </x:c>
      <x:c r="D161" s="101" t="str">
        <x:v>estrutura_incomparavel</x:v>
      </x:c>
      <x:c r="E161" s="101" t="str">
        <x:v>mínimo estrutural comparável; originador; cedente; sacado/devedor; tipo de recebível</x:v>
      </x:c>
      <x:c r="F161" s="101" t="str">
        <x:v>N/D — equivalência entre mínimo júnior e subordinação total não comprovada</x:v>
      </x:c>
      <x:c r="G161" s="101" t="str">
        <x:v>revisto — mínimo júnior localizado</x:v>
      </x:c>
    </x:row>
    <x:row r="162" ht="34.5" customHeight="1">
      <x:c r="A162" s="101" t="str">
        <x:v>Flagships</x:v>
      </x:c>
      <x:c r="B162" s="102" t="str">
        <x:v>50473039000102</x:v>
      </x:c>
      <x:c r="C162" s="101" t="str">
        <x:v>Seller I, II e III</x:v>
      </x:c>
      <x:c r="D162" s="101" t="str">
        <x:v>estrutura_incomparavel</x:v>
      </x:c>
      <x:c r="E162" s="101" t="str">
        <x:v>mínimo estrutural comparável; originador; sacado/devedor</x:v>
      </x:c>
      <x:c r="F162" s="101" t="str">
        <x:v>N/D — equivalência entre mínimo júnior e subordinação total não comprovada</x:v>
      </x:c>
      <x:c r="G162" s="101" t="str">
        <x:v>revisto — mínimo júnior localizado</x:v>
      </x:c>
    </x:row>
    <x:row r="163" ht="34.5" customHeight="1">
      <x:c r="A163" s="101" t="str">
        <x:v>Flagships</x:v>
      </x:c>
      <x:c r="B163" s="102" t="str">
        <x:v>55471753000177</x:v>
      </x:c>
      <x:c r="C163" s="101" t="str">
        <x:v>Seller I, II e III</x:v>
      </x:c>
      <x:c r="D163" s="101" t="str">
        <x:v>estrutura_incomparavel</x:v>
      </x:c>
      <x:c r="E163" s="101" t="str">
        <x:v>mínimo estrutural comparável; originador; cedente; sacado/devedor; tipo de recebível</x:v>
      </x:c>
      <x:c r="F163" s="101" t="str">
        <x:v>N/D — equivalência entre mínimo júnior e subordinação total não comprovada</x:v>
      </x:c>
      <x:c r="G163" s="101" t="str">
        <x:v>revisto — mínimo júnior localizado</x:v>
      </x:c>
    </x:row>
    <x:row r="164" ht="34.5" customHeight="1">
      <x:c r="A164" s="101" t="str">
        <x:v>Flagships</x:v>
      </x:c>
      <x:c r="B164" s="102" t="str">
        <x:v>28169275000172</x:v>
      </x:c>
      <x:c r="C164" s="101" t="str">
        <x:v>PagSeguro I</x:v>
      </x:c>
      <x:c r="D164" s="101" t="str">
        <x:v>minimo_estrutural_ausente</x:v>
      </x:c>
      <x:c r="E164" s="101" t="str">
        <x:v>mínimo estrutural comparável; originador; sacado/devedor</x:v>
      </x:c>
      <x:c r="F164" s="101" t="str">
        <x:v>N/D — mínimo estrutural ou subordinação atual ausente</x:v>
      </x:c>
      <x:c r="G164" s="101" t="str">
        <x:v>revisto — mínimo júnior não isolado</x:v>
      </x:c>
    </x:row>
    <x:row r="165" ht="34.5" customHeight="1">
      <x:c r="A165" s="101" t="str">
        <x:v>Flagships</x:v>
      </x:c>
      <x:c r="B165" s="102" t="str">
        <x:v>66929956000180</x:v>
      </x:c>
      <x:c r="C165" s="101" t="str">
        <x:v>BV Auto I, II e III</x:v>
      </x:c>
      <x:c r="D165" s="101" t="str">
        <x:v>minimo_estrutural_ausente</x:v>
      </x:c>
      <x:c r="E165" s="101" t="str">
        <x:v>mínimo estrutural comparável; originador; cedente; sacado/devedor; tipo de recebível</x:v>
      </x:c>
      <x:c r="F165" s="101" t="str">
        <x:v>N/D — mínimo estrutural ou subordinação atual ausente</x:v>
      </x:c>
      <x:c r="G165" s="101" t="str">
        <x:v>lacuna — regulamento integral não disponível nas fontes locais</x:v>
      </x:c>
    </x:row>
    <x:row r="166" ht="34.5" customHeight="1">
      <x:c r="A166" s="101" t="str">
        <x:v>Flagships</x:v>
      </x:c>
      <x:c r="B166" s="102" t="str">
        <x:v>57532556000146</x:v>
      </x:c>
      <x:c r="C166" s="101" t="str">
        <x:v>BV Auto I, II e III</x:v>
      </x:c>
      <x:c r="D166" s="101" t="str">
        <x:v>minimo_estrutural_ausente</x:v>
      </x:c>
      <x:c r="E166" s="101" t="str">
        <x:v>mínimo estrutural comparável; originador; cedente; sacado/devedor; tipo de recebível</x:v>
      </x:c>
      <x:c r="F166" s="101" t="str">
        <x:v>N/D — mínimo estrutural ou subordinação atual ausente</x:v>
      </x:c>
      <x:c r="G166" s="101" t="str">
        <x:v>lacuna — regulamento integral não disponível nas fontes locais</x:v>
      </x:c>
    </x:row>
    <x:row r="167" ht="34.5" customHeight="1">
      <x:c r="A167" s="101" t="str">
        <x:v>Flagships</x:v>
      </x:c>
      <x:c r="B167" s="102" t="str">
        <x:v>60598366000136</x:v>
      </x:c>
      <x:c r="C167" s="101" t="str">
        <x:v>BV Auto I, II e III</x:v>
      </x:c>
      <x:c r="D167" s="101" t="str">
        <x:v>minimo_estrutural_ausente</x:v>
      </x:c>
      <x:c r="E167" s="101" t="str">
        <x:v>mínimo estrutural comparável; originador; cedente; sacado/devedor; tipo de recebível</x:v>
      </x:c>
      <x:c r="F167" s="101" t="str">
        <x:v>N/D — mínimo estrutural ou subordinação atual ausente</x:v>
      </x:c>
      <x:c r="G167" s="101" t="str">
        <x:v>revisto — mínimo júnior não isolado</x:v>
      </x:c>
    </x:row>
    <x:row r="168" ht="34.5" customHeight="1">
      <x:c r="A168" s="101" t="str">
        <x:v>Flagships</x:v>
      </x:c>
      <x:c r="B168" s="102" t="str">
        <x:v>59929098000109</x:v>
      </x:c>
      <x:c r="C168" s="101" t="str">
        <x:v>Creditas Auto X, XI e XII</x:v>
      </x:c>
      <x:c r="D168" s="101" t="str">
        <x:v>minimo_estrutural_ausente</x:v>
      </x:c>
      <x:c r="E168" s="101" t="str">
        <x:v>mínimo estrutural comparável; originador; cedente; sacado/devedor; tipo de recebível</x:v>
      </x:c>
      <x:c r="F168" s="101" t="str">
        <x:v>N/D — mínimo estrutural ou subordinação atual ausente</x:v>
      </x:c>
      <x:c r="G168" s="101" t="str">
        <x:v>lacuna — regulamento integral não disponível nas fontes locais</x:v>
      </x:c>
    </x:row>
    <x:row r="169" ht="34.5" customHeight="1">
      <x:c r="A169" s="101" t="str">
        <x:v>Flagships</x:v>
      </x:c>
      <x:c r="B169" s="102" t="str">
        <x:v>53095241000128</x:v>
      </x:c>
      <x:c r="C169" s="101" t="str">
        <x:v>Creditas Auto X, XI e XII</x:v>
      </x:c>
      <x:c r="D169" s="101" t="str">
        <x:v>minimo_estrutural_ausente</x:v>
      </x:c>
      <x:c r="E169" s="101" t="str">
        <x:v>mínimo estrutural comparável; originador; cedente; sacado/devedor; tipo de recebível</x:v>
      </x:c>
      <x:c r="F169" s="101" t="str">
        <x:v>N/D — mínimo estrutural ou subordinação atual ausente</x:v>
      </x:c>
      <x:c r="G169" s="101" t="str">
        <x:v>lacuna — regulamento integral não disponível nas fontes locais</x:v>
      </x:c>
    </x:row>
    <x:row r="170" ht="34.5" customHeight="1">
      <x:c r="A170" s="101" t="str">
        <x:v>Flagships</x:v>
      </x:c>
      <x:c r="B170" s="102" t="str">
        <x:v>58035124000192</x:v>
      </x:c>
      <x:c r="C170" s="101" t="str">
        <x:v>Creditas Auto X, XI e XII</x:v>
      </x:c>
      <x:c r="D170" s="101" t="str">
        <x:v>minimo_estrutural_ausente</x:v>
      </x:c>
      <x:c r="E170" s="101" t="str">
        <x:v>mínimo estrutural comparável; originador; cedente; sacado/devedor; tipo de recebível</x:v>
      </x:c>
      <x:c r="F170" s="101" t="str">
        <x:v>N/D — mínimo estrutural ou subordinação atual ausente</x:v>
      </x:c>
      <x:c r="G170" s="101" t="str">
        <x:v>lacuna — regulamento integral não disponível nas fontes locais</x:v>
      </x:c>
    </x:row>
    <x:row r="171" ht="34.5" customHeight="1">
      <x:c r="A171" s="101" t="str">
        <x:v>Flagships</x:v>
      </x:c>
      <x:c r="B171" s="102" t="str">
        <x:v>63662224000189</x:v>
      </x:c>
      <x:c r="C171" s="101" t="str">
        <x:v>Santander Auto Loans I</x:v>
      </x:c>
      <x:c r="D171" s="101" t="str">
        <x:v>minimo_estrutural_ausente</x:v>
      </x:c>
      <x:c r="E171" s="101" t="str">
        <x:v>mínimo estrutural comparável; originador; cedente; sacado/devedor; tipo de recebível</x:v>
      </x:c>
      <x:c r="F171" s="101" t="str">
        <x:v>N/D — mínimo estrutural ou subordinação atual ausente</x:v>
      </x:c>
      <x:c r="G171" s="101" t="str">
        <x:v>revisto — mínimo júnior não isolado</x:v>
      </x:c>
    </x:row>
    <x:row r="172" ht="34.5" customHeight="1">
      <x:c r="A172" s="101" t="str">
        <x:v>Flagships</x:v>
      </x:c>
      <x:c r="B172" s="102" t="str">
        <x:v>50114948000146</x:v>
      </x:c>
      <x:c r="C172" s="101" t="str">
        <x:v>Driver Brasil Six Banco Volkswagen</x:v>
      </x:c>
      <x:c r="D172" s="101" t="str">
        <x:v>minimo_estrutural_ausente</x:v>
      </x:c>
      <x:c r="E172" s="101" t="str">
        <x:v>mínimo estrutural comparável; originador; cedente; sacado/devedor; tipo de recebível</x:v>
      </x:c>
      <x:c r="F172" s="101" t="str">
        <x:v>N/D — mínimo estrutural ou subordinação atual ausente</x:v>
      </x:c>
      <x:c r="G172" s="101" t="str">
        <x:v>lacuna — regulamento integral não disponível nas fontes locais</x:v>
      </x:c>
    </x:row>
    <x:row r="173" ht="34.5" customHeight="1">
      <x:c r="A173" s="101" t="str">
        <x:v>Flagships</x:v>
      </x:c>
      <x:c r="B173" s="102" t="str">
        <x:v>62543802000103</x:v>
      </x:c>
      <x:c r="C173" s="101" t="str">
        <x:v>Pine Lift I Cartão INSS</x:v>
      </x:c>
      <x:c r="D173" s="101" t="str">
        <x:v>minimo_estrutural_ausente</x:v>
      </x:c>
      <x:c r="E173" s="101" t="str">
        <x:v>mínimo estrutural comparável; originador; cedente; sacado/devedor; tipo de recebível</x:v>
      </x:c>
      <x:c r="F173" s="101" t="str">
        <x:v>N/D — mínimo estrutural ou subordinação atual ausente</x:v>
      </x:c>
      <x:c r="G173" s="101" t="str">
        <x:v>lacuna — regulamento integral não disponível nas fontes locais</x:v>
      </x:c>
    </x:row>
    <x:row r="174" ht="34.5" customHeight="1">
      <x:c r="A174" s="101" t="str">
        <x:v>Flagships</x:v>
      </x:c>
      <x:c r="B174" s="102" t="str">
        <x:v>55316469000126</x:v>
      </x:c>
      <x:c r="C174" s="101" t="str">
        <x:v>Somapay Cartão Consignado Público</x:v>
      </x:c>
      <x:c r="D174" s="101" t="str">
        <x:v>minimo_estrutural_ausente</x:v>
      </x:c>
      <x:c r="E174" s="101" t="str">
        <x:v>mínimo estrutural comparável; originador; cedente; sacado/devedor; tipo de recebível</x:v>
      </x:c>
      <x:c r="F174" s="101" t="str">
        <x:v>N/D — mínimo estrutural ou subordinação atual ausente</x:v>
      </x:c>
      <x:c r="G174" s="101" t="str">
        <x:v>lacuna — regulamento integral não disponível nas fontes locais</x:v>
      </x:c>
    </x:row>
    <x:row r="175" ht="34.5" customHeight="1">
      <x:c r="A175" s="101" t="str">
        <x:v>Flagships</x:v>
      </x:c>
      <x:c r="B175" s="102" t="str">
        <x:v>58188881000104</x:v>
      </x:c>
      <x:c r="C175" s="101" t="str">
        <x:v>MT Cartão Consignado I</x:v>
      </x:c>
      <x:c r="D175" s="101" t="str">
        <x:v>minimo_estrutural_ausente</x:v>
      </x:c>
      <x:c r="E175" s="101" t="str">
        <x:v>mínimo estrutural comparável; originador; cedente; sacado/devedor; tipo de recebível</x:v>
      </x:c>
      <x:c r="F175" s="101" t="str">
        <x:v>N/D — mínimo estrutural ou subordinação atual ausente</x:v>
      </x:c>
      <x:c r="G175" s="101" t="str">
        <x:v>lacuna — regulamento integral não disponível nas fontes locais</x:v>
      </x:c>
    </x:row>
    <x:row r="176" ht="34.5" customHeight="1">
      <x:c r="A176" s="101" t="str">
        <x:v>Flagships</x:v>
      </x:c>
      <x:c r="B176" s="102" t="str">
        <x:v>12803721000119</x:v>
      </x:c>
      <x:c r="C176" s="101" t="str">
        <x:v>Fratto</x:v>
      </x:c>
      <x:c r="D176" s="101" t="str">
        <x:v>minimo_estrutural_ausente</x:v>
      </x:c>
      <x:c r="E176" s="101" t="str">
        <x:v>mínimo estrutural comparável; originador; cedente; sacado/devedor; tipo de recebível</x:v>
      </x:c>
      <x:c r="F176" s="101" t="str">
        <x:v>N/D — mínimo estrutural ou subordinação atual ausente</x:v>
      </x:c>
      <x:c r="G176" s="101" t="str">
        <x:v>lacuna — regulamento integral não disponível nas fontes locais</x:v>
      </x:c>
    </x:row>
    <x:row r="177" ht="34.5" customHeight="1">
      <x:c r="A177" s="101" t="str">
        <x:v>Flagships</x:v>
      </x:c>
      <x:c r="B177" s="102" t="str">
        <x:v>12778706000168</x:v>
      </x:c>
      <x:c r="C177" s="101" t="str">
        <x:v>Brasilfactors Crédito Corporativo</x:v>
      </x:c>
      <x:c r="D177" s="101" t="str">
        <x:v>minimo_estrutural_ausente</x:v>
      </x:c>
      <x:c r="E177" s="101" t="str">
        <x:v>mínimo estrutural comparável; originador; cedente; sacado/devedor; tipo de recebível</x:v>
      </x:c>
      <x:c r="F177" s="101" t="str">
        <x:v>N/D — mínimo estrutural ou subordinação atual ausente</x:v>
      </x:c>
      <x:c r="G177" s="101" t="str">
        <x:v>lacuna — regulamento integral não disponível nas fontes locais</x:v>
      </x:c>
    </x:row>
    <x:row r="178" ht="34.5" customHeight="1">
      <x:c r="A178" s="101" t="str">
        <x:v>Flagships</x:v>
      </x:c>
      <x:c r="B178" s="102" t="str">
        <x:v>41970012000126</x:v>
      </x:c>
      <x:c r="C178" s="101" t="str">
        <x:v>Mercado Crédito, Mercado Crédito I e II</x:v>
      </x:c>
      <x:c r="D178" s="101" t="str">
        <x:v>estrutura_incomparavel</x:v>
      </x:c>
      <x:c r="E178" s="101" t="str">
        <x:v>mínimo estrutural comparável; originador; cedente; sacado/devedor; tipo de recebível</x:v>
      </x:c>
      <x:c r="F178" s="101" t="str">
        <x:v>N/D — equivalência entre mínimo júnior e subordinação total não comprovada</x:v>
      </x:c>
      <x:c r="G178" s="101" t="str">
        <x:v>revisto — mínimo júnior localizado</x:v>
      </x:c>
    </x:row>
    <x:row r="179" ht="34.5" customHeight="1">
      <x:c r="A179" s="101" t="str">
        <x:v>Flagships</x:v>
      </x:c>
      <x:c r="B179" s="102" t="str">
        <x:v>33254370000104</x:v>
      </x:c>
      <x:c r="C179" s="101" t="str">
        <x:v>Mercado Crédito, Mercado Crédito I e II</x:v>
      </x:c>
      <x:c r="D179" s="101" t="str">
        <x:v>minimo_estrutural_ausente</x:v>
      </x:c>
      <x:c r="E179" s="101" t="str">
        <x:v>mínimo estrutural comparável; originador; cedente; sacado/devedor; tipo de recebível</x:v>
      </x:c>
      <x:c r="F179" s="101" t="str">
        <x:v>N/D — mínimo estrutural ou subordinação atual ausente</x:v>
      </x:c>
      <x:c r="G179" s="101" t="str">
        <x:v>revisto — mínimo júnior não isolado</x:v>
      </x:c>
    </x:row>
    <x:row r="180" ht="34.5" customHeight="1">
      <x:c r="A180" s="101" t="str">
        <x:v>Flagships</x:v>
      </x:c>
      <x:c r="B180" s="102" t="str">
        <x:v>37511828000114</x:v>
      </x:c>
      <x:c r="C180" s="101" t="str">
        <x:v>Mercado Crédito, Mercado Crédito I e II</x:v>
      </x:c>
      <x:c r="D180" s="101" t="str">
        <x:v>estrutura_incomparavel</x:v>
      </x:c>
      <x:c r="E180" s="101" t="str">
        <x:v>mínimo estrutural comparável; originador; cedente; sacado/devedor; tipo de recebível</x:v>
      </x:c>
      <x:c r="F180" s="101" t="str">
        <x:v>N/D — equivalência entre mínimo júnior e subordinação total não comprovada</x:v>
      </x:c>
      <x:c r="G180" s="101" t="str">
        <x:v>revisto — mínimo júnior localizado</x:v>
      </x:c>
    </x:row>
  </x:sheetData>
  <x:mergeCells>
    <x:mergeCell ref="A1:H1"/>
    <x:mergeCell ref="A2:H2"/>
    <x:mergeCell ref="A31:G3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9.3799991607666" hidden="0" customWidth="1"/>
    <x:col min="2" max="2" width="30.6299991607666" hidden="0" customWidth="1"/>
    <x:col min="3" max="3" width="18.1299991607666" hidden="0" customWidth="1"/>
    <x:col min="4" max="4" width="32.5" hidden="0" customWidth="1"/>
    <x:col min="5" max="5" width="77.5" hidden="0" customWidth="1"/>
    <x:col min="6" max="6" width="32.5" hidden="0" customWidth="1"/>
  </x:cols>
  <x:sheetData>
    <x:row r="1" ht="25.5" customHeight="1">
      <x:c r="A1" s="26" t="str">
        <x:v>Dicionário da base Carteira 101 + Flagships</x:v>
      </x:c>
      <x:c r="B1" s="26"/>
      <x:c r="C1" s="26"/>
      <x:c r="D1" s="26"/>
      <x:c r="E1" s="26"/>
      <x:c r="F1" s="26"/>
    </x:row>
    <x:row r="2" ht="22.5" customHeight="1">
      <x:c r="A2" s="29" t="str">
        <x:v>Definições, tipos, origem e tratamento de lacunas das colunas manipuláveis.</x:v>
      </x:c>
      <x:c r="B2" s="29"/>
      <x:c r="C2" s="29"/>
      <x:c r="D2" s="29"/>
      <x:c r="E2" s="29"/>
      <x:c r="F2" s="29"/>
    </x:row>
    <x:row r="4" ht="25.5" customHeight="1">
      <x:c r="A4" s="32" t="str">
        <x:v>Campo no Excel</x:v>
      </x:c>
      <x:c r="B4" s="32" t="str">
        <x:v>Campo no payload</x:v>
      </x:c>
      <x:c r="C4" s="32" t="str">
        <x:v>Tipo</x:v>
      </x:c>
      <x:c r="D4" s="32" t="str">
        <x:v>Origem</x:v>
      </x:c>
      <x:c r="E4" s="32" t="str">
        <x:v>Definição</x:v>
      </x:c>
      <x:c r="F4" s="32" t="str">
        <x:v>Regra de lacuna</x:v>
      </x:c>
    </x:row>
    <x:row r="5" ht="33" customHeight="1">
      <x:c r="A5" s="90" t="str">
        <x:v>Ordem</x:v>
      </x:c>
      <x:c r="B5" s="90" t="str">
        <x:v>ordem</x:v>
      </x:c>
      <x:c r="C5" s="90" t="str">
        <x:v>Inteiro</x:v>
      </x:c>
      <x:c r="D5" s="90" t="str">
        <x:v>Normalização do export</x:v>
      </x:c>
      <x:c r="E5" s="90" t="str">
        <x:v>Campo ordem preservado na granularidade de um CNPJ.</x:v>
      </x:c>
      <x:c r="F5" s="90" t="str">
        <x:v>N/D identifica ausência; nenhum valor é imputado como zero.</x:v>
      </x:c>
    </x:row>
    <x:row r="6" ht="33" customHeight="1">
      <x:c r="A6" s="92" t="str">
        <x:v>CNPJ</x:v>
      </x:c>
      <x:c r="B6" s="92" t="str">
        <x:v>cnpj_numerico</x:v>
      </x:c>
      <x:c r="C6" s="92" t="str">
        <x:v>Identificador numérico</x:v>
      </x:c>
      <x:c r="D6" s="92" t="str">
        <x:v>CVM / Informe Mensal</x:v>
      </x:c>
      <x:c r="E6" s="92" t="str">
        <x:v>CNPJ com 14 dígitos, gravado como número e exibido sem separadores.</x:v>
      </x:c>
      <x:c r="F6" s="92" t="str">
        <x:v>N/D identifica ausência; nenhum valor é imputado como zero.</x:v>
      </x:c>
    </x:row>
    <x:row r="7" ht="33" customHeight="1">
      <x:c r="A7" s="91" t="str">
        <x:v>CNPJ formatado</x:v>
      </x:c>
      <x:c r="B7" s="91" t="str">
        <x:v>cnpj_formatado</x:v>
      </x:c>
      <x:c r="C7" s="91" t="str">
        <x:v>Texto</x:v>
      </x:c>
      <x:c r="D7" s="91" t="str">
        <x:v>CVM / Informe Mensal</x:v>
      </x:c>
      <x:c r="E7" s="91" t="str">
        <x:v>Campo cnpj formatado preservado na granularidade de um CNPJ.</x:v>
      </x:c>
      <x:c r="F7" s="91" t="str">
        <x:v>N/D identifica ausência; nenhum valor é imputado como zero.</x:v>
      </x:c>
    </x:row>
    <x:row r="8" ht="33" customHeight="1">
      <x:c r="A8" s="92" t="str">
        <x:v>Nome completo do fundo (CVM)</x:v>
      </x:c>
      <x:c r="B8" s="92" t="str">
        <x:v>nome_oficial_cvm</x:v>
      </x:c>
      <x:c r="C8" s="92" t="str">
        <x:v>Texto</x:v>
      </x:c>
      <x:c r="D8" s="92" t="str">
        <x:v>CVM / Informe Mensal</x:v>
      </x:c>
      <x:c r="E8" s="92" t="str">
        <x:v>Denominação completa observada no cadastro/base CVM.</x:v>
      </x:c>
      <x:c r="F8" s="92" t="str">
        <x:v>N/D identifica ausência; nenhum valor é imputado como zero.</x:v>
      </x:c>
    </x:row>
    <x:row r="9" ht="33" customHeight="1">
      <x:c r="A9" s="91" t="str">
        <x:v>Nome de referência</x:v>
      </x:c>
      <x:c r="B9" s="91" t="str">
        <x:v>nome_referencia</x:v>
      </x:c>
      <x:c r="C9" s="91" t="str">
        <x:v>Texto</x:v>
      </x:c>
      <x:c r="D9" s="91" t="str">
        <x:v>CVM / Informe Mensal</x:v>
      </x:c>
      <x:c r="E9" s="91" t="str">
        <x:v>Campo nome de referência preservado na granularidade de um CNPJ.</x:v>
      </x:c>
      <x:c r="F9" s="91" t="str">
        <x:v>N/D identifica ausência; nenhum valor é imputado como zero.</x:v>
      </x:c>
    </x:row>
    <x:row r="10" ht="33" customHeight="1">
      <x:c r="A10" s="92" t="str">
        <x:v>Coorte</x:v>
      </x:c>
      <x:c r="B10" s="92" t="str">
        <x:v>coorte</x:v>
      </x:c>
      <x:c r="C10" s="92" t="str">
        <x:v>Texto</x:v>
      </x:c>
      <x:c r="D10" s="92" t="str">
        <x:v>Normalização do export</x:v>
      </x:c>
      <x:c r="E10" s="92" t="str">
        <x:v>Campo coorte preservado na granularidade de um CNPJ.</x:v>
      </x:c>
      <x:c r="F10" s="92" t="str">
        <x:v>N/D identifica ausência; nenhum valor é imputado como zero.</x:v>
      </x:c>
    </x:row>
    <x:row r="11" ht="33" customHeight="1">
      <x:c r="A11" s="91" t="str">
        <x:v>Data de referência</x:v>
      </x:c>
      <x:c r="B11" s="91" t="str">
        <x:v>data_ref</x:v>
      </x:c>
      <x:c r="C11" s="91" t="str">
        <x:v>Texto</x:v>
      </x:c>
      <x:c r="D11" s="91" t="str">
        <x:v>Normalização do export</x:v>
      </x:c>
      <x:c r="E11" s="91" t="str">
        <x:v>Campo data de referência preservado na granularidade de um CNPJ.</x:v>
      </x:c>
      <x:c r="F11" s="91" t="str">
        <x:v>N/D identifica ausência; nenhum valor é imputado como zero.</x:v>
      </x:c>
    </x:row>
    <x:row r="12" ht="33" customHeight="1">
      <x:c r="A12" s="92" t="str">
        <x:v>Status da identidade</x:v>
      </x:c>
      <x:c r="B12" s="92" t="str">
        <x:v>status_identidade</x:v>
      </x:c>
      <x:c r="C12" s="92" t="str">
        <x:v>Texto</x:v>
      </x:c>
      <x:c r="D12" s="92" t="str">
        <x:v>CVM / Informe Mensal</x:v>
      </x:c>
      <x:c r="E12" s="92" t="str">
        <x:v>Campo status da identidade preservado na granularidade de um CNPJ.</x:v>
      </x:c>
      <x:c r="F12" s="92" t="str">
        <x:v>N/D identifica ausência; nenhum valor é imputado como zero.</x:v>
      </x:c>
    </x:row>
    <x:row r="13" ht="33" customHeight="1">
      <x:c r="A13" s="91" t="str">
        <x:v>PL atual</x:v>
      </x:c>
      <x:c r="B13" s="91" t="str">
        <x:v>pl_atual_brl</x:v>
      </x:c>
      <x:c r="C13" s="91" t="str">
        <x:v>Moeda (R$)</x:v>
      </x:c>
      <x:c r="D13" s="91" t="str">
        <x:v>CVM / Informe Mensal</x:v>
      </x:c>
      <x:c r="E13" s="91" t="str">
        <x:v>Patrimônio líquido do veículo na competência de referência.</x:v>
      </x:c>
      <x:c r="F13" s="91" t="str">
        <x:v>N/D identifica ausência; nenhum valor é imputado como zero.</x:v>
      </x:c>
    </x:row>
    <x:row r="14" ht="33" customHeight="1">
      <x:c r="A14" s="92" t="str">
        <x:v>PL das classes reportadas</x:v>
      </x:c>
      <x:c r="B14" s="92" t="str">
        <x:v>pl_classes_reportadas_brl</x:v>
      </x:c>
      <x:c r="C14" s="92" t="str">
        <x:v>Moeda (R$)</x:v>
      </x:c>
      <x:c r="D14" s="92" t="str">
        <x:v>CVM / Informe Mensal</x:v>
      </x:c>
      <x:c r="E14" s="92" t="str">
        <x:v>Soma das classes de cotas reportadas no Informe Mensal.</x:v>
      </x:c>
      <x:c r="F14" s="92" t="str">
        <x:v>N/D identifica ausência; nenhum valor é imputado como zero.</x:v>
      </x:c>
    </x:row>
    <x:row r="15" ht="33" customHeight="1">
      <x:c r="A15" s="91" t="str">
        <x:v>PL subordinado atual</x:v>
      </x:c>
      <x:c r="B15" s="91" t="str">
        <x:v>pl_subordinado_atual_brl</x:v>
      </x:c>
      <x:c r="C15" s="91" t="str">
        <x:v>Moeda (R$)</x:v>
      </x:c>
      <x:c r="D15" s="91" t="str">
        <x:v>CVM / Informe Mensal</x:v>
      </x:c>
      <x:c r="E15" s="91" t="str">
        <x:v>Soma das classes subordinadas reportadas.</x:v>
      </x:c>
      <x:c r="F15" s="91" t="str">
        <x:v>N/D identifica ausência; nenhum valor é imputado como zero.</x:v>
      </x:c>
    </x:row>
    <x:row r="16" ht="33" customHeight="1">
      <x:c r="A16" s="92" t="str">
        <x:v>Sub / PL atual</x:v>
      </x:c>
      <x:c r="B16" s="92" t="str">
        <x:v>sub_pl_atual</x:v>
      </x:c>
      <x:c r="C16" s="92" t="str">
        <x:v>Percentual</x:v>
      </x:c>
      <x:c r="D16" s="92" t="str">
        <x:v>CVM / Informe Mensal</x:v>
      </x:c>
      <x:c r="E16" s="92" t="str">
        <x:v>PL subordinado atual dividido pelo PL oficial reconciliado.</x:v>
      </x:c>
      <x:c r="F16" s="92" t="str">
        <x:v>N/D identifica ausência; nenhum valor é imputado como zero.</x:v>
      </x:c>
    </x:row>
    <x:row r="17" ht="33" customHeight="1">
      <x:c r="A17" s="91" t="str">
        <x:v>Status do Sub / PL</x:v>
      </x:c>
      <x:c r="B17" s="91" t="str">
        <x:v>status_sub_pl_atual</x:v>
      </x:c>
      <x:c r="C17" s="91" t="str">
        <x:v>Texto</x:v>
      </x:c>
      <x:c r="D17" s="91" t="str">
        <x:v>CVM / Informe Mensal</x:v>
      </x:c>
      <x:c r="E17" s="91" t="str">
        <x:v>Campo status do sub / pl preservado na granularidade de um CNPJ.</x:v>
      </x:c>
      <x:c r="F17" s="91" t="str">
        <x:v>N/D identifica ausência; nenhum valor é imputado como zero.</x:v>
      </x:c>
    </x:row>
    <x:row r="18" ht="33" customHeight="1">
      <x:c r="A18" s="92" t="str">
        <x:v>Mínimo Jr literal</x:v>
      </x:c>
      <x:c r="B18" s="92" t="str">
        <x:v>minimo_junior_literal</x:v>
      </x:c>
      <x:c r="C18" s="92" t="str">
        <x:v>Percentual</x:v>
      </x:c>
      <x:c r="D18" s="92" t="str">
        <x:v>Curadoria documental</x:v>
      </x:c>
      <x:c r="E18" s="92" t="str">
        <x:v>Mínimo júnior lido diretamente no documento, sobre PL.</x:v>
      </x:c>
      <x:c r="F18" s="92" t="str">
        <x:v>N/D identifica ausência; nenhum valor é imputado como zero.</x:v>
      </x:c>
    </x:row>
    <x:row r="19" ht="33" customHeight="1">
      <x:c r="A19" s="91" t="str">
        <x:v>Mínimo Jr calculado*</x:v>
      </x:c>
      <x:c r="B19" s="91" t="str">
        <x:v>minimo_junior_calculado</x:v>
      </x:c>
      <x:c r="C19" s="91" t="str">
        <x:v>Percentual</x:v>
      </x:c>
      <x:c r="D19" s="91" t="str">
        <x:v>Curadoria documental</x:v>
      </x:c>
      <x:c r="E19" s="91" t="str">
        <x:v>Mínimo júnior convertido de razão/fator documental; linha marcada com *.</x:v>
      </x:c>
      <x:c r="F19" s="91" t="str">
        <x:v>N/D identifica ausência; nenhum valor é imputado como zero.</x:v>
      </x:c>
    </x:row>
    <x:row r="20" ht="33" customHeight="1">
      <x:c r="A20" s="92" t="str">
        <x:v>Mínimo Jr ajustado*</x:v>
      </x:c>
      <x:c r="B20" s="92" t="str">
        <x:v>minimo_junior_ajustado</x:v>
      </x:c>
      <x:c r="C20" s="92" t="str">
        <x:v>Percentual</x:v>
      </x:c>
      <x:c r="D20" s="92" t="str">
        <x:v>Curadoria documental</x:v>
      </x:c>
      <x:c r="E20" s="92" t="str">
        <x:v>Mínimo júnior sobre denominador ajustado; linha marcada com *.</x:v>
      </x:c>
      <x:c r="F20" s="92" t="str">
        <x:v>N/D identifica ausência; nenhum valor é imputado como zero.</x:v>
      </x:c>
    </x:row>
    <x:row r="21" ht="33" customHeight="1">
      <x:c r="A21" s="91" t="str">
        <x:v>Suporte total*</x:v>
      </x:c>
      <x:c r="B21" s="91" t="str">
        <x:v>suporte_total</x:v>
      </x:c>
      <x:c r="C21" s="91" t="str">
        <x:v>Percentual</x:v>
      </x:c>
      <x:c r="D21" s="91" t="str">
        <x:v>Curadoria documental</x:v>
      </x:c>
      <x:c r="E21" s="91" t="str">
        <x:v>Piso de suporte subordinado total; métrica distinta do júnior isolado.</x:v>
      </x:c>
      <x:c r="F21" s="91" t="str">
        <x:v>N/D identifica ausência; nenhum valor é imputado como zero.</x:v>
      </x:c>
    </x:row>
    <x:row r="22" ht="33" customHeight="1">
      <x:c r="A22" s="92" t="str">
        <x:v>Suporte Jr + Mezanino*</x:v>
      </x:c>
      <x:c r="B22" s="92" t="str">
        <x:v>suporte_combinado_junior_mezanino</x:v>
      </x:c>
      <x:c r="C22" s="92" t="str">
        <x:v>Percentual</x:v>
      </x:c>
      <x:c r="D22" s="92" t="str">
        <x:v>Curadoria documental</x:v>
      </x:c>
      <x:c r="E22" s="92" t="str">
        <x:v>Piso combinado de cotas júnior e mezanino.</x:v>
      </x:c>
      <x:c r="F22" s="92" t="str">
        <x:v>N/D identifica ausência; nenhum valor é imputado como zero.</x:v>
      </x:c>
    </x:row>
    <x:row r="23" ht="33" customHeight="1">
      <x:c r="A23" s="91" t="str">
        <x:v>Índice estrutural usado</x:v>
      </x:c>
      <x:c r="B23" s="91" t="str">
        <x:v>minimo_estrutural_usado</x:v>
      </x:c>
      <x:c r="C23" s="91" t="str">
        <x:v>Percentual</x:v>
      </x:c>
      <x:c r="D23" s="91" t="str">
        <x:v>Curadoria documental</x:v>
      </x:c>
      <x:c r="E23" s="91" t="str">
        <x:v>Piso usado no cálculo somente quando comparável ao Sub/PL atual.</x:v>
      </x:c>
      <x:c r="F23" s="91" t="str">
        <x:v>N/D identifica ausência; nenhum valor é imputado como zero.</x:v>
      </x:c>
    </x:row>
    <x:row r="24" ht="33" customHeight="1">
      <x:c r="A24" s="92" t="str">
        <x:v>Índice estrutural exibido</x:v>
      </x:c>
      <x:c r="B24" s="92" t="str">
        <x:v>minimo_estrutural_display</x:v>
      </x:c>
      <x:c r="C24" s="92" t="str">
        <x:v>Texto</x:v>
      </x:c>
      <x:c r="D24" s="92" t="str">
        <x:v>Curadoria documental</x:v>
      </x:c>
      <x:c r="E24" s="92" t="str">
        <x:v>Campo índice estrutural exibido preservado na granularidade de um CNPJ.</x:v>
      </x:c>
      <x:c r="F24" s="92" t="str">
        <x:v>N/D identifica ausência; nenhum valor é imputado como zero.</x:v>
      </x:c>
    </x:row>
    <x:row r="25" ht="33" customHeight="1">
      <x:c r="A25" s="91" t="str">
        <x:v>Natureza do índice</x:v>
      </x:c>
      <x:c r="B25" s="91" t="str">
        <x:v>minimo_estrutural_natureza</x:v>
      </x:c>
      <x:c r="C25" s="91" t="str">
        <x:v>Texto</x:v>
      </x:c>
      <x:c r="D25" s="91" t="str">
        <x:v>Curadoria documental</x:v>
      </x:c>
      <x:c r="E25" s="91" t="str">
        <x:v>Campo natureza do índice preservado na granularidade de um CNPJ.</x:v>
      </x:c>
      <x:c r="F25" s="91" t="str">
        <x:v>N/D identifica ausência; nenhum valor é imputado como zero.</x:v>
      </x:c>
    </x:row>
    <x:row r="26" ht="33" customHeight="1">
      <x:c r="A26" s="92" t="str">
        <x:v>Fórmula / regra</x:v>
      </x:c>
      <x:c r="B26" s="92" t="str">
        <x:v>minimo_estrutural_formula</x:v>
      </x:c>
      <x:c r="C26" s="92" t="str">
        <x:v>Texto</x:v>
      </x:c>
      <x:c r="D26" s="92" t="str">
        <x:v>Curadoria documental</x:v>
      </x:c>
      <x:c r="E26" s="92" t="str">
        <x:v>Campo fórmula / regra preservado na granularidade de um CNPJ.</x:v>
      </x:c>
      <x:c r="F26" s="92" t="str">
        <x:v>N/D identifica ausência; nenhum valor é imputado como zero.</x:v>
      </x:c>
    </x:row>
    <x:row r="27" ht="33" customHeight="1">
      <x:c r="A27" s="91" t="str">
        <x:v>Comparável?</x:v>
      </x:c>
      <x:c r="B27" s="91" t="str">
        <x:v>comparavel_flag</x:v>
      </x:c>
      <x:c r="C27" s="91" t="str">
        <x:v>Booleano</x:v>
      </x:c>
      <x:c r="D27" s="91" t="str">
        <x:v>Pacote estrutural existente</x:v>
      </x:c>
      <x:c r="E27" s="91" t="str">
        <x:v>Confirma equivalência suficiente entre numerador, denominador e tranche.</x:v>
      </x:c>
      <x:c r="F27" s="91" t="str">
        <x:v>N/D identifica ausência; nenhum valor é imputado como zero.</x:v>
      </x:c>
    </x:row>
    <x:row r="28" ht="33" customHeight="1">
      <x:c r="A28" s="92" t="str">
        <x:v>Motivo da comparabilidade</x:v>
      </x:c>
      <x:c r="B28" s="92" t="str">
        <x:v>comparabilidade_motivo</x:v>
      </x:c>
      <x:c r="C28" s="92" t="str">
        <x:v>Texto</x:v>
      </x:c>
      <x:c r="D28" s="92" t="str">
        <x:v>Pacote estrutural existente</x:v>
      </x:c>
      <x:c r="E28" s="92" t="str">
        <x:v>Campo motivo da comparabilidade preservado na granularidade de um CNPJ.</x:v>
      </x:c>
      <x:c r="F28" s="92" t="str">
        <x:v>N/D identifica ausência; nenhum valor é imputado como zero.</x:v>
      </x:c>
    </x:row>
    <x:row r="29" ht="33" customHeight="1">
      <x:c r="A29" s="91" t="str">
        <x:v>Exceção*</x:v>
      </x:c>
      <x:c r="B29" s="91" t="str">
        <x:v>excecao_asterisco_flag</x:v>
      </x:c>
      <x:c r="C29" s="91" t="str">
        <x:v>Booleano</x:v>
      </x:c>
      <x:c r="D29" s="91" t="str">
        <x:v>Pacote estrutural existente</x:v>
      </x:c>
      <x:c r="E29" s="91" t="str">
        <x:v>Campo exceção* preservado na granularidade de um CNPJ.</x:v>
      </x:c>
      <x:c r="F29" s="91" t="str">
        <x:v>N/D identifica ausência; nenhum valor é imputado como zero.</x:v>
      </x:c>
    </x:row>
    <x:row r="30" ht="33" customHeight="1">
      <x:c r="A30" s="92" t="str">
        <x:v>Folga / falta</x:v>
      </x:c>
      <x:c r="B30" s="92" t="str">
        <x:v>folga_pp</x:v>
      </x:c>
      <x:c r="C30" s="92" t="str">
        <x:v>Percentual</x:v>
      </x:c>
      <x:c r="D30" s="92" t="str">
        <x:v>Pacote estrutural existente</x:v>
      </x:c>
      <x:c r="E30" s="92" t="str">
        <x:v>Sub/PL atual menos o piso estrutural comparável.</x:v>
      </x:c>
      <x:c r="F30" s="92" t="str">
        <x:v>N/D identifica ausência; nenhum valor é imputado como zero.</x:v>
      </x:c>
    </x:row>
    <x:row r="31" ht="33" customHeight="1">
      <x:c r="A31" s="91" t="str">
        <x:v>Capacidade até o gatilho</x:v>
      </x:c>
      <x:c r="B31" s="91" t="str">
        <x:v>capacidade_ate_gatilho</x:v>
      </x:c>
      <x:c r="C31" s="91" t="str">
        <x:v>Percentual</x:v>
      </x:c>
      <x:c r="D31" s="91" t="str">
        <x:v>Pacote estrutural existente</x:v>
      </x:c>
      <x:c r="E31" s="91" t="str">
        <x:v>(Sub/PL atual − piso) / (1 − piso), somente em linhas comparáveis.</x:v>
      </x:c>
      <x:c r="F31" s="91" t="str">
        <x:v>N/D identifica ausência; nenhum valor é imputado como zero.</x:v>
      </x:c>
    </x:row>
    <x:row r="32" ht="33" customHeight="1">
      <x:c r="A32" s="92" t="str">
        <x:v>Situação regulatória</x:v>
      </x:c>
      <x:c r="B32" s="92" t="str">
        <x:v>situacao_regulatoria</x:v>
      </x:c>
      <x:c r="C32" s="92" t="str">
        <x:v>Texto</x:v>
      </x:c>
      <x:c r="D32" s="92" t="str">
        <x:v>Pacote estrutural existente</x:v>
      </x:c>
      <x:c r="E32" s="92" t="str">
        <x:v>Banda de situação frente ao piso documental.</x:v>
      </x:c>
      <x:c r="F32" s="92" t="str">
        <x:v>N/D identifica ausência; nenhum valor é imputado como zero.</x:v>
      </x:c>
    </x:row>
    <x:row r="33" ht="33" customHeight="1">
      <x:c r="A33" s="91" t="str">
        <x:v>Tipo</x:v>
      </x:c>
      <x:c r="B33" s="91" t="str">
        <x:v>tipo_exibicao</x:v>
      </x:c>
      <x:c r="C33" s="91" t="str">
        <x:v>Texto</x:v>
      </x:c>
      <x:c r="D33" s="91" t="str">
        <x:v>Taxonomia analítica / oficial preservada</x:v>
      </x:c>
      <x:c r="E33" s="91" t="str">
        <x:v>Campo tipo preservado na granularidade de um CNPJ.</x:v>
      </x:c>
      <x:c r="F33" s="91" t="str">
        <x:v>N/D identifica ausência; nenhum valor é imputado como zero.</x:v>
      </x:c>
    </x:row>
    <x:row r="34" ht="33" customHeight="1">
      <x:c r="A34" s="92" t="str">
        <x:v>Foco</x:v>
      </x:c>
      <x:c r="B34" s="92" t="str">
        <x:v>foco_exibicao</x:v>
      </x:c>
      <x:c r="C34" s="92" t="str">
        <x:v>Texto</x:v>
      </x:c>
      <x:c r="D34" s="92" t="str">
        <x:v>Taxonomia analítica / oficial preservada</x:v>
      </x:c>
      <x:c r="E34" s="92" t="str">
        <x:v>Campo foco preservado na granularidade de um CNPJ.</x:v>
      </x:c>
      <x:c r="F34" s="92" t="str">
        <x:v>N/D identifica ausência; nenhum valor é imputado como zero.</x:v>
      </x:c>
    </x:row>
    <x:row r="35" ht="33" customHeight="1">
      <x:c r="A35" s="91" t="str">
        <x:v>Taxonomia estrutural</x:v>
      </x:c>
      <x:c r="B35" s="91" t="str">
        <x:v>taxonomia_estrutural</x:v>
      </x:c>
      <x:c r="C35" s="91" t="str">
        <x:v>Texto</x:v>
      </x:c>
      <x:c r="D35" s="91" t="str">
        <x:v>Taxonomia analítica / oficial preservada</x:v>
      </x:c>
      <x:c r="E35" s="91" t="str">
        <x:v>Campo taxonomia estrutural preservado na granularidade de um CNPJ.</x:v>
      </x:c>
      <x:c r="F35" s="91" t="str">
        <x:v>N/D identifica ausência; nenhum valor é imputado como zero.</x:v>
      </x:c>
    </x:row>
    <x:row r="36" ht="33" customHeight="1">
      <x:c r="A36" s="92" t="str">
        <x:v>Cedente / Originador literal*</x:v>
      </x:c>
      <x:c r="B36" s="92" t="str">
        <x:v>cedente_originador_literal</x:v>
      </x:c>
      <x:c r="C36" s="92" t="str">
        <x:v>Texto</x:v>
      </x:c>
      <x:c r="D36" s="92" t="str">
        <x:v>Documento ou overlay manual auditado</x:v>
      </x:c>
      <x:c r="E36" s="92" t="str">
        <x:v>Transcrição literal da coluna combinada Cedente/Originador.</x:v>
      </x:c>
      <x:c r="F36" s="92" t="str">
        <x:v>N/D identifica ausência; nenhum valor é imputado como zero.</x:v>
      </x:c>
    </x:row>
    <x:row r="37" ht="33" customHeight="1">
      <x:c r="A37" s="91" t="str">
        <x:v>Papel literal*</x:v>
      </x:c>
      <x:c r="B37" s="91" t="str">
        <x:v>papel_literal</x:v>
      </x:c>
      <x:c r="C37" s="91" t="str">
        <x:v>Texto</x:v>
      </x:c>
      <x:c r="D37" s="91" t="str">
        <x:v>Documento ou overlay manual auditado</x:v>
      </x:c>
      <x:c r="E37" s="91" t="str">
        <x:v>Papel indicado literalmente na fonte manual.</x:v>
      </x:c>
      <x:c r="F37" s="91" t="str">
        <x:v>N/D identifica ausência; nenhum valor é imputado como zero.</x:v>
      </x:c>
    </x:row>
    <x:row r="38" ht="33" customHeight="1">
      <x:c r="A38" s="92" t="str">
        <x:v>Originador*</x:v>
      </x:c>
      <x:c r="B38" s="92" t="str">
        <x:v>originador</x:v>
      </x:c>
      <x:c r="C38" s="92" t="str">
        <x:v>Texto</x:v>
      </x:c>
      <x:c r="D38" s="92" t="str">
        <x:v>Documento ou overlay manual auditado</x:v>
      </x:c>
      <x:c r="E38" s="92" t="str">
        <x:v>Campo originador* preservado na granularidade de um CNPJ.</x:v>
      </x:c>
      <x:c r="F38" s="92" t="str">
        <x:v>N/D identifica ausência; nenhum valor é imputado como zero.</x:v>
      </x:c>
    </x:row>
    <x:row r="39" ht="33" customHeight="1">
      <x:c r="A39" s="91" t="str">
        <x:v>Cedente*</x:v>
      </x:c>
      <x:c r="B39" s="91" t="str">
        <x:v>cedente</x:v>
      </x:c>
      <x:c r="C39" s="91" t="str">
        <x:v>Texto</x:v>
      </x:c>
      <x:c r="D39" s="91" t="str">
        <x:v>Documento ou overlay manual auditado</x:v>
      </x:c>
      <x:c r="E39" s="91" t="str">
        <x:v>Campo cedente* preservado na granularidade de um CNPJ.</x:v>
      </x:c>
      <x:c r="F39" s="91" t="str">
        <x:v>N/D identifica ausência; nenhum valor é imputado como zero.</x:v>
      </x:c>
    </x:row>
    <x:row r="40" ht="33" customHeight="1">
      <x:c r="A40" s="92" t="str">
        <x:v>Sacado / devedor*</x:v>
      </x:c>
      <x:c r="B40" s="92" t="str">
        <x:v>sacado_devedor</x:v>
      </x:c>
      <x:c r="C40" s="92" t="str">
        <x:v>Texto</x:v>
      </x:c>
      <x:c r="D40" s="92" t="str">
        <x:v>Documento ou overlay manual auditado</x:v>
      </x:c>
      <x:c r="E40" s="92" t="str">
        <x:v>Campo sacado / devedor* preservado na granularidade de um CNPJ.</x:v>
      </x:c>
      <x:c r="F40" s="92" t="str">
        <x:v>N/D identifica ausência; nenhum valor é imputado como zero.</x:v>
      </x:c>
    </x:row>
    <x:row r="41" ht="33" customHeight="1">
      <x:c r="A41" s="91" t="str">
        <x:v>Tipo de recebível*</x:v>
      </x:c>
      <x:c r="B41" s="91" t="str">
        <x:v>tipo_recebivel_literal</x:v>
      </x:c>
      <x:c r="C41" s="91" t="str">
        <x:v>Texto</x:v>
      </x:c>
      <x:c r="D41" s="91" t="str">
        <x:v>Taxonomia analítica / oficial preservada</x:v>
      </x:c>
      <x:c r="E41" s="91" t="str">
        <x:v>Campo tipo de recebível* preservado na granularidade de um CNPJ.</x:v>
      </x:c>
      <x:c r="F41" s="91" t="str">
        <x:v>N/D identifica ausência; nenhum valor é imputado como zero.</x:v>
      </x:c>
    </x:row>
    <x:row r="42" ht="33" customHeight="1">
      <x:c r="A42" s="92" t="str">
        <x:v>Fonte das partes / recebível</x:v>
      </x:c>
      <x:c r="B42" s="92" t="str">
        <x:v>fonte_partes_recebivel</x:v>
      </x:c>
      <x:c r="C42" s="92" t="str">
        <x:v>Texto</x:v>
      </x:c>
      <x:c r="D42" s="92" t="str">
        <x:v>Documento ou overlay manual auditado</x:v>
      </x:c>
      <x:c r="E42" s="92" t="str">
        <x:v>Documento ou foto que sustenta partes e tipo de recebível.</x:v>
      </x:c>
      <x:c r="F42" s="92" t="str">
        <x:v>N/D identifica ausência; nenhum valor é imputado como zero.</x:v>
      </x:c>
    </x:row>
    <x:row r="43" ht="33" customHeight="1">
      <x:c r="A43" s="91" t="str">
        <x:v>Status do complemento manual</x:v>
      </x:c>
      <x:c r="B43" s="91" t="str">
        <x:v>status_complemento_manual</x:v>
      </x:c>
      <x:c r="C43" s="91" t="str">
        <x:v>Texto</x:v>
      </x:c>
      <x:c r="D43" s="91" t="str">
        <x:v>Documento ou overlay manual auditado</x:v>
      </x:c>
      <x:c r="E43" s="91" t="str">
        <x:v>Campo status do complemento manual preservado na granularidade de um CNPJ.</x:v>
      </x:c>
      <x:c r="F43" s="91" t="str">
        <x:v>N/D identifica ausência; nenhum valor é imputado como zero.</x:v>
      </x:c>
    </x:row>
    <x:row r="44" ht="33" customHeight="1">
      <x:c r="A44" s="92" t="str">
        <x:v>Observação do complemento manual</x:v>
      </x:c>
      <x:c r="B44" s="92" t="str">
        <x:v>observacao_complemento_manual</x:v>
      </x:c>
      <x:c r="C44" s="92" t="str">
        <x:v>Texto</x:v>
      </x:c>
      <x:c r="D44" s="92" t="str">
        <x:v>Documento ou overlay manual auditado</x:v>
      </x:c>
      <x:c r="E44" s="92" t="str">
        <x:v>Campo observação do complemento manual preservado na granularidade de um CNPJ.</x:v>
      </x:c>
      <x:c r="F44" s="92" t="str">
        <x:v>N/D identifica ausência; nenhum valor é imputado como zero.</x:v>
      </x:c>
    </x:row>
    <x:row r="45" ht="33" customHeight="1">
      <x:c r="A45" s="91" t="str">
        <x:v>Documento</x:v>
      </x:c>
      <x:c r="B45" s="91" t="str">
        <x:v>documento_id</x:v>
      </x:c>
      <x:c r="C45" s="91" t="str">
        <x:v>Texto</x:v>
      </x:c>
      <x:c r="D45" s="91" t="str">
        <x:v>Curadoria documental</x:v>
      </x:c>
      <x:c r="E45" s="91" t="str">
        <x:v>Campo documento preservado na granularidade de um CNPJ.</x:v>
      </x:c>
      <x:c r="F45" s="91" t="str">
        <x:v>N/D identifica ausência; nenhum valor é imputado como zero.</x:v>
      </x:c>
    </x:row>
    <x:row r="46" ht="33" customHeight="1">
      <x:c r="A46" s="92" t="str">
        <x:v>Data do documento</x:v>
      </x:c>
      <x:c r="B46" s="92" t="str">
        <x:v>documento_data</x:v>
      </x:c>
      <x:c r="C46" s="92" t="str">
        <x:v>Texto</x:v>
      </x:c>
      <x:c r="D46" s="92" t="str">
        <x:v>Curadoria documental</x:v>
      </x:c>
      <x:c r="E46" s="92" t="str">
        <x:v>Campo data do documento preservado na granularidade de um CNPJ.</x:v>
      </x:c>
      <x:c r="F46" s="92" t="str">
        <x:v>N/D identifica ausência; nenhum valor é imputado como zero.</x:v>
      </x:c>
    </x:row>
    <x:row r="47" ht="33" customHeight="1">
      <x:c r="A47" s="91" t="str">
        <x:v>Página / cláusula</x:v>
      </x:c>
      <x:c r="B47" s="91" t="str">
        <x:v>pagina_clausula</x:v>
      </x:c>
      <x:c r="C47" s="91" t="str">
        <x:v>Texto</x:v>
      </x:c>
      <x:c r="D47" s="91" t="str">
        <x:v>Curadoria documental</x:v>
      </x:c>
      <x:c r="E47" s="91" t="str">
        <x:v>Campo página / cláusula preservado na granularidade de um CNPJ.</x:v>
      </x:c>
      <x:c r="F47" s="91" t="str">
        <x:v>N/D identifica ausência; nenhum valor é imputado como zero.</x:v>
      </x:c>
    </x:row>
    <x:row r="48" ht="33" customHeight="1">
      <x:c r="A48" s="92" t="str">
        <x:v>Status da curadoria</x:v>
      </x:c>
      <x:c r="B48" s="92" t="str">
        <x:v>status_curadoria_documental</x:v>
      </x:c>
      <x:c r="C48" s="92" t="str">
        <x:v>Texto</x:v>
      </x:c>
      <x:c r="D48" s="92" t="str">
        <x:v>Curadoria documental</x:v>
      </x:c>
      <x:c r="E48" s="92" t="str">
        <x:v>Campo status da curadoria preservado na granularidade de um CNPJ.</x:v>
      </x:c>
      <x:c r="F48" s="92" t="str">
        <x:v>N/D identifica ausência; nenhum valor é imputado como zero.</x:v>
      </x:c>
    </x:row>
    <x:row r="49" ht="33" customHeight="1">
      <x:c r="A49" s="91" t="str">
        <x:v>Fonte documental</x:v>
      </x:c>
      <x:c r="B49" s="91" t="str">
        <x:v>fonte_documental</x:v>
      </x:c>
      <x:c r="C49" s="91" t="str">
        <x:v>Texto</x:v>
      </x:c>
      <x:c r="D49" s="91" t="str">
        <x:v>Curadoria documental</x:v>
      </x:c>
      <x:c r="E49" s="91" t="str">
        <x:v>Referência do regulamento, assembleia ou documento primário.</x:v>
      </x:c>
      <x:c r="F49" s="91" t="str">
        <x:v>N/D identifica ausência; nenhum valor é imputado como zero.</x:v>
      </x:c>
    </x:row>
    <x:row r="50" ht="33" customHeight="1">
      <x:c r="A50" s="92" t="str">
        <x:v>Texto do mínimo</x:v>
      </x:c>
      <x:c r="B50" s="92" t="str">
        <x:v>texto_minimo</x:v>
      </x:c>
      <x:c r="C50" s="92" t="str">
        <x:v>Texto</x:v>
      </x:c>
      <x:c r="D50" s="92" t="str">
        <x:v>Curadoria documental</x:v>
      </x:c>
      <x:c r="E50" s="92" t="str">
        <x:v>Campo texto do mínimo preservado na granularidade de um CNPJ.</x:v>
      </x:c>
      <x:c r="F50" s="92" t="str">
        <x:v>N/D identifica ausência; nenhum valor é imputado como zero.</x:v>
      </x:c>
    </x:row>
    <x:row r="51" ht="33" customHeight="1">
      <x:c r="A51" s="91" t="str">
        <x:v>Campos não preenchidos</x:v>
      </x:c>
      <x:c r="B51" s="91" t="str">
        <x:v>campos_nao_preenchidos</x:v>
      </x:c>
      <x:c r="C51" s="91" t="str">
        <x:v>Texto</x:v>
      </x:c>
      <x:c r="D51" s="91" t="str">
        <x:v>Normalização do export</x:v>
      </x:c>
      <x:c r="E51" s="91" t="str">
        <x:v>Lista didática dos campos que permanecem ausentes.</x:v>
      </x:c>
      <x:c r="F51" s="91" t="str">
        <x:v>N/D identifica ausência; nenhum valor é imputado como zero.</x:v>
      </x:c>
    </x:row>
    <x:row r="52" ht="33" customHeight="1">
      <x:c r="A52" s="92" t="str">
        <x:v>Status do preenchimento</x:v>
      </x:c>
      <x:c r="B52" s="92" t="str">
        <x:v>status_preenchimento</x:v>
      </x:c>
      <x:c r="C52" s="92" t="str">
        <x:v>Texto</x:v>
      </x:c>
      <x:c r="D52" s="92" t="str">
        <x:v>Normalização do export</x:v>
      </x:c>
      <x:c r="E52" s="92" t="str">
        <x:v>Campo status do preenchimento preservado na granularidade de um CNPJ.</x:v>
      </x:c>
      <x:c r="F52" s="92" t="str">
        <x:v>N/D identifica ausência; nenhum valor é imputado como zero.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3.75" hidden="0" customWidth="1"/>
    <x:col min="2" max="2" width="15.630000114440918" hidden="0" customWidth="1"/>
    <x:col min="3" max="3" width="20.6299991607666" hidden="0" customWidth="1"/>
    <x:col min="4" max="4" width="41.25" hidden="0" customWidth="1"/>
    <x:col min="5" max="5" width="32.5" hidden="0" customWidth="1"/>
    <x:col min="6" max="6" width="18.75" hidden="0" customWidth="1"/>
    <x:col min="7" max="7" width="26.25" hidden="0" customWidth="1"/>
    <x:col min="8" max="8" width="26.25" hidden="0" customWidth="1"/>
    <x:col min="9" max="9" width="27.5" hidden="0" customWidth="1"/>
    <x:col min="10" max="10" width="41.25" hidden="0" customWidth="1"/>
    <x:col min="11" max="11" width="18.1299991607666" hidden="0" customWidth="1"/>
    <x:col min="12" max="12" width="37.5" hidden="0" customWidth="1"/>
    <x:col min="13" max="13" width="18.75" hidden="0" customWidth="1"/>
    <x:col min="14" max="14" width="11.880000114440918" hidden="0" customWidth="1"/>
    <x:col min="15" max="15" width="65" hidden="0" customWidth="1"/>
    <x:col min="16" max="16" width="21.25" hidden="0" customWidth="1"/>
    <x:col min="17" max="17" width="40" hidden="0" customWidth="1"/>
    <x:col min="18" max="18" width="10.630000114440918" hidden="0" customWidth="1"/>
    <x:col min="19" max="19" width="40" hidden="0" customWidth="1"/>
  </x:cols>
  <x:sheetData>
    <x:row r="1" ht="25.5" customHeight="1">
      <x:c r="A1" s="26" t="str">
        <x:v>Fontes manuais · transcrição das fotos fornecidas pelo usuário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</x:row>
    <x:row r="2" ht="22.5" customHeight="1">
      <x:c r="A2" s="29" t="str">
        <x:v>* = informação manual separada da evidência documental. Somente status confirmado_legivel é elegível; o overlay preenche lacunas e preserva o valor documental existente.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</x:row>
    <x:row r="4" ht="25.5" customHeight="1">
      <x:c r="A4" s="32" t="str">
        <x:v>Raiz do CNPJ na foto</x:v>
      </x:c>
      <x:c r="B4" s="32" t="str">
        <x:v>CNPJ resolvido</x:v>
      </x:c>
      <x:c r="C4" s="32" t="str">
        <x:v>Status da resolução</x:v>
      </x:c>
      <x:c r="D4" s="32" t="str">
        <x:v>Denominação de referência</x:v>
      </x:c>
      <x:c r="E4" s="32" t="str">
        <x:v>Cedente / Originador literal*</x:v>
      </x:c>
      <x:c r="F4" s="32" t="str">
        <x:v>Papel literal*</x:v>
      </x:c>
      <x:c r="G4" s="32" t="str">
        <x:v>Originador*</x:v>
      </x:c>
      <x:c r="H4" s="32" t="str">
        <x:v>Cedente*</x:v>
      </x:c>
      <x:c r="I4" s="32" t="str">
        <x:v>Sacado / devedor*</x:v>
      </x:c>
      <x:c r="J4" s="32" t="str">
        <x:v>Tipo de recebível*</x:v>
      </x:c>
      <x:c r="K4" s="32" t="str">
        <x:v>Imagem</x:v>
      </x:c>
      <x:c r="L4" s="32" t="str">
        <x:v>Localização na imagem</x:v>
      </x:c>
      <x:c r="M4" s="32" t="str">
        <x:v>Status da transcrição</x:v>
      </x:c>
      <x:c r="N4" s="32" t="str">
        <x:v>Confiança</x:v>
      </x:c>
      <x:c r="O4" s="32" t="str">
        <x:v>Observação</x:v>
      </x:c>
      <x:c r="P4" s="32" t="str">
        <x:v>Coortes encontradas</x:v>
      </x:c>
      <x:c r="Q4" s="32" t="str">
        <x:v>Campos aplicados</x:v>
      </x:c>
      <x:c r="R4" s="32" t="str">
        <x:v>Aplicado?</x:v>
      </x:c>
      <x:c r="S4" s="32" t="str">
        <x:v>Motivo da aplicação</x:v>
      </x:c>
    </x:row>
    <x:row r="5" ht="36" customHeight="1">
      <x:c r="A5" s="103" t="str">
        <x:v>42462306</x:v>
      </x:c>
      <x:c r="B5" s="68" t="str">
        <x:v>42462306000100</x:v>
      </x:c>
      <x:c r="C5" s="37" t="str">
        <x:v>correspondencia_unica</x:v>
      </x:c>
      <x:c r="D5" s="37" t="str">
        <x:v>GREEN SOLFACIL II FIDC</x:v>
      </x:c>
      <x:c r="E5" s="37" t="str">
        <x:v>Solfácil</x:v>
      </x:c>
      <x:c r="F5" s="37" t="str">
        <x:v>cedente</x:v>
      </x:c>
      <x:c r="G5" s="37" t="str">
        <x:v>N/D</x:v>
      </x:c>
      <x:c r="H5" s="37" t="str">
        <x:v>Solfácil</x:v>
      </x:c>
      <x:c r="I5" s="37" t="str">
        <x:v>N/D</x:v>
      </x:c>
      <x:c r="J5" s="37" t="str">
        <x:v>créditos originados para securitização posterior em CRIs</x:v>
      </x:c>
      <x:c r="K5" s="37" t="str">
        <x:v>IMG_8704.JPG</x:v>
      </x:c>
      <x:c r="L5" s="37" t="str">
        <x:v>planilha amarela; linha da raiz 42462306</x:v>
      </x:c>
      <x:c r="M5" s="37" t="str">
        <x:v>confirmado_legivel</x:v>
      </x:c>
      <x:c r="N5" s="37" t="str">
        <x:v>alta</x:v>
      </x:c>
      <x:c r="O5" s="37" t="str">
        <x:v>OBS da foto: FIDC warehouse com finalidade de originar créditos para serem securitizados posteriormente em CRIs a mercado; texto final cortado pela foto.</x:v>
      </x:c>
      <x:c r="P5" s="37" t="str">
        <x:v>Carteira 101</x:v>
      </x:c>
      <x:c r="Q5" s="37" t="str">
        <x:v>cedente_originador_literal; papel_literal; cedente; tipo_recebivel_literal</x:v>
      </x:c>
      <x:c r="R5" s="65" t="b">
        <x:v>1</x:v>
      </x:c>
      <x:c r="S5" s="37" t="str">
        <x:v>overlay aplicado somente em lacunas</x:v>
      </x:c>
    </x:row>
    <x:row r="6" ht="36" customHeight="1">
      <x:c r="A6" s="104" t="str">
        <x:v>54810968</x:v>
      </x:c>
      <x:c r="B6" s="69" t="str">
        <x:v>54810968000102</x:v>
      </x:c>
      <x:c r="C6" s="39" t="str">
        <x:v>correspondencia_unica</x:v>
      </x:c>
      <x:c r="D6" s="39" t="str">
        <x:v>ANGA FGTS II FUNDO DE INVESTIMENTO EM DIREITOS CR...</x:v>
      </x:c>
      <x:c r="E6" s="39" t="str">
        <x:v>BMG</x:v>
      </x:c>
      <x:c r="F6" s="39" t="str">
        <x:v>cedente</x:v>
      </x:c>
      <x:c r="G6" s="39" t="str">
        <x:v>N/D</x:v>
      </x:c>
      <x:c r="H6" s="39" t="str">
        <x:v>BMG</x:v>
      </x:c>
      <x:c r="I6" s="39" t="str">
        <x:v>N/D</x:v>
      </x:c>
      <x:c r="J6" s="39" t="str">
        <x:v>Crédito FGTS</x:v>
      </x:c>
      <x:c r="K6" s="39" t="str">
        <x:v>IMG_8704.JPG</x:v>
      </x:c>
      <x:c r="L6" s="39" t="str">
        <x:v>planilha amarela; linha da raiz 54810968</x:v>
      </x:c>
      <x:c r="M6" s="39" t="str">
        <x:v>confirmado_legivel</x:v>
      </x:c>
      <x:c r="N6" s="39" t="str">
        <x:v>alta</x:v>
      </x:c>
      <x:c r="O6" s="39" t="str">
        <x:v>Denominação cortada pela largura da coluna na foto.</x:v>
      </x:c>
      <x:c r="P6" s="39" t="str">
        <x:v>Carteira 101</x:v>
      </x:c>
      <x:c r="Q6" s="39" t="str">
        <x:v>cedente_originador_literal; papel_literal; cedente; tipo_recebivel_literal</x:v>
      </x:c>
      <x:c r="R6" s="66" t="b">
        <x:v>1</x:v>
      </x:c>
      <x:c r="S6" s="39" t="str">
        <x:v>overlay aplicado somente em lacunas</x:v>
      </x:c>
    </x:row>
    <x:row r="7" ht="36" customHeight="1">
      <x:c r="A7" s="105" t="str">
        <x:v>53270983</x:v>
      </x:c>
      <x:c r="B7" s="70" t="str">
        <x:v>53270983000142</x:v>
      </x:c>
      <x:c r="C7" s="38" t="str">
        <x:v>correspondencia_unica</x:v>
      </x:c>
      <x:c r="D7" s="38" t="str">
        <x:v>ANGA FGTS MAIS AG FIDC RESPONSABILIDADE LIMITADA</x:v>
      </x:c>
      <x:c r="E7" s="38" t="str">
        <x:v>QI Tech</x:v>
      </x:c>
      <x:c r="F7" s="38" t="str">
        <x:v>cedente</x:v>
      </x:c>
      <x:c r="G7" s="38" t="str">
        <x:v>N/D</x:v>
      </x:c>
      <x:c r="H7" s="38" t="str">
        <x:v>QI Tech</x:v>
      </x:c>
      <x:c r="I7" s="38" t="str">
        <x:v>N/D</x:v>
      </x:c>
      <x:c r="J7" s="38" t="str">
        <x:v>N/D</x:v>
      </x:c>
      <x:c r="K7" s="38" t="str">
        <x:v>IMG_8704.JPG</x:v>
      </x:c>
      <x:c r="L7" s="38" t="str">
        <x:v>planilha amarela; linha da raiz 53270983</x:v>
      </x:c>
      <x:c r="M7" s="38" t="str">
        <x:v>confirmado_legivel</x:v>
      </x:c>
      <x:c r="N7" s="38" t="str">
        <x:v>alta</x:v>
      </x:c>
      <x:c r="O7" s="38" t="str">
        <x:v>N/D</x:v>
      </x:c>
      <x:c r="P7" s="38" t="str">
        <x:v>Carteira 101</x:v>
      </x:c>
      <x:c r="Q7" s="38" t="str">
        <x:v>cedente_originador_literal; papel_literal; cedente</x:v>
      </x:c>
      <x:c r="R7" s="67" t="b">
        <x:v>1</x:v>
      </x:c>
      <x:c r="S7" s="38" t="str">
        <x:v>overlay aplicado somente em lacunas</x:v>
      </x:c>
    </x:row>
    <x:row r="8" ht="36" customHeight="1">
      <x:c r="A8" s="104" t="str">
        <x:v>52968533</x:v>
      </x:c>
      <x:c r="B8" s="69" t="str">
        <x:v>52968533000165</x:v>
      </x:c>
      <x:c r="C8" s="39" t="str">
        <x:v>correspondencia_unica</x:v>
      </x:c>
      <x:c r="D8" s="39" t="str">
        <x:v>MCPO FUNDO DE INVESTIMENTO EM DIREITOS CREDITORIO</x:v>
      </x:c>
      <x:c r="E8" s="39" t="str">
        <x:v>Maqcampo</x:v>
      </x:c>
      <x:c r="F8" s="39" t="str">
        <x:v>cedente</x:v>
      </x:c>
      <x:c r="G8" s="39" t="str">
        <x:v>N/D</x:v>
      </x:c>
      <x:c r="H8" s="39" t="str">
        <x:v>Maqcampo</x:v>
      </x:c>
      <x:c r="I8" s="39" t="str">
        <x:v>N/D</x:v>
      </x:c>
      <x:c r="J8" s="39" t="str">
        <x:v>N/D</x:v>
      </x:c>
      <x:c r="K8" s="39" t="str">
        <x:v>IMG_8704.JPG</x:v>
      </x:c>
      <x:c r="L8" s="39" t="str">
        <x:v>planilha amarela; linha da raiz 52968533</x:v>
      </x:c>
      <x:c r="M8" s="39" t="str">
        <x:v>confirmado_legivel</x:v>
      </x:c>
      <x:c r="N8" s="39" t="str">
        <x:v>alta</x:v>
      </x:c>
      <x:c r="O8" s="39" t="str">
        <x:v>OBS da foto: atrasos elevados; em discussão de possível solução de parcela dos vencidos.</x:v>
      </x:c>
      <x:c r="P8" s="39" t="str">
        <x:v>Carteira 101</x:v>
      </x:c>
      <x:c r="Q8" s="39" t="str">
        <x:v>cedente_originador_literal; papel_literal; cedente</x:v>
      </x:c>
      <x:c r="R8" s="66" t="b">
        <x:v>1</x:v>
      </x:c>
      <x:c r="S8" s="39" t="str">
        <x:v>overlay aplicado somente em lacunas</x:v>
      </x:c>
    </x:row>
    <x:row r="9" ht="36" customHeight="1">
      <x:c r="A9" s="105" t="str">
        <x:v>52100879</x:v>
      </x:c>
      <x:c r="B9" s="70" t="str">
        <x:v>52100879000147</x:v>
      </x:c>
      <x:c r="C9" s="38" t="str">
        <x:v>correspondencia_unica</x:v>
      </x:c>
      <x:c r="D9" s="38" t="str">
        <x:v>SOTREQ FUNDO DE INVESTIMENTO EM DIREITOS CREDITORI...</x:v>
      </x:c>
      <x:c r="E9" s="38" t="str">
        <x:v>Sotreq</x:v>
      </x:c>
      <x:c r="F9" s="38" t="str">
        <x:v>cedente</x:v>
      </x:c>
      <x:c r="G9" s="38" t="str">
        <x:v>N/D</x:v>
      </x:c>
      <x:c r="H9" s="38" t="str">
        <x:v>Sotreq</x:v>
      </x:c>
      <x:c r="I9" s="38" t="str">
        <x:v>N/D</x:v>
      </x:c>
      <x:c r="J9" s="38" t="str">
        <x:v>N/D</x:v>
      </x:c>
      <x:c r="K9" s="38" t="str">
        <x:v>IMG_8704.JPG</x:v>
      </x:c>
      <x:c r="L9" s="38" t="str">
        <x:v>planilha amarela; linha da raiz 52100879</x:v>
      </x:c>
      <x:c r="M9" s="38" t="str">
        <x:v>confirmado_legivel</x:v>
      </x:c>
      <x:c r="N9" s="38" t="str">
        <x:v>alta</x:v>
      </x:c>
      <x:c r="O9" s="38" t="str">
        <x:v>Denominação cortada pela largura da coluna na foto.</x:v>
      </x:c>
      <x:c r="P9" s="38" t="str">
        <x:v>Carteira 101</x:v>
      </x:c>
      <x:c r="Q9" s="38" t="str">
        <x:v>cedente_originador_literal; papel_literal; cedente</x:v>
      </x:c>
      <x:c r="R9" s="67" t="b">
        <x:v>1</x:v>
      </x:c>
      <x:c r="S9" s="38" t="str">
        <x:v>overlay aplicado somente em lacunas</x:v>
      </x:c>
    </x:row>
    <x:row r="10" ht="36" customHeight="1">
      <x:c r="A10" s="104" t="str">
        <x:v>53662209</x:v>
      </x:c>
      <x:c r="B10" s="69" t="str">
        <x:v>53662209000187</x:v>
      </x:c>
      <x:c r="C10" s="39" t="str">
        <x:v>correspondencia_unica</x:v>
      </x:c>
      <x:c r="D10" s="39" t="str">
        <x:v>PNEUCASH FUNDO DE INVESTIMENTO EM DIREITOS CREDITO...</x:v>
      </x:c>
      <x:c r="E10" s="39" t="str">
        <x:v>Cantu Store</x:v>
      </x:c>
      <x:c r="F10" s="39" t="str">
        <x:v>cedente</x:v>
      </x:c>
      <x:c r="G10" s="39" t="str">
        <x:v>N/D</x:v>
      </x:c>
      <x:c r="H10" s="39" t="str">
        <x:v>Cantu Store</x:v>
      </x:c>
      <x:c r="I10" s="39" t="str">
        <x:v>N/D</x:v>
      </x:c>
      <x:c r="J10" s="39" t="str">
        <x:v>N/D</x:v>
      </x:c>
      <x:c r="K10" s="39" t="str">
        <x:v>IMG_8704.JPG</x:v>
      </x:c>
      <x:c r="L10" s="39" t="str">
        <x:v>planilha amarela; linha da raiz 53662209</x:v>
      </x:c>
      <x:c r="M10" s="39" t="str">
        <x:v>confirmado_legivel</x:v>
      </x:c>
      <x:c r="N10" s="39" t="str">
        <x:v>alta</x:v>
      </x:c>
      <x:c r="O10" s="39" t="str">
        <x:v>OBS da foto: FIDC pulverizado com 20% de subordinação e baixa inadimplência.</x:v>
      </x:c>
      <x:c r="P10" s="39" t="str">
        <x:v>Carteira 101</x:v>
      </x:c>
      <x:c r="Q10" s="39" t="str">
        <x:v>cedente_originador_literal; papel_literal; cedente</x:v>
      </x:c>
      <x:c r="R10" s="66" t="b">
        <x:v>1</x:v>
      </x:c>
      <x:c r="S10" s="39" t="str">
        <x:v>overlay aplicado somente em lacunas</x:v>
      </x:c>
    </x:row>
    <x:row r="11" ht="36" customHeight="1">
      <x:c r="A11" s="105" t="str">
        <x:v>53577135</x:v>
      </x:c>
      <x:c r="B11" s="70" t="str">
        <x:v>53577135000180</x:v>
      </x:c>
      <x:c r="C11" s="38" t="str">
        <x:v>correspondencia_unica</x:v>
      </x:c>
      <x:c r="D11" s="38" t="str">
        <x:v>ANGA FGTS I FUNDO DE INVESTIMENTO EM DIREITOS CR...</x:v>
      </x:c>
      <x:c r="E11" s="38" t="str">
        <x:v>QI Tech</x:v>
      </x:c>
      <x:c r="F11" s="38" t="str">
        <x:v>cedente</x:v>
      </x:c>
      <x:c r="G11" s="38" t="str">
        <x:v>N/D</x:v>
      </x:c>
      <x:c r="H11" s="38" t="str">
        <x:v>QI Tech</x:v>
      </x:c>
      <x:c r="I11" s="38" t="str">
        <x:v>N/D</x:v>
      </x:c>
      <x:c r="J11" s="38" t="str">
        <x:v>Crédito FGTS</x:v>
      </x:c>
      <x:c r="K11" s="38" t="str">
        <x:v>IMG_8704.JPG</x:v>
      </x:c>
      <x:c r="L11" s="38" t="str">
        <x:v>planilha amarela; linha da raiz 53577135</x:v>
      </x:c>
      <x:c r="M11" s="38" t="str">
        <x:v>confirmado_legivel</x:v>
      </x:c>
      <x:c r="N11" s="38" t="str">
        <x:v>alta</x:v>
      </x:c>
      <x:c r="O11" s="38" t="str">
        <x:v>Denominação cortada pela largura da coluna na foto.</x:v>
      </x:c>
      <x:c r="P11" s="38" t="str">
        <x:v>Carteira 101</x:v>
      </x:c>
      <x:c r="Q11" s="38" t="str">
        <x:v>cedente_originador_literal; papel_literal; cedente; tipo_recebivel_literal</x:v>
      </x:c>
      <x:c r="R11" s="67" t="b">
        <x:v>1</x:v>
      </x:c>
      <x:c r="S11" s="38" t="str">
        <x:v>overlay aplicado somente em lacunas</x:v>
      </x:c>
    </x:row>
    <x:row r="12" ht="36" customHeight="1">
      <x:c r="A12" s="104" t="str">
        <x:v>62626887</x:v>
      </x:c>
      <x:c r="B12" s="69" t="str">
        <x:v>62626887000185</x:v>
      </x:c>
      <x:c r="C12" s="39" t="str">
        <x:v>correspondencia_unica</x:v>
      </x:c>
      <x:c r="D12" s="39" t="str">
        <x:v>TOP 2025 C FIDC RESP LTDA</x:v>
      </x:c>
      <x:c r="E12" s="39" t="str">
        <x:v>Sumup IP</x:v>
      </x:c>
      <x:c r="F12" s="39" t="str">
        <x:v>cedente</x:v>
      </x:c>
      <x:c r="G12" s="39" t="str">
        <x:v>N/D</x:v>
      </x:c>
      <x:c r="H12" s="39" t="str">
        <x:v>Sumup IP</x:v>
      </x:c>
      <x:c r="I12" s="39" t="str">
        <x:v>N/D</x:v>
      </x:c>
      <x:c r="J12" s="39" t="str">
        <x:v>N/D</x:v>
      </x:c>
      <x:c r="K12" s="39" t="str">
        <x:v>IMG_8704.JPG</x:v>
      </x:c>
      <x:c r="L12" s="39" t="str">
        <x:v>planilha amarela; linha da raiz 62626887</x:v>
      </x:c>
      <x:c r="M12" s="39" t="str">
        <x:v>confirmado_legivel</x:v>
      </x:c>
      <x:c r="N12" s="39" t="str">
        <x:v>alta</x:v>
      </x:c>
      <x:c r="O12" s="39" t="str">
        <x:v>OBS da foto: Risco Banco Emissor Itaú.</x:v>
      </x:c>
      <x:c r="P12" s="39" t="str">
        <x:v>Carteira 101</x:v>
      </x:c>
      <x:c r="Q12" s="39" t="str">
        <x:v>cedente_originador_literal; papel_literal; cedente</x:v>
      </x:c>
      <x:c r="R12" s="66" t="b">
        <x:v>1</x:v>
      </x:c>
      <x:c r="S12" s="39" t="str">
        <x:v>overlay aplicado somente em lacunas</x:v>
      </x:c>
    </x:row>
    <x:row r="13" ht="36" customHeight="1">
      <x:c r="A13" s="105" t="str">
        <x:v>50098465</x:v>
      </x:c>
      <x:c r="B13" s="70" t="str">
        <x:v>50098465000103</x:v>
      </x:c>
      <x:c r="C13" s="38" t="str">
        <x:v>correspondencia_unica</x:v>
      </x:c>
      <x:c r="D13" s="38" t="str">
        <x:v>CHEMICAL XII - FUNDO DE INVESTIMENTO EM DIREITOS...</x:v>
      </x:c>
      <x:c r="E13" s="38" t="str">
        <x:v>Braskem</x:v>
      </x:c>
      <x:c r="F13" s="38" t="str">
        <x:v>cedente</x:v>
      </x:c>
      <x:c r="G13" s="38" t="str">
        <x:v>N/D</x:v>
      </x:c>
      <x:c r="H13" s="38" t="str">
        <x:v>Braskem</x:v>
      </x:c>
      <x:c r="I13" s="38" t="str">
        <x:v>N/D</x:v>
      </x:c>
      <x:c r="J13" s="38" t="str">
        <x:v>N/D</x:v>
      </x:c>
      <x:c r="K13" s="38" t="str">
        <x:v>IMG_8704.JPG</x:v>
      </x:c>
      <x:c r="L13" s="38" t="str">
        <x:v>planilha amarela; linha da raiz 50098465</x:v>
      </x:c>
      <x:c r="M13" s="38" t="str">
        <x:v>confirmado_legivel</x:v>
      </x:c>
      <x:c r="N13" s="38" t="str">
        <x:v>alta</x:v>
      </x:c>
      <x:c r="O13" s="38" t="str">
        <x:v>OBS da foto: baixo nível de inadimplência (0% Over90 nos últimos meses). Denominação cortada.</x:v>
      </x:c>
      <x:c r="P13" s="38" t="str">
        <x:v>Carteira 101</x:v>
      </x:c>
      <x:c r="Q13" s="38" t="str">
        <x:v>cedente_originador_literal; papel_literal; cedente</x:v>
      </x:c>
      <x:c r="R13" s="67" t="b">
        <x:v>1</x:v>
      </x:c>
      <x:c r="S13" s="38" t="str">
        <x:v>overlay aplicado somente em lacunas</x:v>
      </x:c>
    </x:row>
    <x:row r="14" ht="36" customHeight="1">
      <x:c r="A14" s="104" t="str">
        <x:v>48967719</x:v>
      </x:c>
      <x:c r="B14" s="69" t="str">
        <x:v>48967719000122</x:v>
      </x:c>
      <x:c r="C14" s="39" t="str">
        <x:v>correspondencia_unica</x:v>
      </x:c>
      <x:c r="D14" s="39" t="str">
        <x:v>SOULPAY FIDC</x:v>
      </x:c>
      <x:c r="E14" s="39" t="str">
        <x:v>Soulpay Soluções de Pagamentos</x:v>
      </x:c>
      <x:c r="F14" s="39" t="str">
        <x:v>cedente</x:v>
      </x:c>
      <x:c r="G14" s="39" t="str">
        <x:v>N/D</x:v>
      </x:c>
      <x:c r="H14" s="39" t="str">
        <x:v>Soulpay Soluções de Pagamentos</x:v>
      </x:c>
      <x:c r="I14" s="39" t="str">
        <x:v>N/D</x:v>
      </x:c>
      <x:c r="J14" s="39" t="str">
        <x:v>N/D</x:v>
      </x:c>
      <x:c r="K14" s="39" t="str">
        <x:v>IMG_8704.JPG</x:v>
      </x:c>
      <x:c r="L14" s="39" t="str">
        <x:v>planilha amarela; linha da raiz 48967719</x:v>
      </x:c>
      <x:c r="M14" s="39" t="str">
        <x:v>confirmado_legivel</x:v>
      </x:c>
      <x:c r="N14" s="39" t="str">
        <x:v>alta</x:v>
      </x:c>
      <x:c r="O14" s="39" t="str">
        <x:v>OBS da foto: Risco Rede.</x:v>
      </x:c>
      <x:c r="P14" s="39" t="str">
        <x:v>Carteira 101</x:v>
      </x:c>
      <x:c r="Q14" s="39" t="str">
        <x:v>cedente_originador_literal; papel_literal; cedente</x:v>
      </x:c>
      <x:c r="R14" s="66" t="b">
        <x:v>1</x:v>
      </x:c>
      <x:c r="S14" s="39" t="str">
        <x:v>overlay aplicado somente em lacunas</x:v>
      </x:c>
    </x:row>
    <x:row r="15" ht="36" customHeight="1">
      <x:c r="A15" s="105" t="str">
        <x:v>37645417</x:v>
      </x:c>
      <x:c r="B15" s="70" t="str">
        <x:v>37645417000111</x:v>
      </x:c>
      <x:c r="C15" s="38" t="str">
        <x:v>correspondencia_unica</x:v>
      </x:c>
      <x:c r="D15" s="38" t="str">
        <x:v>UBYFOL AGRO FIDC II</x:v>
      </x:c>
      <x:c r="E15" s="38" t="str">
        <x:v>Ubyfol</x:v>
      </x:c>
      <x:c r="F15" s="38" t="str">
        <x:v>cedente</x:v>
      </x:c>
      <x:c r="G15" s="38" t="str">
        <x:v>N/D</x:v>
      </x:c>
      <x:c r="H15" s="38" t="str">
        <x:v>Ubyfol</x:v>
      </x:c>
      <x:c r="I15" s="38" t="str">
        <x:v>N/D</x:v>
      </x:c>
      <x:c r="J15" s="38" t="str">
        <x:v>Insumos Agrícolas - prazo Safra</x:v>
      </x:c>
      <x:c r="K15" s="38" t="str">
        <x:v>IMG_8704.JPG</x:v>
      </x:c>
      <x:c r="L15" s="38" t="str">
        <x:v>planilha amarela; linha da raiz 37645417</x:v>
      </x:c>
      <x:c r="M15" s="38" t="str">
        <x:v>confirmado_legivel</x:v>
      </x:c>
      <x:c r="N15" s="38" t="str">
        <x:v>alta</x:v>
      </x:c>
      <x:c r="O15" s="38" t="str">
        <x:v>N/D</x:v>
      </x:c>
      <x:c r="P15" s="38" t="str">
        <x:v>Carteira 101</x:v>
      </x:c>
      <x:c r="Q15" s="38" t="str">
        <x:v>cedente_originador_literal; papel_literal; cedente; tipo_recebivel_literal</x:v>
      </x:c>
      <x:c r="R15" s="67" t="b">
        <x:v>1</x:v>
      </x:c>
      <x:c r="S15" s="38" t="str">
        <x:v>overlay aplicado somente em lacunas</x:v>
      </x:c>
    </x:row>
    <x:row r="16" ht="36" customHeight="1">
      <x:c r="A16" s="104" t="str">
        <x:v>50832746</x:v>
      </x:c>
      <x:c r="B16" s="69" t="str">
        <x:v>50832746000130</x:v>
      </x:c>
      <x:c r="C16" s="39" t="str">
        <x:v>correspondencia_unica</x:v>
      </x:c>
      <x:c r="D16" s="39" t="str">
        <x:v>BOASAFRA FIDC DO AGRONEGOCIO</x:v>
      </x:c>
      <x:c r="E16" s="39" t="str">
        <x:v>Boasafra (ID 5662361)</x:v>
      </x:c>
      <x:c r="F16" s="39" t="str">
        <x:v>cedente</x:v>
      </x:c>
      <x:c r="G16" s="39" t="str">
        <x:v>N/D</x:v>
      </x:c>
      <x:c r="H16" s="39" t="str">
        <x:v>Boasafra (ID 5662361)</x:v>
      </x:c>
      <x:c r="I16" s="39" t="str">
        <x:v>N/D</x:v>
      </x:c>
      <x:c r="J16" s="39" t="str">
        <x:v>Insumos Agrícolas - prazo Safra</x:v>
      </x:c>
      <x:c r="K16" s="39" t="str">
        <x:v>IMG_8704.JPG</x:v>
      </x:c>
      <x:c r="L16" s="39" t="str">
        <x:v>planilha amarela; linha da raiz 50832746</x:v>
      </x:c>
      <x:c r="M16" s="39" t="str">
        <x:v>confirmado_legivel</x:v>
      </x:c>
      <x:c r="N16" s="39" t="str">
        <x:v>alta</x:v>
      </x:c>
      <x:c r="O16" s="39" t="str">
        <x:v>N/D</x:v>
      </x:c>
      <x:c r="P16" s="39" t="str">
        <x:v>Carteira 101</x:v>
      </x:c>
      <x:c r="Q16" s="39" t="str">
        <x:v>cedente_originador_literal; papel_literal; cedente; tipo_recebivel_literal</x:v>
      </x:c>
      <x:c r="R16" s="66" t="b">
        <x:v>1</x:v>
      </x:c>
      <x:c r="S16" s="39" t="str">
        <x:v>overlay aplicado somente em lacunas</x:v>
      </x:c>
    </x:row>
    <x:row r="17" ht="36" customHeight="1">
      <x:c r="A17" s="105" t="str">
        <x:v>33076242</x:v>
      </x:c>
      <x:c r="B17" s="70" t="str">
        <x:v>33076242000118</x:v>
      </x:c>
      <x:c r="C17" s="38" t="str">
        <x:v>correspondencia_unica</x:v>
      </x:c>
      <x:c r="D17" s="38" t="str">
        <x:v>FUNDO DE INVESTIMENTO EM DIREITOS CREDITORIOS ALBA</x:v>
      </x:c>
      <x:c r="E17" s="38" t="str">
        <x:v>Albaugh</x:v>
      </x:c>
      <x:c r="F17" s="38" t="str">
        <x:v>cedente</x:v>
      </x:c>
      <x:c r="G17" s="38" t="str">
        <x:v>N/D</x:v>
      </x:c>
      <x:c r="H17" s="38" t="str">
        <x:v>Albaugh</x:v>
      </x:c>
      <x:c r="I17" s="38" t="str">
        <x:v>N/D</x:v>
      </x:c>
      <x:c r="J17" s="38" t="str">
        <x:v>N/D</x:v>
      </x:c>
      <x:c r="K17" s="38" t="str">
        <x:v>IMG_8704.JPG</x:v>
      </x:c>
      <x:c r="L17" s="38" t="str">
        <x:v>planilha amarela; linha da raiz 33076242</x:v>
      </x:c>
      <x:c r="M17" s="38" t="str">
        <x:v>confirmado_legivel</x:v>
      </x:c>
      <x:c r="N17" s="38" t="str">
        <x:v>alta</x:v>
      </x:c>
      <x:c r="O17" s="38" t="str">
        <x:v>OBS legível: evento de avaliação por não pagamento de juros; o identificador de concentração e o restante do texto exigem revisão.</x:v>
      </x:c>
      <x:c r="P17" s="38" t="str">
        <x:v>Carteira 101</x:v>
      </x:c>
      <x:c r="Q17" s="38" t="str">
        <x:v>cedente_originador_literal; papel_literal; cedente</x:v>
      </x:c>
      <x:c r="R17" s="67" t="b">
        <x:v>1</x:v>
      </x:c>
      <x:c r="S17" s="38" t="str">
        <x:v>overlay aplicado somente em lacunas</x:v>
      </x:c>
    </x:row>
    <x:row r="18" ht="36" customHeight="1">
      <x:c r="A18" s="104" t="str">
        <x:v>44173467</x:v>
      </x:c>
      <x:c r="B18" s="69" t="str">
        <x:v>44173467000109</x:v>
      </x:c>
      <x:c r="C18" s="39" t="str">
        <x:v>correspondencia_unica</x:v>
      </x:c>
      <x:c r="D18" s="39" t="str">
        <x:v>RECEIVABLES 48 FUNDO DE INVEST INSS MEUTUDO</x:v>
      </x:c>
      <x:c r="E18" s="39" t="str">
        <x:v>Parati</x:v>
      </x:c>
      <x:c r="F18" s="39" t="str">
        <x:v>cedente</x:v>
      </x:c>
      <x:c r="G18" s="39" t="str">
        <x:v>N/D</x:v>
      </x:c>
      <x:c r="H18" s="39" t="str">
        <x:v>Parati</x:v>
      </x:c>
      <x:c r="I18" s="39" t="str">
        <x:v>N/D</x:v>
      </x:c>
      <x:c r="J18" s="39" t="str">
        <x:v>Crédito consignado INSS</x:v>
      </x:c>
      <x:c r="K18" s="39" t="str">
        <x:v>IMG_8704.JPG</x:v>
      </x:c>
      <x:c r="L18" s="39" t="str">
        <x:v>planilha amarela; linha da raiz 44173467</x:v>
      </x:c>
      <x:c r="M18" s="39" t="str">
        <x:v>confirmado_legivel</x:v>
      </x:c>
      <x:c r="N18" s="39" t="str">
        <x:v>alta</x:v>
      </x:c>
      <x:c r="O18" s="39" t="str">
        <x:v>OBS da foto: Rating atual Baa1; se ajustar o rating na base, pode considerar perspectiva estável.</x:v>
      </x:c>
      <x:c r="P18" s="39" t="str">
        <x:v>Carteira 101</x:v>
      </x:c>
      <x:c r="Q18" s="39" t="str">
        <x:v>cedente_originador_literal; papel_literal; cedente; tipo_recebivel_literal</x:v>
      </x:c>
      <x:c r="R18" s="66" t="b">
        <x:v>1</x:v>
      </x:c>
      <x:c r="S18" s="39" t="str">
        <x:v>overlay aplicado somente em lacunas</x:v>
      </x:c>
    </x:row>
    <x:row r="19" ht="36" customHeight="1">
      <x:c r="A19" s="105" t="str">
        <x:v>54252144</x:v>
      </x:c>
      <x:c r="B19" s="70" t="str">
        <x:v>54252144000164</x:v>
      </x:c>
      <x:c r="C19" s="38" t="str">
        <x:v>correspondencia_unica</x:v>
      </x:c>
      <x:c r="D19" s="38" t="str">
        <x:v>J17 FGTS FUNDO DE INVESTIMENTO</x:v>
      </x:c>
      <x:c r="E19" s="38" t="str">
        <x:v>J17</x:v>
      </x:c>
      <x:c r="F19" s="38" t="str">
        <x:v>cedente</x:v>
      </x:c>
      <x:c r="G19" s="38" t="str">
        <x:v>N/D</x:v>
      </x:c>
      <x:c r="H19" s="38" t="str">
        <x:v>J17</x:v>
      </x:c>
      <x:c r="I19" s="38" t="str">
        <x:v>N/D</x:v>
      </x:c>
      <x:c r="J19" s="38" t="str">
        <x:v>FGTS Saque-aniversário</x:v>
      </x:c>
      <x:c r="K19" s="38" t="str">
        <x:v>IMG_8704.JPG</x:v>
      </x:c>
      <x:c r="L19" s="38" t="str">
        <x:v>planilha amarela; linha da raiz 54252144</x:v>
      </x:c>
      <x:c r="M19" s="38" t="str">
        <x:v>confirmado_legivel</x:v>
      </x:c>
      <x:c r="N19" s="38" t="str">
        <x:v>alta</x:v>
      </x:c>
      <x:c r="O19" s="38" t="str">
        <x:v>Denominação cortada pela largura da coluna na foto.</x:v>
      </x:c>
      <x:c r="P19" s="38" t="str">
        <x:v>Carteira 101</x:v>
      </x:c>
      <x:c r="Q19" s="38" t="str">
        <x:v>cedente_originador_literal; papel_literal; cedente; tipo_recebivel_literal</x:v>
      </x:c>
      <x:c r="R19" s="67" t="b">
        <x:v>1</x:v>
      </x:c>
      <x:c r="S19" s="38" t="str">
        <x:v>overlay aplicado somente em lacunas</x:v>
      </x:c>
    </x:row>
    <x:row r="20" ht="36" customHeight="1">
      <x:c r="A20" s="104" t="str">
        <x:v>48313595</x:v>
      </x:c>
      <x:c r="B20" s="69" t="str">
        <x:v>48313595000161</x:v>
      </x:c>
      <x:c r="C20" s="39" t="str">
        <x:v>correspondencia_unica</x:v>
      </x:c>
      <x:c r="D20" s="39" t="str">
        <x:v>BB2 AGRO BR FUNDO DE INVESTIMENTO EM DIREITOS CRE...</x:v>
      </x:c>
      <x:c r="E20" s="39" t="str">
        <x:v>Multicedentes</x:v>
      </x:c>
      <x:c r="F20" s="39" t="str">
        <x:v>cedente</x:v>
      </x:c>
      <x:c r="G20" s="39" t="str">
        <x:v>N/D</x:v>
      </x:c>
      <x:c r="H20" s="39" t="str">
        <x:v>Multicedentes</x:v>
      </x:c>
      <x:c r="I20" s="39" t="str">
        <x:v>N/D</x:v>
      </x:c>
      <x:c r="J20" s="39" t="str">
        <x:v>N/D</x:v>
      </x:c>
      <x:c r="K20" s="39" t="str">
        <x:v>IMG_8704.JPG</x:v>
      </x:c>
      <x:c r="L20" s="39" t="str">
        <x:v>planilha amarela; linha da raiz 48313595</x:v>
      </x:c>
      <x:c r="M20" s="39" t="str">
        <x:v>confirmado_legivel</x:v>
      </x:c>
      <x:c r="N20" s="39" t="str">
        <x:v>alta</x:v>
      </x:c>
      <x:c r="O20" s="39" t="str">
        <x:v>OBS da foto: Cota Jr 100% consumida; revisão de rating em out/25; fomos 100% resgatados na SR. Denominação cortada.</x:v>
      </x:c>
      <x:c r="P20" s="39" t="str">
        <x:v>Carteira 101</x:v>
      </x:c>
      <x:c r="Q20" s="39" t="str">
        <x:v>cedente_originador_literal; papel_literal; cedente</x:v>
      </x:c>
      <x:c r="R20" s="66" t="b">
        <x:v>1</x:v>
      </x:c>
      <x:c r="S20" s="39" t="str">
        <x:v>overlay aplicado somente em lacunas</x:v>
      </x:c>
    </x:row>
    <x:row r="21" ht="36" customHeight="1">
      <x:c r="A21" s="105" t="str">
        <x:v>32526025</x:v>
      </x:c>
      <x:c r="B21" s="70" t="str">
        <x:v>32526025000110</x:v>
      </x:c>
      <x:c r="C21" s="38" t="str">
        <x:v>correspondencia_unica</x:v>
      </x:c>
      <x:c r="D21" s="38" t="str">
        <x:v>COBUCCIO FUNDO I E D C NAO P...</x:v>
      </x:c>
      <x:c r="E21" s="38" t="str">
        <x:v>Brazil Card (cartões) | Bolt (adquirente) | Agil (cred...)</x:v>
      </x:c>
      <x:c r="F21" s="38" t="str">
        <x:v>cedente</x:v>
      </x:c>
      <x:c r="G21" s="38" t="str">
        <x:v>N/D</x:v>
      </x:c>
      <x:c r="H21" s="38" t="str">
        <x:v>Brazil Card (cartões) | Bolt (adquirente) | Agil (cred...)</x:v>
      </x:c>
      <x:c r="I21" s="38" t="str">
        <x:v>N/D</x:v>
      </x:c>
      <x:c r="J21" s="38" t="str">
        <x:v>cartões de crédito e adquirência</x:v>
      </x:c>
      <x:c r="K21" s="38" t="str">
        <x:v>IMG_8704.JPG</x:v>
      </x:c>
      <x:c r="L21" s="38" t="str">
        <x:v>planilha amarela; linha da raiz 32526025</x:v>
      </x:c>
      <x:c r="M21" s="38" t="str">
        <x:v>revisao</x:v>
      </x:c>
      <x:c r="N21" s="38" t="str">
        <x:v>média</x:v>
      </x:c>
      <x:c r="O21" s="38" t="str">
        <x:v>Denominação e literal de cedente cortados. OBS também continua fora da foto; não elegível até revisão.</x:v>
      </x:c>
      <x:c r="P21" s="38" t="str">
        <x:v>N/D</x:v>
      </x:c>
      <x:c r="Q21" s="38" t="str">
        <x:v>N/D</x:v>
      </x:c>
      <x:c r="R21" s="67" t="b">
        <x:v>0</x:v>
      </x:c>
      <x:c r="S21" s="38" t="str">
        <x:v>status de transcrição não aprovado</x:v>
      </x:c>
    </x:row>
    <x:row r="22" ht="36" customHeight="1">
      <x:c r="A22" s="104" t="str">
        <x:v>45523699</x:v>
      </x:c>
      <x:c r="B22" s="69" t="str">
        <x:v>45523699000102</x:v>
      </x:c>
      <x:c r="C22" s="39" t="str">
        <x:v>correspondencia_unica</x:v>
      </x:c>
      <x:c r="D22" s="39" t="str">
        <x:v>VIXTRA FUNDO DE INVE E DC RL</x:v>
      </x:c>
      <x:c r="E22" s="39" t="str">
        <x:v>Vixtra Tecnologia e Serviços Financeiros</x:v>
      </x:c>
      <x:c r="F22" s="39" t="str">
        <x:v>cedente</x:v>
      </x:c>
      <x:c r="G22" s="39" t="str">
        <x:v>N/D</x:v>
      </x:c>
      <x:c r="H22" s="39" t="str">
        <x:v>Vixtra Tecnologia e Serviços Financeiros</x:v>
      </x:c>
      <x:c r="I22" s="39" t="str">
        <x:v>N/D</x:v>
      </x:c>
      <x:c r="J22" s="39" t="str">
        <x:v>FIDC Trading</x:v>
      </x:c>
      <x:c r="K22" s="39" t="str">
        <x:v>IMG_8704.JPG</x:v>
      </x:c>
      <x:c r="L22" s="39" t="str">
        <x:v>planilha amarela; linha da raiz 45523699</x:v>
      </x:c>
      <x:c r="M22" s="39" t="str">
        <x:v>confirmado_legivel</x:v>
      </x:c>
      <x:c r="N22" s="39" t="str">
        <x:v>alta</x:v>
      </x:c>
      <x:c r="O22" s="39" t="str">
        <x:v>N/D</x:v>
      </x:c>
      <x:c r="P22" s="39" t="str">
        <x:v>Carteira 101</x:v>
      </x:c>
      <x:c r="Q22" s="39" t="str">
        <x:v>cedente_originador_literal; papel_literal; cedente; tipo_recebivel_literal</x:v>
      </x:c>
      <x:c r="R22" s="66" t="b">
        <x:v>1</x:v>
      </x:c>
      <x:c r="S22" s="39" t="str">
        <x:v>overlay aplicado somente em lacunas</x:v>
      </x:c>
    </x:row>
    <x:row r="23" ht="36" customHeight="1">
      <x:c r="A23" s="105" t="str">
        <x:v>54083697</x:v>
      </x:c>
      <x:c r="B23" s="70" t="str">
        <x:v>54083697000130</x:v>
      </x:c>
      <x:c r="C23" s="38" t="str">
        <x:v>correspondencia_unica</x:v>
      </x:c>
      <x:c r="D23" s="38" t="str">
        <x:v>PERNAMBUCANAS FIDC DE RESPONSABILIDADE LIMITADA</x:v>
      </x:c>
      <x:c r="E23" s="38" t="str">
        <x:v>Pernambucanas</x:v>
      </x:c>
      <x:c r="F23" s="38" t="str">
        <x:v>cedente</x:v>
      </x:c>
      <x:c r="G23" s="38" t="str">
        <x:v>N/D</x:v>
      </x:c>
      <x:c r="H23" s="38" t="str">
        <x:v>Pernambucanas</x:v>
      </x:c>
      <x:c r="I23" s="38" t="str">
        <x:v>N/D</x:v>
      </x:c>
      <x:c r="J23" s="38" t="str">
        <x:v>N/D</x:v>
      </x:c>
      <x:c r="K23" s="38" t="str">
        <x:v>IMG_8704.JPG</x:v>
      </x:c>
      <x:c r="L23" s="38" t="str">
        <x:v>planilha amarela; linha da raiz 54083697</x:v>
      </x:c>
      <x:c r="M23" s="38" t="str">
        <x:v>confirmado_legivel</x:v>
      </x:c>
      <x:c r="N23" s="38" t="str">
        <x:v>alta</x:v>
      </x:c>
      <x:c r="O23" s="38" t="str">
        <x:v>N/D</x:v>
      </x:c>
      <x:c r="P23" s="38" t="str">
        <x:v>Carteira 101</x:v>
      </x:c>
      <x:c r="Q23" s="38" t="str">
        <x:v>cedente_originador_literal; papel_literal; cedente</x:v>
      </x:c>
      <x:c r="R23" s="67" t="b">
        <x:v>1</x:v>
      </x:c>
      <x:c r="S23" s="38" t="str">
        <x:v>overlay aplicado somente em lacunas</x:v>
      </x:c>
    </x:row>
    <x:row r="24" ht="36" customHeight="1">
      <x:c r="A24" s="104" t="str">
        <x:v>56936116</x:v>
      </x:c>
      <x:c r="B24" s="69" t="str">
        <x:v>56936116000191</x:v>
      </x:c>
      <x:c r="C24" s="39" t="str">
        <x:v>correspondencia_unica</x:v>
      </x:c>
      <x:c r="D24" s="39" t="str">
        <x:v>FATOR TARKEN FUNDO DE INVESTIMENTO EM DIREITOS CRE...</x:v>
      </x:c>
      <x:c r="E24" s="39" t="str">
        <x:v>Multicedente</x:v>
      </x:c>
      <x:c r="F24" s="39" t="str">
        <x:v>cedente</x:v>
      </x:c>
      <x:c r="G24" s="39" t="str">
        <x:v>N/D</x:v>
      </x:c>
      <x:c r="H24" s="39" t="str">
        <x:v>Multicedente</x:v>
      </x:c>
      <x:c r="I24" s="39" t="str">
        <x:v>N/D</x:v>
      </x:c>
      <x:c r="J24" s="39" t="str">
        <x:v>N/D</x:v>
      </x:c>
      <x:c r="K24" s="39" t="str">
        <x:v>IMG_8704.JPG</x:v>
      </x:c>
      <x:c r="L24" s="39" t="str">
        <x:v>planilha amarela; linha da raiz 56936116</x:v>
      </x:c>
      <x:c r="M24" s="39" t="str">
        <x:v>confirmado_legivel</x:v>
      </x:c>
      <x:c r="N24" s="39" t="str">
        <x:v>alta</x:v>
      </x:c>
      <x:c r="O24" s="39" t="str">
        <x:v>OBS da foto: conta com seguro de crédito. Denominação cortada.</x:v>
      </x:c>
      <x:c r="P24" s="39" t="str">
        <x:v>Carteira 101</x:v>
      </x:c>
      <x:c r="Q24" s="39" t="str">
        <x:v>cedente_originador_literal; papel_literal; cedente</x:v>
      </x:c>
      <x:c r="R24" s="66" t="b">
        <x:v>1</x:v>
      </x:c>
      <x:c r="S24" s="39" t="str">
        <x:v>overlay aplicado somente em lacunas</x:v>
      </x:c>
    </x:row>
    <x:row r="25" ht="36" customHeight="1">
      <x:c r="A25" s="105" t="str">
        <x:v>50089559</x:v>
      </x:c>
      <x:c r="B25" s="70" t="str">
        <x:v>50089559000108</x:v>
      </x:c>
      <x:c r="C25" s="38" t="str">
        <x:v>correspondencia_unica</x:v>
      </x:c>
      <x:c r="D25" s="38" t="str">
        <x:v>AGRICONNECTION FIAGRO DIREITOS CREDITORIOS</x:v>
      </x:c>
      <x:c r="E25" s="38" t="str">
        <x:v>Agriconnection</x:v>
      </x:c>
      <x:c r="F25" s="38" t="str">
        <x:v>cedente</x:v>
      </x:c>
      <x:c r="G25" s="38" t="str">
        <x:v>N/D</x:v>
      </x:c>
      <x:c r="H25" s="38" t="str">
        <x:v>Agriconnection</x:v>
      </x:c>
      <x:c r="I25" s="38" t="str">
        <x:v>N/D</x:v>
      </x:c>
      <x:c r="J25" s="38" t="str">
        <x:v>Insumos Agrícolas - prazo Safra</x:v>
      </x:c>
      <x:c r="K25" s="38" t="str">
        <x:v>IMG_8704.JPG</x:v>
      </x:c>
      <x:c r="L25" s="38" t="str">
        <x:v>planilha amarela; linha da raiz 50089559</x:v>
      </x:c>
      <x:c r="M25" s="38" t="str">
        <x:v>confirmado_legivel</x:v>
      </x:c>
      <x:c r="N25" s="38" t="str">
        <x:v>alta</x:v>
      </x:c>
      <x:c r="O25" s="38" t="str">
        <x:v>N/D</x:v>
      </x:c>
      <x:c r="P25" s="38" t="str">
        <x:v>Carteira 101</x:v>
      </x:c>
      <x:c r="Q25" s="38" t="str">
        <x:v>cedente_originador_literal; papel_literal; cedente; tipo_recebivel_literal</x:v>
      </x:c>
      <x:c r="R25" s="67" t="b">
        <x:v>1</x:v>
      </x:c>
      <x:c r="S25" s="38" t="str">
        <x:v>overlay aplicado somente em lacunas</x:v>
      </x:c>
    </x:row>
    <x:row r="26" ht="36" customHeight="1">
      <x:c r="A26" s="104" t="str">
        <x:v>57131490</x:v>
      </x:c>
      <x:c r="B26" s="69" t="str">
        <x:v>57131490000182</x:v>
      </x:c>
      <x:c r="C26" s="39" t="str">
        <x:v>correspondencia_unica</x:v>
      </x:c>
      <x:c r="D26" s="39" t="str">
        <x:v>PONTO RURAL FIAGRO FIDC LTDA</x:v>
      </x:c>
      <x:c r="E26" s="39" t="str">
        <x:v>PONTO RURAL</x:v>
      </x:c>
      <x:c r="F26" s="39" t="str">
        <x:v>cedente</x:v>
      </x:c>
      <x:c r="G26" s="39" t="str">
        <x:v>N/D</x:v>
      </x:c>
      <x:c r="H26" s="39" t="str">
        <x:v>PONTO RURAL</x:v>
      </x:c>
      <x:c r="I26" s="39" t="str">
        <x:v>N/D</x:v>
      </x:c>
      <x:c r="J26" s="39" t="str">
        <x:v>Insumos Agrícolas - prazo Safra</x:v>
      </x:c>
      <x:c r="K26" s="39" t="str">
        <x:v>IMG_8704.JPG</x:v>
      </x:c>
      <x:c r="L26" s="39" t="str">
        <x:v>planilha amarela; linha da raiz 57131490</x:v>
      </x:c>
      <x:c r="M26" s="39" t="str">
        <x:v>confirmado_legivel</x:v>
      </x:c>
      <x:c r="N26" s="39" t="str">
        <x:v>alta</x:v>
      </x:c>
      <x:c r="O26" s="39" t="str">
        <x:v>N/D</x:v>
      </x:c>
      <x:c r="P26" s="39" t="str">
        <x:v>Carteira 101</x:v>
      </x:c>
      <x:c r="Q26" s="39" t="str">
        <x:v>cedente_originador_literal; papel_literal; cedente; tipo_recebivel_literal</x:v>
      </x:c>
      <x:c r="R26" s="66" t="b">
        <x:v>1</x:v>
      </x:c>
      <x:c r="S26" s="39" t="str">
        <x:v>overlay aplicado somente em lacunas</x:v>
      </x:c>
    </x:row>
    <x:row r="27" ht="36" customHeight="1">
      <x:c r="A27" s="105" t="str">
        <x:v>47151680</x:v>
      </x:c>
      <x:c r="B27" s="70" t="str">
        <x:v>47151680000108</x:v>
      </x:c>
      <x:c r="C27" s="38" t="str">
        <x:v>correspondencia_unica</x:v>
      </x:c>
      <x:c r="D27" s="38" t="str">
        <x:v>FARMTECH IBBA I FUNDO DE INVESTIMENTO EM DIREITOS...</x:v>
      </x:c>
      <x:c r="E27" s="38" t="str">
        <x:v>Multicedentes</x:v>
      </x:c>
      <x:c r="F27" s="38" t="str">
        <x:v>cedente</x:v>
      </x:c>
      <x:c r="G27" s="38" t="str">
        <x:v>N/D</x:v>
      </x:c>
      <x:c r="H27" s="38" t="str">
        <x:v>Multicedentes</x:v>
      </x:c>
      <x:c r="I27" s="38" t="str">
        <x:v>N/D</x:v>
      </x:c>
      <x:c r="J27" s="38" t="str">
        <x:v>N/D</x:v>
      </x:c>
      <x:c r="K27" s="38" t="str">
        <x:v>IMG_8704.JPG</x:v>
      </x:c>
      <x:c r="L27" s="38" t="str">
        <x:v>planilha amarela; linha da raiz 47151680</x:v>
      </x:c>
      <x:c r="M27" s="38" t="str">
        <x:v>confirmado_legivel</x:v>
      </x:c>
      <x:c r="N27" s="38" t="str">
        <x:v>alta</x:v>
      </x:c>
      <x:c r="O27" s="38" t="str">
        <x:v>OBS da foto: Multicedente análise FARM; fomos 100% resgatados em out/25. Denominação cortada.</x:v>
      </x:c>
      <x:c r="P27" s="38" t="str">
        <x:v>Carteira 101</x:v>
      </x:c>
      <x:c r="Q27" s="38" t="str">
        <x:v>cedente_originador_literal; papel_literal; cedente</x:v>
      </x:c>
      <x:c r="R27" s="67" t="b">
        <x:v>1</x:v>
      </x:c>
      <x:c r="S27" s="38" t="str">
        <x:v>overlay aplicado somente em lacunas</x:v>
      </x:c>
    </x:row>
    <x:row r="28" ht="36" customHeight="1">
      <x:c r="A28" s="104" t="str">
        <x:v>43309233</x:v>
      </x:c>
      <x:c r="B28" s="69" t="str">
        <x:v>43309233000183</x:v>
      </x:c>
      <x:c r="C28" s="39" t="str">
        <x:v>correspondencia_unica</x:v>
      </x:c>
      <x:c r="D28" s="39" t="str">
        <x:v>FUNDO DE INVESTIMENTO EM DIREITOS CREDITORIOS LIVE</x:v>
      </x:c>
      <x:c r="E28" s="39" t="str">
        <x:v>Adama</x:v>
      </x:c>
      <x:c r="F28" s="39" t="str">
        <x:v>cedente</x:v>
      </x:c>
      <x:c r="G28" s="39" t="str">
        <x:v>N/D</x:v>
      </x:c>
      <x:c r="H28" s="39" t="str">
        <x:v>Adama</x:v>
      </x:c>
      <x:c r="I28" s="39" t="str">
        <x:v>N/D</x:v>
      </x:c>
      <x:c r="J28" s="39" t="str">
        <x:v>Insumos Agrícolas - prazo Safra</x:v>
      </x:c>
      <x:c r="K28" s="39" t="str">
        <x:v>IMG_8704.JPG</x:v>
      </x:c>
      <x:c r="L28" s="39" t="str">
        <x:v>planilha amarela; linha da raiz 43309233</x:v>
      </x:c>
      <x:c r="M28" s="39" t="str">
        <x:v>confirmado_legivel</x:v>
      </x:c>
      <x:c r="N28" s="39" t="str">
        <x:v>alta</x:v>
      </x:c>
      <x:c r="O28" s="39" t="str">
        <x:v>OBS da foto: fomos 100% resgatados em out/25.</x:v>
      </x:c>
      <x:c r="P28" s="39" t="str">
        <x:v>Carteira 101</x:v>
      </x:c>
      <x:c r="Q28" s="39" t="str">
        <x:v>cedente_originador_literal; papel_literal; cedente; tipo_recebivel_literal</x:v>
      </x:c>
      <x:c r="R28" s="66" t="b">
        <x:v>1</x:v>
      </x:c>
      <x:c r="S28" s="39" t="str">
        <x:v>overlay aplicado somente em lacunas</x:v>
      </x:c>
    </x:row>
    <x:row r="29" ht="36" customHeight="1">
      <x:c r="A29" s="105" t="str">
        <x:v>43616659</x:v>
      </x:c>
      <x:c r="B29" s="70" t="str">
        <x:v>43616659000180</x:v>
      </x:c>
      <x:c r="C29" s="38" t="str">
        <x:v>correspondencia_unica</x:v>
      </x:c>
      <x:c r="D29" s="38" t="str">
        <x:v>TALO 1 FUNDO DE INVESTIMENTO EM DIREITOS CREDITORI...</x:v>
      </x:c>
      <x:c r="E29" s="38" t="str">
        <x:v>Yara</x:v>
      </x:c>
      <x:c r="F29" s="38" t="str">
        <x:v>cedente</x:v>
      </x:c>
      <x:c r="G29" s="38" t="str">
        <x:v>N/D</x:v>
      </x:c>
      <x:c r="H29" s="38" t="str">
        <x:v>Yara</x:v>
      </x:c>
      <x:c r="I29" s="38" t="str">
        <x:v>N/D</x:v>
      </x:c>
      <x:c r="J29" s="38" t="str">
        <x:v>N/D</x:v>
      </x:c>
      <x:c r="K29" s="38" t="str">
        <x:v>IMG_8704.JPG</x:v>
      </x:c>
      <x:c r="L29" s="38" t="str">
        <x:v>planilha amarela; linha da raiz 43616659</x:v>
      </x:c>
      <x:c r="M29" s="38" t="str">
        <x:v>confirmado_legivel</x:v>
      </x:c>
      <x:c r="N29" s="38" t="str">
        <x:v>alta</x:v>
      </x:c>
      <x:c r="O29" s="38" t="str">
        <x:v>OBS da foto: subordinação mínima próxima ao limiar (atual Baa3). Denominação cortada.</x:v>
      </x:c>
      <x:c r="P29" s="38" t="str">
        <x:v>Carteira 101</x:v>
      </x:c>
      <x:c r="Q29" s="38" t="str">
        <x:v>cedente_originador_literal; papel_literal; cedente</x:v>
      </x:c>
      <x:c r="R29" s="67" t="b">
        <x:v>1</x:v>
      </x:c>
      <x:c r="S29" s="38" t="str">
        <x:v>overlay aplicado somente em lacunas</x:v>
      </x:c>
    </x:row>
    <x:row r="30" ht="36" customHeight="1">
      <x:c r="A30" s="104" t="str">
        <x:v>52343195</x:v>
      </x:c>
      <x:c r="B30" s="69" t="str">
        <x:v>52343195000176</x:v>
      </x:c>
      <x:c r="C30" s="39" t="str">
        <x:v>correspondencia_unica</x:v>
      </x:c>
      <x:c r="D30" s="39" t="str">
        <x:v>FARMTECH SYNGENTA FUNDO DE INVESTIMENTO EM DIREITO...</x:v>
      </x:c>
      <x:c r="E30" s="39" t="str">
        <x:v>Multicedentes</x:v>
      </x:c>
      <x:c r="F30" s="39" t="str">
        <x:v>cedente</x:v>
      </x:c>
      <x:c r="G30" s="39" t="str">
        <x:v>N/D</x:v>
      </x:c>
      <x:c r="H30" s="39" t="str">
        <x:v>Multicedentes</x:v>
      </x:c>
      <x:c r="I30" s="39" t="str">
        <x:v>N/D</x:v>
      </x:c>
      <x:c r="J30" s="39" t="str">
        <x:v>N/D</x:v>
      </x:c>
      <x:c r="K30" s="39" t="str">
        <x:v>IMG_8704.JPG</x:v>
      </x:c>
      <x:c r="L30" s="39" t="str">
        <x:v>planilha amarela; linha da raiz 52343195</x:v>
      </x:c>
      <x:c r="M30" s="39" t="str">
        <x:v>confirmado_legivel</x:v>
      </x:c>
      <x:c r="N30" s="39" t="str">
        <x:v>alta</x:v>
      </x:c>
      <x:c r="O30" s="39" t="str">
        <x:v>OBS da foto: Multicedente análise FARM. Denominação cortada.</x:v>
      </x:c>
      <x:c r="P30" s="39" t="str">
        <x:v>Carteira 101</x:v>
      </x:c>
      <x:c r="Q30" s="39" t="str">
        <x:v>cedente_originador_literal; papel_literal; cedente</x:v>
      </x:c>
      <x:c r="R30" s="66" t="b">
        <x:v>1</x:v>
      </x:c>
      <x:c r="S30" s="39" t="str">
        <x:v>overlay aplicado somente em lacunas</x:v>
      </x:c>
    </x:row>
    <x:row r="31" ht="36" customHeight="1">
      <x:c r="A31" s="105" t="str">
        <x:v>44574361</x:v>
      </x:c>
      <x:c r="B31" s="70" t="str">
        <x:v>44574361000117</x:v>
      </x:c>
      <x:c r="C31" s="38" t="str">
        <x:v>correspondencia_unica</x:v>
      </x:c>
      <x:c r="D31" s="38" t="str">
        <x:v>FUNDO DE INVESTIMENTO EM DIREITOS CREDITORIOS UPL</x:v>
      </x:c>
      <x:c r="E31" s="38" t="str">
        <x:v>UPL</x:v>
      </x:c>
      <x:c r="F31" s="38" t="str">
        <x:v>cedente</x:v>
      </x:c>
      <x:c r="G31" s="38" t="str">
        <x:v>N/D</x:v>
      </x:c>
      <x:c r="H31" s="38" t="str">
        <x:v>UPL</x:v>
      </x:c>
      <x:c r="I31" s="38" t="str">
        <x:v>N/D</x:v>
      </x:c>
      <x:c r="J31" s="38" t="str">
        <x:v>Insumos Agrícolas - prazo Safra</x:v>
      </x:c>
      <x:c r="K31" s="38" t="str">
        <x:v>IMG_8704.JPG</x:v>
      </x:c>
      <x:c r="L31" s="38" t="str">
        <x:v>planilha amarela; linha da raiz 44574361</x:v>
      </x:c>
      <x:c r="M31" s="38" t="str">
        <x:v>confirmado_legivel</x:v>
      </x:c>
      <x:c r="N31" s="38" t="str">
        <x:v>alta</x:v>
      </x:c>
      <x:c r="O31" s="38" t="str">
        <x:v>N/D</x:v>
      </x:c>
      <x:c r="P31" s="38" t="str">
        <x:v>Carteira 101</x:v>
      </x:c>
      <x:c r="Q31" s="38" t="str">
        <x:v>cedente_originador_literal; papel_literal; cedente; tipo_recebivel_literal</x:v>
      </x:c>
      <x:c r="R31" s="67" t="b">
        <x:v>1</x:v>
      </x:c>
      <x:c r="S31" s="38" t="str">
        <x:v>overlay aplicado somente em lacunas</x:v>
      </x:c>
    </x:row>
    <x:row r="32" ht="36" customHeight="1">
      <x:c r="A32" s="104" t="str">
        <x:v>38376526</x:v>
      </x:c>
      <x:c r="B32" s="69" t="str">
        <x:v>38376526000143</x:v>
      </x:c>
      <x:c r="C32" s="39" t="str">
        <x:v>correspondencia_unica</x:v>
      </x:c>
      <x:c r="D32" s="39" t="str">
        <x:v>HOTFUND FIDC</x:v>
      </x:c>
      <x:c r="E32" s="39" t="str">
        <x:v>Hotmart</x:v>
      </x:c>
      <x:c r="F32" s="39" t="str">
        <x:v>cedente</x:v>
      </x:c>
      <x:c r="G32" s="39" t="str">
        <x:v>N/D</x:v>
      </x:c>
      <x:c r="H32" s="39" t="str">
        <x:v>Hotmart</x:v>
      </x:c>
      <x:c r="I32" s="39" t="str">
        <x:v>N/D</x:v>
      </x:c>
      <x:c r="J32" s="39" t="str">
        <x:v>antecipação de parcelas de criadores de conteúdo</x:v>
      </x:c>
      <x:c r="K32" s="39" t="str">
        <x:v>IMG_8705.JPG</x:v>
      </x:c>
      <x:c r="L32" s="39" t="str">
        <x:v>planilha amarela; linha da raiz 38376526</x:v>
      </x:c>
      <x:c r="M32" s="39" t="str">
        <x:v>confirmado_legivel</x:v>
      </x:c>
      <x:c r="N32" s="39" t="str">
        <x:v>média</x:v>
      </x:c>
      <x:c r="O32" s="39" t="str">
        <x:v>OBS parcialmente legível: FIDC antecipa recebíveis de funding para a Hotmart antecipar parcelas aos criadores de conteúdo; final cortado pela foto.</x:v>
      </x:c>
      <x:c r="P32" s="39" t="str">
        <x:v>Carteira 101</x:v>
      </x:c>
      <x:c r="Q32" s="39" t="str">
        <x:v>cedente_originador_literal; papel_literal; cedente; tipo_recebivel_literal</x:v>
      </x:c>
      <x:c r="R32" s="66" t="b">
        <x:v>1</x:v>
      </x:c>
      <x:c r="S32" s="39" t="str">
        <x:v>overlay aplicado somente em lacunas</x:v>
      </x:c>
    </x:row>
    <x:row r="33" ht="36" customHeight="1">
      <x:c r="A33" s="105" t="str">
        <x:v>45598747</x:v>
      </x:c>
      <x:c r="B33" s="70" t="str">
        <x:v>45598747000121</x:v>
      </x:c>
      <x:c r="C33" s="38" t="str">
        <x:v>correspondencia_unica</x:v>
      </x:c>
      <x:c r="D33" s="38" t="str">
        <x:v>FIDC SUMIP</x:v>
      </x:c>
      <x:c r="E33" s="38" t="str">
        <x:v>Sumup IP</x:v>
      </x:c>
      <x:c r="F33" s="38" t="str">
        <x:v>cedente</x:v>
      </x:c>
      <x:c r="G33" s="38" t="str">
        <x:v>N/D</x:v>
      </x:c>
      <x:c r="H33" s="38" t="str">
        <x:v>Sumup IP</x:v>
      </x:c>
      <x:c r="I33" s="38" t="str">
        <x:v>N/D</x:v>
      </x:c>
      <x:c r="J33" s="38" t="str">
        <x:v>N/D</x:v>
      </x:c>
      <x:c r="K33" s="38" t="str">
        <x:v>IMG_8705.JPG</x:v>
      </x:c>
      <x:c r="L33" s="38" t="str">
        <x:v>planilha amarela; linha da raiz 45598747</x:v>
      </x:c>
      <x:c r="M33" s="38" t="str">
        <x:v>confirmado_legivel</x:v>
      </x:c>
      <x:c r="N33" s="38" t="str">
        <x:v>alta</x:v>
      </x:c>
      <x:c r="O33" s="38" t="str">
        <x:v>OBS da foto: Risco Banco Emissor Itaú.</x:v>
      </x:c>
      <x:c r="P33" s="38" t="str">
        <x:v>Carteira 101</x:v>
      </x:c>
      <x:c r="Q33" s="38" t="str">
        <x:v>cedente_originador_literal; papel_literal; cedente</x:v>
      </x:c>
      <x:c r="R33" s="67" t="b">
        <x:v>1</x:v>
      </x:c>
      <x:c r="S33" s="38" t="str">
        <x:v>overlay aplicado somente em lacunas</x:v>
      </x:c>
    </x:row>
    <x:row r="34" ht="36" customHeight="1">
      <x:c r="A34" s="104" t="str">
        <x:v>41197066</x:v>
      </x:c>
      <x:c r="B34" s="69" t="str">
        <x:v>41197066000109</x:v>
      </x:c>
      <x:c r="C34" s="39" t="str">
        <x:v>correspondencia_unica</x:v>
      </x:c>
      <x:c r="D34" s="39" t="str">
        <x:v>MOVILEPAY CREDITO I FIDC SEGMENTO FINANCEIRO DE RE...</x:v>
      </x:c>
      <x:c r="E34" s="39" t="str">
        <x:v>MovilePay / iFood</x:v>
      </x:c>
      <x:c r="F34" s="39" t="str">
        <x:v>cedente</x:v>
      </x:c>
      <x:c r="G34" s="39" t="str">
        <x:v>N/D</x:v>
      </x:c>
      <x:c r="H34" s="39" t="str">
        <x:v>MovilePay / iFood</x:v>
      </x:c>
      <x:c r="I34" s="39" t="str">
        <x:v>N/D</x:v>
      </x:c>
      <x:c r="J34" s="39" t="str">
        <x:v>CCB PJ - ecossistema iFood</x:v>
      </x:c>
      <x:c r="K34" s="39" t="str">
        <x:v>IMG_8705.JPG</x:v>
      </x:c>
      <x:c r="L34" s="39" t="str">
        <x:v>planilha amarela; linha da raiz 41197066</x:v>
      </x:c>
      <x:c r="M34" s="39" t="str">
        <x:v>confirmado_legivel</x:v>
      </x:c>
      <x:c r="N34" s="39" t="str">
        <x:v>alta</x:v>
      </x:c>
      <x:c r="O34" s="39" t="str">
        <x:v>Denominação cortada pela largura da coluna na foto.</x:v>
      </x:c>
      <x:c r="P34" s="39" t="str">
        <x:v>Carteira 101</x:v>
      </x:c>
      <x:c r="Q34" s="39" t="str">
        <x:v>cedente_originador_literal; papel_literal; cedente; tipo_recebivel_literal</x:v>
      </x:c>
      <x:c r="R34" s="66" t="b">
        <x:v>1</x:v>
      </x:c>
      <x:c r="S34" s="39" t="str">
        <x:v>overlay aplicado somente em lacunas</x:v>
      </x:c>
    </x:row>
    <x:row r="35" ht="36" customHeight="1">
      <x:c r="A35" s="105" t="str">
        <x:v>44124617</x:v>
      </x:c>
      <x:c r="B35" s="70" t="str">
        <x:v>44124617000194</x:v>
      </x:c>
      <x:c r="C35" s="38" t="str">
        <x:v>correspondencia_unica</x:v>
      </x:c>
      <x:c r="D35" s="38" t="str">
        <x:v>CLOUDWALK AKIRA II FUNDO DE INVESTIMENTO EM DIREIT...</x:v>
      </x:c>
      <x:c r="E35" s="38" t="str">
        <x:v>Cloudwalk</x:v>
      </x:c>
      <x:c r="F35" s="38" t="str">
        <x:v>cedente</x:v>
      </x:c>
      <x:c r="G35" s="38" t="str">
        <x:v>N/D</x:v>
      </x:c>
      <x:c r="H35" s="38" t="str">
        <x:v>Cloudwalk</x:v>
      </x:c>
      <x:c r="I35" s="38" t="str">
        <x:v>N/D</x:v>
      </x:c>
      <x:c r="J35" s="38" t="str">
        <x:v>N/D</x:v>
      </x:c>
      <x:c r="K35" s="38" t="str">
        <x:v>IMG_8705.JPG</x:v>
      </x:c>
      <x:c r="L35" s="38" t="str">
        <x:v>planilha amarela; linha da raiz 44124617</x:v>
      </x:c>
      <x:c r="M35" s="38" t="str">
        <x:v>confirmado_legivel</x:v>
      </x:c>
      <x:c r="N35" s="38" t="str">
        <x:v>alta</x:v>
      </x:c>
      <x:c r="O35" s="38" t="str">
        <x:v>OBS da foto: Alongamento discutido recentemente (mas com run-off). Denominação cortada.</x:v>
      </x:c>
      <x:c r="P35" s="38" t="str">
        <x:v>Carteira 101</x:v>
      </x:c>
      <x:c r="Q35" s="38" t="str">
        <x:v>cedente_originador_literal; papel_literal; cedente</x:v>
      </x:c>
      <x:c r="R35" s="67" t="b">
        <x:v>1</x:v>
      </x:c>
      <x:c r="S35" s="38" t="str">
        <x:v>overlay aplicado somente em lacunas</x:v>
      </x:c>
    </x:row>
    <x:row r="36" ht="36" customHeight="1">
      <x:c r="A36" s="104" t="str">
        <x:v>42085816</x:v>
      </x:c>
      <x:c r="B36" s="69" t="str">
        <x:v>42085816000105</x:v>
      </x:c>
      <x:c r="C36" s="39" t="str">
        <x:v>correspondencia_unica</x:v>
      </x:c>
      <x:c r="D36" s="39" t="str">
        <x:v>CLOUDWALK KICK ASS I FUNDO DE INVESTIMENTO EM DIRE...</x:v>
      </x:c>
      <x:c r="E36" s="39" t="str">
        <x:v>Cloudwalk IP</x:v>
      </x:c>
      <x:c r="F36" s="39" t="str">
        <x:v>cedente</x:v>
      </x:c>
      <x:c r="G36" s="39" t="str">
        <x:v>N/D</x:v>
      </x:c>
      <x:c r="H36" s="39" t="str">
        <x:v>Cloudwalk IP</x:v>
      </x:c>
      <x:c r="I36" s="39" t="str">
        <x:v>N/D</x:v>
      </x:c>
      <x:c r="J36" s="39" t="str">
        <x:v>N/D</x:v>
      </x:c>
      <x:c r="K36" s="39" t="str">
        <x:v>IMG_8705.JPG</x:v>
      </x:c>
      <x:c r="L36" s="39" t="str">
        <x:v>planilha amarela; linha da raiz 42085816</x:v>
      </x:c>
      <x:c r="M36" s="39" t="str">
        <x:v>confirmado_legivel</x:v>
      </x:c>
      <x:c r="N36" s="39" t="str">
        <x:v>alta</x:v>
      </x:c>
      <x:c r="O36" s="39" t="str">
        <x:v>OBS da foto: Risco Banco Emissor Itaú. Denominação cortada.</x:v>
      </x:c>
      <x:c r="P36" s="39" t="str">
        <x:v>Carteira 101</x:v>
      </x:c>
      <x:c r="Q36" s="39" t="str">
        <x:v>cedente_originador_literal; papel_literal; cedente</x:v>
      </x:c>
      <x:c r="R36" s="66" t="b">
        <x:v>1</x:v>
      </x:c>
      <x:c r="S36" s="39" t="str">
        <x:v>overlay aplicado somente em lacunas</x:v>
      </x:c>
    </x:row>
    <x:row r="37" ht="36" customHeight="1">
      <x:c r="A37" s="105" t="str">
        <x:v>38385876</x:v>
      </x:c>
      <x:c r="B37" s="70" t="str">
        <x:v>38385876000176</x:v>
      </x:c>
      <x:c r="C37" s="38" t="str">
        <x:v>correspondencia_unica</x:v>
      </x:c>
      <x:c r="D37" s="38" t="str">
        <x:v>ESTRATEGIA EDUCACIONAL FIDC</x:v>
      </x:c>
      <x:c r="E37" s="38" t="str">
        <x:v>Estratégia Concursos</x:v>
      </x:c>
      <x:c r="F37" s="38" t="str">
        <x:v>cedente</x:v>
      </x:c>
      <x:c r="G37" s="38" t="str">
        <x:v>N/D</x:v>
      </x:c>
      <x:c r="H37" s="38" t="str">
        <x:v>Estratégia Concursos</x:v>
      </x:c>
      <x:c r="I37" s="38" t="str">
        <x:v>N/D</x:v>
      </x:c>
      <x:c r="J37" s="38" t="str">
        <x:v>recebíveis de cartão oriundos da venda de planos de cursos preparatórios</x:v>
      </x:c>
      <x:c r="K37" s="38" t="str">
        <x:v>IMG_8705.JPG</x:v>
      </x:c>
      <x:c r="L37" s="38" t="str">
        <x:v>planilha amarela; linha da raiz 38385876</x:v>
      </x:c>
      <x:c r="M37" s="38" t="str">
        <x:v>confirmado_legivel</x:v>
      </x:c>
      <x:c r="N37" s="38" t="str">
        <x:v>alta</x:v>
      </x:c>
      <x:c r="O37" s="38" t="str">
        <x:v>N/D</x:v>
      </x:c>
      <x:c r="P37" s="38" t="str">
        <x:v>Carteira 101</x:v>
      </x:c>
      <x:c r="Q37" s="38" t="str">
        <x:v>cedente_originador_literal; papel_literal; cedente; tipo_recebivel_literal</x:v>
      </x:c>
      <x:c r="R37" s="67" t="b">
        <x:v>1</x:v>
      </x:c>
      <x:c r="S37" s="38" t="str">
        <x:v>overlay aplicado somente em lacunas</x:v>
      </x:c>
    </x:row>
    <x:row r="38" ht="36" customHeight="1">
      <x:c r="A38" s="104" t="str">
        <x:v>40919667</x:v>
      </x:c>
      <x:c r="B38" s="69" t="str">
        <x:v>40919667000107</x:v>
      </x:c>
      <x:c r="C38" s="39" t="str">
        <x:v>correspondencia_unica</x:v>
      </x:c>
      <x:c r="D38" s="39" t="str">
        <x:v>RECARGAPAY I FUNDO DE INVESTIMENTO EM DIREITOS CRE...</x:v>
      </x:c>
      <x:c r="E38" s="39" t="str">
        <x:v>RecargaPay</x:v>
      </x:c>
      <x:c r="F38" s="39" t="str">
        <x:v>cedente</x:v>
      </x:c>
      <x:c r="G38" s="39" t="str">
        <x:v>N/D</x:v>
      </x:c>
      <x:c r="H38" s="39" t="str">
        <x:v>RecargaPay</x:v>
      </x:c>
      <x:c r="I38" s="39" t="str">
        <x:v>N/D</x:v>
      </x:c>
      <x:c r="J38" s="39" t="str">
        <x:v>recebíveis de cartão</x:v>
      </x:c>
      <x:c r="K38" s="39" t="str">
        <x:v>IMG_8705.JPG</x:v>
      </x:c>
      <x:c r="L38" s="39" t="str">
        <x:v>planilha amarela; linha da raiz 40919667</x:v>
      </x:c>
      <x:c r="M38" s="39" t="str">
        <x:v>confirmado_legivel</x:v>
      </x:c>
      <x:c r="N38" s="39" t="str">
        <x:v>alta</x:v>
      </x:c>
      <x:c r="O38" s="39" t="str">
        <x:v>OBS da foto: FIDC "Bolso próprio", onde a Recarga fez aportes iniciais e utiliza o veículo para antecipar os recebíveis de cartão. Denominação cortada.</x:v>
      </x:c>
      <x:c r="P38" s="39" t="str">
        <x:v>Carteira 101</x:v>
      </x:c>
      <x:c r="Q38" s="39" t="str">
        <x:v>cedente_originador_literal; papel_literal; cedente; tipo_recebivel_literal</x:v>
      </x:c>
      <x:c r="R38" s="66" t="b">
        <x:v>1</x:v>
      </x:c>
      <x:c r="S38" s="39" t="str">
        <x:v>overlay aplicado somente em lacunas</x:v>
      </x:c>
    </x:row>
    <x:row r="39" ht="36" customHeight="1">
      <x:c r="A39" s="105" t="str">
        <x:v>42102603</x:v>
      </x:c>
      <x:c r="B39" s="70" t="str">
        <x:v>42102603000144</x:v>
      </x:c>
      <x:c r="C39" s="38" t="str">
        <x:v>correspondencia_unica</x:v>
      </x:c>
      <x:c r="D39" s="38" t="str">
        <x:v>CLOUDWALK KICK ASS II FUNDO DE INVESTIMENTO EM DIR...</x:v>
      </x:c>
      <x:c r="E39" s="38" t="str">
        <x:v>Cloudwalk</x:v>
      </x:c>
      <x:c r="F39" s="38" t="str">
        <x:v>cedente</x:v>
      </x:c>
      <x:c r="G39" s="38" t="str">
        <x:v>N/D</x:v>
      </x:c>
      <x:c r="H39" s="38" t="str">
        <x:v>Cloudwalk</x:v>
      </x:c>
      <x:c r="I39" s="38" t="str">
        <x:v>N/D</x:v>
      </x:c>
      <x:c r="J39" s="38" t="str">
        <x:v>N/D</x:v>
      </x:c>
      <x:c r="K39" s="38" t="str">
        <x:v>IMG_8705.JPG</x:v>
      </x:c>
      <x:c r="L39" s="38" t="str">
        <x:v>planilha amarela; linha da raiz 42102603</x:v>
      </x:c>
      <x:c r="M39" s="38" t="str">
        <x:v>confirmado_legivel</x:v>
      </x:c>
      <x:c r="N39" s="38" t="str">
        <x:v>alta</x:v>
      </x:c>
      <x:c r="O39" s="38" t="str">
        <x:v>OBS da foto: Alongamento discutido recentemente (mas com run-off). Denominação cortada.</x:v>
      </x:c>
      <x:c r="P39" s="38" t="str">
        <x:v>Carteira 101</x:v>
      </x:c>
      <x:c r="Q39" s="38" t="str">
        <x:v>cedente_originador_literal; papel_literal; cedente</x:v>
      </x:c>
      <x:c r="R39" s="67" t="b">
        <x:v>1</x:v>
      </x:c>
      <x:c r="S39" s="38" t="str">
        <x:v>overlay aplicado somente em lacunas</x:v>
      </x:c>
    </x:row>
    <x:row r="40" ht="36" customHeight="1">
      <x:c r="A40" s="104" t="str">
        <x:v>28169275</x:v>
      </x:c>
      <x:c r="B40" s="69" t="str">
        <x:v>28169275000172</x:v>
      </x:c>
      <x:c r="C40" s="39" t="str">
        <x:v>correspondencia_unica</x:v>
      </x:c>
      <x:c r="D40" s="39" t="str">
        <x:v>FUNDO DE INVESTIMENTO EM DIREITOS CREDITORIOS PAGS...</x:v>
      </x:c>
      <x:c r="E40" s="39" t="str">
        <x:v>PagSeguro</x:v>
      </x:c>
      <x:c r="F40" s="39" t="str">
        <x:v>cedente</x:v>
      </x:c>
      <x:c r="G40" s="39" t="str">
        <x:v>N/D</x:v>
      </x:c>
      <x:c r="H40" s="39" t="str">
        <x:v>PagSeguro</x:v>
      </x:c>
      <x:c r="I40" s="39" t="str">
        <x:v>N/D</x:v>
      </x:c>
      <x:c r="J40" s="39" t="str">
        <x:v>recebíveis dos ECs</x:v>
      </x:c>
      <x:c r="K40" s="39" t="str">
        <x:v>IMG_8705.JPG</x:v>
      </x:c>
      <x:c r="L40" s="39" t="str">
        <x:v>planilha amarela; linha da raiz 28169275</x:v>
      </x:c>
      <x:c r="M40" s="39" t="str">
        <x:v>confirmado_legivel</x:v>
      </x:c>
      <x:c r="N40" s="39" t="str">
        <x:v>alta</x:v>
      </x:c>
      <x:c r="O40" s="39" t="str">
        <x:v>OBS da foto: compra de recebíveis dos ECs correndo risco da PagSeguro. Denominação cortada.</x:v>
      </x:c>
      <x:c r="P40" s="39" t="str">
        <x:v>Carteira 101; Flagships</x:v>
      </x:c>
      <x:c r="Q40" s="39" t="str">
        <x:v>cedente_originador_literal; papel_literal; cedente; tipo_recebivel_literal</x:v>
      </x:c>
      <x:c r="R40" s="66" t="b">
        <x:v>1</x:v>
      </x:c>
      <x:c r="S40" s="39" t="str">
        <x:v>overlay aplicado somente em lacunas</x:v>
      </x:c>
    </x:row>
    <x:row r="41" ht="36" customHeight="1">
      <x:c r="A41" s="105" t="str">
        <x:v>38658727</x:v>
      </x:c>
      <x:c r="B41" s="70" t="str">
        <x:v>38658727000133</x:v>
      </x:c>
      <x:c r="C41" s="38" t="str">
        <x:v>correspondencia_unica</x:v>
      </x:c>
      <x:c r="D41" s="38" t="str">
        <x:v>FIDC FORNEC MADEIRA MADEIRA I</x:v>
      </x:c>
      <x:c r="E41" s="38" t="str">
        <x:v>Fornecedores: Madeira/Madeira</x:v>
      </x:c>
      <x:c r="F41" s="38" t="str">
        <x:v>cedente</x:v>
      </x:c>
      <x:c r="G41" s="38" t="str">
        <x:v>N/D</x:v>
      </x:c>
      <x:c r="H41" s="38" t="str">
        <x:v>Fornecedores: Madeira/Madeira</x:v>
      </x:c>
      <x:c r="I41" s="38" t="str">
        <x:v>Madeira/Madeira</x:v>
      </x:c>
      <x:c r="J41" s="38" t="str">
        <x:v>N/D</x:v>
      </x:c>
      <x:c r="K41" s="38" t="str">
        <x:v>IMG_8705.JPG</x:v>
      </x:c>
      <x:c r="L41" s="38" t="str">
        <x:v>planilha amarela; linha da raiz 38658727</x:v>
      </x:c>
      <x:c r="M41" s="38" t="str">
        <x:v>confirmado_legivel</x:v>
      </x:c>
      <x:c r="N41" s="38" t="str">
        <x:v>alta</x:v>
      </x:c>
      <x:c r="O41" s="38" t="str">
        <x:v>OBS da foto: FIDC Multicedente (Fornecedores) &amp; Monosacado (Madeira/Madeira). O sacado foi desmembrado somente porque a função Monosacado está escrita na fonte.</x:v>
      </x:c>
      <x:c r="P41" s="38" t="str">
        <x:v>Carteira 101</x:v>
      </x:c>
      <x:c r="Q41" s="38" t="str">
        <x:v>cedente_originador_literal; papel_literal; cedente; sacado_devedor</x:v>
      </x:c>
      <x:c r="R41" s="67" t="b">
        <x:v>1</x:v>
      </x:c>
      <x:c r="S41" s="38" t="str">
        <x:v>overlay aplicado somente em lacunas</x:v>
      </x:c>
    </x:row>
    <x:row r="42" ht="36" customHeight="1">
      <x:c r="A42" s="104" t="str">
        <x:v>52271464</x:v>
      </x:c>
      <x:c r="B42" s="69" t="str">
        <x:v>52271464000136</x:v>
      </x:c>
      <x:c r="C42" s="39" t="str">
        <x:v>correspondencia_unica</x:v>
      </x:c>
      <x:c r="D42" s="39" t="str">
        <x:v>KIWIFY FUNDO DE INVESTIMENTO E...</x:v>
      </x:c>
      <x:c r="E42" s="39" t="str">
        <x:v>Infoprodutores, representados pela Kiwify Educa...</x:v>
      </x:c>
      <x:c r="F42" s="39" t="str">
        <x:v>cedente</x:v>
      </x:c>
      <x:c r="G42" s="39" t="str">
        <x:v>N/D</x:v>
      </x:c>
      <x:c r="H42" s="39" t="str">
        <x:v>Infoprodutores, representados pela Kiwify Educa...</x:v>
      </x:c>
      <x:c r="I42" s="39" t="str">
        <x:v>N/D</x:v>
      </x:c>
      <x:c r="J42" s="39" t="str">
        <x:v>REDE / CIELO</x:v>
      </x:c>
      <x:c r="K42" s="39" t="str">
        <x:v>IMG_8705.JPG</x:v>
      </x:c>
      <x:c r="L42" s="39" t="str">
        <x:v>planilha amarela; linha da raiz 52271464</x:v>
      </x:c>
      <x:c r="M42" s="39" t="str">
        <x:v>revisao</x:v>
      </x:c>
      <x:c r="N42" s="39" t="str">
        <x:v>média</x:v>
      </x:c>
      <x:c r="O42" s="39" t="str">
        <x:v>Denominação e literal de cedente cortados; não elegível até revisão.</x:v>
      </x:c>
      <x:c r="P42" s="39" t="str">
        <x:v>N/D</x:v>
      </x:c>
      <x:c r="Q42" s="39" t="str">
        <x:v>N/D</x:v>
      </x:c>
      <x:c r="R42" s="66" t="b">
        <x:v>0</x:v>
      </x:c>
      <x:c r="S42" s="39" t="str">
        <x:v>status de transcrição não aprovado</x:v>
      </x:c>
    </x:row>
    <x:row r="43" ht="36" customHeight="1">
      <x:c r="A43" s="105" t="str">
        <x:v>29226654</x:v>
      </x:c>
      <x:c r="B43" s="70" t="str">
        <x:v>29226654000110</x:v>
      </x:c>
      <x:c r="C43" s="38" t="str">
        <x:v>correspondencia_unica</x:v>
      </x:c>
      <x:c r="D43" s="38" t="str">
        <x:v>INVESTCRED FUNDO DE INVESTIMENTO EM DIREITOS CREDI...</x:v>
      </x:c>
      <x:c r="E43" s="38" t="str">
        <x:v>CredSystem</x:v>
      </x:c>
      <x:c r="F43" s="38" t="str">
        <x:v>cedente</x:v>
      </x:c>
      <x:c r="G43" s="38" t="str">
        <x:v>N/D</x:v>
      </x:c>
      <x:c r="H43" s="38" t="str">
        <x:v>CredSystem</x:v>
      </x:c>
      <x:c r="I43" s="38" t="str">
        <x:v>N/D</x:v>
      </x:c>
      <x:c r="J43" s="38" t="str">
        <x:v>Cartão de Crédito - ecossistema Credsystem</x:v>
      </x:c>
      <x:c r="K43" s="38" t="str">
        <x:v>IMG_8705.JPG</x:v>
      </x:c>
      <x:c r="L43" s="38" t="str">
        <x:v>planilha amarela; linha da raiz 29226654</x:v>
      </x:c>
      <x:c r="M43" s="38" t="str">
        <x:v>confirmado_legivel</x:v>
      </x:c>
      <x:c r="N43" s="38" t="str">
        <x:v>alta</x:v>
      </x:c>
      <x:c r="O43" s="38" t="str">
        <x:v>Denominação cortada pela largura da coluna na foto.</x:v>
      </x:c>
      <x:c r="P43" s="38" t="str">
        <x:v>Carteira 101</x:v>
      </x:c>
      <x:c r="Q43" s="38" t="str">
        <x:v>cedente_originador_literal; papel_literal; cedente; tipo_recebivel_literal</x:v>
      </x:c>
      <x:c r="R43" s="67" t="b">
        <x:v>1</x:v>
      </x:c>
      <x:c r="S43" s="38" t="str">
        <x:v>overlay aplicado somente em lacunas</x:v>
      </x:c>
    </x:row>
    <x:row r="44" ht="36" customHeight="1">
      <x:c r="A44" s="104" t="str">
        <x:v>54857414</x:v>
      </x:c>
      <x:c r="B44" s="69" t="str">
        <x:v>54857414000160</x:v>
      </x:c>
      <x:c r="C44" s="39" t="str">
        <x:v>correspondencia_unica</x:v>
      </x:c>
      <x:c r="D44" s="39" t="str">
        <x:v>INDEMERX RAZI CREDITO AGRO FUNDO DE INVESTIMEN...</x:v>
      </x:c>
      <x:c r="E44" s="39" t="str">
        <x:v>Emissão direta de produtor rural</x:v>
      </x:c>
      <x:c r="F44" s="39" t="str">
        <x:v>cedente</x:v>
      </x:c>
      <x:c r="G44" s="39" t="str">
        <x:v>N/D</x:v>
      </x:c>
      <x:c r="H44" s="39" t="str">
        <x:v>Emissão direta de produtor rural</x:v>
      </x:c>
      <x:c r="I44" s="39" t="str">
        <x:v>N/D</x:v>
      </x:c>
      <x:c r="J44" s="39" t="str">
        <x:v>risco produtor rural com passagem SIPAL e Fazendão</x:v>
      </x:c>
      <x:c r="K44" s="39" t="str">
        <x:v>IMG_8705.JPG</x:v>
      </x:c>
      <x:c r="L44" s="39" t="str">
        <x:v>planilha amarela; linha da raiz 54857414</x:v>
      </x:c>
      <x:c r="M44" s="39" t="str">
        <x:v>confirmado_legivel</x:v>
      </x:c>
      <x:c r="N44" s="39" t="str">
        <x:v>média</x:v>
      </x:c>
      <x:c r="O44" s="39" t="str">
        <x:v>Literal preservado da coluna Cedente do Direito Creditório; OBS continua fora da foto. Denominação cortada.</x:v>
      </x:c>
      <x:c r="P44" s="39" t="str">
        <x:v>Carteira 101</x:v>
      </x:c>
      <x:c r="Q44" s="39" t="str">
        <x:v>cedente_originador_literal; papel_literal; cedente; tipo_recebivel_literal</x:v>
      </x:c>
      <x:c r="R44" s="66" t="b">
        <x:v>1</x:v>
      </x:c>
      <x:c r="S44" s="39" t="str">
        <x:v>overlay aplicado somente em lacunas</x:v>
      </x:c>
    </x:row>
    <x:row r="45" ht="36" customHeight="1">
      <x:c r="A45" s="105" t="str">
        <x:v>55401645</x:v>
      </x:c>
      <x:c r="B45" s="70" t="str">
        <x:v>55401645000128</x:v>
      </x:c>
      <x:c r="C45" s="38" t="str">
        <x:v>correspondencia_unica</x:v>
      </x:c>
      <x:c r="D45" s="38" t="str">
        <x:v>DUATA FIDC FGTS FUNDO DE INVESTIMENTO EM DIREITOS C...</x:v>
      </x:c>
      <x:c r="E45" s="38" t="str">
        <x:v>QI Tech</x:v>
      </x:c>
      <x:c r="F45" s="38" t="str">
        <x:v>cedente</x:v>
      </x:c>
      <x:c r="G45" s="38" t="str">
        <x:v>N/D</x:v>
      </x:c>
      <x:c r="H45" s="38" t="str">
        <x:v>QI Tech</x:v>
      </x:c>
      <x:c r="I45" s="38" t="str">
        <x:v>N/D</x:v>
      </x:c>
      <x:c r="J45" s="38" t="str">
        <x:v>Crédito FGTS</x:v>
      </x:c>
      <x:c r="K45" s="38" t="str">
        <x:v>IMG_8705.JPG</x:v>
      </x:c>
      <x:c r="L45" s="38" t="str">
        <x:v>planilha amarela; linha da raiz 55401645</x:v>
      </x:c>
      <x:c r="M45" s="38" t="str">
        <x:v>confirmado_legivel</x:v>
      </x:c>
      <x:c r="N45" s="38" t="str">
        <x:v>alta</x:v>
      </x:c>
      <x:c r="O45" s="38" t="str">
        <x:v>Denominação cortada pela largura da coluna na foto.</x:v>
      </x:c>
      <x:c r="P45" s="38" t="str">
        <x:v>Carteira 101</x:v>
      </x:c>
      <x:c r="Q45" s="38" t="str">
        <x:v>cedente_originador_literal; papel_literal; cedente; tipo_recebivel_literal</x:v>
      </x:c>
      <x:c r="R45" s="67" t="b">
        <x:v>1</x:v>
      </x:c>
      <x:c r="S45" s="38" t="str">
        <x:v>overlay aplicado somente em lacunas</x:v>
      </x:c>
    </x:row>
    <x:row r="46" ht="36" customHeight="1">
      <x:c r="A46" s="104" t="str">
        <x:v>44272584</x:v>
      </x:c>
      <x:c r="B46" s="69" t="str">
        <x:v>44272584000120</x:v>
      </x:c>
      <x:c r="C46" s="39" t="str">
        <x:v>correspondencia_unica</x:v>
      </x:c>
      <x:c r="D46" s="39" t="str">
        <x:v>LAVORO AGRO FIDC DAS CADEIAS PRODUTIVAS AGROINDUST...</x:v>
      </x:c>
      <x:c r="E46" s="39" t="str">
        <x:v>Lavoro</x:v>
      </x:c>
      <x:c r="F46" s="39" t="str">
        <x:v>cedente</x:v>
      </x:c>
      <x:c r="G46" s="39" t="str">
        <x:v>N/D</x:v>
      </x:c>
      <x:c r="H46" s="39" t="str">
        <x:v>Lavoro</x:v>
      </x:c>
      <x:c r="I46" s="39" t="str">
        <x:v>N/D</x:v>
      </x:c>
      <x:c r="J46" s="39" t="str">
        <x:v>N/D</x:v>
      </x:c>
      <x:c r="K46" s="39" t="str">
        <x:v>IMG_8705.JPG</x:v>
      </x:c>
      <x:c r="L46" s="39" t="str">
        <x:v>planilha amarela; linha da raiz 44272584</x:v>
      </x:c>
      <x:c r="M46" s="39" t="str">
        <x:v>confirmado_legivel</x:v>
      </x:c>
      <x:c r="N46" s="39" t="str">
        <x:v>alta</x:v>
      </x:c>
      <x:c r="O46" s="39" t="str">
        <x:v>OBS da foto: Realizamos ajuste tempestivo para Ba1 - carteira vence em 30/04 - acompanhamento mensal. Denominação cortada.</x:v>
      </x:c>
      <x:c r="P46" s="39" t="str">
        <x:v>Carteira 101</x:v>
      </x:c>
      <x:c r="Q46" s="39" t="str">
        <x:v>cedente_originador_literal; papel_literal; cedente</x:v>
      </x:c>
      <x:c r="R46" s="66" t="b">
        <x:v>1</x:v>
      </x:c>
      <x:c r="S46" s="39" t="str">
        <x:v>overlay aplicado somente em lacunas</x:v>
      </x:c>
    </x:row>
    <x:row r="47" ht="36" customHeight="1">
      <x:c r="A47" s="105" t="str">
        <x:v>62838025</x:v>
      </x:c>
      <x:c r="B47" s="70" t="str">
        <x:v>62838025000116</x:v>
      </x:c>
      <x:c r="C47" s="38" t="str">
        <x:v>correspondencia_unica</x:v>
      </x:c>
      <x:c r="D47" s="38" t="str">
        <x:v>TOP 2025 J FIDC RESP LTDA</x:v>
      </x:c>
      <x:c r="E47" s="38" t="str">
        <x:v>Pague Veloz / Serasa</x:v>
      </x:c>
      <x:c r="F47" s="38" t="str">
        <x:v>cedente</x:v>
      </x:c>
      <x:c r="G47" s="38" t="str">
        <x:v>N/D</x:v>
      </x:c>
      <x:c r="H47" s="38" t="str">
        <x:v>Pague Veloz / Serasa</x:v>
      </x:c>
      <x:c r="I47" s="38" t="str">
        <x:v>N/D</x:v>
      </x:c>
      <x:c r="J47" s="38" t="str">
        <x:v>recebíveis de Rede, GetNet, Cielo e Pag</x:v>
      </x:c>
      <x:c r="K47" s="38" t="str">
        <x:v>IMG_8705.JPG</x:v>
      </x:c>
      <x:c r="L47" s="38" t="str">
        <x:v>planilha amarela; linha da raiz 62838025</x:v>
      </x:c>
      <x:c r="M47" s="38" t="str">
        <x:v>confirmado_legivel</x:v>
      </x:c>
      <x:c r="N47" s="38" t="str">
        <x:v>alta</x:v>
      </x:c>
      <x:c r="O47" s="38" t="str">
        <x:v>N/D</x:v>
      </x:c>
      <x:c r="P47" s="38" t="str">
        <x:v>Carteira 101</x:v>
      </x:c>
      <x:c r="Q47" s="38" t="str">
        <x:v>cedente_originador_literal; papel_literal; cedente; tipo_recebivel_literal</x:v>
      </x:c>
      <x:c r="R47" s="67" t="b">
        <x:v>1</x:v>
      </x:c>
      <x:c r="S47" s="38" t="str">
        <x:v>overlay aplicado somente em lacunas</x:v>
      </x:c>
    </x:row>
    <x:row r="48" ht="36" customHeight="1">
      <x:c r="A48" s="104" t="str">
        <x:v>47280025</x:v>
      </x:c>
      <x:c r="B48" s="69" t="str">
        <x:v>47280025000150</x:v>
      </x:c>
      <x:c r="C48" s="39" t="str">
        <x:v>correspondencia_unica</x:v>
      </x:c>
      <x:c r="D48" s="39" t="str">
        <x:v>FUNDO DE INVESTIMENTO EM DIREITOS CREDITORIOS ALBA</x:v>
      </x:c>
      <x:c r="E48" s="39" t="str">
        <x:v>Albaugh</x:v>
      </x:c>
      <x:c r="F48" s="39" t="str">
        <x:v>cedente</x:v>
      </x:c>
      <x:c r="G48" s="39" t="str">
        <x:v>N/D</x:v>
      </x:c>
      <x:c r="H48" s="39" t="str">
        <x:v>Albaugh</x:v>
      </x:c>
      <x:c r="I48" s="39" t="str">
        <x:v>N/D</x:v>
      </x:c>
      <x:c r="J48" s="39" t="str">
        <x:v>N/D</x:v>
      </x:c>
      <x:c r="K48" s="39" t="str">
        <x:v>IMG_8705.JPG</x:v>
      </x:c>
      <x:c r="L48" s="39" t="str">
        <x:v>planilha amarela; linha da raiz 47280025</x:v>
      </x:c>
      <x:c r="M48" s="39" t="str">
        <x:v>confirmado_legivel</x:v>
      </x:c>
      <x:c r="N48" s="39" t="str">
        <x:v>alta</x:v>
      </x:c>
      <x:c r="O48" s="39" t="str">
        <x:v>OBS da foto: fundo continua sofrendo com inadimplência da carteira antiga.</x:v>
      </x:c>
      <x:c r="P48" s="39" t="str">
        <x:v>Carteira 101</x:v>
      </x:c>
      <x:c r="Q48" s="39" t="str">
        <x:v>cedente_originador_literal; papel_literal; cedente</x:v>
      </x:c>
      <x:c r="R48" s="66" t="b">
        <x:v>1</x:v>
      </x:c>
      <x:c r="S48" s="39" t="str">
        <x:v>overlay aplicado somente em lacunas</x:v>
      </x:c>
    </x:row>
    <x:row r="49" ht="36" customHeight="1">
      <x:c r="A49" s="105" t="str">
        <x:v>57270666</x:v>
      </x:c>
      <x:c r="B49" s="70" t="str">
        <x:v>57270666000187</x:v>
      </x:c>
      <x:c r="C49" s="38" t="str">
        <x:v>correspondencia_unica</x:v>
      </x:c>
      <x:c r="D49" s="38" t="str">
        <x:v>MOBILITAS FIDC - RL</x:v>
      </x:c>
      <x:c r="E49" s="38" t="str">
        <x:v>N/D</x:v>
      </x:c>
      <x:c r="F49" s="38" t="str">
        <x:v>N/D</x:v>
      </x:c>
      <x:c r="G49" s="38" t="str">
        <x:v>N/D</x:v>
      </x:c>
      <x:c r="H49" s="38" t="str">
        <x:v>N/D</x:v>
      </x:c>
      <x:c r="I49" s="38" t="str">
        <x:v>N/D</x:v>
      </x:c>
      <x:c r="J49" s="38" t="str">
        <x:v>Direitos Creditórios performados; REDE como adquirente</x:v>
      </x:c>
      <x:c r="K49" s="38" t="str">
        <x:v>IMG_8705.JPG</x:v>
      </x:c>
      <x:c r="L49" s="38" t="str">
        <x:v>planilha amarela; linha da raiz 57270666</x:v>
      </x:c>
      <x:c r="M49" s="38" t="str">
        <x:v>confirmado_legivel</x:v>
      </x:c>
      <x:c r="N49" s="38" t="str">
        <x:v>alta</x:v>
      </x:c>
      <x:c r="O49" s="38" t="str">
        <x:v>Campo Cedente do Direito Creditório vazio na foto.</x:v>
      </x:c>
      <x:c r="P49" s="38" t="str">
        <x:v>Carteira 101</x:v>
      </x:c>
      <x:c r="Q49" s="38" t="str">
        <x:v>tipo_recebivel_literal</x:v>
      </x:c>
      <x:c r="R49" s="67" t="b">
        <x:v>1</x:v>
      </x:c>
      <x:c r="S49" s="38" t="str">
        <x:v>overlay aplicado somente em lacunas</x:v>
      </x:c>
    </x:row>
    <x:row r="50" ht="36" customHeight="1">
      <x:c r="A50" s="104" t="str">
        <x:v>58288437</x:v>
      </x:c>
      <x:c r="B50" s="69" t="str">
        <x:v>58288437000152</x:v>
      </x:c>
      <x:c r="C50" s="39" t="str">
        <x:v>correspondencia_unica</x:v>
      </x:c>
      <x:c r="D50" s="39" t="str">
        <x:v>ALTOMAX FIDC SEG RECEB COM LTDA</x:v>
      </x:c>
      <x:c r="E50" s="39" t="str">
        <x:v>Cias do Grupo Altomax no Brasil (Altomax Com...)</x:v>
      </x:c>
      <x:c r="F50" s="39" t="str">
        <x:v>cedente</x:v>
      </x:c>
      <x:c r="G50" s="39" t="str">
        <x:v>N/D</x:v>
      </x:c>
      <x:c r="H50" s="39" t="str">
        <x:v>Cias do Grupo Altomax no Brasil (Altomax Com...)</x:v>
      </x:c>
      <x:c r="I50" s="39" t="str">
        <x:v>N/D</x:v>
      </x:c>
      <x:c r="J50" s="39" t="str">
        <x:v>duplicatas</x:v>
      </x:c>
      <x:c r="K50" s="39" t="str">
        <x:v>IMG_8705.JPG</x:v>
      </x:c>
      <x:c r="L50" s="39" t="str">
        <x:v>planilha amarela; linha da raiz 58288437</x:v>
      </x:c>
      <x:c r="M50" s="39" t="str">
        <x:v>revisao</x:v>
      </x:c>
      <x:c r="N50" s="39" t="str">
        <x:v>média</x:v>
      </x:c>
      <x:c r="O50" s="39" t="str">
        <x:v>Literal de cedente e OBS cortados; não elegível até revisão.</x:v>
      </x:c>
      <x:c r="P50" s="39" t="str">
        <x:v>N/D</x:v>
      </x:c>
      <x:c r="Q50" s="39" t="str">
        <x:v>N/D</x:v>
      </x:c>
      <x:c r="R50" s="66" t="b">
        <x:v>0</x:v>
      </x:c>
      <x:c r="S50" s="39" t="str">
        <x:v>status de transcrição não aprovado</x:v>
      </x:c>
    </x:row>
    <x:row r="51" ht="36" customHeight="1">
      <x:c r="A51" s="105" t="str">
        <x:v>55476342</x:v>
      </x:c>
      <x:c r="B51" s="70" t="str">
        <x:v>55476342000174</x:v>
      </x:c>
      <x:c r="C51" s="38" t="str">
        <x:v>correspondencia_unica</x:v>
      </x:c>
      <x:c r="D51" s="38" t="str">
        <x:v>LAVORO AGRO II FUNDO DE INVESTIMENTO EM DIREITOS C...</x:v>
      </x:c>
      <x:c r="E51" s="38" t="str">
        <x:v>Lavoro</x:v>
      </x:c>
      <x:c r="F51" s="38" t="str">
        <x:v>cedente</x:v>
      </x:c>
      <x:c r="G51" s="38" t="str">
        <x:v>N/D</x:v>
      </x:c>
      <x:c r="H51" s="38" t="str">
        <x:v>Lavoro</x:v>
      </x:c>
      <x:c r="I51" s="38" t="str">
        <x:v>N/D</x:v>
      </x:c>
      <x:c r="J51" s="38" t="str">
        <x:v>N/D</x:v>
      </x:c>
      <x:c r="K51" s="38" t="str">
        <x:v>IMG_8705.JPG</x:v>
      </x:c>
      <x:c r="L51" s="38" t="str">
        <x:v>planilha amarela; linha da raiz 55476342</x:v>
      </x:c>
      <x:c r="M51" s="38" t="str">
        <x:v>confirmado_legivel</x:v>
      </x:c>
      <x:c r="N51" s="38" t="str">
        <x:v>alta</x:v>
      </x:c>
      <x:c r="O51" s="38" t="str">
        <x:v>OBS da foto: em discussão para possível migração do FIDC para risco bilateral. Denominação cortada.</x:v>
      </x:c>
      <x:c r="P51" s="38" t="str">
        <x:v>Carteira 101</x:v>
      </x:c>
      <x:c r="Q51" s="38" t="str">
        <x:v>cedente_originador_literal; papel_literal; cedente</x:v>
      </x:c>
      <x:c r="R51" s="67" t="b">
        <x:v>1</x:v>
      </x:c>
      <x:c r="S51" s="38" t="str">
        <x:v>overlay aplicado somente em lacunas</x:v>
      </x:c>
    </x:row>
    <x:row r="52" ht="36" customHeight="1">
      <x:c r="A52" s="104" t="str">
        <x:v>63679792</x:v>
      </x:c>
      <x:c r="B52" s="69" t="str">
        <x:v>63679792000192</x:v>
      </x:c>
      <x:c r="C52" s="39" t="str">
        <x:v>correspondencia_unica</x:v>
      </x:c>
      <x:c r="D52" s="39" t="str">
        <x:v>BLUE HEALTH FIDC RECEBI LTDA</x:v>
      </x:c>
      <x:c r="E52" s="39" t="str">
        <x:v>Empresas do Conglomerado Blue Health</x:v>
      </x:c>
      <x:c r="F52" s="39" t="str">
        <x:v>cedente</x:v>
      </x:c>
      <x:c r="G52" s="39" t="str">
        <x:v>N/D</x:v>
      </x:c>
      <x:c r="H52" s="39" t="str">
        <x:v>Empresas do Conglomerado Blue Health</x:v>
      </x:c>
      <x:c r="I52" s="39" t="str">
        <x:v>N/D</x:v>
      </x:c>
      <x:c r="J52" s="39" t="str">
        <x:v>recebíveis de contrato de locação de equipamentos hospitalares</x:v>
      </x:c>
      <x:c r="K52" s="39" t="str">
        <x:v>IMG_8705.JPG</x:v>
      </x:c>
      <x:c r="L52" s="39" t="str">
        <x:v>planilha amarela; linha da raiz 63679792</x:v>
      </x:c>
      <x:c r="M52" s="39" t="str">
        <x:v>confirmado_legivel</x:v>
      </x:c>
      <x:c r="N52" s="39" t="str">
        <x:v>média</x:v>
      </x:c>
      <x:c r="O52" s="39" t="str">
        <x:v>OBS continua fora da foto depois da descrição legível.</x:v>
      </x:c>
      <x:c r="P52" s="39" t="str">
        <x:v>Carteira 101</x:v>
      </x:c>
      <x:c r="Q52" s="39" t="str">
        <x:v>cedente_originador_literal; papel_literal; cedente; tipo_recebivel_literal</x:v>
      </x:c>
      <x:c r="R52" s="66" t="b">
        <x:v>1</x:v>
      </x:c>
      <x:c r="S52" s="39" t="str">
        <x:v>overlay aplicado somente em lacunas</x:v>
      </x:c>
    </x:row>
    <x:row r="53" ht="36" customHeight="1">
      <x:c r="A53" s="105" t="str">
        <x:v>42154687</x:v>
      </x:c>
      <x:c r="B53" s="70" t="str">
        <x:v>42154687000160</x:v>
      </x:c>
      <x:c r="C53" s="38" t="str">
        <x:v>correspondencia_unica</x:v>
      </x:c>
      <x:c r="D53" s="38" t="str">
        <x:v>MULTIPLIKE PLUS FUNDO I D CRED...</x:v>
      </x:c>
      <x:c r="E53" s="38" t="str">
        <x:v>Multicedentes &amp; Multisacados</x:v>
      </x:c>
      <x:c r="F53" s="38" t="str">
        <x:v>cedente</x:v>
      </x:c>
      <x:c r="G53" s="38" t="str">
        <x:v>N/D</x:v>
      </x:c>
      <x:c r="H53" s="38" t="str">
        <x:v>Multicedentes &amp; Multisacados</x:v>
      </x:c>
      <x:c r="I53" s="38" t="str">
        <x:v>N/D</x:v>
      </x:c>
      <x:c r="J53" s="38" t="str">
        <x:v>FIDC MultiCedente / Multisacado</x:v>
      </x:c>
      <x:c r="K53" s="38" t="str">
        <x:v>IMG_8705.JPG</x:v>
      </x:c>
      <x:c r="L53" s="38" t="str">
        <x:v>planilha amarela; linha da raiz 42154687</x:v>
      </x:c>
      <x:c r="M53" s="38" t="str">
        <x:v>confirmado_legivel</x:v>
      </x:c>
      <x:c r="N53" s="38" t="str">
        <x:v>alta</x:v>
      </x:c>
      <x:c r="O53" s="38" t="str">
        <x:v>Denominação cortada pela largura da coluna na foto.</x:v>
      </x:c>
      <x:c r="P53" s="38" t="str">
        <x:v>Carteira 101</x:v>
      </x:c>
      <x:c r="Q53" s="38" t="str">
        <x:v>cedente_originador_literal; papel_literal; cedente; tipo_recebivel_literal</x:v>
      </x:c>
      <x:c r="R53" s="67" t="b">
        <x:v>1</x:v>
      </x:c>
      <x:c r="S53" s="38" t="str">
        <x:v>overlay aplicado somente em lacunas</x:v>
      </x:c>
    </x:row>
    <x:row r="54" ht="36" customHeight="1">
      <x:c r="A54" s="104" t="str">
        <x:v>48946335</x:v>
      </x:c>
      <x:c r="B54" s="69" t="str">
        <x:v>48946335000123</x:v>
      </x:c>
      <x:c r="C54" s="39" t="str">
        <x:v>correspondencia_unica</x:v>
      </x:c>
      <x:c r="D54" s="39" t="str">
        <x:v>NAGRO OIKOS FIAGRO FUNDO DE INVESTIMENTO EM DIREI...</x:v>
      </x:c>
      <x:c r="E54" s="39" t="str">
        <x:v>Multicedentes</x:v>
      </x:c>
      <x:c r="F54" s="39" t="str">
        <x:v>cedente</x:v>
      </x:c>
      <x:c r="G54" s="39" t="str">
        <x:v>N/D</x:v>
      </x:c>
      <x:c r="H54" s="39" t="str">
        <x:v>Multicedentes</x:v>
      </x:c>
      <x:c r="I54" s="39" t="str">
        <x:v>N/D</x:v>
      </x:c>
      <x:c r="J54" s="39" t="str">
        <x:v>N/D</x:v>
      </x:c>
      <x:c r="K54" s="39" t="str">
        <x:v>IMG_8705.JPG</x:v>
      </x:c>
      <x:c r="L54" s="39" t="str">
        <x:v>planilha amarela; linha da raiz 48946335</x:v>
      </x:c>
      <x:c r="M54" s="39" t="str">
        <x:v>confirmado_legivel</x:v>
      </x:c>
      <x:c r="N54" s="39" t="str">
        <x:v>alta</x:v>
      </x:c>
      <x:c r="O54" s="39" t="str">
        <x:v>OBS da foto: análise NAGRO. Denominação cortada.</x:v>
      </x:c>
      <x:c r="P54" s="39" t="str">
        <x:v>Carteira 101</x:v>
      </x:c>
      <x:c r="Q54" s="39" t="str">
        <x:v>cedente_originador_literal; papel_literal; cedente</x:v>
      </x:c>
      <x:c r="R54" s="66" t="b">
        <x:v>1</x:v>
      </x:c>
      <x:c r="S54" s="39" t="str">
        <x:v>overlay aplicado somente em lacunas</x:v>
      </x:c>
    </x:row>
    <x:row r="55" ht="36" customHeight="1">
      <x:c r="A55" s="105" t="str">
        <x:v>55374251</x:v>
      </x:c>
      <x:c r="B55" s="70" t="str">
        <x:v>55374251000128</x:v>
      </x:c>
      <x:c r="C55" s="38" t="str">
        <x:v>correspondencia_unica</x:v>
      </x:c>
      <x:c r="D55" s="38" t="str">
        <x:v>FUNDO DE INVESTIMENTO EM DIREITOS CREDITORIOS BLUE</x:v>
      </x:c>
      <x:c r="E55" s="38" t="str">
        <x:v>Azul</x:v>
      </x:c>
      <x:c r="F55" s="38" t="str">
        <x:v>cedente</x:v>
      </x:c>
      <x:c r="G55" s="38" t="str">
        <x:v>N/D</x:v>
      </x:c>
      <x:c r="H55" s="38" t="str">
        <x:v>Azul</x:v>
      </x:c>
      <x:c r="I55" s="38" t="str">
        <x:v>N/D</x:v>
      </x:c>
      <x:c r="J55" s="38" t="str">
        <x:v>Debênture</x:v>
      </x:c>
      <x:c r="K55" s="38" t="str">
        <x:v>IMG_8705.JPG</x:v>
      </x:c>
      <x:c r="L55" s="38" t="str">
        <x:v>planilha amarela; linha da raiz 55374251</x:v>
      </x:c>
      <x:c r="M55" s="38" t="str">
        <x:v>confirmado_legivel</x:v>
      </x:c>
      <x:c r="N55" s="38" t="str">
        <x:v>alta</x:v>
      </x:c>
      <x:c r="O55" s="38" t="str">
        <x:v>OBS da foto: Book Special Sits; risco de repagamento Azul com 40% de subordinação.</x:v>
      </x:c>
      <x:c r="P55" s="38" t="str">
        <x:v>Carteira 101</x:v>
      </x:c>
      <x:c r="Q55" s="38" t="str">
        <x:v>cedente_originador_literal; papel_literal; cedente; tipo_recebivel_literal</x:v>
      </x:c>
      <x:c r="R55" s="67" t="b">
        <x:v>1</x:v>
      </x:c>
      <x:c r="S55" s="38" t="str">
        <x:v>overlay aplicado somente em lacunas</x:v>
      </x:c>
    </x:row>
    <x:row r="56" ht="36" customHeight="1">
      <x:c r="A56" s="104" t="str">
        <x:v>35868110</x:v>
      </x:c>
      <x:c r="B56" s="69" t="str">
        <x:v>35868110000154</x:v>
      </x:c>
      <x:c r="C56" s="39" t="str">
        <x:v>correspondencia_unica</x:v>
      </x:c>
      <x:c r="D56" s="39" t="str">
        <x:v>FUNDO DE INVESTIMENTO EM DIREITOS CREDITORIOS BV -</x:v>
      </x:c>
      <x:c r="E56" s="39" t="str">
        <x:v>Banco Votorantim</x:v>
      </x:c>
      <x:c r="F56" s="39" t="str">
        <x:v>cedente</x:v>
      </x:c>
      <x:c r="G56" s="39" t="str">
        <x:v>N/D</x:v>
      </x:c>
      <x:c r="H56" s="39" t="str">
        <x:v>Banco Votorantim</x:v>
      </x:c>
      <x:c r="I56" s="39" t="str">
        <x:v>N/D</x:v>
      </x:c>
      <x:c r="J56" s="39" t="str">
        <x:v>Carteira Veículos com coobrigação BV</x:v>
      </x:c>
      <x:c r="K56" s="39" t="str">
        <x:v>IMG_8705.JPG</x:v>
      </x:c>
      <x:c r="L56" s="39" t="str">
        <x:v>planilha amarela; linha da raiz 35868110</x:v>
      </x:c>
      <x:c r="M56" s="39" t="str">
        <x:v>confirmado_legivel</x:v>
      </x:c>
      <x:c r="N56" s="39" t="str">
        <x:v>alta</x:v>
      </x:c>
      <x:c r="O56" s="39" t="str">
        <x:v>N/D</x:v>
      </x:c>
      <x:c r="P56" s="39" t="str">
        <x:v>Carteira 101</x:v>
      </x:c>
      <x:c r="Q56" s="39" t="str">
        <x:v>cedente_originador_literal; papel_literal; cedente; tipo_recebivel_literal</x:v>
      </x:c>
      <x:c r="R56" s="66" t="b">
        <x:v>1</x:v>
      </x:c>
      <x:c r="S56" s="39" t="str">
        <x:v>overlay aplicado somente em lacunas</x:v>
      </x:c>
    </x:row>
    <x:row r="57" ht="36" customHeight="1">
      <x:c r="A57" s="105" t="str">
        <x:v>48953864</x:v>
      </x:c>
      <x:c r="B57" s="70" t="str">
        <x:v>48953864000154</x:v>
      </x:c>
      <x:c r="C57" s="38" t="str">
        <x:v>correspondencia_unica</x:v>
      </x:c>
      <x:c r="D57" s="38" t="str">
        <x:v>FUNDO INVESTIMENTO E D C A II</x:v>
      </x:c>
      <x:c r="E57" s="38" t="str">
        <x:v>Asaas IP</x:v>
      </x:c>
      <x:c r="F57" s="38" t="str">
        <x:v>cedente</x:v>
      </x:c>
      <x:c r="G57" s="38" t="str">
        <x:v>N/D</x:v>
      </x:c>
      <x:c r="H57" s="38" t="str">
        <x:v>Asaas IP</x:v>
      </x:c>
      <x:c r="I57" s="38" t="str">
        <x:v>N/D</x:v>
      </x:c>
      <x:c r="J57" s="38" t="str">
        <x:v>80% Redecard e 20% Adyen</x:v>
      </x:c>
      <x:c r="K57" s="38" t="str">
        <x:v>IMG_8705.JPG</x:v>
      </x:c>
      <x:c r="L57" s="38" t="str">
        <x:v>planilha amarela; linha da raiz 48953864</x:v>
      </x:c>
      <x:c r="M57" s="38" t="str">
        <x:v>confirmado_legivel</x:v>
      </x:c>
      <x:c r="N57" s="38" t="str">
        <x:v>alta</x:v>
      </x:c>
      <x:c r="O57" s="38" t="str">
        <x:v>N/D</x:v>
      </x:c>
      <x:c r="P57" s="38" t="str">
        <x:v>Carteira 101</x:v>
      </x:c>
      <x:c r="Q57" s="38" t="str">
        <x:v>cedente_originador_literal; papel_literal; cedente; tipo_recebivel_literal</x:v>
      </x:c>
      <x:c r="R57" s="67" t="b">
        <x:v>1</x:v>
      </x:c>
      <x:c r="S57" s="38" t="str">
        <x:v>overlay aplicado somente em lacunas</x:v>
      </x:c>
    </x:row>
    <x:row r="58" ht="36" customHeight="1">
      <x:c r="A58" s="104" t="str">
        <x:v>50536324</x:v>
      </x:c>
      <x:c r="B58" s="69" t="str">
        <x:v>50536324000117</x:v>
      </x:c>
      <x:c r="C58" s="39" t="str">
        <x:v>correspondencia_unica</x:v>
      </x:c>
      <x:c r="D58" s="39" t="str">
        <x:v>MAQNELSON FUNDO DE INVESTIMENTO EM DIREITOS CREDIT...</x:v>
      </x:c>
      <x:c r="E58" s="39" t="str">
        <x:v>Maqnelson</x:v>
      </x:c>
      <x:c r="F58" s="39" t="str">
        <x:v>cedente</x:v>
      </x:c>
      <x:c r="G58" s="39" t="str">
        <x:v>N/D</x:v>
      </x:c>
      <x:c r="H58" s="39" t="str">
        <x:v>Maqnelson</x:v>
      </x:c>
      <x:c r="I58" s="39" t="str">
        <x:v>N/D</x:v>
      </x:c>
      <x:c r="J58" s="39" t="str">
        <x:v>máquinas agrícolas</x:v>
      </x:c>
      <x:c r="K58" s="39" t="str">
        <x:v>IMG_8706.JPG</x:v>
      </x:c>
      <x:c r="L58" s="39" t="str">
        <x:v>planilha amarela; linha da raiz 50536324</x:v>
      </x:c>
      <x:c r="M58" s="39" t="str">
        <x:v>confirmado_legivel</x:v>
      </x:c>
      <x:c r="N58" s="39" t="str">
        <x:v>média</x:v>
      </x:c>
      <x:c r="O58" s="39" t="str">
        <x:v>OBS legível: houve desenquadramento da subordinação e haverá amortização de parcela da cota para reenquadramento; final cortado. Denominação cortada.</x:v>
      </x:c>
      <x:c r="P58" s="39" t="str">
        <x:v>Carteira 101</x:v>
      </x:c>
      <x:c r="Q58" s="39" t="str">
        <x:v>cedente_originador_literal; papel_literal; cedente; tipo_recebivel_literal</x:v>
      </x:c>
      <x:c r="R58" s="66" t="b">
        <x:v>1</x:v>
      </x:c>
      <x:c r="S58" s="39" t="str">
        <x:v>overlay aplicado somente em lacunas</x:v>
      </x:c>
    </x:row>
    <x:row r="59" ht="36" customHeight="1">
      <x:c r="A59" s="105" t="str">
        <x:v>57816252</x:v>
      </x:c>
      <x:c r="B59" s="70" t="str">
        <x:v>57816252000100</x:v>
      </x:c>
      <x:c r="C59" s="38" t="str">
        <x:v>correspondencia_unica</x:v>
      </x:c>
      <x:c r="D59" s="38" t="str">
        <x:v>NATURA PAY FUNDO DE INVESTIMENTO EM DIREITOS CREDI...</x:v>
      </x:c>
      <x:c r="E59" s="38" t="str">
        <x:v>Natura &amp;CO Pay Sociedade de Crédito Direto S.A.</x:v>
      </x:c>
      <x:c r="F59" s="38" t="str">
        <x:v>cedente</x:v>
      </x:c>
      <x:c r="G59" s="38" t="str">
        <x:v>N/D</x:v>
      </x:c>
      <x:c r="H59" s="38" t="str">
        <x:v>Natura &amp;CO Pay Sociedade de Crédito Direto S.A.</x:v>
      </x:c>
      <x:c r="I59" s="38" t="str">
        <x:v>N/D</x:v>
      </x:c>
      <x:c r="J59" s="38" t="str">
        <x:v>Duplicatas de venda de produtos a prazo para Consultoras Natura; em geral parcelado 3x sem juros</x:v>
      </x:c>
      <x:c r="K59" s="38" t="str">
        <x:v>IMG_8706.JPG</x:v>
      </x:c>
      <x:c r="L59" s="38" t="str">
        <x:v>planilha amarela; linha da raiz 57816252</x:v>
      </x:c>
      <x:c r="M59" s="38" t="str">
        <x:v>confirmado_legivel</x:v>
      </x:c>
      <x:c r="N59" s="38" t="str">
        <x:v>alta</x:v>
      </x:c>
      <x:c r="O59" s="38" t="str">
        <x:v>Coluna adicional da foto: Duplicatas. Denominação cortada.</x:v>
      </x:c>
      <x:c r="P59" s="38" t="str">
        <x:v>Carteira 101</x:v>
      </x:c>
      <x:c r="Q59" s="38" t="str">
        <x:v>cedente_originador_literal; papel_literal; cedente; tipo_recebivel_literal</x:v>
      </x:c>
      <x:c r="R59" s="67" t="b">
        <x:v>1</x:v>
      </x:c>
      <x:c r="S59" s="38" t="str">
        <x:v>overlay aplicado somente em lacunas</x:v>
      </x:c>
    </x:row>
    <x:row r="60" ht="36" customHeight="1">
      <x:c r="A60" s="104" t="str">
        <x:v>50473039</x:v>
      </x:c>
      <x:c r="B60" s="69" t="str">
        <x:v>50473039000102</x:v>
      </x:c>
      <x:c r="C60" s="39" t="str">
        <x:v>correspondencia_unica</x:v>
      </x:c>
      <x:c r="D60" s="39" t="str">
        <x:v>SELLER FUNDO DE INVESTIMENTO EM DIREITOS CREDITRI...</x:v>
      </x:c>
      <x:c r="E60" s="39" t="str">
        <x:v>Mercado Livre</x:v>
      </x:c>
      <x:c r="F60" s="39" t="str">
        <x:v>cedente</x:v>
      </x:c>
      <x:c r="G60" s="39" t="str">
        <x:v>N/D</x:v>
      </x:c>
      <x:c r="H60" s="39" t="str">
        <x:v>Mercado Livre</x:v>
      </x:c>
      <x:c r="I60" s="39" t="str">
        <x:v>N/D</x:v>
      </x:c>
      <x:c r="J60" s="39" t="str">
        <x:v>recebíveis com risco Grupo Mercado Livre</x:v>
      </x:c>
      <x:c r="K60" s="39" t="str">
        <x:v>IMG_8706.JPG</x:v>
      </x:c>
      <x:c r="L60" s="39" t="str">
        <x:v>planilha amarela; linha da raiz 50473039</x:v>
      </x:c>
      <x:c r="M60" s="39" t="str">
        <x:v>confirmado_legivel</x:v>
      </x:c>
      <x:c r="N60" s="39" t="str">
        <x:v>alta</x:v>
      </x:c>
      <x:c r="O60" s="39" t="str">
        <x:v>Denominação cortada pela largura da coluna na foto.</x:v>
      </x:c>
      <x:c r="P60" s="39" t="str">
        <x:v>Carteira 101; Flagships</x:v>
      </x:c>
      <x:c r="Q60" s="39" t="str">
        <x:v>cedente_originador_literal; papel_literal; cedente; tipo_recebivel_literal</x:v>
      </x:c>
      <x:c r="R60" s="66" t="b">
        <x:v>1</x:v>
      </x:c>
      <x:c r="S60" s="39" t="str">
        <x:v>overlay aplicado somente em lacunas</x:v>
      </x:c>
    </x:row>
    <x:row r="61" ht="36" customHeight="1">
      <x:c r="A61" s="105" t="str">
        <x:v>62588266</x:v>
      </x:c>
      <x:c r="B61" s="70" t="str">
        <x:v>62588266000154</x:v>
      </x:c>
      <x:c r="C61" s="38" t="str">
        <x:v>correspondencia_unica</x:v>
      </x:c>
      <x:c r="D61" s="38" t="str">
        <x:v>VTK FIDC RESP LIMIT</x:v>
      </x:c>
      <x:c r="E61" s="38" t="str">
        <x:v>Facta</x:v>
      </x:c>
      <x:c r="F61" s="38" t="str">
        <x:v>cedente</x:v>
      </x:c>
      <x:c r="G61" s="38" t="str">
        <x:v>N/D</x:v>
      </x:c>
      <x:c r="H61" s="38" t="str">
        <x:v>Facta</x:v>
      </x:c>
      <x:c r="I61" s="38" t="str">
        <x:v>N/D</x:v>
      </x:c>
      <x:c r="J61" s="38" t="str">
        <x:v>Crédito INSS</x:v>
      </x:c>
      <x:c r="K61" s="38" t="str">
        <x:v>IMG_8706.JPG</x:v>
      </x:c>
      <x:c r="L61" s="38" t="str">
        <x:v>planilha amarela; linha da raiz 62588266</x:v>
      </x:c>
      <x:c r="M61" s="38" t="str">
        <x:v>confirmado_legivel</x:v>
      </x:c>
      <x:c r="N61" s="38" t="str">
        <x:v>alta</x:v>
      </x:c>
      <x:c r="O61" s="38" t="str">
        <x:v>N/D</x:v>
      </x:c>
      <x:c r="P61" s="38" t="str">
        <x:v>Carteira 101</x:v>
      </x:c>
      <x:c r="Q61" s="38" t="str">
        <x:v>cedente_originador_literal; papel_literal; cedente; tipo_recebivel_literal</x:v>
      </x:c>
      <x:c r="R61" s="67" t="b">
        <x:v>1</x:v>
      </x:c>
      <x:c r="S61" s="38" t="str">
        <x:v>overlay aplicado somente em lacunas</x:v>
      </x:c>
    </x:row>
    <x:row r="62" ht="36" customHeight="1">
      <x:c r="A62" s="104" t="str">
        <x:v>50988212</x:v>
      </x:c>
      <x:c r="B62" s="69" t="str">
        <x:v>50988212000105</x:v>
      </x:c>
      <x:c r="C62" s="39" t="str">
        <x:v>correspondencia_unica</x:v>
      </x:c>
      <x:c r="D62" s="39" t="str">
        <x:v>CARTAO DE COMPRA SUPPLIER FUNDO DE INVESTIMENTO EM...</x:v>
      </x:c>
      <x:c r="E62" s="39" t="str">
        <x:v>Supplier</x:v>
      </x:c>
      <x:c r="F62" s="39" t="str">
        <x:v>cedente</x:v>
      </x:c>
      <x:c r="G62" s="39" t="str">
        <x:v>N/D</x:v>
      </x:c>
      <x:c r="H62" s="39" t="str">
        <x:v>Supplier</x:v>
      </x:c>
      <x:c r="I62" s="39" t="str">
        <x:v>N/D</x:v>
      </x:c>
      <x:c r="J62" s="39" t="str">
        <x:v>Crédito Curto Prazo com o segurado; Crédito PME</x:v>
      </x:c>
      <x:c r="K62" s="39" t="str">
        <x:v>IMG_8706.JPG</x:v>
      </x:c>
      <x:c r="L62" s="39" t="str">
        <x:v>planilha amarela; linha da raiz 50988212</x:v>
      </x:c>
      <x:c r="M62" s="39" t="str">
        <x:v>confirmado_legivel</x:v>
      </x:c>
      <x:c r="N62" s="39" t="str">
        <x:v>alta</x:v>
      </x:c>
      <x:c r="O62" s="39" t="str">
        <x:v>Denominação cortada pela largura da coluna na foto.</x:v>
      </x:c>
      <x:c r="P62" s="39" t="str">
        <x:v>Carteira 101</x:v>
      </x:c>
      <x:c r="Q62" s="39" t="str">
        <x:v>cedente_originador_literal; papel_literal; cedente; tipo_recebivel_literal</x:v>
      </x:c>
      <x:c r="R62" s="66" t="b">
        <x:v>1</x:v>
      </x:c>
      <x:c r="S62" s="39" t="str">
        <x:v>overlay aplicado somente em lacunas</x:v>
      </x:c>
    </x:row>
    <x:row r="63" ht="36" customHeight="1">
      <x:c r="A63" s="105" t="str">
        <x:v>58476088</x:v>
      </x:c>
      <x:c r="B63" s="70" t="str">
        <x:v>58476088000100</x:v>
      </x:c>
      <x:c r="C63" s="38" t="str">
        <x:v>correspondencia_unica</x:v>
      </x:c>
      <x:c r="D63" s="38" t="str">
        <x:v>CONSORCIO DALTEZ</x:v>
      </x:c>
      <x:c r="E63" s="38" t="str">
        <x:v>Saga Brasil</x:v>
      </x:c>
      <x:c r="F63" s="38" t="str">
        <x:v>cedente</x:v>
      </x:c>
      <x:c r="G63" s="38" t="str">
        <x:v>N/D</x:v>
      </x:c>
      <x:c r="H63" s="38" t="str">
        <x:v>Saga Brasil</x:v>
      </x:c>
      <x:c r="I63" s="38" t="str">
        <x:v>N/D</x:v>
      </x:c>
      <x:c r="J63" s="38" t="str">
        <x:v>notas comerciais para substituição parcial de Floor Plan</x:v>
      </x:c>
      <x:c r="K63" s="38" t="str">
        <x:v>IMG_8706.JPG</x:v>
      </x:c>
      <x:c r="L63" s="38" t="str">
        <x:v>planilha amarela; linha da raiz 58476088</x:v>
      </x:c>
      <x:c r="M63" s="38" t="str">
        <x:v>confirmado_legivel</x:v>
      </x:c>
      <x:c r="N63" s="38" t="str">
        <x:v>média</x:v>
      </x:c>
      <x:c r="O63" s="38" t="str">
        <x:v>OBS continua fora da foto após a descrição legível.</x:v>
      </x:c>
      <x:c r="P63" s="38" t="str">
        <x:v>Carteira 101</x:v>
      </x:c>
      <x:c r="Q63" s="38" t="str">
        <x:v>cedente_originador_literal; papel_literal; cedente; tipo_recebivel_literal</x:v>
      </x:c>
      <x:c r="R63" s="67" t="b">
        <x:v>1</x:v>
      </x:c>
      <x:c r="S63" s="38" t="str">
        <x:v>overlay aplicado somente em lacunas</x:v>
      </x:c>
    </x:row>
    <x:row r="64" ht="36" customHeight="1">
      <x:c r="A64" s="104" t="str">
        <x:v>58349979</x:v>
      </x:c>
      <x:c r="B64" s="69" t="str">
        <x:v>58349979000198</x:v>
      </x:c>
      <x:c r="C64" s="39" t="str">
        <x:v>correspondencia_unica</x:v>
      </x:c>
      <x:c r="D64" s="39" t="str">
        <x:v>VOLKSWAGEN TERA FIDC SEGMENTO RECEBIVEIS COMERCIAI...</x:v>
      </x:c>
      <x:c r="E64" s="39" t="str">
        <x:v>Volkswagen do Brasil S.A.</x:v>
      </x:c>
      <x:c r="F64" s="39" t="str">
        <x:v>cedente</x:v>
      </x:c>
      <x:c r="G64" s="39" t="str">
        <x:v>N/D</x:v>
      </x:c>
      <x:c r="H64" s="39" t="str">
        <x:v>Volkswagen do Brasil S.A.</x:v>
      </x:c>
      <x:c r="I64" s="39" t="str">
        <x:v>N/D</x:v>
      </x:c>
      <x:c r="J64" s="39" t="str">
        <x:v>Direitos creditórios</x:v>
      </x:c>
      <x:c r="K64" s="39" t="str">
        <x:v>IMG_8706.JPG</x:v>
      </x:c>
      <x:c r="L64" s="39" t="str">
        <x:v>planilha amarela; linha da raiz 58349979</x:v>
      </x:c>
      <x:c r="M64" s="39" t="str">
        <x:v>confirmado_legivel</x:v>
      </x:c>
      <x:c r="N64" s="39" t="str">
        <x:v>alta</x:v>
      </x:c>
      <x:c r="O64" s="39" t="str">
        <x:v>OBS da foto: concentração grande com LM e Unidas, ambas com tendência de rating estável. Denominação cortada.</x:v>
      </x:c>
      <x:c r="P64" s="39" t="str">
        <x:v>Carteira 101</x:v>
      </x:c>
      <x:c r="Q64" s="39" t="str">
        <x:v>cedente_originador_literal; papel_literal; cedente; tipo_recebivel_literal</x:v>
      </x:c>
      <x:c r="R64" s="66" t="b">
        <x:v>1</x:v>
      </x:c>
      <x:c r="S64" s="39" t="str">
        <x:v>overlay aplicado somente em lacunas</x:v>
      </x:c>
    </x:row>
    <x:row r="65" ht="36" customHeight="1">
      <x:c r="A65" s="105" t="str">
        <x:v>54559035</x:v>
      </x:c>
      <x:c r="B65" s="70" t="str">
        <x:v>54559035000194</x:v>
      </x:c>
      <x:c r="C65" s="38" t="str">
        <x:v>correspondencia_unica</x:v>
      </x:c>
      <x:c r="D65" s="38" t="str">
        <x:v>FUNDO DE INVESTIMENTO EM DIREITOS CREDITORIOS RESP</x:v>
      </x:c>
      <x:c r="E65" s="38" t="str">
        <x:v>Banco IBM</x:v>
      </x:c>
      <x:c r="F65" s="38" t="str">
        <x:v>cedente</x:v>
      </x:c>
      <x:c r="G65" s="38" t="str">
        <x:v>N/D</x:v>
      </x:c>
      <x:c r="H65" s="38" t="str">
        <x:v>Banco IBM</x:v>
      </x:c>
      <x:c r="I65" s="38" t="str">
        <x:v>N/D</x:v>
      </x:c>
      <x:c r="J65" s="38" t="str">
        <x:v>N/D</x:v>
      </x:c>
      <x:c r="K65" s="38" t="str">
        <x:v>IMG_8706.JPG</x:v>
      </x:c>
      <x:c r="L65" s="38" t="str">
        <x:v>planilha amarela; linha da raiz 54559035</x:v>
      </x:c>
      <x:c r="M65" s="38" t="str">
        <x:v>confirmado_legivel</x:v>
      </x:c>
      <x:c r="N65" s="38" t="str">
        <x:v>alta</x:v>
      </x:c>
      <x:c r="O65" s="38" t="str">
        <x:v>N/D</x:v>
      </x:c>
      <x:c r="P65" s="38" t="str">
        <x:v>Carteira 101</x:v>
      </x:c>
      <x:c r="Q65" s="38" t="str">
        <x:v>cedente_originador_literal; papel_literal; cedente</x:v>
      </x:c>
      <x:c r="R65" s="67" t="b">
        <x:v>1</x:v>
      </x:c>
      <x:c r="S65" s="38" t="str">
        <x:v>overlay aplicado somente em lacunas</x:v>
      </x:c>
    </x:row>
    <x:row r="66" ht="36" customHeight="1">
      <x:c r="A66" s="104" t="str">
        <x:v>55070804</x:v>
      </x:c>
      <x:c r="B66" s="69" t="str">
        <x:v>55070804000159</x:v>
      </x:c>
      <x:c r="C66" s="39" t="str">
        <x:v>correspondencia_unica</x:v>
      </x:c>
      <x:c r="D66" s="39" t="str">
        <x:v>ESTRATEGIA VINCULADA II FUNDO DE INVESTIMENTO EM D...</x:v>
      </x:c>
      <x:c r="E66" s="39" t="str">
        <x:v>Banco IBM</x:v>
      </x:c>
      <x:c r="F66" s="39" t="str">
        <x:v>cedente</x:v>
      </x:c>
      <x:c r="G66" s="39" t="str">
        <x:v>N/D</x:v>
      </x:c>
      <x:c r="H66" s="39" t="str">
        <x:v>Banco IBM</x:v>
      </x:c>
      <x:c r="I66" s="39" t="str">
        <x:v>N/D</x:v>
      </x:c>
      <x:c r="J66" s="39" t="str">
        <x:v>N/D</x:v>
      </x:c>
      <x:c r="K66" s="39" t="str">
        <x:v>IMG_8706.JPG</x:v>
      </x:c>
      <x:c r="L66" s="39" t="str">
        <x:v>planilha amarela; linha da raiz 55070804</x:v>
      </x:c>
      <x:c r="M66" s="39" t="str">
        <x:v>confirmado_legivel</x:v>
      </x:c>
      <x:c r="N66" s="39" t="str">
        <x:v>alta</x:v>
      </x:c>
      <x:c r="O66" s="39" t="str">
        <x:v>Denominação cortada pela largura da coluna na foto.</x:v>
      </x:c>
      <x:c r="P66" s="39" t="str">
        <x:v>Carteira 101</x:v>
      </x:c>
      <x:c r="Q66" s="39" t="str">
        <x:v>cedente_originador_literal; papel_literal; cedente</x:v>
      </x:c>
      <x:c r="R66" s="66" t="b">
        <x:v>1</x:v>
      </x:c>
      <x:c r="S66" s="39" t="str">
        <x:v>overlay aplicado somente em lacunas</x:v>
      </x:c>
    </x:row>
    <x:row r="67" ht="36" customHeight="1">
      <x:c r="A67" s="105" t="str">
        <x:v>43866348</x:v>
      </x:c>
      <x:c r="B67" s="70" t="str">
        <x:v>43866348000179</x:v>
      </x:c>
      <x:c r="C67" s="38" t="str">
        <x:v>correspondencia_unica</x:v>
      </x:c>
      <x:c r="D67" s="38" t="str">
        <x:v>FUNDO DE INVESTIMENTO EM DIREITOS CREDITORIOS OPEA</x:v>
      </x:c>
      <x:c r="E67" s="38" t="str">
        <x:v>SUMITOMO</x:v>
      </x:c>
      <x:c r="F67" s="38" t="str">
        <x:v>cedente</x:v>
      </x:c>
      <x:c r="G67" s="38" t="str">
        <x:v>N/D</x:v>
      </x:c>
      <x:c r="H67" s="38" t="str">
        <x:v>SUMITOMO</x:v>
      </x:c>
      <x:c r="I67" s="38" t="str">
        <x:v>N/D</x:v>
      </x:c>
      <x:c r="J67" s="38" t="str">
        <x:v>financiamento de revendas e produtores</x:v>
      </x:c>
      <x:c r="K67" s="38" t="str">
        <x:v>IMG_8706.JPG</x:v>
      </x:c>
      <x:c r="L67" s="38" t="str">
        <x:v>planilha amarela; linha da raiz 43866348</x:v>
      </x:c>
      <x:c r="M67" s="38" t="str">
        <x:v>confirmado_legivel</x:v>
      </x:c>
      <x:c r="N67" s="38" t="str">
        <x:v>alta</x:v>
      </x:c>
      <x:c r="O67" s="38" t="str">
        <x:v>OBS literal: FIDC Sumitomo. Financia revendas e produtores.</x:v>
      </x:c>
      <x:c r="P67" s="38" t="str">
        <x:v>Carteira 101</x:v>
      </x:c>
      <x:c r="Q67" s="38" t="str">
        <x:v>cedente_originador_literal; papel_literal; cedente; tipo_recebivel_literal</x:v>
      </x:c>
      <x:c r="R67" s="67" t="b">
        <x:v>1</x:v>
      </x:c>
      <x:c r="S67" s="38" t="str">
        <x:v>overlay aplicado somente em lacunas</x:v>
      </x:c>
    </x:row>
    <x:row r="68" ht="36" customHeight="1">
      <x:c r="A68" s="104" t="str">
        <x:v>47936340</x:v>
      </x:c>
      <x:c r="B68" s="69" t="str">
        <x:v>47936340000192</x:v>
      </x:c>
      <x:c r="C68" s="39" t="str">
        <x:v>correspondencia_unica</x:v>
      </x:c>
      <x:c r="D68" s="39" t="str">
        <x:v>FUNDO DE INVESTIMENTO EM DIREITOS CREDITORIOS OPEA</x:v>
      </x:c>
      <x:c r="E68" s="39" t="str">
        <x:v>BASF</x:v>
      </x:c>
      <x:c r="F68" s="39" t="str">
        <x:v>cedente</x:v>
      </x:c>
      <x:c r="G68" s="39" t="str">
        <x:v>N/D</x:v>
      </x:c>
      <x:c r="H68" s="39" t="str">
        <x:v>BASF</x:v>
      </x:c>
      <x:c r="I68" s="39" t="str">
        <x:v>N/D</x:v>
      </x:c>
      <x:c r="J68" s="39" t="str">
        <x:v>Insumos Agrícolas - prazo Safra</x:v>
      </x:c>
      <x:c r="K68" s="39" t="str">
        <x:v>IMG_8706.JPG</x:v>
      </x:c>
      <x:c r="L68" s="39" t="str">
        <x:v>planilha amarela; linha da raiz 47936340</x:v>
      </x:c>
      <x:c r="M68" s="39" t="str">
        <x:v>confirmado_legivel</x:v>
      </x:c>
      <x:c r="N68" s="39" t="str">
        <x:v>alta</x:v>
      </x:c>
      <x:c r="O68" s="39" t="str">
        <x:v>N/D</x:v>
      </x:c>
      <x:c r="P68" s="39" t="str">
        <x:v>Carteira 101</x:v>
      </x:c>
      <x:c r="Q68" s="39" t="str">
        <x:v>cedente_originador_literal; papel_literal; cedente; tipo_recebivel_literal</x:v>
      </x:c>
      <x:c r="R68" s="66" t="b">
        <x:v>1</x:v>
      </x:c>
      <x:c r="S68" s="39" t="str">
        <x:v>overlay aplicado somente em lacunas</x:v>
      </x:c>
    </x:row>
    <x:row r="69" ht="36" customHeight="1">
      <x:c r="A69" s="105" t="str">
        <x:v>58291962</x:v>
      </x:c>
      <x:c r="B69" s="70" t="str">
        <x:v>58291962000127</x:v>
      </x:c>
      <x:c r="C69" s="38" t="str">
        <x:v>correspondencia_unica</x:v>
      </x:c>
      <x:c r="D69" s="38" t="str">
        <x:v>HELM FUNDO I E D C RESPONS</x:v>
      </x:c>
      <x:c r="E69" s="38" t="str">
        <x:v>Helm</x:v>
      </x:c>
      <x:c r="F69" s="38" t="str">
        <x:v>cedente</x:v>
      </x:c>
      <x:c r="G69" s="38" t="str">
        <x:v>N/D</x:v>
      </x:c>
      <x:c r="H69" s="38" t="str">
        <x:v>Helm</x:v>
      </x:c>
      <x:c r="I69" s="38" t="str">
        <x:v>N/D</x:v>
      </x:c>
      <x:c r="J69" s="38" t="str">
        <x:v>Insumos Agrícolas - prazo Safra</x:v>
      </x:c>
      <x:c r="K69" s="38" t="str">
        <x:v>IMG_8706.JPG</x:v>
      </x:c>
      <x:c r="L69" s="38" t="str">
        <x:v>planilha amarela; linha da raiz 58291962</x:v>
      </x:c>
      <x:c r="M69" s="38" t="str">
        <x:v>confirmado_legivel</x:v>
      </x:c>
      <x:c r="N69" s="38" t="str">
        <x:v>alta</x:v>
      </x:c>
      <x:c r="O69" s="38" t="str">
        <x:v>N/D</x:v>
      </x:c>
      <x:c r="P69" s="38" t="str">
        <x:v>Carteira 101</x:v>
      </x:c>
      <x:c r="Q69" s="38" t="str">
        <x:v>cedente_originador_literal; papel_literal; cedente; tipo_recebivel_literal</x:v>
      </x:c>
      <x:c r="R69" s="67" t="b">
        <x:v>1</x:v>
      </x:c>
      <x:c r="S69" s="38" t="str">
        <x:v>overlay aplicado somente em lacunas</x:v>
      </x:c>
    </x:row>
    <x:row r="70" ht="36" customHeight="1">
      <x:c r="A70" s="104" t="str">
        <x:v>57259989</x:v>
      </x:c>
      <x:c r="B70" s="69" t="str">
        <x:v>57259989000170</x:v>
      </x:c>
      <x:c r="C70" s="39" t="str">
        <x:v>correspondencia_unica</x:v>
      </x:c>
      <x:c r="D70" s="39" t="str">
        <x:v>TRES TENTOS FUNDO DE INVESTIMENTO EM DIREITOS CRE...</x:v>
      </x:c>
      <x:c r="E70" s="39" t="str">
        <x:v>Tres Tentos</x:v>
      </x:c>
      <x:c r="F70" s="39" t="str">
        <x:v>cedente</x:v>
      </x:c>
      <x:c r="G70" s="39" t="str">
        <x:v>N/D</x:v>
      </x:c>
      <x:c r="H70" s="39" t="str">
        <x:v>Tres Tentos</x:v>
      </x:c>
      <x:c r="I70" s="39" t="str">
        <x:v>N/D</x:v>
      </x:c>
      <x:c r="J70" s="39" t="str">
        <x:v>Insumos Agrícolas - prazo Safra</x:v>
      </x:c>
      <x:c r="K70" s="39" t="str">
        <x:v>IMG_8706.JPG</x:v>
      </x:c>
      <x:c r="L70" s="39" t="str">
        <x:v>planilha amarela; linha da raiz 57259989</x:v>
      </x:c>
      <x:c r="M70" s="39" t="str">
        <x:v>confirmado_legivel</x:v>
      </x:c>
      <x:c r="N70" s="39" t="str">
        <x:v>alta</x:v>
      </x:c>
      <x:c r="O70" s="39" t="str">
        <x:v>Denominação cortada pela largura da coluna na foto.</x:v>
      </x:c>
      <x:c r="P70" s="39" t="str">
        <x:v>Carteira 101</x:v>
      </x:c>
      <x:c r="Q70" s="39" t="str">
        <x:v>cedente_originador_literal; papel_literal; cedente; tipo_recebivel_literal</x:v>
      </x:c>
      <x:c r="R70" s="66" t="b">
        <x:v>1</x:v>
      </x:c>
      <x:c r="S70" s="39" t="str">
        <x:v>overlay aplicado somente em lacunas</x:v>
      </x:c>
    </x:row>
    <x:row r="71" ht="36" customHeight="1">
      <x:c r="A71" s="105" t="str">
        <x:v>58171340</x:v>
      </x:c>
      <x:c r="B71" s="70" t="str">
        <x:v>58171340000165</x:v>
      </x:c>
      <x:c r="C71" s="38" t="str">
        <x:v>correspondencia_unica</x:v>
      </x:c>
      <x:c r="D71" s="38" t="str">
        <x:v>FRIMESA FUNDO DE INVESTIMENTO EM DIREITOS CREDITOR...</x:v>
      </x:c>
      <x:c r="E71" s="38" t="str">
        <x:v>Frimesa</x:v>
      </x:c>
      <x:c r="F71" s="38" t="str">
        <x:v>cedente</x:v>
      </x:c>
      <x:c r="G71" s="38" t="str">
        <x:v>N/D</x:v>
      </x:c>
      <x:c r="H71" s="38" t="str">
        <x:v>Frimesa</x:v>
      </x:c>
      <x:c r="I71" s="38" t="str">
        <x:v>N/D</x:v>
      </x:c>
      <x:c r="J71" s="38" t="str">
        <x:v>recebíveis supermercados</x:v>
      </x:c>
      <x:c r="K71" s="38" t="str">
        <x:v>IMG_8706.JPG</x:v>
      </x:c>
      <x:c r="L71" s="38" t="str">
        <x:v>planilha amarela; linha da raiz 58171340</x:v>
      </x:c>
      <x:c r="M71" s="38" t="str">
        <x:v>confirmado_legivel</x:v>
      </x:c>
      <x:c r="N71" s="38" t="str">
        <x:v>alta</x:v>
      </x:c>
      <x:c r="O71" s="38" t="str">
        <x:v>Denominação cortada pela largura da coluna na foto.</x:v>
      </x:c>
      <x:c r="P71" s="38" t="str">
        <x:v>Carteira 101</x:v>
      </x:c>
      <x:c r="Q71" s="38" t="str">
        <x:v>cedente_originador_literal; papel_literal; cedente; tipo_recebivel_literal</x:v>
      </x:c>
      <x:c r="R71" s="67" t="b">
        <x:v>1</x:v>
      </x:c>
      <x:c r="S71" s="38" t="str">
        <x:v>overlay aplicado somente em lacunas</x:v>
      </x:c>
    </x:row>
    <x:row r="72" ht="36" customHeight="1">
      <x:c r="A72" s="104" t="str">
        <x:v>51554551</x:v>
      </x:c>
      <x:c r="B72" s="69" t="str">
        <x:v>51554551000138</x:v>
      </x:c>
      <x:c r="C72" s="39" t="str">
        <x:v>correspondencia_unica</x:v>
      </x:c>
      <x:c r="D72" s="39" t="str">
        <x:v>CLASSE UNICA DO FIDC CREDITO NITRO AGRO - RESPONSA...</x:v>
      </x:c>
      <x:c r="E72" s="39" t="str">
        <x:v>Nitroquímica</x:v>
      </x:c>
      <x:c r="F72" s="39" t="str">
        <x:v>cedente</x:v>
      </x:c>
      <x:c r="G72" s="39" t="str">
        <x:v>N/D</x:v>
      </x:c>
      <x:c r="H72" s="39" t="str">
        <x:v>Nitroquímica</x:v>
      </x:c>
      <x:c r="I72" s="39" t="str">
        <x:v>N/D</x:v>
      </x:c>
      <x:c r="J72" s="39" t="str">
        <x:v>Insumos Agrícolas - prazo Safra</x:v>
      </x:c>
      <x:c r="K72" s="39" t="str">
        <x:v>IMG_8706.JPG</x:v>
      </x:c>
      <x:c r="L72" s="39" t="str">
        <x:v>planilha amarela; linha da raiz 51554551</x:v>
      </x:c>
      <x:c r="M72" s="39" t="str">
        <x:v>confirmado_legivel</x:v>
      </x:c>
      <x:c r="N72" s="39" t="str">
        <x:v>alta</x:v>
      </x:c>
      <x:c r="O72" s="39" t="str">
        <x:v>Denominação cortada pela largura da coluna na foto.</x:v>
      </x:c>
      <x:c r="P72" s="39" t="str">
        <x:v>Carteira 101</x:v>
      </x:c>
      <x:c r="Q72" s="39" t="str">
        <x:v>cedente_originador_literal; papel_literal; cedente; tipo_recebivel_literal</x:v>
      </x:c>
      <x:c r="R72" s="66" t="b">
        <x:v>1</x:v>
      </x:c>
      <x:c r="S72" s="39" t="str">
        <x:v>overlay aplicado somente em lacunas</x:v>
      </x:c>
    </x:row>
    <x:row r="73" ht="36" customHeight="1">
      <x:c r="A73" s="105" t="str">
        <x:v>57752597</x:v>
      </x:c>
      <x:c r="B73" s="70" t="str">
        <x:v>57752597000148</x:v>
      </x:c>
      <x:c r="C73" s="38" t="str">
        <x:v>correspondencia_unica</x:v>
      </x:c>
      <x:c r="D73" s="38" t="str">
        <x:v>AGROMERCANTIL CREDITO AGRO FUNDO DE INVESTIMENTO EM DIREITOS CREDITORI...</x:v>
      </x:c>
      <x:c r="E73" s="38" t="str">
        <x:v>AGROMERCANTIL</x:v>
      </x:c>
      <x:c r="F73" s="38" t="str">
        <x:v>cedente</x:v>
      </x:c>
      <x:c r="G73" s="38" t="str">
        <x:v>N/D</x:v>
      </x:c>
      <x:c r="H73" s="38" t="str">
        <x:v>AGROMERCANTIL</x:v>
      </x:c>
      <x:c r="I73" s="38" t="str">
        <x:v>N/D</x:v>
      </x:c>
      <x:c r="J73" s="38" t="str">
        <x:v>Comercializadora de grãos</x:v>
      </x:c>
      <x:c r="K73" s="38" t="str">
        <x:v>IMG_8706.JPG</x:v>
      </x:c>
      <x:c r="L73" s="38" t="str">
        <x:v>planilha amarela; linha da raiz 57752597</x:v>
      </x:c>
      <x:c r="M73" s="38" t="str">
        <x:v>confirmado_legivel</x:v>
      </x:c>
      <x:c r="N73" s="38" t="str">
        <x:v>alta</x:v>
      </x:c>
      <x:c r="O73" s="38" t="str">
        <x:v>Denominação cortada pela largura da coluna na foto.</x:v>
      </x:c>
      <x:c r="P73" s="38" t="str">
        <x:v>Carteira 101</x:v>
      </x:c>
      <x:c r="Q73" s="38" t="str">
        <x:v>cedente_originador_literal; papel_literal; cedente; tipo_recebivel_literal</x:v>
      </x:c>
      <x:c r="R73" s="67" t="b">
        <x:v>1</x:v>
      </x:c>
      <x:c r="S73" s="38" t="str">
        <x:v>overlay aplicado somente em lacunas</x:v>
      </x:c>
    </x:row>
    <x:row r="74" ht="36" customHeight="1">
      <x:c r="A74" s="104" t="str">
        <x:v>47425750</x:v>
      </x:c>
      <x:c r="B74" s="69" t="str">
        <x:v>47425750000179</x:v>
      </x:c>
      <x:c r="C74" s="39" t="str">
        <x:v>correspondencia_unica</x:v>
      </x:c>
      <x:c r="D74" s="39" t="str">
        <x:v>FIDC CROPFIELD CEREALIS</x:v>
      </x:c>
      <x:c r="E74" s="39" t="str">
        <x:v>CROPFIELD DO BRASIL INDÚSTRIA DE INSUM...</x:v>
      </x:c>
      <x:c r="F74" s="39" t="str">
        <x:v>cedente</x:v>
      </x:c>
      <x:c r="G74" s="39" t="str">
        <x:v>N/D</x:v>
      </x:c>
      <x:c r="H74" s="39" t="str">
        <x:v>CROPFIELD DO BRASIL INDÚSTRIA DE INSUM...</x:v>
      </x:c>
      <x:c r="I74" s="39" t="str">
        <x:v>N/D</x:v>
      </x:c>
      <x:c r="J74" s="39" t="str">
        <x:v>Insumos Agrícolas - prazo Safra; possui não performados</x:v>
      </x:c>
      <x:c r="K74" s="39" t="str">
        <x:v>IMG_8706.JPG</x:v>
      </x:c>
      <x:c r="L74" s="39" t="str">
        <x:v>planilha amarela; linha da raiz 47425750</x:v>
      </x:c>
      <x:c r="M74" s="39" t="str">
        <x:v>revisao</x:v>
      </x:c>
      <x:c r="N74" s="39" t="str">
        <x:v>média</x:v>
      </x:c>
      <x:c r="O74" s="39" t="str">
        <x:v>Literal de cedente cortado; não elegível até revisão.</x:v>
      </x:c>
      <x:c r="P74" s="39" t="str">
        <x:v>N/D</x:v>
      </x:c>
      <x:c r="Q74" s="39" t="str">
        <x:v>N/D</x:v>
      </x:c>
      <x:c r="R74" s="66" t="b">
        <x:v>0</x:v>
      </x:c>
      <x:c r="S74" s="39" t="str">
        <x:v>status de transcrição não aprovado</x:v>
      </x:c>
    </x:row>
    <x:row r="75" ht="36" customHeight="1">
      <x:c r="A75" s="105" t="str">
        <x:v>37035970</x:v>
      </x:c>
      <x:c r="B75" s="70" t="str">
        <x:v>37035970000132</x:v>
      </x:c>
      <x:c r="C75" s="38" t="str">
        <x:v>correspondencia_unica</x:v>
      </x:c>
      <x:c r="D75" s="38" t="str">
        <x:v>CD BANCK FIDC</x:v>
      </x:c>
      <x:c r="E75" s="38" t="str">
        <x:v>CHD'S</x:v>
      </x:c>
      <x:c r="F75" s="38" t="str">
        <x:v>cedente</x:v>
      </x:c>
      <x:c r="G75" s="38" t="str">
        <x:v>N/D</x:v>
      </x:c>
      <x:c r="H75" s="38" t="str">
        <x:v>CHD'S</x:v>
      </x:c>
      <x:c r="I75" s="38" t="str">
        <x:v>N/D</x:v>
      </x:c>
      <x:c r="J75" s="38" t="str">
        <x:v>Insumos Agrícolas - prazo Safra; possui não performados</x:v>
      </x:c>
      <x:c r="K75" s="38" t="str">
        <x:v>IMG_8706.JPG</x:v>
      </x:c>
      <x:c r="L75" s="38" t="str">
        <x:v>planilha amarela; linha da raiz 37035970</x:v>
      </x:c>
      <x:c r="M75" s="38" t="str">
        <x:v>confirmado_legivel</x:v>
      </x:c>
      <x:c r="N75" s="38" t="str">
        <x:v>alta</x:v>
      </x:c>
      <x:c r="O75" s="38" t="str">
        <x:v>N/D</x:v>
      </x:c>
      <x:c r="P75" s="38" t="str">
        <x:v>Carteira 101</x:v>
      </x:c>
      <x:c r="Q75" s="38" t="str">
        <x:v>cedente_originador_literal; papel_literal; cedente; tipo_recebivel_literal</x:v>
      </x:c>
      <x:c r="R75" s="67" t="b">
        <x:v>1</x:v>
      </x:c>
      <x:c r="S75" s="38" t="str">
        <x:v>overlay aplicado somente em lacunas</x:v>
      </x:c>
    </x:row>
    <x:row r="76" ht="36" customHeight="1">
      <x:c r="A76" s="104" t="str">
        <x:v>17468142</x:v>
      </x:c>
      <x:c r="B76" s="69" t="str">
        <x:v>17468142000180</x:v>
      </x:c>
      <x:c r="C76" s="39" t="str">
        <x:v>correspondencia_unica</x:v>
      </x:c>
      <x:c r="D76" s="39" t="str">
        <x:v>VALOREM FIDC MULTISSETORIAL</x:v>
      </x:c>
      <x:c r="E76" s="39" t="str">
        <x:v>Multicedentes &amp; Multisacados</x:v>
      </x:c>
      <x:c r="F76" s="39" t="str">
        <x:v>cedente</x:v>
      </x:c>
      <x:c r="G76" s="39" t="str">
        <x:v>N/D</x:v>
      </x:c>
      <x:c r="H76" s="39" t="str">
        <x:v>Multicedentes &amp; Multisacados</x:v>
      </x:c>
      <x:c r="I76" s="39" t="str">
        <x:v>N/D</x:v>
      </x:c>
      <x:c r="J76" s="39" t="str">
        <x:v>FIDC MultiCedente / Multisacado</x:v>
      </x:c>
      <x:c r="K76" s="39" t="str">
        <x:v>IMG_8706.JPG</x:v>
      </x:c>
      <x:c r="L76" s="39" t="str">
        <x:v>planilha amarela; linha da raiz 17468142</x:v>
      </x:c>
      <x:c r="M76" s="39" t="str">
        <x:v>confirmado_legivel</x:v>
      </x:c>
      <x:c r="N76" s="39" t="str">
        <x:v>alta</x:v>
      </x:c>
      <x:c r="O76" s="39" t="str">
        <x:v>N/D</x:v>
      </x:c>
      <x:c r="P76" s="39" t="str">
        <x:v>Carteira 101</x:v>
      </x:c>
      <x:c r="Q76" s="39" t="str">
        <x:v>cedente_originador_literal; papel_literal; cedente; tipo_recebivel_literal</x:v>
      </x:c>
      <x:c r="R76" s="66" t="b">
        <x:v>1</x:v>
      </x:c>
      <x:c r="S76" s="39" t="str">
        <x:v>overlay aplicado somente em lacunas</x:v>
      </x:c>
    </x:row>
    <x:row r="77" ht="36" customHeight="1">
      <x:c r="A77" s="105" t="str">
        <x:v>31739396</x:v>
      </x:c>
      <x:c r="B77" s="70" t="str">
        <x:v>31739396000117</x:v>
      </x:c>
      <x:c r="C77" s="38" t="str">
        <x:v>correspondencia_unica</x:v>
      </x:c>
      <x:c r="D77" s="38" t="str">
        <x:v>FIDC LF III</x:v>
      </x:c>
      <x:c r="E77" s="38" t="str">
        <x:v>Listo IP</x:v>
      </x:c>
      <x:c r="F77" s="38" t="str">
        <x:v>cedente</x:v>
      </x:c>
      <x:c r="G77" s="38" t="str">
        <x:v>N/D</x:v>
      </x:c>
      <x:c r="H77" s="38" t="str">
        <x:v>Listo IP</x:v>
      </x:c>
      <x:c r="I77" s="38" t="str">
        <x:v>N/D</x:v>
      </x:c>
      <x:c r="J77" s="38" t="str">
        <x:v>Risco Bancos Emissores Diversos</x:v>
      </x:c>
      <x:c r="K77" s="38" t="str">
        <x:v>IMG_8706.JPG</x:v>
      </x:c>
      <x:c r="L77" s="38" t="str">
        <x:v>planilha amarela; linha da raiz 31739396</x:v>
      </x:c>
      <x:c r="M77" s="38" t="str">
        <x:v>confirmado_legivel</x:v>
      </x:c>
      <x:c r="N77" s="38" t="str">
        <x:v>alta</x:v>
      </x:c>
      <x:c r="O77" s="38" t="str">
        <x:v>OBS da foto: lista de concentração pré-aprovada.</x:v>
      </x:c>
      <x:c r="P77" s="38" t="str">
        <x:v>Carteira 101</x:v>
      </x:c>
      <x:c r="Q77" s="38" t="str">
        <x:v>cedente_originador_literal; papel_literal; cedente; tipo_recebivel_literal</x:v>
      </x:c>
      <x:c r="R77" s="67" t="b">
        <x:v>1</x:v>
      </x:c>
      <x:c r="S77" s="38" t="str">
        <x:v>overlay aplicado somente em lacunas</x:v>
      </x:c>
    </x:row>
    <x:row r="78" ht="36" customHeight="1">
      <x:c r="A78" s="104" t="str">
        <x:v>26749095</x:v>
      </x:c>
      <x:c r="B78" s="69" t="str">
        <x:v>26749095000134</x:v>
      </x:c>
      <x:c r="C78" s="39" t="str">
        <x:v>correspondencia_unica</x:v>
      </x:c>
      <x:c r="D78" s="39" t="str">
        <x:v>CREDITO UNIVERSITARIO II FUNDO DE INVESTIMENTO EM...</x:v>
      </x:c>
      <x:c r="E78" s="39" t="str">
        <x:v>Pravaler</x:v>
      </x:c>
      <x:c r="F78" s="39" t="str">
        <x:v>cedente</x:v>
      </x:c>
      <x:c r="G78" s="39" t="str">
        <x:v>N/D</x:v>
      </x:c>
      <x:c r="H78" s="39" t="str">
        <x:v>Pravaler</x:v>
      </x:c>
      <x:c r="I78" s="39" t="str">
        <x:v>N/D</x:v>
      </x:c>
      <x:c r="J78" s="39" t="str">
        <x:v>Crédito Estudantil</x:v>
      </x:c>
      <x:c r="K78" s="39" t="str">
        <x:v>IMG_8706.JPG</x:v>
      </x:c>
      <x:c r="L78" s="39" t="str">
        <x:v>planilha amarela; linha da raiz 26749095</x:v>
      </x:c>
      <x:c r="M78" s="39" t="str">
        <x:v>confirmado_legivel</x:v>
      </x:c>
      <x:c r="N78" s="39" t="str">
        <x:v>alta</x:v>
      </x:c>
      <x:c r="O78" s="39" t="str">
        <x:v>Denominação cortada pela largura da coluna na foto.</x:v>
      </x:c>
      <x:c r="P78" s="39" t="str">
        <x:v>Carteira 101</x:v>
      </x:c>
      <x:c r="Q78" s="39" t="str">
        <x:v>cedente_originador_literal; papel_literal; cedente; tipo_recebivel_literal</x:v>
      </x:c>
      <x:c r="R78" s="66" t="b">
        <x:v>1</x:v>
      </x:c>
      <x:c r="S78" s="39" t="str">
        <x:v>overlay aplicado somente em lacunas</x:v>
      </x:c>
    </x:row>
    <x:row r="79" ht="36" customHeight="1">
      <x:c r="A79" s="105" t="str">
        <x:v>62393829</x:v>
      </x:c>
      <x:c r="B79" s="70" t="str">
        <x:v>62393829000159</x:v>
      </x:c>
      <x:c r="C79" s="38" t="str">
        <x:v>correspondencia_unica</x:v>
      </x:c>
      <x:c r="D79" s="38" t="str">
        <x:v>TOP 2025 V FIDC RESP LIMITADA</x:v>
      </x:c>
      <x:c r="E79" s="38" t="str">
        <x:v>Multicedente</x:v>
      </x:c>
      <x:c r="F79" s="38" t="str">
        <x:v>cedente</x:v>
      </x:c>
      <x:c r="G79" s="38" t="str">
        <x:v>N/D</x:v>
      </x:c>
      <x:c r="H79" s="38" t="str">
        <x:v>Multicedente</x:v>
      </x:c>
      <x:c r="I79" s="38" t="str">
        <x:v>BRF</x:v>
      </x:c>
      <x:c r="J79" s="38" t="str">
        <x:v>Risco Sacado BRF</x:v>
      </x:c>
      <x:c r="K79" s="38" t="str">
        <x:v>IMG_8706.JPG</x:v>
      </x:c>
      <x:c r="L79" s="38" t="str">
        <x:v>planilha amarela; linha da raiz 62393829</x:v>
      </x:c>
      <x:c r="M79" s="38" t="str">
        <x:v>confirmado_legivel</x:v>
      </x:c>
      <x:c r="N79" s="38" t="str">
        <x:v>alta</x:v>
      </x:c>
      <x:c r="O79" s="38" t="str">
        <x:v>BRF foi desmembrado somente porque a fonte escreve literalmente Risco Sacado BRF.</x:v>
      </x:c>
      <x:c r="P79" s="38" t="str">
        <x:v>Carteira 101</x:v>
      </x:c>
      <x:c r="Q79" s="38" t="str">
        <x:v>cedente_originador_literal; papel_literal; cedente; sacado_devedor; tipo_recebivel_literal</x:v>
      </x:c>
      <x:c r="R79" s="67" t="b">
        <x:v>1</x:v>
      </x:c>
      <x:c r="S79" s="38" t="str">
        <x:v>overlay aplicado somente em lacunas</x:v>
      </x:c>
    </x:row>
    <x:row r="80" ht="36" customHeight="1">
      <x:c r="A80" s="104" t="str">
        <x:v>47640584</x:v>
      </x:c>
      <x:c r="B80" s="69" t="str">
        <x:v>47640584000123</x:v>
      </x:c>
      <x:c r="C80" s="39" t="str">
        <x:v>correspondencia_unica</x:v>
      </x:c>
      <x:c r="D80" s="39" t="str">
        <x:v>SOL AGORA GREEN ESG FIDC IS SEGMENTO FINANCEIRO DE...</x:v>
      </x:c>
      <x:c r="E80" s="39" t="str">
        <x:v>BMP</x:v>
      </x:c>
      <x:c r="F80" s="39" t="str">
        <x:v>cedente</x:v>
      </x:c>
      <x:c r="G80" s="39" t="str">
        <x:v>Sol Agora</x:v>
      </x:c>
      <x:c r="H80" s="39" t="str">
        <x:v>BMP</x:v>
      </x:c>
      <x:c r="I80" s="39" t="str">
        <x:v>N/D</x:v>
      </x:c>
      <x:c r="J80" s="39" t="str">
        <x:v>Recebíveis: CCBs</x:v>
      </x:c>
      <x:c r="K80" s="39" t="str">
        <x:v>IMG_8706.JPG</x:v>
      </x:c>
      <x:c r="L80" s="39" t="str">
        <x:v>planilha amarela; linha da raiz 47640584</x:v>
      </x:c>
      <x:c r="M80" s="39" t="str">
        <x:v>confirmado_legivel</x:v>
      </x:c>
      <x:c r="N80" s="39" t="str">
        <x:v>alta</x:v>
      </x:c>
      <x:c r="O80" s="39" t="str">
        <x:v>OBS da foto: a Sol Agora é o originador, mas o cedente das CCBs é o BMP (true sale). Os papéis foram desmembrados somente porque estão escritos literalmente na fonte. Denominação cortada.</x:v>
      </x:c>
      <x:c r="P80" s="39" t="str">
        <x:v>Carteira 101</x:v>
      </x:c>
      <x:c r="Q80" s="39" t="str">
        <x:v>cedente_originador_literal; papel_literal; originador; cedente; tipo_recebivel_literal</x:v>
      </x:c>
      <x:c r="R80" s="66" t="b">
        <x:v>1</x:v>
      </x:c>
      <x:c r="S80" s="39" t="str">
        <x:v>overlay aplicado somente em lacunas</x:v>
      </x:c>
    </x:row>
    <x:row r="81" ht="36" customHeight="1">
      <x:c r="A81" s="105" t="str">
        <x:v>57028406</x:v>
      </x:c>
      <x:c r="B81" s="70" t="str">
        <x:v>57028406000108</x:v>
      </x:c>
      <x:c r="C81" s="38" t="str">
        <x:v>correspondencia_unica</x:v>
      </x:c>
      <x:c r="D81" s="38" t="str">
        <x:v>IS GREEN SOLFACIL VI FIDC RL</x:v>
      </x:c>
      <x:c r="E81" s="38" t="str">
        <x:v>Solfácil SCD</x:v>
      </x:c>
      <x:c r="F81" s="38" t="str">
        <x:v>cedente</x:v>
      </x:c>
      <x:c r="G81" s="38" t="str">
        <x:v>N/D</x:v>
      </x:c>
      <x:c r="H81" s="38" t="str">
        <x:v>Solfácil SCD</x:v>
      </x:c>
      <x:c r="I81" s="38" t="str">
        <x:v>N/D</x:v>
      </x:c>
      <x:c r="J81" s="38" t="str">
        <x:v>Direitos Creditórios performados oriundos de financiamento de instalação de placas solares</x:v>
      </x:c>
      <x:c r="K81" s="38" t="str">
        <x:v>IMG_8706.JPG</x:v>
      </x:c>
      <x:c r="L81" s="38" t="str">
        <x:v>planilha amarela; linha da raiz 57028406</x:v>
      </x:c>
      <x:c r="M81" s="38" t="str">
        <x:v>confirmado_legivel</x:v>
      </x:c>
      <x:c r="N81" s="38" t="str">
        <x:v>alta</x:v>
      </x:c>
      <x:c r="O81" s="38" t="str">
        <x:v>FIDC pulverizado para aquisição dos direitos creditórios descritos.</x:v>
      </x:c>
      <x:c r="P81" s="38" t="str">
        <x:v>Carteira 101</x:v>
      </x:c>
      <x:c r="Q81" s="38" t="str">
        <x:v>cedente_originador_literal; papel_literal; cedente; tipo_recebivel_literal</x:v>
      </x:c>
      <x:c r="R81" s="67" t="b">
        <x:v>1</x:v>
      </x:c>
      <x:c r="S81" s="38" t="str">
        <x:v>overlay aplicado somente em lacunas</x:v>
      </x:c>
    </x:row>
    <x:row r="82" ht="36" customHeight="1">
      <x:c r="A82" s="104" t="str">
        <x:v>31570767</x:v>
      </x:c>
      <x:c r="B82" s="69" t="str">
        <x:v>31570767000180</x:v>
      </x:c>
      <x:c r="C82" s="39" t="str">
        <x:v>correspondencia_unica</x:v>
      </x:c>
      <x:c r="D82" s="39" t="str">
        <x:v>FUNDO DE INVESTIMENTO EM DIREI...</x:v>
      </x:c>
      <x:c r="E82" s="39" t="str">
        <x:v>Trademaster</x:v>
      </x:c>
      <x:c r="F82" s="39" t="str">
        <x:v>cedente</x:v>
      </x:c>
      <x:c r="G82" s="39" t="str">
        <x:v>N/D</x:v>
      </x:c>
      <x:c r="H82" s="39" t="str">
        <x:v>Trademaster</x:v>
      </x:c>
      <x:c r="I82" s="39" t="str">
        <x:v>N/D</x:v>
      </x:c>
      <x:c r="J82" s="39" t="str">
        <x:v>N/D</x:v>
      </x:c>
      <x:c r="K82" s="39" t="str">
        <x:v>IMG_8706.JPG</x:v>
      </x:c>
      <x:c r="L82" s="39" t="str">
        <x:v>planilha amarela; linha da raiz 31570767</x:v>
      </x:c>
      <x:c r="M82" s="39" t="str">
        <x:v>confirmado_legivel</x:v>
      </x:c>
      <x:c r="N82" s="39" t="str">
        <x:v>alta</x:v>
      </x:c>
      <x:c r="O82" s="39" t="str">
        <x:v>Denominação cortada pela largura da coluna na foto.</x:v>
      </x:c>
      <x:c r="P82" s="39" t="str">
        <x:v>Carteira 101</x:v>
      </x:c>
      <x:c r="Q82" s="39" t="str">
        <x:v>cedente_originador_literal; papel_literal; cedente</x:v>
      </x:c>
      <x:c r="R82" s="66" t="b">
        <x:v>1</x:v>
      </x:c>
      <x:c r="S82" s="39" t="str">
        <x:v>overlay aplicado somente em lacunas</x:v>
      </x:c>
    </x:row>
    <x:row r="83" ht="36" customHeight="1">
      <x:c r="A83" s="105" t="str">
        <x:v>54464892</x:v>
      </x:c>
      <x:c r="B83" s="70" t="str">
        <x:v>54464892000100</x:v>
      </x:c>
      <x:c r="C83" s="38" t="str">
        <x:v>correspondencia_unica</x:v>
      </x:c>
      <x:c r="D83" s="38" t="str">
        <x:v>FUNDO I E D C M F RECEB...</x:v>
      </x:c>
      <x:c r="E83" s="38" t="str">
        <x:v>75% Parati / 25% QI Tech</x:v>
      </x:c>
      <x:c r="F83" s="38" t="str">
        <x:v>cedente</x:v>
      </x:c>
      <x:c r="G83" s="38" t="str">
        <x:v>N/D</x:v>
      </x:c>
      <x:c r="H83" s="38" t="str">
        <x:v>75% Parati / 25% QI Tech</x:v>
      </x:c>
      <x:c r="I83" s="38" t="str">
        <x:v>N/D</x:v>
      </x:c>
      <x:c r="J83" s="38" t="str">
        <x:v>N/D</x:v>
      </x:c>
      <x:c r="K83" s="38" t="str">
        <x:v>IMG_8707.jpg</x:v>
      </x:c>
      <x:c r="L83" s="38" t="str">
        <x:v>planilha amarela; linha da raiz 54464892</x:v>
      </x:c>
      <x:c r="M83" s="38" t="str">
        <x:v>confirmado_legivel</x:v>
      </x:c>
      <x:c r="N83" s="38" t="str">
        <x:v>média</x:v>
      </x:c>
      <x:c r="O83" s="38" t="str">
        <x:v>OBS da foto: Rating atual Ba1; se ajustar o rating na base, pode considerar perspectiva estável. Denominação cortada.</x:v>
      </x:c>
      <x:c r="P83" s="38" t="str">
        <x:v>Carteira 101; Flagships</x:v>
      </x:c>
      <x:c r="Q83" s="38" t="str">
        <x:v>cedente_originador_literal; papel_literal; cedente</x:v>
      </x:c>
      <x:c r="R83" s="67" t="b">
        <x:v>1</x:v>
      </x:c>
      <x:c r="S83" s="38" t="str">
        <x:v>overlay aplicado somente em lacunas</x:v>
      </x:c>
    </x:row>
    <x:row r="84" ht="36" customHeight="1">
      <x:c r="A84" s="104" t="str">
        <x:v>11468186</x:v>
      </x:c>
      <x:c r="B84" s="69" t="str">
        <x:v>11468186000124</x:v>
      </x:c>
      <x:c r="C84" s="39" t="str">
        <x:v>correspondencia_unica</x:v>
      </x:c>
      <x:c r="D84" s="39" t="str">
        <x:v>ATLANTA FIDC NAO PADRONIZADO</x:v>
      </x:c>
      <x:c r="E84" s="39" t="str">
        <x:v>Multicedentes e Multisacados</x:v>
      </x:c>
      <x:c r="F84" s="39" t="str">
        <x:v>cedente</x:v>
      </x:c>
      <x:c r="G84" s="39" t="str">
        <x:v>N/D</x:v>
      </x:c>
      <x:c r="H84" s="39" t="str">
        <x:v>Multicedentes e Multisacados</x:v>
      </x:c>
      <x:c r="I84" s="39" t="str">
        <x:v>N/D</x:v>
      </x:c>
      <x:c r="J84" s="39" t="str">
        <x:v>FIDC Multicedentes &amp; Multisacados</x:v>
      </x:c>
      <x:c r="K84" s="39" t="str">
        <x:v>IMG_8707.jpg</x:v>
      </x:c>
      <x:c r="L84" s="39" t="str">
        <x:v>planilha amarela; linha da raiz 11468186</x:v>
      </x:c>
      <x:c r="M84" s="39" t="str">
        <x:v>confirmado_legivel</x:v>
      </x:c>
      <x:c r="N84" s="39" t="str">
        <x:v>alta</x:v>
      </x:c>
      <x:c r="O84" s="39" t="str">
        <x:v>N/D</x:v>
      </x:c>
      <x:c r="P84" s="39" t="str">
        <x:v>Carteira 101</x:v>
      </x:c>
      <x:c r="Q84" s="39" t="str">
        <x:v>cedente_originador_literal; papel_literal; cedente; tipo_recebivel_literal</x:v>
      </x:c>
      <x:c r="R84" s="66" t="b">
        <x:v>1</x:v>
      </x:c>
      <x:c r="S84" s="39" t="str">
        <x:v>overlay aplicado somente em lacunas</x:v>
      </x:c>
    </x:row>
    <x:row r="85" ht="36" customHeight="1">
      <x:c r="A85" s="105" t="str">
        <x:v>43193260</x:v>
      </x:c>
      <x:c r="B85" s="70" t="str">
        <x:v>43193260000133</x:v>
      </x:c>
      <x:c r="C85" s="38" t="str">
        <x:v>correspondencia_unica</x:v>
      </x:c>
      <x:c r="D85" s="38" t="str">
        <x:v>RESIDENCE CLUB FIDC</x:v>
      </x:c>
      <x:c r="E85" s="38" t="str">
        <x:v>VCI</x:v>
      </x:c>
      <x:c r="F85" s="38" t="str">
        <x:v>cedente</x:v>
      </x:c>
      <x:c r="G85" s="38" t="str">
        <x:v>N/D</x:v>
      </x:c>
      <x:c r="H85" s="38" t="str">
        <x:v>VCI</x:v>
      </x:c>
      <x:c r="I85" s="38" t="str">
        <x:v>N/D</x:v>
      </x:c>
      <x:c r="J85" s="38" t="str">
        <x:v>N/D</x:v>
      </x:c>
      <x:c r="K85" s="38" t="str">
        <x:v>IMG_8707.jpg</x:v>
      </x:c>
      <x:c r="L85" s="38" t="str">
        <x:v>planilha amarela; linha da raiz 43193260</x:v>
      </x:c>
      <x:c r="M85" s="38" t="str">
        <x:v>confirmado_legivel</x:v>
      </x:c>
      <x:c r="N85" s="38" t="str">
        <x:v>alta</x:v>
      </x:c>
      <x:c r="O85" s="38" t="str">
        <x:v>OBS aparece apenas como FIDC de receb... e foi excluída da transcrição estruturada.</x:v>
      </x:c>
      <x:c r="P85" s="38" t="str">
        <x:v>Carteira 101</x:v>
      </x:c>
      <x:c r="Q85" s="38" t="str">
        <x:v>cedente_originador_literal; papel_literal; cedente</x:v>
      </x:c>
      <x:c r="R85" s="67" t="b">
        <x:v>1</x:v>
      </x:c>
      <x:c r="S85" s="38" t="str">
        <x:v>overlay aplicado somente em lacunas</x:v>
      </x:c>
    </x:row>
    <x:row r="86" ht="36" customHeight="1">
      <x:c r="A86" s="104" t="str">
        <x:v>58152340</x:v>
      </x:c>
      <x:c r="B86" s="69" t="str">
        <x:v>58152340000118</x:v>
      </x:c>
      <x:c r="C86" s="39" t="str">
        <x:v>correspondencia_unica</x:v>
      </x:c>
      <x:c r="D86" s="39" t="str">
        <x:v>MONEE II FUNDO DE INVESTIMENTO</x:v>
      </x:c>
      <x:c r="E86" s="39" t="str">
        <x:v>SHPP IP</x:v>
      </x:c>
      <x:c r="F86" s="39" t="str">
        <x:v>cedente</x:v>
      </x:c>
      <x:c r="G86" s="39" t="str">
        <x:v>N/D</x:v>
      </x:c>
      <x:c r="H86" s="39" t="str">
        <x:v>SHPP IP</x:v>
      </x:c>
      <x:c r="I86" s="39" t="str">
        <x:v>N/D</x:v>
      </x:c>
      <x:c r="J86" s="39" t="str">
        <x:v>N/D</x:v>
      </x:c>
      <x:c r="K86" s="39" t="str">
        <x:v>IMG_8707.jpg</x:v>
      </x:c>
      <x:c r="L86" s="39" t="str">
        <x:v>planilha amarela; linha da raiz 58152340</x:v>
      </x:c>
      <x:c r="M86" s="39" t="str">
        <x:v>confirmado_legivel</x:v>
      </x:c>
      <x:c r="N86" s="39" t="str">
        <x:v>alta</x:v>
      </x:c>
      <x:c r="O86" s="39" t="str">
        <x:v>Denominação cortada pela largura da coluna na foto.</x:v>
      </x:c>
      <x:c r="P86" s="39" t="str">
        <x:v>Carteira 101</x:v>
      </x:c>
      <x:c r="Q86" s="39" t="str">
        <x:v>cedente_originador_literal; papel_literal; cedente</x:v>
      </x:c>
      <x:c r="R86" s="66" t="b">
        <x:v>1</x:v>
      </x:c>
      <x:c r="S86" s="39" t="str">
        <x:v>overlay aplicado somente em lacunas</x:v>
      </x:c>
    </x:row>
    <x:row r="87" ht="36" customHeight="1">
      <x:c r="A87" s="105" t="str">
        <x:v>52340225</x:v>
      </x:c>
      <x:c r="B87" s="70" t="str">
        <x:v>52340225000190</x:v>
      </x:c>
      <x:c r="C87" s="38" t="str">
        <x:v>correspondencia_unica</x:v>
      </x:c>
      <x:c r="D87" s="38" t="str">
        <x:v>INOVA CREDTECH III FUNDO DE IN...</x:v>
      </x:c>
      <x:c r="E87" s="38" t="str">
        <x:v>Cash[U/O?]</x:v>
      </x:c>
      <x:c r="F87" s="38" t="str">
        <x:v>cedente</x:v>
      </x:c>
      <x:c r="G87" s="38" t="str">
        <x:v>N/D</x:v>
      </x:c>
      <x:c r="H87" s="38" t="str">
        <x:v>Cash[U/O?]</x:v>
      </x:c>
      <x:c r="I87" s="38" t="str">
        <x:v>N/D</x:v>
      </x:c>
      <x:c r="J87" s="38" t="str">
        <x:v>Duplicatas + CCBs; FIDC Buy Now Pay Later</x:v>
      </x:c>
      <x:c r="K87" s="38" t="str">
        <x:v>IMG_8707.jpg</x:v>
      </x:c>
      <x:c r="L87" s="38" t="str">
        <x:v>planilha amarela; linha da raiz 52340225</x:v>
      </x:c>
      <x:c r="M87" s="38" t="str">
        <x:v>revisao</x:v>
      </x:c>
      <x:c r="N87" s="38" t="str">
        <x:v>baixa</x:v>
      </x:c>
      <x:c r="O87" s="38" t="str">
        <x:v>Cedente contém caractere incerto e denominação cortada; não elegível até revisão.</x:v>
      </x:c>
      <x:c r="P87" s="38" t="str">
        <x:v>N/D</x:v>
      </x:c>
      <x:c r="Q87" s="38" t="str">
        <x:v>N/D</x:v>
      </x:c>
      <x:c r="R87" s="67" t="b">
        <x:v>0</x:v>
      </x:c>
      <x:c r="S87" s="38" t="str">
        <x:v>status de transcrição não aprovado</x:v>
      </x:c>
    </x:row>
    <x:row r="88" ht="36" customHeight="1">
      <x:c r="A88" s="104" t="str">
        <x:v>37294759</x:v>
      </x:c>
      <x:c r="B88" s="69" t="str">
        <x:v>37294759000134</x:v>
      </x:c>
      <x:c r="C88" s="39" t="str">
        <x:v>correspondencia_unica</x:v>
      </x:c>
      <x:c r="D88" s="39" t="str">
        <x:v>FUNDO I E D C GALLERIA</x:v>
      </x:c>
      <x:c r="E88" s="39" t="str">
        <x:v>Galleria SCD</x:v>
      </x:c>
      <x:c r="F88" s="39" t="str">
        <x:v>cedente</x:v>
      </x:c>
      <x:c r="G88" s="39" t="str">
        <x:v>N/D</x:v>
      </x:c>
      <x:c r="H88" s="39" t="str">
        <x:v>Galleria SCD</x:v>
      </x:c>
      <x:c r="I88" s="39" t="str">
        <x:v>N/D</x:v>
      </x:c>
      <x:c r="J88" s="39" t="str">
        <x:v>CCBs com AF de Imóvel oriundos de empréstimo PF e PJs</x:v>
      </x:c>
      <x:c r="K88" s="39" t="str">
        <x:v>IMG_8707.jpg</x:v>
      </x:c>
      <x:c r="L88" s="39" t="str">
        <x:v>planilha amarela; linha da raiz 37294759</x:v>
      </x:c>
      <x:c r="M88" s="39" t="str">
        <x:v>confirmado_legivel</x:v>
      </x:c>
      <x:c r="N88" s="39" t="str">
        <x:v>alta</x:v>
      </x:c>
      <x:c r="O88" s="39" t="str">
        <x:v>N/D</x:v>
      </x:c>
      <x:c r="P88" s="39" t="str">
        <x:v>Carteira 101</x:v>
      </x:c>
      <x:c r="Q88" s="39" t="str">
        <x:v>cedente_originador_literal; papel_literal; cedente; tipo_recebivel_literal</x:v>
      </x:c>
      <x:c r="R88" s="66" t="b">
        <x:v>1</x:v>
      </x:c>
      <x:c r="S88" s="39" t="str">
        <x:v>overlay aplicado somente em lacunas</x:v>
      </x:c>
    </x:row>
    <x:row r="89" ht="36" customHeight="1">
      <x:c r="A89" s="105" t="str">
        <x:v>42085830</x:v>
      </x:c>
      <x:c r="B89" s="70" t="str">
        <x:v>42085830000109</x:v>
      </x:c>
      <x:c r="C89" s="38" t="str">
        <x:v>correspondencia_unica</x:v>
      </x:c>
      <x:c r="D89" s="38" t="str">
        <x:v>CLOUDWALK AKIRA I FUNDO DE INVESTIMENTO EM DIREITO...</x:v>
      </x:c>
      <x:c r="E89" s="38" t="str">
        <x:v>Cloudwalk IP</x:v>
      </x:c>
      <x:c r="F89" s="38" t="str">
        <x:v>cedente</x:v>
      </x:c>
      <x:c r="G89" s="38" t="str">
        <x:v>N/D</x:v>
      </x:c>
      <x:c r="H89" s="38" t="str">
        <x:v>Cloudwalk IP</x:v>
      </x:c>
      <x:c r="I89" s="38" t="str">
        <x:v>N/D</x:v>
      </x:c>
      <x:c r="J89" s="38" t="str">
        <x:v>N/D</x:v>
      </x:c>
      <x:c r="K89" s="38" t="str">
        <x:v>IMG_8707.jpg</x:v>
      </x:c>
      <x:c r="L89" s="38" t="str">
        <x:v>planilha amarela; linha da raiz 42085830</x:v>
      </x:c>
      <x:c r="M89" s="38" t="str">
        <x:v>confirmado_legivel</x:v>
      </x:c>
      <x:c r="N89" s="38" t="str">
        <x:v>alta</x:v>
      </x:c>
      <x:c r="O89" s="38" t="str">
        <x:v>OBS da foto: Risco Banco Emissor Itaú. Denominação cortada.</x:v>
      </x:c>
      <x:c r="P89" s="38" t="str">
        <x:v>Carteira 101</x:v>
      </x:c>
      <x:c r="Q89" s="38" t="str">
        <x:v>cedente_originador_literal; papel_literal; cedente</x:v>
      </x:c>
      <x:c r="R89" s="67" t="b">
        <x:v>1</x:v>
      </x:c>
      <x:c r="S89" s="38" t="str">
        <x:v>overlay aplicado somente em lacunas</x:v>
      </x:c>
    </x:row>
    <x:row r="90" ht="36" customHeight="1">
      <x:c r="A90" s="104" t="str">
        <x:v>61288838</x:v>
      </x:c>
      <x:c r="B90" s="69" t="str">
        <x:v>61288838000117</x:v>
      </x:c>
      <x:c r="C90" s="39" t="str">
        <x:v>correspondencia_unica</x:v>
      </x:c>
      <x:c r="D90" s="39" t="str">
        <x:v>FIDC MOVILE II</x:v>
      </x:c>
      <x:c r="E90" s="39" t="str">
        <x:v>MovilePay / iFood</x:v>
      </x:c>
      <x:c r="F90" s="39" t="str">
        <x:v>cedente</x:v>
      </x:c>
      <x:c r="G90" s="39" t="str">
        <x:v>N/D</x:v>
      </x:c>
      <x:c r="H90" s="39" t="str">
        <x:v>MovilePay / iFood</x:v>
      </x:c>
      <x:c r="I90" s="39" t="str">
        <x:v>N/D</x:v>
      </x:c>
      <x:c r="J90" s="39" t="str">
        <x:v>CCB PJ - ecossistema iFood; Crédito PME</x:v>
      </x:c>
      <x:c r="K90" s="39" t="str">
        <x:v>IMG_8707.jpg</x:v>
      </x:c>
      <x:c r="L90" s="39" t="str">
        <x:v>planilha amarela; linha da raiz 61288838</x:v>
      </x:c>
      <x:c r="M90" s="39" t="str">
        <x:v>confirmado_legivel</x:v>
      </x:c>
      <x:c r="N90" s="39" t="str">
        <x:v>alta</x:v>
      </x:c>
      <x:c r="O90" s="39" t="str">
        <x:v>N/D</x:v>
      </x:c>
      <x:c r="P90" s="39" t="str">
        <x:v>Carteira 101</x:v>
      </x:c>
      <x:c r="Q90" s="39" t="str">
        <x:v>cedente_originador_literal; papel_literal; cedente; tipo_recebivel_literal</x:v>
      </x:c>
      <x:c r="R90" s="66" t="b">
        <x:v>1</x:v>
      </x:c>
      <x:c r="S90" s="39" t="str">
        <x:v>overlay aplicado somente em lacunas</x:v>
      </x:c>
    </x:row>
    <x:row r="91" ht="36" customHeight="1">
      <x:c r="A91" s="105" t="str">
        <x:v>30035329</x:v>
      </x:c>
      <x:c r="B91" s="70" t="str">
        <x:v>30035329000159</x:v>
      </x:c>
      <x:c r="C91" s="38" t="str">
        <x:v>correspondencia_unica</x:v>
      </x:c>
      <x:c r="D91" s="38" t="str">
        <x:v>VAINVEST II FIDC MULTISETORIA...</x:v>
      </x:c>
      <x:c r="E91" s="38" t="str">
        <x:v>BMP (Bancarizador)</x:v>
      </x:c>
      <x:c r="F91" s="38" t="str">
        <x:v>cedente</x:v>
      </x:c>
      <x:c r="G91" s="38" t="str">
        <x:v>N/D</x:v>
      </x:c>
      <x:c r="H91" s="38" t="str">
        <x:v>BMP (Bancarizador)</x:v>
      </x:c>
      <x:c r="I91" s="38" t="str">
        <x:v>N/D</x:v>
      </x:c>
      <x:c r="J91" s="38" t="str">
        <x:v>N/D</x:v>
      </x:c>
      <x:c r="K91" s="38" t="str">
        <x:v>IMG_8707.jpg</x:v>
      </x:c>
      <x:c r="L91" s="38" t="str">
        <x:v>planilha amarela; linha da raiz 30035329</x:v>
      </x:c>
      <x:c r="M91" s="38" t="str">
        <x:v>confirmado_legivel</x:v>
      </x:c>
      <x:c r="N91" s="38" t="str">
        <x:v>média</x:v>
      </x:c>
      <x:c r="O91" s="38" t="str">
        <x:v>OBS parcialmente legível: Via Invest (Gestorada grupo faz co-gestão). Denominação cortada.</x:v>
      </x:c>
      <x:c r="P91" s="38" t="str">
        <x:v>Carteira 101</x:v>
      </x:c>
      <x:c r="Q91" s="38" t="str">
        <x:v>cedente_originador_literal; papel_literal; cedente</x:v>
      </x:c>
      <x:c r="R91" s="67" t="b">
        <x:v>1</x:v>
      </x:c>
      <x:c r="S91" s="38" t="str">
        <x:v>overlay aplicado somente em lacunas</x:v>
      </x:c>
    </x:row>
    <x:row r="92" ht="36" customHeight="1">
      <x:c r="A92" s="104" t="str">
        <x:v>63066147</x:v>
      </x:c>
      <x:c r="B92" s="69" t="str">
        <x:v>63066147000102</x:v>
      </x:c>
      <x:c r="C92" s="39" t="str">
        <x:v>correspondencia_unica</x:v>
      </x:c>
      <x:c r="D92" s="39" t="str">
        <x:v>FUNDO DE INVESTIMENTO EM DIREI...</x:v>
      </x:c>
      <x:c r="E92" s="39" t="str">
        <x:v>Supersim</x:v>
      </x:c>
      <x:c r="F92" s="39" t="str">
        <x:v>cedente</x:v>
      </x:c>
      <x:c r="G92" s="39" t="str">
        <x:v>N/D</x:v>
      </x:c>
      <x:c r="H92" s="39" t="str">
        <x:v>Supersim</x:v>
      </x:c>
      <x:c r="I92" s="39" t="str">
        <x:v>N/D</x:v>
      </x:c>
      <x:c r="J92" s="39" t="str">
        <x:v>N/D</x:v>
      </x:c>
      <x:c r="K92" s="39" t="str">
        <x:v>IMG_8707.jpg</x:v>
      </x:c>
      <x:c r="L92" s="39" t="str">
        <x:v>planilha amarela; linha da raiz 63066147</x:v>
      </x:c>
      <x:c r="M92" s="39" t="str">
        <x:v>confirmado_legivel</x:v>
      </x:c>
      <x:c r="N92" s="39" t="str">
        <x:v>alta</x:v>
      </x:c>
      <x:c r="O92" s="39" t="str">
        <x:v>Denominação cortada pela largura da coluna na foto.</x:v>
      </x:c>
      <x:c r="P92" s="39" t="str">
        <x:v>Carteira 101</x:v>
      </x:c>
      <x:c r="Q92" s="39" t="str">
        <x:v>cedente_originador_literal; papel_literal; cedente</x:v>
      </x:c>
      <x:c r="R92" s="66" t="b">
        <x:v>1</x:v>
      </x:c>
      <x:c r="S92" s="39" t="str">
        <x:v>overlay aplicado somente em lacunas</x:v>
      </x:c>
    </x:row>
    <x:row r="93" ht="36" customHeight="1">
      <x:c r="A93" s="105" t="str">
        <x:v>65836995</x:v>
      </x:c>
      <x:c r="B93" s="70" t="str">
        <x:v>65836995000170</x:v>
      </x:c>
      <x:c r="C93" s="38" t="str">
        <x:v>correspondencia_unica</x:v>
      </x:c>
      <x:c r="D93" s="38" t="str">
        <x:v>DAYCOVAL D410 FUNDO DE INV EM DIREITOS CREDITORIOS</x:v>
      </x:c>
      <x:c r="E93" s="38" t="str">
        <x:v>Cantu Store</x:v>
      </x:c>
      <x:c r="F93" s="38" t="str">
        <x:v>cedente</x:v>
      </x:c>
      <x:c r="G93" s="38" t="str">
        <x:v>N/D</x:v>
      </x:c>
      <x:c r="H93" s="38" t="str">
        <x:v>Cantu Store</x:v>
      </x:c>
      <x:c r="I93" s="38" t="str">
        <x:v>N/D</x:v>
      </x:c>
      <x:c r="J93" s="38" t="str">
        <x:v>N/D</x:v>
      </x:c>
      <x:c r="K93" s="38" t="str">
        <x:v>IMG_8707.jpg</x:v>
      </x:c>
      <x:c r="L93" s="38" t="str">
        <x:v>planilha amarela; linha da raiz 65836995</x:v>
      </x:c>
      <x:c r="M93" s="38" t="str">
        <x:v>confirmado_legivel</x:v>
      </x:c>
      <x:c r="N93" s="38" t="str">
        <x:v>alta</x:v>
      </x:c>
      <x:c r="O93" s="38" t="str">
        <x:v>N/D</x:v>
      </x:c>
      <x:c r="P93" s="38" t="str">
        <x:v>Carteira 101</x:v>
      </x:c>
      <x:c r="Q93" s="38" t="str">
        <x:v>cedente_originador_literal; papel_literal; cedente</x:v>
      </x:c>
      <x:c r="R93" s="67" t="b">
        <x:v>1</x:v>
      </x:c>
      <x:c r="S93" s="38" t="str">
        <x:v>overlay aplicado somente em lacunas</x:v>
      </x:c>
    </x:row>
    <x:row r="94" ht="36" customHeight="1">
      <x:c r="A94" s="104" t="str">
        <x:v>44124465</x:v>
      </x:c>
      <x:c r="B94" s="69" t="str">
        <x:v>44124465000120</x:v>
      </x:c>
      <x:c r="C94" s="39" t="str">
        <x:v>correspondencia_unica</x:v>
      </x:c>
      <x:c r="D94" s="39" t="str">
        <x:v>TIAO21 FUNDO I E D CREDITORIOS</x:v>
      </x:c>
      <x:c r="E94" s="39" t="str">
        <x:v>Ação</x:v>
      </x:c>
      <x:c r="F94" s="39" t="str">
        <x:v>cedente</x:v>
      </x:c>
      <x:c r="G94" s="39" t="str">
        <x:v>N/D</x:v>
      </x:c>
      <x:c r="H94" s="39" t="str">
        <x:v>Ação</x:v>
      </x:c>
      <x:c r="I94" s="39" t="str">
        <x:v>N/D</x:v>
      </x:c>
      <x:c r="J94" s="39" t="str">
        <x:v>Risco Bancos Emissores Diversos</x:v>
      </x:c>
      <x:c r="K94" s="39" t="str">
        <x:v>IMG_8705.JPG</x:v>
      </x:c>
      <x:c r="L94" s="39" t="str">
        <x:v>planilha amarela; linha da raiz 44124465</x:v>
      </x:c>
      <x:c r="M94" s="39" t="str">
        <x:v>confirmado_legivel</x:v>
      </x:c>
      <x:c r="N94" s="39" t="str">
        <x:v>alta</x:v>
      </x:c>
      <x:c r="O94" s="39" t="str">
        <x:v>OBS da foto: lista de concentração pré-aprovada.</x:v>
      </x:c>
      <x:c r="P94" s="39" t="str">
        <x:v>Carteira 101</x:v>
      </x:c>
      <x:c r="Q94" s="39" t="str">
        <x:v>cedente_originador_literal; papel_literal; cedente; tipo_recebivel_literal</x:v>
      </x:c>
      <x:c r="R94" s="66" t="b">
        <x:v>1</x:v>
      </x:c>
      <x:c r="S94" s="39" t="str">
        <x:v>overlay aplicado somente em lacunas</x:v>
      </x:c>
    </x:row>
    <x:row r="95" ht="36" customHeight="1">
      <x:c r="A95" s="105" t="str">
        <x:v>63622842</x:v>
      </x:c>
      <x:c r="B95" s="70" t="str">
        <x:v>63622842000103</x:v>
      </x:c>
      <x:c r="C95" s="38" t="str">
        <x:v>correspondencia_unica</x:v>
      </x:c>
      <x:c r="D95" s="38" t="str">
        <x:v>DESBRAVA UNO ART ESP FIDC RL</x:v>
      </x:c>
      <x:c r="E95" s="38" t="str">
        <x:v>Empresas grupo Dass</x:v>
      </x:c>
      <x:c r="F95" s="38" t="str">
        <x:v>cedente</x:v>
      </x:c>
      <x:c r="G95" s="38" t="str">
        <x:v>N/D</x:v>
      </x:c>
      <x:c r="H95" s="38" t="str">
        <x:v>Empresas grupo Dass</x:v>
      </x:c>
      <x:c r="I95" s="38" t="str">
        <x:v>N/D</x:v>
      </x:c>
      <x:c r="J95" s="38" t="str">
        <x:v>N/D</x:v>
      </x:c>
      <x:c r="K95" s="38" t="str">
        <x:v>IMG_8705.JPG</x:v>
      </x:c>
      <x:c r="L95" s="38" t="str">
        <x:v>planilha amarela; linha da raiz 63622842</x:v>
      </x:c>
      <x:c r="M95" s="38" t="str">
        <x:v>confirmado_legivel</x:v>
      </x:c>
      <x:c r="N95" s="38" t="str">
        <x:v>alta</x:v>
      </x:c>
      <x:c r="O95" s="38" t="str">
        <x:v>OBS da foto: FIDC 12431, risco Dass (não são recebíveis de clientes).</x:v>
      </x:c>
      <x:c r="P95" s="38" t="str">
        <x:v>Carteira 101</x:v>
      </x:c>
      <x:c r="Q95" s="38" t="str">
        <x:v>cedente_originador_literal; papel_literal; cedente</x:v>
      </x:c>
      <x:c r="R95" s="67" t="b">
        <x:v>1</x:v>
      </x:c>
      <x:c r="S95" s="38" t="str">
        <x:v>overlay aplicado somente em lacunas</x:v>
      </x:c>
    </x:row>
  </x:sheetData>
  <x:mergeCells>
    <x:mergeCell ref="A1:S1"/>
    <x:mergeCell ref="A2:S2"/>
  </x:mergeCells>
  <x:conditionalFormatting sqref="M5:M95">
    <x:cfRule type="containsText" dxfId="34" priority="1" operator="containsText" text="confirmado_legivel"/>
    <x:cfRule type="containsText" dxfId="35" priority="2" operator="containsText" text="revisao"/>
  </x:conditionalFormatting>
  <x:pageMargins left="0.7" right="0.7" top="0.75" bottom="0.75" header="0.3" footer="0.3"/>
</x:worksheet>
</file>