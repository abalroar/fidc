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drawings/drawing5.xml" ContentType="application/vnd.openxmlformats-officedocument.drawing+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3.xml" ContentType="application/vnd.openxmlformats-officedocument.spreadsheetml.worksheet+xml"/>
  <Override PartName="/xl/drawings/drawing10.xml" ContentType="application/vnd.openxmlformats-officedocument.drawing+xml"/>
  <Override PartName="/xl/worksheets/sheet24.xml" ContentType="application/vnd.openxmlformats-officedocument.spreadsheetml.worksheet+xml"/>
  <Override PartName="/xl/drawings/drawing11.xml" ContentType="application/vnd.openxmlformats-officedocument.drawing+xml"/>
  <Override PartName="/xl/worksheets/sheet25.xml" ContentType="application/vnd.openxmlformats-officedocument.spreadsheetml.worksheet+xml"/>
  <Override PartName="/xl/drawings/drawing12.xml" ContentType="application/vnd.openxmlformats-officedocument.drawing+xml"/>
  <Override PartName="/xl/worksheets/sheet26.xml" ContentType="application/vnd.openxmlformats-officedocument.spreadsheetml.worksheet+xml"/>
  <Override PartName="/xl/drawings/drawing13.xml" ContentType="application/vnd.openxmlformats-officedocument.drawing+xml"/>
  <Override PartName="/xl/worksheets/sheet27.xml" ContentType="application/vnd.openxmlformats-officedocument.spreadsheetml.worksheet+xml"/>
  <Override PartName="/xl/drawings/drawing14.xml" ContentType="application/vnd.openxmlformats-officedocument.drawing+xml"/>
  <Override PartName="/xl/worksheets/sheet28.xml" ContentType="application/vnd.openxmlformats-officedocument.spreadsheetml.worksheet+xml"/>
  <Override PartName="/xl/drawings/drawing15.xml" ContentType="application/vnd.openxmlformats-officedocument.drawing+xml"/>
  <Override PartName="/xl/worksheets/sheet29.xml" ContentType="application/vnd.openxmlformats-officedocument.spreadsheetml.worksheet+xml"/>
  <Override PartName="/xl/drawings/drawing16.xml" ContentType="application/vnd.openxmlformats-officedocument.drawing+xml"/>
  <Override PartName="/xl/worksheets/sheet30.xml" ContentType="application/vnd.openxmlformats-officedocument.spreadsheetml.worksheet+xml"/>
  <Override PartName="/xl/drawings/drawing17.xml" ContentType="application/vnd.openxmlformats-officedocument.drawing+xml"/>
  <Override PartName="/xl/worksheets/sheet31.xml" ContentType="application/vnd.openxmlformats-officedocument.spreadsheetml.worksheet+xml"/>
  <Override PartName="/xl/drawings/drawing18.xml" ContentType="application/vnd.openxmlformats-officedocument.drawing+xml"/>
  <Override PartName="/xl/worksheets/sheet32.xml" ContentType="application/vnd.openxmlformats-officedocument.spreadsheetml.worksheet+xml"/>
  <Override PartName="/xl/drawings/drawing19.xml" ContentType="application/vnd.openxmlformats-officedocument.drawing+xml"/>
  <Override PartName="/xl/worksheets/sheet33.xml" ContentType="application/vnd.openxmlformats-officedocument.spreadsheetml.worksheet+xml"/>
  <Override PartName="/xl/drawings/drawing2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a-me" sheetId="1" state="visible" r:id="rId1"/>
    <sheet xmlns:r="http://schemas.openxmlformats.org/officeDocument/2006/relationships" name="Carteira 101" sheetId="2" state="visible" r:id="rId2"/>
    <sheet xmlns:r="http://schemas.openxmlformats.org/officeDocument/2006/relationships" name="Casos 99" sheetId="3" state="visible" r:id="rId3"/>
    <sheet xmlns:r="http://schemas.openxmlformats.org/officeDocument/2006/relationships" name="Nomes editáveis" sheetId="4" state="visible" r:id="rId4"/>
    <sheet xmlns:r="http://schemas.openxmlformats.org/officeDocument/2006/relationships" name="Flagships" sheetId="5" state="visible" r:id="rId5"/>
    <sheet xmlns:r="http://schemas.openxmlformats.org/officeDocument/2006/relationships" name="Cobertura e lacunas" sheetId="6" state="visible" r:id="rId6"/>
    <sheet xmlns:r="http://schemas.openxmlformats.org/officeDocument/2006/relationships" name="Dicionário" sheetId="7" state="visible" r:id="rId7"/>
    <sheet xmlns:r="http://schemas.openxmlformats.org/officeDocument/2006/relationships" name="Fontes manuais" sheetId="8" state="visible" r:id="rId8"/>
    <sheet xmlns:r="http://schemas.openxmlformats.org/officeDocument/2006/relationships" name="Preços por cota" sheetId="9" state="visible" r:id="rId9"/>
    <sheet xmlns:r="http://schemas.openxmlformats.org/officeDocument/2006/relationships" name="Auditoria documental" sheetId="10" state="visible" r:id="rId10"/>
    <sheet xmlns:r="http://schemas.openxmlformats.org/officeDocument/2006/relationships" name="Evidências documentais" sheetId="11" state="visible" r:id="rId11"/>
    <sheet xmlns:r="http://schemas.openxmlformats.org/officeDocument/2006/relationships" name="Cobertura varredura" sheetId="12" state="visible" r:id="rId12"/>
    <sheet xmlns:r="http://schemas.openxmlformats.org/officeDocument/2006/relationships" name="Dicionário de campos" sheetId="13" state="visible" r:id="rId13"/>
    <sheet xmlns:r="http://schemas.openxmlformats.org/officeDocument/2006/relationships" name="Gráfico 01" sheetId="14" state="visible" r:id="rId14"/>
    <sheet xmlns:r="http://schemas.openxmlformats.org/officeDocument/2006/relationships" name="Gráfico 02" sheetId="15" state="visible" r:id="rId15"/>
    <sheet xmlns:r="http://schemas.openxmlformats.org/officeDocument/2006/relationships" name="Gráfico 03" sheetId="16" state="visible" r:id="rId16"/>
    <sheet xmlns:r="http://schemas.openxmlformats.org/officeDocument/2006/relationships" name="Gráfico 04" sheetId="17" state="visible" r:id="rId17"/>
    <sheet xmlns:r="http://schemas.openxmlformats.org/officeDocument/2006/relationships" name="Gráfico 05" sheetId="18" state="visible" r:id="rId18"/>
    <sheet xmlns:r="http://schemas.openxmlformats.org/officeDocument/2006/relationships" name="Gráfico 06" sheetId="19" state="visible" r:id="rId19"/>
    <sheet xmlns:r="http://schemas.openxmlformats.org/officeDocument/2006/relationships" name="Gráfico 07" sheetId="20" state="visible" r:id="rId20"/>
    <sheet xmlns:r="http://schemas.openxmlformats.org/officeDocument/2006/relationships" name="Gráfico 08" sheetId="21" state="visible" r:id="rId21"/>
    <sheet xmlns:r="http://schemas.openxmlformats.org/officeDocument/2006/relationships" name="Gráfico 09" sheetId="22" state="visible" r:id="rId22"/>
    <sheet xmlns:r="http://schemas.openxmlformats.org/officeDocument/2006/relationships" name="Gráfico 10" sheetId="23" state="visible" r:id="rId23"/>
    <sheet xmlns:r="http://schemas.openxmlformats.org/officeDocument/2006/relationships" name="Gráfico 11" sheetId="24" state="visible" r:id="rId24"/>
    <sheet xmlns:r="http://schemas.openxmlformats.org/officeDocument/2006/relationships" name="Gráfico 12" sheetId="25" state="visible" r:id="rId25"/>
    <sheet xmlns:r="http://schemas.openxmlformats.org/officeDocument/2006/relationships" name="Gráfico 13" sheetId="26" state="visible" r:id="rId26"/>
    <sheet xmlns:r="http://schemas.openxmlformats.org/officeDocument/2006/relationships" name="Gráfico 14" sheetId="27" state="visible" r:id="rId27"/>
    <sheet xmlns:r="http://schemas.openxmlformats.org/officeDocument/2006/relationships" name="Gráfico 15" sheetId="28" state="visible" r:id="rId28"/>
    <sheet xmlns:r="http://schemas.openxmlformats.org/officeDocument/2006/relationships" name="Gráfico 16" sheetId="29" state="visible" r:id="rId29"/>
    <sheet xmlns:r="http://schemas.openxmlformats.org/officeDocument/2006/relationships" name="Gráfico 17" sheetId="30" state="visible" r:id="rId30"/>
    <sheet xmlns:r="http://schemas.openxmlformats.org/officeDocument/2006/relationships" name="Gráfico 18" sheetId="31" state="visible" r:id="rId31"/>
    <sheet xmlns:r="http://schemas.openxmlformats.org/officeDocument/2006/relationships" name="Gráfico 19" sheetId="32" state="visible" r:id="rId32"/>
    <sheet xmlns:r="http://schemas.openxmlformats.org/officeDocument/2006/relationships" name="Gráfico 20" sheetId="33" state="visible" r:id="rId33"/>
  </sheets>
  <definedNames/>
  <calcPr calcId="124519" calcMode="auto" fullCalcOnLoad="1" forceFullCalc="1"/>
</workbook>
</file>

<file path=xl/styles.xml><?xml version="1.0" encoding="utf-8"?>
<styleSheet xmlns="http://schemas.openxmlformats.org/spreadsheetml/2006/main">
  <numFmts count="3">
    <numFmt numFmtId="164" formatCode="00000000000000"/>
    <numFmt numFmtId="165" formatCode="R$ #,##0.00"/>
    <numFmt numFmtId="166" formatCode="00000000"/>
  </numFmts>
  <fonts count="16">
    <font>
      <name val="Carlito"/>
      <sz val="11"/>
    </font>
    <font>
      <name val="Arial"/>
      <b val="1"/>
      <color rgb="FFFFFFFF"/>
      <sz val="18"/>
    </font>
    <font>
      <name val="Arial"/>
      <color rgb="FF73787D"/>
      <sz val="10"/>
    </font>
    <font>
      <name val="Arial"/>
      <b val="1"/>
      <color rgb="FFFFFFFF"/>
      <sz val="9"/>
    </font>
    <font>
      <name val="Arial"/>
      <b val="1"/>
      <color rgb="FF151515"/>
      <sz val="18"/>
    </font>
    <font>
      <name val="Arial"/>
      <b val="1"/>
      <color rgb="FFFFFFFF"/>
      <sz val="10"/>
    </font>
    <font>
      <name val="Arial"/>
      <color rgb="FF30353A"/>
      <sz val="10"/>
    </font>
    <font>
      <name val="Arial"/>
      <b val="1"/>
      <color rgb="FF30353A"/>
      <sz val="10"/>
    </font>
    <font>
      <name val="Arial"/>
      <b val="1"/>
      <color rgb="FFFFFFFF"/>
      <sz val="16"/>
    </font>
    <font>
      <name val="Arial"/>
      <color rgb="FF30353A"/>
      <sz val="8"/>
    </font>
    <font>
      <name val="Arial"/>
      <b val="1"/>
      <color rgb="FFFFFFFF"/>
      <sz val="8"/>
    </font>
    <font>
      <name val="Arial"/>
      <color rgb="FF30353A"/>
      <sz val="9"/>
    </font>
    <font>
      <name val="Arial"/>
      <b val="1"/>
      <color rgb="FFFFFFFF"/>
      <sz val="11"/>
    </font>
    <font>
      <name val="Arial"/>
      <b val="1"/>
      <color rgb="00FFFFFF"/>
      <sz val="16"/>
    </font>
    <font>
      <name val="Arial"/>
      <color rgb="00666666"/>
      <sz val="10"/>
    </font>
    <font>
      <name val="Arial"/>
      <b val="1"/>
      <color rgb="00FFFFFF"/>
      <sz val="9"/>
    </font>
  </fonts>
  <fills count="17">
    <fill>
      <patternFill/>
    </fill>
    <fill>
      <patternFill patternType="gray125"/>
    </fill>
    <fill>
      <patternFill patternType="solid">
        <fgColor rgb="FF151515"/>
      </patternFill>
    </fill>
    <fill>
      <patternFill patternType="solid">
        <fgColor rgb="FF30353A"/>
      </patternFill>
    </fill>
    <fill>
      <patternFill patternType="solid">
        <fgColor rgb="FFF5F6F7"/>
      </patternFill>
    </fill>
    <fill>
      <patternFill patternType="solid">
        <fgColor rgb="FFEC7000"/>
      </patternFill>
    </fill>
    <fill>
      <patternFill patternType="solid">
        <fgColor rgb="FFFFFFFF"/>
      </patternFill>
    </fill>
    <fill>
      <patternFill patternType="solid">
        <fgColor rgb="FF7A1F3D"/>
      </patternFill>
    </fill>
    <fill>
      <patternFill patternType="solid">
        <fgColor rgb="FF2456D6"/>
      </patternFill>
    </fill>
    <fill>
      <patternFill patternType="solid">
        <fgColor rgb="FF002B5C"/>
      </patternFill>
    </fill>
    <fill>
      <patternFill patternType="solid">
        <fgColor rgb="FF006B3C"/>
      </patternFill>
    </fill>
    <fill>
      <patternFill patternType="solid">
        <fgColor rgb="FFA65A00"/>
      </patternFill>
    </fill>
    <fill>
      <patternFill patternType="solid">
        <fgColor rgb="FF73787D"/>
      </patternFill>
    </fill>
    <fill>
      <patternFill patternType="solid"/>
    </fill>
    <fill>
      <patternFill patternType="solid">
        <fgColor rgb="007A1F3D"/>
      </patternFill>
    </fill>
    <fill>
      <patternFill patternType="solid">
        <fgColor rgb="00EC7000"/>
      </patternFill>
    </fill>
    <fill>
      <patternFill patternType="solid">
        <fgColor rgb="00002B5C"/>
      </patternFill>
    </fill>
  </fills>
  <borders count="4">
    <border>
      <left/>
      <right/>
      <top/>
      <bottom/>
      <diagonal/>
    </border>
    <border>
      <left/>
      <right/>
      <top/>
      <bottom style="thin">
        <color rgb="FFD7DADD"/>
      </bottom>
      <diagonal/>
    </border>
    <border>
      <left/>
      <right/>
      <top style="thin">
        <color rgb="FFD7DADD"/>
      </top>
      <bottom style="thin">
        <color rgb="FFD7DADD"/>
      </bottom>
      <diagonal/>
    </border>
    <border>
      <left/>
      <right/>
      <top/>
      <bottom style="thin">
        <color rgb="FF151515"/>
      </bottom>
      <diagonal/>
    </border>
  </borders>
  <cellStyleXfs count="1">
    <xf numFmtId="0" fontId="0" fillId="0" borderId="0"/>
  </cellStyleXfs>
  <cellXfs count="171">
    <xf numFmtId="0" fontId="0" fillId="0" borderId="0" pivotButton="0" quotePrefix="0" xfId="0"/>
    <xf numFmtId="0" fontId="0" fillId="2"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wrapText="1"/>
    </xf>
    <xf numFmtId="0" fontId="0" fillId="3" borderId="0" pivotButton="0" quotePrefix="0" xfId="0"/>
    <xf numFmtId="0" fontId="3" fillId="3" borderId="0" pivotButton="0" quotePrefix="0" xfId="0"/>
    <xf numFmtId="0" fontId="0" fillId="4" borderId="0" pivotButton="0" quotePrefix="0" xfId="0"/>
    <xf numFmtId="0" fontId="4" fillId="4" borderId="0" pivotButton="0" quotePrefix="0" xfId="0"/>
    <xf numFmtId="0" fontId="3" fillId="3" borderId="0" applyAlignment="1" pivotButton="0" quotePrefix="0" xfId="0">
      <alignment horizontal="center"/>
    </xf>
    <xf numFmtId="0" fontId="4" fillId="4" borderId="0" applyAlignment="1" pivotButton="0" quotePrefix="0" xfId="0">
      <alignment horizont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0" fillId="5" borderId="0" pivotButton="0" quotePrefix="0" xfId="0"/>
    <xf numFmtId="0" fontId="3" fillId="5" borderId="0" pivotButton="0" quotePrefix="0" xfId="0"/>
    <xf numFmtId="0" fontId="3" fillId="5" borderId="0" applyAlignment="1" pivotButton="0" quotePrefix="0" xfId="0">
      <alignment horizontal="center"/>
    </xf>
    <xf numFmtId="0" fontId="3" fillId="5" borderId="0" applyAlignment="1" pivotButton="0" quotePrefix="0" xfId="0">
      <alignment horizontal="center" vertical="center"/>
    </xf>
    <xf numFmtId="0" fontId="5" fillId="2" borderId="0" pivotButton="0" quotePrefix="0" xfId="0"/>
    <xf numFmtId="0" fontId="6" fillId="0" borderId="0" pivotButton="0" quotePrefix="0" xfId="0"/>
    <xf numFmtId="0" fontId="6" fillId="0" borderId="0" applyAlignment="1" pivotButton="0" quotePrefix="0" xfId="0">
      <alignment wrapText="1"/>
    </xf>
    <xf numFmtId="0" fontId="7" fillId="0" borderId="0" applyAlignment="1" pivotButton="0" quotePrefix="0" xfId="0">
      <alignment wrapText="1"/>
    </xf>
    <xf numFmtId="0" fontId="7" fillId="4" borderId="0" applyAlignment="1" pivotButton="0" quotePrefix="0" xfId="0">
      <alignment wrapText="1"/>
    </xf>
    <xf numFmtId="0" fontId="5" fillId="2" borderId="1" pivotButton="0" quotePrefix="0" xfId="0"/>
    <xf numFmtId="0" fontId="7" fillId="4" borderId="2" applyAlignment="1" pivotButton="0" quotePrefix="0" xfId="0">
      <alignment wrapText="1"/>
    </xf>
    <xf numFmtId="0" fontId="6" fillId="0" borderId="2" applyAlignment="1" pivotButton="0" quotePrefix="0" xfId="0">
      <alignment wrapText="1"/>
    </xf>
    <xf numFmtId="0" fontId="8" fillId="2" borderId="0" pivotButton="0" quotePrefix="0" xfId="0"/>
    <xf numFmtId="0" fontId="8" fillId="2" borderId="0" applyAlignment="1" pivotButton="0" quotePrefix="0" xfId="0">
      <alignment vertical="center"/>
    </xf>
    <xf numFmtId="0" fontId="0" fillId="6" borderId="0" pivotButton="0" quotePrefix="0" xfId="0"/>
    <xf numFmtId="0" fontId="2" fillId="6" borderId="0" pivotButton="0" quotePrefix="0" xfId="0"/>
    <xf numFmtId="0" fontId="2" fillId="6" borderId="0" applyAlignment="1" pivotButton="0" quotePrefix="0" xfId="0">
      <alignment vertical="center"/>
    </xf>
    <xf numFmtId="0" fontId="5" fillId="2" borderId="0" applyAlignment="1" pivotButton="0" quotePrefix="0" xfId="0">
      <alignment wrapText="1"/>
    </xf>
    <xf numFmtId="0" fontId="5" fillId="2" borderId="0" applyAlignment="1" pivotButton="0" quotePrefix="0" xfId="0">
      <alignment vertical="center" wrapText="1"/>
    </xf>
    <xf numFmtId="0" fontId="5" fillId="2" borderId="3" applyAlignment="1" pivotButton="0" quotePrefix="0" xfId="0">
      <alignment vertical="center" wrapText="1"/>
    </xf>
    <xf numFmtId="0" fontId="9" fillId="0" borderId="0" pivotButton="0" quotePrefix="0" xfId="0"/>
    <xf numFmtId="0" fontId="9" fillId="0" borderId="0" applyAlignment="1" pivotButton="0" quotePrefix="0" xfId="0">
      <alignment vertical="center"/>
    </xf>
    <xf numFmtId="0" fontId="9" fillId="0" borderId="1" applyAlignment="1" pivotButton="0" quotePrefix="0" xfId="0">
      <alignment vertical="center"/>
    </xf>
    <xf numFmtId="0" fontId="9" fillId="0" borderId="2" applyAlignment="1" pivotButton="0" quotePrefix="0" xfId="0">
      <alignment vertical="center"/>
    </xf>
    <xf numFmtId="0" fontId="9" fillId="0" borderId="1" applyAlignment="1" pivotButton="0" quotePrefix="0" xfId="0">
      <alignment vertical="center" wrapText="1"/>
    </xf>
    <xf numFmtId="0" fontId="9" fillId="0" borderId="2" applyAlignment="1" pivotButton="0" quotePrefix="0" xfId="0">
      <alignment vertical="center" wrapText="1"/>
    </xf>
    <xf numFmtId="0" fontId="9" fillId="4" borderId="2" applyAlignment="1" pivotButton="0" quotePrefix="0" xfId="0">
      <alignment vertical="center" wrapText="1"/>
    </xf>
    <xf numFmtId="0" fontId="10" fillId="2" borderId="0" pivotButton="0" quotePrefix="0" xfId="0"/>
    <xf numFmtId="0" fontId="10" fillId="2" borderId="0" applyAlignment="1" pivotButton="0" quotePrefix="0" xfId="0">
      <alignment horizontal="center"/>
    </xf>
    <xf numFmtId="0" fontId="10" fillId="2" borderId="0" applyAlignment="1" pivotButton="0" quotePrefix="0" xfId="0">
      <alignment horizontal="center" vertical="center"/>
    </xf>
    <xf numFmtId="0" fontId="10" fillId="3" borderId="0" pivotButton="0" quotePrefix="0" xfId="0"/>
    <xf numFmtId="0" fontId="10" fillId="3" borderId="0" applyAlignment="1" pivotButton="0" quotePrefix="0" xfId="0">
      <alignment horizontal="center"/>
    </xf>
    <xf numFmtId="0" fontId="10" fillId="3" borderId="0" applyAlignment="1" pivotButton="0" quotePrefix="0" xfId="0">
      <alignment horizontal="center" vertical="center"/>
    </xf>
    <xf numFmtId="0" fontId="10" fillId="5" borderId="0" pivotButton="0" quotePrefix="0" xfId="0"/>
    <xf numFmtId="0" fontId="10" fillId="5" borderId="0" applyAlignment="1" pivotButton="0" quotePrefix="0" xfId="0">
      <alignment horizontal="center"/>
    </xf>
    <xf numFmtId="0" fontId="10" fillId="5" borderId="0" applyAlignment="1" pivotButton="0" quotePrefix="0" xfId="0">
      <alignment horizontal="center" vertical="center"/>
    </xf>
    <xf numFmtId="0" fontId="0" fillId="7" borderId="0" pivotButton="0" quotePrefix="0" xfId="0"/>
    <xf numFmtId="0" fontId="10" fillId="7" borderId="0" pivotButton="0" quotePrefix="0" xfId="0"/>
    <xf numFmtId="0" fontId="10" fillId="7" borderId="0" applyAlignment="1" pivotButton="0" quotePrefix="0" xfId="0">
      <alignment horizontal="center"/>
    </xf>
    <xf numFmtId="0" fontId="10" fillId="7" borderId="0" applyAlignment="1" pivotButton="0" quotePrefix="0" xfId="0">
      <alignment horizontal="center" vertical="center"/>
    </xf>
    <xf numFmtId="0" fontId="0" fillId="8" borderId="0" pivotButton="0" quotePrefix="0" xfId="0"/>
    <xf numFmtId="0" fontId="10" fillId="8" borderId="0" pivotButton="0" quotePrefix="0" xfId="0"/>
    <xf numFmtId="0" fontId="10" fillId="8" borderId="0" applyAlignment="1" pivotButton="0" quotePrefix="0" xfId="0">
      <alignment horizontal="center"/>
    </xf>
    <xf numFmtId="0" fontId="10" fillId="8" borderId="0" applyAlignment="1" pivotButton="0" quotePrefix="0" xfId="0">
      <alignment horizontal="center" vertical="center"/>
    </xf>
    <xf numFmtId="0" fontId="0" fillId="9" borderId="0" pivotButton="0" quotePrefix="0" xfId="0"/>
    <xf numFmtId="0" fontId="10" fillId="9" borderId="0" pivotButton="0" quotePrefix="0" xfId="0"/>
    <xf numFmtId="0" fontId="10" fillId="9" borderId="0" applyAlignment="1" pivotButton="0" quotePrefix="0" xfId="0">
      <alignment horizontal="center"/>
    </xf>
    <xf numFmtId="0" fontId="10" fillId="9" borderId="0" applyAlignment="1" pivotButton="0" quotePrefix="0" xfId="0">
      <alignment horizontal="center" vertical="center"/>
    </xf>
    <xf numFmtId="0" fontId="0" fillId="10" borderId="0" pivotButton="0" quotePrefix="0" xfId="0"/>
    <xf numFmtId="0" fontId="10" fillId="10" borderId="0" pivotButton="0" quotePrefix="0" xfId="0"/>
    <xf numFmtId="0" fontId="10" fillId="10" borderId="0" applyAlignment="1" pivotButton="0" quotePrefix="0" xfId="0">
      <alignment horizontal="center"/>
    </xf>
    <xf numFmtId="0" fontId="10" fillId="10" borderId="0" applyAlignment="1" pivotButton="0" quotePrefix="0" xfId="0">
      <alignment horizontal="center" vertical="center"/>
    </xf>
    <xf numFmtId="0" fontId="0" fillId="11" borderId="0" pivotButton="0" quotePrefix="0" xfId="0"/>
    <xf numFmtId="0" fontId="10" fillId="11" borderId="0" pivotButton="0" quotePrefix="0" xfId="0"/>
    <xf numFmtId="0" fontId="10" fillId="11" borderId="0" applyAlignment="1" pivotButton="0" quotePrefix="0" xfId="0">
      <alignment horizontal="center"/>
    </xf>
    <xf numFmtId="0" fontId="10" fillId="11" borderId="0" applyAlignment="1" pivotButton="0" quotePrefix="0" xfId="0">
      <alignment horizontal="center" vertical="center"/>
    </xf>
    <xf numFmtId="0" fontId="0" fillId="12" borderId="0" pivotButton="0" quotePrefix="0" xfId="0"/>
    <xf numFmtId="0" fontId="10" fillId="12" borderId="0" pivotButton="0" quotePrefix="0" xfId="0"/>
    <xf numFmtId="0" fontId="10" fillId="12" borderId="0" applyAlignment="1" pivotButton="0" quotePrefix="0" xfId="0">
      <alignment horizontal="center"/>
    </xf>
    <xf numFmtId="0" fontId="10" fillId="12" borderId="0" applyAlignment="1" pivotButton="0" quotePrefix="0" xfId="0">
      <alignment horizontal="center" vertical="center"/>
    </xf>
    <xf numFmtId="0" fontId="9" fillId="0" borderId="1" applyAlignment="1" pivotButton="0" quotePrefix="0" xfId="0">
      <alignment vertical="center" wrapText="1"/>
    </xf>
    <xf numFmtId="0" fontId="9" fillId="4" borderId="2" applyAlignment="1" pivotButton="0" quotePrefix="0" xfId="0">
      <alignment vertical="center" wrapText="1"/>
    </xf>
    <xf numFmtId="0" fontId="9" fillId="0" borderId="2" applyAlignment="1" pivotButton="0" quotePrefix="0" xfId="0">
      <alignment vertical="center" wrapText="1"/>
    </xf>
    <xf numFmtId="164" fontId="9" fillId="0" borderId="1" applyAlignment="1" pivotButton="0" quotePrefix="0" xfId="0">
      <alignment vertical="center" wrapText="1"/>
    </xf>
    <xf numFmtId="164" fontId="9" fillId="4" borderId="2" applyAlignment="1" pivotButton="0" quotePrefix="0" xfId="0">
      <alignment vertical="center" wrapText="1"/>
    </xf>
    <xf numFmtId="164" fontId="9" fillId="0" borderId="2" applyAlignment="1" pivotButton="0" quotePrefix="0" xfId="0">
      <alignment vertical="center" wrapText="1"/>
    </xf>
    <xf numFmtId="164" fontId="9" fillId="0" borderId="1" applyAlignment="1" pivotButton="0" quotePrefix="0" xfId="0">
      <alignment horizontal="right" vertical="center" wrapText="1"/>
    </xf>
    <xf numFmtId="164" fontId="9" fillId="4" borderId="2" applyAlignment="1" pivotButton="0" quotePrefix="0" xfId="0">
      <alignment horizontal="right" vertical="center" wrapText="1"/>
    </xf>
    <xf numFmtId="164" fontId="9" fillId="0" borderId="2" applyAlignment="1" pivotButton="0" quotePrefix="0" xfId="0">
      <alignment horizontal="right" vertical="center" wrapText="1"/>
    </xf>
    <xf numFmtId="165" fontId="9" fillId="0" borderId="1" applyAlignment="1" pivotButton="0" quotePrefix="0" xfId="0">
      <alignment vertical="center" wrapText="1"/>
    </xf>
    <xf numFmtId="165" fontId="9" fillId="4" borderId="2" applyAlignment="1" pivotButton="0" quotePrefix="0" xfId="0">
      <alignment vertical="center" wrapText="1"/>
    </xf>
    <xf numFmtId="165" fontId="9" fillId="0" borderId="2" applyAlignment="1" pivotButton="0" quotePrefix="0" xfId="0">
      <alignment vertical="center" wrapText="1"/>
    </xf>
    <xf numFmtId="165" fontId="9" fillId="0" borderId="1" applyAlignment="1" pivotButton="0" quotePrefix="0" xfId="0">
      <alignment horizontal="right" vertical="center" wrapText="1"/>
    </xf>
    <xf numFmtId="165" fontId="9" fillId="4" borderId="2" applyAlignment="1" pivotButton="0" quotePrefix="0" xfId="0">
      <alignment horizontal="right" vertical="center" wrapText="1"/>
    </xf>
    <xf numFmtId="165" fontId="9" fillId="0" borderId="2" applyAlignment="1" pivotButton="0" quotePrefix="0" xfId="0">
      <alignment horizontal="right" vertical="center" wrapText="1"/>
    </xf>
    <xf numFmtId="10" fontId="9" fillId="0" borderId="1" applyAlignment="1" pivotButton="0" quotePrefix="0" xfId="0">
      <alignment vertical="center" wrapText="1"/>
    </xf>
    <xf numFmtId="10" fontId="9" fillId="4" borderId="2" applyAlignment="1" pivotButton="0" quotePrefix="0" xfId="0">
      <alignment vertical="center" wrapText="1"/>
    </xf>
    <xf numFmtId="10" fontId="9" fillId="0" borderId="2" applyAlignment="1" pivotButton="0" quotePrefix="0" xfId="0">
      <alignment vertical="center" wrapText="1"/>
    </xf>
    <xf numFmtId="10" fontId="9" fillId="0" borderId="1" applyAlignment="1" pivotButton="0" quotePrefix="0" xfId="0">
      <alignment horizontal="right" vertical="center" wrapText="1"/>
    </xf>
    <xf numFmtId="10" fontId="9" fillId="4" borderId="2" applyAlignment="1" pivotButton="0" quotePrefix="0" xfId="0">
      <alignment horizontal="right" vertical="center" wrapText="1"/>
    </xf>
    <xf numFmtId="10" fontId="9" fillId="0" borderId="2" applyAlignment="1" pivotButton="0" quotePrefix="0" xfId="0">
      <alignment horizontal="right" vertical="center" wrapText="1"/>
    </xf>
    <xf numFmtId="3" fontId="9" fillId="0" borderId="1" applyAlignment="1" pivotButton="0" quotePrefix="0" xfId="0">
      <alignment vertical="center" wrapText="1"/>
    </xf>
    <xf numFmtId="3" fontId="9" fillId="4" borderId="2" applyAlignment="1" pivotButton="0" quotePrefix="0" xfId="0">
      <alignment vertical="center" wrapText="1"/>
    </xf>
    <xf numFmtId="3" fontId="9" fillId="0" borderId="2" applyAlignment="1" pivotButton="0" quotePrefix="0" xfId="0">
      <alignment vertical="center" wrapText="1"/>
    </xf>
    <xf numFmtId="3" fontId="9" fillId="0" borderId="1" applyAlignment="1" pivotButton="0" quotePrefix="0" xfId="0">
      <alignment horizontal="right" vertical="center" wrapText="1"/>
    </xf>
    <xf numFmtId="3" fontId="9" fillId="4" borderId="2" applyAlignment="1" pivotButton="0" quotePrefix="0" xfId="0">
      <alignment horizontal="right" vertical="center" wrapText="1"/>
    </xf>
    <xf numFmtId="3" fontId="9" fillId="0" borderId="2" applyAlignment="1" pivotButton="0" quotePrefix="0" xfId="0">
      <alignment horizontal="right" vertical="center" wrapText="1"/>
    </xf>
    <xf numFmtId="0" fontId="11" fillId="0" borderId="0" pivotButton="0" quotePrefix="0" xfId="0"/>
    <xf numFmtId="0" fontId="11" fillId="0" borderId="0" applyAlignment="1" pivotButton="0" quotePrefix="0" xfId="0">
      <alignment vertical="center"/>
    </xf>
    <xf numFmtId="0" fontId="11" fillId="0" borderId="1" applyAlignment="1" pivotButton="0" quotePrefix="0" xfId="0">
      <alignment vertical="center"/>
    </xf>
    <xf numFmtId="0" fontId="11" fillId="0" borderId="2" applyAlignment="1" pivotButton="0" quotePrefix="0" xfId="0">
      <alignment vertical="center"/>
    </xf>
    <xf numFmtId="0" fontId="11" fillId="0" borderId="1" applyAlignment="1" pivotButton="0" quotePrefix="0" xfId="0">
      <alignment vertical="center" wrapText="1"/>
    </xf>
    <xf numFmtId="0" fontId="11" fillId="0" borderId="2" applyAlignment="1" pivotButton="0" quotePrefix="0" xfId="0">
      <alignment vertical="center" wrapText="1"/>
    </xf>
    <xf numFmtId="0" fontId="11" fillId="4" borderId="2" applyAlignment="1" pivotButton="0" quotePrefix="0" xfId="0">
      <alignment vertical="center" wrapText="1"/>
    </xf>
    <xf numFmtId="164" fontId="11" fillId="0" borderId="1" applyAlignment="1" pivotButton="0" quotePrefix="0" xfId="0">
      <alignment vertical="center" wrapText="1"/>
    </xf>
    <xf numFmtId="164" fontId="11" fillId="4" borderId="2" applyAlignment="1" pivotButton="0" quotePrefix="0" xfId="0">
      <alignment vertical="center" wrapText="1"/>
    </xf>
    <xf numFmtId="164" fontId="11" fillId="0" borderId="2" applyAlignment="1" pivotButton="0" quotePrefix="0" xfId="0">
      <alignment vertical="center" wrapText="1"/>
    </xf>
    <xf numFmtId="164" fontId="11" fillId="0" borderId="1" applyAlignment="1" pivotButton="0" quotePrefix="0" xfId="0">
      <alignment horizontal="right" vertical="center" wrapText="1"/>
    </xf>
    <xf numFmtId="164" fontId="11" fillId="4" borderId="2" applyAlignment="1" pivotButton="0" quotePrefix="0" xfId="0">
      <alignment horizontal="right" vertical="center" wrapText="1"/>
    </xf>
    <xf numFmtId="164" fontId="11" fillId="0" borderId="2" applyAlignment="1" pivotButton="0" quotePrefix="0" xfId="0">
      <alignment horizontal="right" vertical="center" wrapText="1"/>
    </xf>
    <xf numFmtId="10" fontId="11" fillId="0" borderId="1" applyAlignment="1" pivotButton="0" quotePrefix="0" xfId="0">
      <alignment vertical="center" wrapText="1"/>
    </xf>
    <xf numFmtId="10" fontId="11" fillId="4" borderId="2" applyAlignment="1" pivotButton="0" quotePrefix="0" xfId="0">
      <alignment vertical="center" wrapText="1"/>
    </xf>
    <xf numFmtId="10" fontId="11" fillId="0" borderId="2" applyAlignment="1" pivotButton="0" quotePrefix="0" xfId="0">
      <alignment vertical="center" wrapText="1"/>
    </xf>
    <xf numFmtId="165" fontId="11" fillId="0" borderId="1" applyAlignment="1" pivotButton="0" quotePrefix="0" xfId="0">
      <alignment vertical="center" wrapText="1"/>
    </xf>
    <xf numFmtId="165" fontId="11" fillId="4" borderId="2" applyAlignment="1" pivotButton="0" quotePrefix="0" xfId="0">
      <alignment vertical="center" wrapText="1"/>
    </xf>
    <xf numFmtId="165" fontId="11" fillId="0" borderId="2" applyAlignment="1" pivotButton="0" quotePrefix="0" xfId="0">
      <alignment vertical="center" wrapText="1"/>
    </xf>
    <xf numFmtId="0" fontId="12" fillId="5" borderId="0" pivotButton="0" quotePrefix="0" xfId="0"/>
    <xf numFmtId="0" fontId="3" fillId="2" borderId="0" pivotButton="0" quotePrefix="0" xfId="0"/>
    <xf numFmtId="0" fontId="9" fillId="0" borderId="0" applyAlignment="1" pivotButton="0" quotePrefix="0" xfId="0">
      <alignment wrapText="1"/>
    </xf>
    <xf numFmtId="49" fontId="9" fillId="0" borderId="0" applyAlignment="1" pivotButton="0" quotePrefix="0" xfId="0">
      <alignment wrapText="1"/>
    </xf>
    <xf numFmtId="166" fontId="9" fillId="0" borderId="1" applyAlignment="1" pivotButton="0" quotePrefix="0" xfId="0">
      <alignment vertical="center" wrapText="1"/>
    </xf>
    <xf numFmtId="166" fontId="9" fillId="4" borderId="2" applyAlignment="1" pivotButton="0" quotePrefix="0" xfId="0">
      <alignment vertical="center" wrapText="1"/>
    </xf>
    <xf numFmtId="166" fontId="9" fillId="0" borderId="2" applyAlignment="1" pivotButton="0" quotePrefix="0" xfId="0">
      <alignment vertical="center" wrapText="1"/>
    </xf>
    <xf numFmtId="3" fontId="11" fillId="0" borderId="0" pivotButton="0" quotePrefix="0" xfId="0"/>
    <xf numFmtId="3" fontId="11" fillId="0" borderId="0" applyAlignment="1" pivotButton="0" quotePrefix="0" xfId="0">
      <alignment horizontal="right"/>
    </xf>
    <xf numFmtId="10" fontId="11" fillId="0" borderId="0" pivotButton="0" quotePrefix="0" xfId="0"/>
    <xf numFmtId="10" fontId="11" fillId="0" borderId="0" applyAlignment="1" pivotButton="0" quotePrefix="0" xfId="0">
      <alignment horizontal="right"/>
    </xf>
    <xf numFmtId="164" fontId="9" fillId="0" borderId="0" applyAlignment="1" pivotButton="0" quotePrefix="0" xfId="0">
      <alignment wrapText="1"/>
    </xf>
    <xf numFmtId="164" fontId="9" fillId="0" borderId="0" applyAlignment="1" pivotButton="0" quotePrefix="0" xfId="0">
      <alignment horizontal="right" wrapText="1"/>
    </xf>
    <xf numFmtId="3" fontId="9" fillId="0" borderId="0" applyAlignment="1" pivotButton="0" quotePrefix="0" xfId="0">
      <alignment wrapText="1"/>
    </xf>
    <xf numFmtId="3" fontId="9" fillId="0" borderId="0" applyAlignment="1" pivotButton="0" quotePrefix="0" xfId="0">
      <alignment horizontal="right" wrapText="1"/>
    </xf>
    <xf numFmtId="164" fontId="9" fillId="0" borderId="1" applyAlignment="1" pivotButton="0" quotePrefix="0" xfId="0">
      <alignment horizontal="right" vertical="center" wrapText="1"/>
    </xf>
    <xf numFmtId="165" fontId="9" fillId="0" borderId="1" applyAlignment="1" pivotButton="0" quotePrefix="0" xfId="0">
      <alignment horizontal="right" vertical="center" wrapText="1"/>
    </xf>
    <xf numFmtId="10" fontId="9" fillId="0" borderId="1" applyAlignment="1" pivotButton="0" quotePrefix="0" xfId="0">
      <alignment horizontal="right" vertical="center" wrapText="1"/>
    </xf>
    <xf numFmtId="3" fontId="9" fillId="0" borderId="1" applyAlignment="1" pivotButton="0" quotePrefix="0" xfId="0">
      <alignment horizontal="right" vertical="center" wrapText="1"/>
    </xf>
    <xf numFmtId="164" fontId="9" fillId="4" borderId="2" applyAlignment="1" pivotButton="0" quotePrefix="0" xfId="0">
      <alignment horizontal="right" vertical="center" wrapText="1"/>
    </xf>
    <xf numFmtId="165" fontId="9" fillId="4" borderId="2" applyAlignment="1" pivotButton="0" quotePrefix="0" xfId="0">
      <alignment horizontal="right" vertical="center" wrapText="1"/>
    </xf>
    <xf numFmtId="10" fontId="9" fillId="4" borderId="2" applyAlignment="1" pivotButton="0" quotePrefix="0" xfId="0">
      <alignment horizontal="right" vertical="center" wrapText="1"/>
    </xf>
    <xf numFmtId="3" fontId="9" fillId="4" borderId="2" applyAlignment="1" pivotButton="0" quotePrefix="0" xfId="0">
      <alignment horizontal="right" vertical="center" wrapText="1"/>
    </xf>
    <xf numFmtId="164" fontId="9" fillId="0" borderId="2" applyAlignment="1" pivotButton="0" quotePrefix="0" xfId="0">
      <alignment horizontal="right" vertical="center" wrapText="1"/>
    </xf>
    <xf numFmtId="165" fontId="9" fillId="0" borderId="2" applyAlignment="1" pivotButton="0" quotePrefix="0" xfId="0">
      <alignment horizontal="right" vertical="center" wrapText="1"/>
    </xf>
    <xf numFmtId="10" fontId="9" fillId="0" borderId="2" applyAlignment="1" pivotButton="0" quotePrefix="0" xfId="0">
      <alignment horizontal="right" vertical="center" wrapText="1"/>
    </xf>
    <xf numFmtId="3" fontId="9" fillId="0" borderId="2" applyAlignment="1" pivotButton="0" quotePrefix="0" xfId="0">
      <alignment horizontal="right" vertical="center" wrapText="1"/>
    </xf>
    <xf numFmtId="164" fontId="11" fillId="0" borderId="1" applyAlignment="1" pivotButton="0" quotePrefix="0" xfId="0">
      <alignment horizontal="right" vertical="center" wrapText="1"/>
    </xf>
    <xf numFmtId="164" fontId="11" fillId="4" borderId="2" applyAlignment="1" pivotButton="0" quotePrefix="0" xfId="0">
      <alignment horizontal="right" vertical="center" wrapText="1"/>
    </xf>
    <xf numFmtId="164" fontId="11" fillId="0" borderId="2" applyAlignment="1" pivotButton="0" quotePrefix="0" xfId="0">
      <alignment horizontal="right" vertical="center" wrapText="1"/>
    </xf>
    <xf numFmtId="10" fontId="11" fillId="0" borderId="1" applyAlignment="1" pivotButton="0" quotePrefix="0" xfId="0">
      <alignment vertical="center" wrapText="1"/>
    </xf>
    <xf numFmtId="165" fontId="11" fillId="0" borderId="1" applyAlignment="1" pivotButton="0" quotePrefix="0" xfId="0">
      <alignment vertical="center" wrapText="1"/>
    </xf>
    <xf numFmtId="10" fontId="11" fillId="4" borderId="2" applyAlignment="1" pivotButton="0" quotePrefix="0" xfId="0">
      <alignment vertical="center" wrapText="1"/>
    </xf>
    <xf numFmtId="165" fontId="11" fillId="4" borderId="2" applyAlignment="1" pivotButton="0" quotePrefix="0" xfId="0">
      <alignment vertical="center" wrapText="1"/>
    </xf>
    <xf numFmtId="10" fontId="11" fillId="0" borderId="2" applyAlignment="1" pivotButton="0" quotePrefix="0" xfId="0">
      <alignment vertical="center" wrapText="1"/>
    </xf>
    <xf numFmtId="165" fontId="11" fillId="0" borderId="2" applyAlignment="1" pivotButton="0" quotePrefix="0" xfId="0">
      <alignment vertical="center" wrapText="1"/>
    </xf>
    <xf numFmtId="49" fontId="9" fillId="0" borderId="0" applyAlignment="1" pivotButton="0" quotePrefix="0" xfId="0">
      <alignment wrapText="1"/>
    </xf>
    <xf numFmtId="166" fontId="9" fillId="0" borderId="1" applyAlignment="1" pivotButton="0" quotePrefix="0" xfId="0">
      <alignment vertical="center" wrapText="1"/>
    </xf>
    <xf numFmtId="164" fontId="9" fillId="0" borderId="1" applyAlignment="1" pivotButton="0" quotePrefix="0" xfId="0">
      <alignment vertical="center" wrapText="1"/>
    </xf>
    <xf numFmtId="166" fontId="9" fillId="4" borderId="2" applyAlignment="1" pivotButton="0" quotePrefix="0" xfId="0">
      <alignment vertical="center" wrapText="1"/>
    </xf>
    <xf numFmtId="164" fontId="9" fillId="4" borderId="2" applyAlignment="1" pivotButton="0" quotePrefix="0" xfId="0">
      <alignment vertical="center" wrapText="1"/>
    </xf>
    <xf numFmtId="166" fontId="9" fillId="0" borderId="2" applyAlignment="1" pivotButton="0" quotePrefix="0" xfId="0">
      <alignment vertical="center" wrapText="1"/>
    </xf>
    <xf numFmtId="164" fontId="9" fillId="0" borderId="2" applyAlignment="1" pivotButton="0" quotePrefix="0" xfId="0">
      <alignment vertical="center" wrapText="1"/>
    </xf>
    <xf numFmtId="3" fontId="11" fillId="0" borderId="0" applyAlignment="1" pivotButton="0" quotePrefix="0" xfId="0">
      <alignment horizontal="right"/>
    </xf>
    <xf numFmtId="10" fontId="11" fillId="0" borderId="0" applyAlignment="1" pivotButton="0" quotePrefix="0" xfId="0">
      <alignment horizontal="right"/>
    </xf>
    <xf numFmtId="164" fontId="9" fillId="0" borderId="0" applyAlignment="1" pivotButton="0" quotePrefix="0" xfId="0">
      <alignment horizontal="right" wrapText="1"/>
    </xf>
    <xf numFmtId="3" fontId="9" fillId="0" borderId="0" applyAlignment="1" pivotButton="0" quotePrefix="0" xfId="0">
      <alignment horizontal="right" wrapText="1"/>
    </xf>
    <xf numFmtId="0" fontId="13" fillId="13" borderId="0" pivotButton="0" quotePrefix="0" xfId="0"/>
    <xf numFmtId="0" fontId="14" fillId="0" borderId="0" pivotButton="0" quotePrefix="0" xfId="0"/>
    <xf numFmtId="0" fontId="15" fillId="14" borderId="0" pivotButton="0" quotePrefix="0" xfId="0"/>
    <xf numFmtId="0" fontId="15" fillId="15" borderId="0" pivotButton="0" quotePrefix="0" xfId="0"/>
    <xf numFmtId="0" fontId="15" fillId="16" borderId="0" pivotButton="0" quotePrefix="0" xfId="0"/>
  </cellXfs>
  <cellStyles count="1">
    <cellStyle name="Normal" xfId="0"/>
  </cellStyles>
  <dxfs count="53">
    <dxf>
      <font>
        <b val="1"/>
        <color rgb="FF7A1F3D"/>
      </font>
      <fill>
        <patternFill patternType="solid">
          <bgColor rgb="FFF8D7DA"/>
        </patternFill>
      </fill>
    </dxf>
    <dxf>
      <font>
        <b val="1"/>
        <color rgb="FFA65A00"/>
      </font>
      <fill>
        <patternFill patternType="solid">
          <bgColor rgb="FFFFF0D6"/>
        </patternFill>
      </fill>
    </dxf>
    <dxf>
      <font>
        <b val="1"/>
        <color rgb="FF006B3C"/>
      </font>
      <fill>
        <patternFill patternType="solid">
          <bgColor rgb="FFDCEFE2"/>
        </patternFill>
      </fill>
    </dxf>
    <dxf>
      <font>
        <color rgb="FF73787D"/>
      </font>
      <fill>
        <patternFill patternType="solid">
          <bgColor rgb="FFF5F6F7"/>
        </patternFill>
      </fill>
    </dxf>
    <dxf>
      <font>
        <b val="1"/>
        <color rgb="FF30353A"/>
      </font>
      <fill>
        <patternFill patternType="solid">
          <bgColor rgb="FFDCEAF7"/>
        </patternFill>
      </fill>
    </dxf>
    <dxf>
      <font>
        <b val="1"/>
        <color rgb="FF30353A"/>
      </font>
      <fill>
        <patternFill patternType="solid">
          <bgColor rgb="FFE3F0DF"/>
        </patternFill>
      </fill>
    </dxf>
    <dxf>
      <font>
        <b val="1"/>
        <color rgb="FF30353A"/>
      </font>
      <fill>
        <patternFill patternType="solid">
          <bgColor rgb="FFDDEEDB"/>
        </patternFill>
      </fill>
    </dxf>
    <dxf>
      <font>
        <b val="1"/>
        <color rgb="FF30353A"/>
      </font>
      <fill>
        <patternFill patternType="solid">
          <bgColor rgb="FFF8E7BF"/>
        </patternFill>
      </fill>
    </dxf>
    <dxf>
      <font>
        <b val="1"/>
        <color rgb="FF30353A"/>
      </font>
      <fill>
        <patternFill patternType="solid">
          <bgColor rgb="FFE8E2F3"/>
        </patternFill>
      </fill>
    </dxf>
    <dxf>
      <font>
        <b val="1"/>
        <color rgb="FF30353A"/>
      </font>
      <fill>
        <patternFill patternType="solid">
          <bgColor rgb="FFF3E0E8"/>
        </patternFill>
      </fill>
    </dxf>
    <dxf>
      <font>
        <b val="1"/>
        <color rgb="FF30353A"/>
      </font>
      <fill>
        <patternFill patternType="solid">
          <bgColor rgb="FFE1E9EF"/>
        </patternFill>
      </fill>
    </dxf>
    <dxf>
      <font>
        <b val="1"/>
        <color rgb="FF30353A"/>
      </font>
      <fill>
        <patternFill patternType="solid">
          <bgColor rgb="FFECE2F1"/>
        </patternFill>
      </fill>
    </dxf>
    <dxf>
      <font>
        <b val="1"/>
        <color rgb="FF30353A"/>
      </font>
      <fill>
        <patternFill patternType="solid">
          <bgColor rgb="FFF1E8D9"/>
        </patternFill>
      </fill>
    </dxf>
    <dxf>
      <font>
        <b val="1"/>
        <color rgb="FF30353A"/>
      </font>
      <fill>
        <patternFill patternType="solid">
          <bgColor rgb="FFDDEDEA"/>
        </patternFill>
      </fill>
    </dxf>
    <dxf>
      <font>
        <b val="1"/>
        <color rgb="FF30353A"/>
      </font>
      <fill>
        <patternFill patternType="solid">
          <bgColor rgb="FFE8ECEF"/>
        </patternFill>
      </fill>
    </dxf>
    <dxf>
      <font>
        <b val="1"/>
        <color rgb="FF30353A"/>
      </font>
      <fill>
        <patternFill patternType="solid">
          <bgColor rgb="FFF1F2F3"/>
        </patternFill>
      </fill>
    </dxf>
    <dxf>
      <font>
        <b val="1"/>
        <color rgb="FFA65A00"/>
      </font>
      <fill>
        <patternFill patternType="solid">
          <bgColor rgb="FFFFF0D6"/>
        </patternFill>
      </fill>
    </dxf>
    <dxf>
      <font>
        <b val="1"/>
        <color rgb="FF7A1F3D"/>
      </font>
      <fill>
        <patternFill patternType="solid">
          <bgColor rgb="FFF8D7DA"/>
        </patternFill>
      </fill>
    </dxf>
    <dxf>
      <font>
        <b val="1"/>
        <color rgb="FFA65A00"/>
      </font>
      <fill>
        <patternFill patternType="solid">
          <bgColor rgb="FFFFF0D6"/>
        </patternFill>
      </fill>
    </dxf>
    <dxf>
      <font>
        <b val="1"/>
        <color rgb="FF006B3C"/>
      </font>
      <fill>
        <patternFill patternType="solid">
          <bgColor rgb="FFDCEFE2"/>
        </patternFill>
      </fill>
    </dxf>
    <dxf>
      <font>
        <color rgb="FF73787D"/>
      </font>
      <fill>
        <patternFill patternType="solid">
          <bgColor rgb="FFF5F6F7"/>
        </patternFill>
      </fill>
    </dxf>
    <dxf>
      <font>
        <b val="1"/>
        <color rgb="FF30353A"/>
      </font>
      <fill>
        <patternFill patternType="solid">
          <bgColor rgb="FFDCEAF7"/>
        </patternFill>
      </fill>
    </dxf>
    <dxf>
      <font>
        <b val="1"/>
        <color rgb="FF30353A"/>
      </font>
      <fill>
        <patternFill patternType="solid">
          <bgColor rgb="FFE3F0DF"/>
        </patternFill>
      </fill>
    </dxf>
    <dxf>
      <font>
        <b val="1"/>
        <color rgb="FF30353A"/>
      </font>
      <fill>
        <patternFill patternType="solid">
          <bgColor rgb="FFDDEEDB"/>
        </patternFill>
      </fill>
    </dxf>
    <dxf>
      <font>
        <b val="1"/>
        <color rgb="FF30353A"/>
      </font>
      <fill>
        <patternFill patternType="solid">
          <bgColor rgb="FFF8E7BF"/>
        </patternFill>
      </fill>
    </dxf>
    <dxf>
      <font>
        <b val="1"/>
        <color rgb="FF30353A"/>
      </font>
      <fill>
        <patternFill patternType="solid">
          <bgColor rgb="FFE8E2F3"/>
        </patternFill>
      </fill>
    </dxf>
    <dxf>
      <font>
        <b val="1"/>
        <color rgb="FF30353A"/>
      </font>
      <fill>
        <patternFill patternType="solid">
          <bgColor rgb="FFF3E0E8"/>
        </patternFill>
      </fill>
    </dxf>
    <dxf>
      <font>
        <b val="1"/>
        <color rgb="FF30353A"/>
      </font>
      <fill>
        <patternFill patternType="solid">
          <bgColor rgb="FFE1E9EF"/>
        </patternFill>
      </fill>
    </dxf>
    <dxf>
      <font>
        <b val="1"/>
        <color rgb="FF30353A"/>
      </font>
      <fill>
        <patternFill patternType="solid">
          <bgColor rgb="FFECE2F1"/>
        </patternFill>
      </fill>
    </dxf>
    <dxf>
      <font>
        <b val="1"/>
        <color rgb="FF30353A"/>
      </font>
      <fill>
        <patternFill patternType="solid">
          <bgColor rgb="FFF1E8D9"/>
        </patternFill>
      </fill>
    </dxf>
    <dxf>
      <font>
        <b val="1"/>
        <color rgb="FF30353A"/>
      </font>
      <fill>
        <patternFill patternType="solid">
          <bgColor rgb="FFDDEDEA"/>
        </patternFill>
      </fill>
    </dxf>
    <dxf>
      <font>
        <b val="1"/>
        <color rgb="FF30353A"/>
      </font>
      <fill>
        <patternFill patternType="solid">
          <bgColor rgb="FFE8ECEF"/>
        </patternFill>
      </fill>
    </dxf>
    <dxf>
      <font>
        <b val="1"/>
        <color rgb="FF30353A"/>
      </font>
      <fill>
        <patternFill patternType="solid">
          <bgColor rgb="FFF1F2F3"/>
        </patternFill>
      </fill>
    </dxf>
    <dxf>
      <font>
        <b val="1"/>
        <color rgb="FFA65A00"/>
      </font>
      <fill>
        <patternFill patternType="solid">
          <bgColor rgb="FFFFF0D6"/>
        </patternFill>
      </fill>
    </dxf>
    <dxf>
      <font>
        <b val="1"/>
        <color rgb="FF7A1F3D"/>
      </font>
      <fill>
        <patternFill patternType="solid">
          <bgColor rgb="FFF8D7DA"/>
        </patternFill>
      </fill>
    </dxf>
    <dxf>
      <font>
        <b val="1"/>
        <color rgb="FFA65A00"/>
      </font>
      <fill>
        <patternFill patternType="solid">
          <bgColor rgb="FFFFF0D6"/>
        </patternFill>
      </fill>
    </dxf>
    <dxf>
      <font>
        <b val="1"/>
        <color rgb="FF006B3C"/>
      </font>
      <fill>
        <patternFill patternType="solid">
          <bgColor rgb="FFDCEFE2"/>
        </patternFill>
      </fill>
    </dxf>
    <dxf>
      <font>
        <color rgb="FF73787D"/>
      </font>
      <fill>
        <patternFill patternType="solid">
          <bgColor rgb="FFF5F6F7"/>
        </patternFill>
      </fill>
    </dxf>
    <dxf>
      <font>
        <b val="1"/>
        <color rgb="FF30353A"/>
      </font>
      <fill>
        <patternFill patternType="solid">
          <bgColor rgb="FFDCEAF7"/>
        </patternFill>
      </fill>
    </dxf>
    <dxf>
      <font>
        <b val="1"/>
        <color rgb="FF30353A"/>
      </font>
      <fill>
        <patternFill patternType="solid">
          <bgColor rgb="FFE3F0DF"/>
        </patternFill>
      </fill>
    </dxf>
    <dxf>
      <font>
        <b val="1"/>
        <color rgb="FF30353A"/>
      </font>
      <fill>
        <patternFill patternType="solid">
          <bgColor rgb="FFDDEEDB"/>
        </patternFill>
      </fill>
    </dxf>
    <dxf>
      <font>
        <b val="1"/>
        <color rgb="FF30353A"/>
      </font>
      <fill>
        <patternFill patternType="solid">
          <bgColor rgb="FFF8E7BF"/>
        </patternFill>
      </fill>
    </dxf>
    <dxf>
      <font>
        <b val="1"/>
        <color rgb="FF30353A"/>
      </font>
      <fill>
        <patternFill patternType="solid">
          <bgColor rgb="FFE8E2F3"/>
        </patternFill>
      </fill>
    </dxf>
    <dxf>
      <font>
        <b val="1"/>
        <color rgb="FF30353A"/>
      </font>
      <fill>
        <patternFill patternType="solid">
          <bgColor rgb="FFF3E0E8"/>
        </patternFill>
      </fill>
    </dxf>
    <dxf>
      <font>
        <b val="1"/>
        <color rgb="FF30353A"/>
      </font>
      <fill>
        <patternFill patternType="solid">
          <bgColor rgb="FFE1E9EF"/>
        </patternFill>
      </fill>
    </dxf>
    <dxf>
      <font>
        <b val="1"/>
        <color rgb="FF30353A"/>
      </font>
      <fill>
        <patternFill patternType="solid">
          <bgColor rgb="FFECE2F1"/>
        </patternFill>
      </fill>
    </dxf>
    <dxf>
      <font>
        <b val="1"/>
        <color rgb="FF30353A"/>
      </font>
      <fill>
        <patternFill patternType="solid">
          <bgColor rgb="FFF1E8D9"/>
        </patternFill>
      </fill>
    </dxf>
    <dxf>
      <font>
        <b val="1"/>
        <color rgb="FF30353A"/>
      </font>
      <fill>
        <patternFill patternType="solid">
          <bgColor rgb="FFDDEDEA"/>
        </patternFill>
      </fill>
    </dxf>
    <dxf>
      <font>
        <b val="1"/>
        <color rgb="FF30353A"/>
      </font>
      <fill>
        <patternFill patternType="solid">
          <bgColor rgb="FFE8ECEF"/>
        </patternFill>
      </fill>
    </dxf>
    <dxf>
      <font>
        <b val="1"/>
        <color rgb="FF30353A"/>
      </font>
      <fill>
        <patternFill patternType="solid">
          <bgColor rgb="FFF1F2F3"/>
        </patternFill>
      </fill>
    </dxf>
    <dxf>
      <font>
        <b val="1"/>
        <color rgb="FFA65A00"/>
      </font>
      <fill>
        <patternFill patternType="solid">
          <bgColor rgb="FFFFF0D6"/>
        </patternFill>
      </fill>
    </dxf>
    <dxf>
      <font>
        <b val="1"/>
        <color rgb="FF006B3C"/>
      </font>
      <fill>
        <patternFill patternType="solid">
          <bgColor rgb="FFDCEFE2"/>
        </patternFill>
      </fill>
    </dxf>
    <dxf>
      <font>
        <b val="1"/>
        <color rgb="FFA65A00"/>
      </font>
      <fill>
        <patternFill patternType="solid">
          <bgColor rgb="FFFFF0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Adquirência · mínimo estrutural x Sub/PL atual</a:t>
            </a:r>
          </a:p>
        </rich>
      </tx>
    </title>
    <plotArea>
      <scatterChart>
        <ser>
          <idx val="0"/>
          <order val="0"/>
          <tx>
            <strRef>
              <f>'Nomes editáveis'!$D$94</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99'!$S$94</f>
            </numRef>
          </xVal>
          <yVal>
            <numRef>
              <f>'Casos 99'!$L$94</f>
            </numRef>
          </yVal>
        </ser>
        <ser>
          <idx val="1"/>
          <order val="1"/>
          <tx>
            <strRef>
              <f>'Nomes editáveis'!$D$34</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99'!$S$34</f>
            </numRef>
          </xVal>
          <yVal>
            <numRef>
              <f>'Casos 99'!$L$34</f>
            </numRef>
          </yVal>
        </ser>
        <ser>
          <idx val="2"/>
          <order val="2"/>
          <tx>
            <strRef>
              <f>'Nomes editáveis'!$D$14</f>
            </strRef>
          </tx>
          <spPr>
            <a:ln xmlns:a="http://schemas.openxmlformats.org/drawingml/2006/main">
              <a:noFill/>
              <a:prstDash val="solid"/>
            </a:ln>
          </spPr>
          <marker>
            <symbol val="circle"/>
            <size val="8"/>
            <spPr>
              <a:solidFill xmlns:a="http://schemas.openxmlformats.org/drawingml/2006/main">
                <a:srgbClr val="EC7000"/>
              </a:solidFill>
              <a:ln xmlns:a="http://schemas.openxmlformats.org/drawingml/2006/main">
                <a:solidFill>
                  <a:srgbClr val="EC7000"/>
                </a:solidFill>
                <a:prstDash val="solid"/>
              </a:ln>
            </spPr>
          </marker>
          <xVal>
            <numRef>
              <f>'Casos 99'!$S$14</f>
            </numRef>
          </xVal>
          <yVal>
            <numRef>
              <f>'Casos 99'!$L$14</f>
            </numRef>
          </yVal>
        </ser>
        <ser>
          <idx val="3"/>
          <order val="3"/>
          <tx>
            <strRef>
              <f>'Nomes editáveis'!$D$39</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99'!$S$39</f>
            </numRef>
          </xVal>
          <yVal>
            <numRef>
              <f>'Casos 99'!$L$39</f>
            </numRef>
          </yVal>
        </ser>
        <dLbls>
          <showLegendKey val="0"/>
          <showVal val="0"/>
          <showSerName val="1"/>
        </dLbls>
        <axId val="10"/>
        <axId val="20"/>
      </scatterChart>
      <valAx>
        <axId val="10"/>
        <scaling>
          <orientation val="minMax"/>
          <max val="1.0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1.0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Cartão/CCB, ecossistema Credsystem · mínimo estrutural x Sub/PL atual</a:t>
            </a:r>
          </a:p>
        </rich>
      </tx>
    </title>
    <plotArea>
      <scatterChart>
        <ser>
          <idx val="0"/>
          <order val="0"/>
          <tx>
            <strRef>
              <f>'Nomes editáveis'!$D$44</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99'!$S$44</f>
            </numRef>
          </xVal>
          <yVal>
            <numRef>
              <f>'Casos 99'!$L$44</f>
            </numRef>
          </yVal>
        </ser>
        <dLbls>
          <showLegendKey val="0"/>
          <showVal val="0"/>
          <showSerName val="1"/>
        </dLbls>
        <axId val="10"/>
        <axId val="20"/>
      </scatterChart>
      <valAx>
        <axId val="10"/>
        <scaling>
          <orientation val="minMax"/>
          <max val="0.8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8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Empréstimos Monee SCD, CCBs · mínimo estrutural x Sub/PL atual</a:t>
            </a:r>
          </a:p>
        </rich>
      </tx>
    </title>
    <plotArea>
      <scatterChart>
        <ser>
          <idx val="0"/>
          <order val="0"/>
          <tx>
            <strRef>
              <f>'Nomes editáveis'!$D$90</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99'!$S$90</f>
            </numRef>
          </xVal>
          <yVal>
            <numRef>
              <f>'Casos 99'!$L$90</f>
            </numRef>
          </yVal>
        </ser>
        <dLbls>
          <showLegendKey val="0"/>
          <showVal val="0"/>
          <showSerName val="1"/>
        </dLbls>
        <axId val="10"/>
        <axId val="20"/>
      </scatterChart>
      <valAx>
        <axId val="10"/>
        <scaling>
          <orientation val="minMax"/>
          <max val="0.5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5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Equipamentos e serviços, recebíveis comerciais pulverizados · mínimo estrutural x Sub/PL atual</a:t>
            </a:r>
          </a:p>
        </rich>
      </tx>
    </title>
    <plotArea>
      <scatterChart>
        <ser>
          <idx val="0"/>
          <order val="0"/>
          <tx>
            <strRef>
              <f>'Nomes editáveis'!$D$9</f>
            </strRef>
          </tx>
          <spPr>
            <a:ln xmlns:a="http://schemas.openxmlformats.org/drawingml/2006/main">
              <a:noFill/>
              <a:prstDash val="solid"/>
            </a:ln>
          </spPr>
          <marker>
            <symbol val="circle"/>
            <size val="8"/>
            <spPr>
              <a:solidFill xmlns:a="http://schemas.openxmlformats.org/drawingml/2006/main">
                <a:srgbClr val="7A1F3D"/>
              </a:solidFill>
              <a:ln xmlns:a="http://schemas.openxmlformats.org/drawingml/2006/main">
                <a:solidFill>
                  <a:srgbClr val="7A1F3D"/>
                </a:solidFill>
                <a:prstDash val="solid"/>
              </a:ln>
            </spPr>
          </marker>
          <xVal>
            <numRef>
              <f>'Casos 99'!$S$9</f>
            </numRef>
          </xVal>
          <yVal>
            <numRef>
              <f>'Casos 99'!$L$9</f>
            </numRef>
          </yVal>
        </ser>
        <dLbls>
          <showLegendKey val="0"/>
          <showVal val="0"/>
          <showSerName val="1"/>
        </dLbls>
        <axId val="10"/>
        <axId val="20"/>
      </scatterChart>
      <valAx>
        <axId val="10"/>
        <scaling>
          <orientation val="minMax"/>
          <max val="0.3"/>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3"/>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3"/>
  <chart>
    <title>
      <tx>
        <rich>
          <a:bodyPr xmlns:a="http://schemas.openxmlformats.org/drawingml/2006/main"/>
          <a:p xmlns:a="http://schemas.openxmlformats.org/drawingml/2006/main">
            <a:pPr>
              <a:defRPr/>
            </a:pPr>
            <a:r>
              <a:t>Financiamento a consultoras Natura, CCBs · mínimo estrutural x Sub/PL atual</a:t>
            </a:r>
          </a:p>
        </rich>
      </tx>
    </title>
    <plotArea>
      <scatterChart>
        <ser>
          <idx val="0"/>
          <order val="0"/>
          <tx>
            <strRef>
              <f>'Nomes editáveis'!$D$62</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99'!$S$62</f>
            </numRef>
          </xVal>
          <yVal>
            <numRef>
              <f>'Casos 99'!$L$62</f>
            </numRef>
          </yVal>
        </ser>
        <dLbls>
          <showLegendKey val="0"/>
          <showVal val="0"/>
          <showSerName val="1"/>
        </dLbls>
        <axId val="10"/>
        <axId val="20"/>
      </scatterChart>
      <valAx>
        <axId val="10"/>
        <scaling>
          <orientation val="minMax"/>
          <max val="0.3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3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3"/>
  <chart>
    <title>
      <tx>
        <rich>
          <a:bodyPr xmlns:a="http://schemas.openxmlformats.org/drawingml/2006/main"/>
          <a:p xmlns:a="http://schemas.openxmlformats.org/drawingml/2006/main">
            <a:pPr>
              <a:defRPr/>
            </a:pPr>
            <a:r>
              <a:t>Home equity PF/PJ, CCB com alienação fiduciária · mínimo estrutural x Sub/PL atual</a:t>
            </a:r>
          </a:p>
        </rich>
      </tx>
    </title>
    <plotArea>
      <scatterChart>
        <ser>
          <idx val="0"/>
          <order val="0"/>
          <tx>
            <strRef>
              <f>'Nomes editáveis'!$D$93</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99'!$S$93</f>
            </numRef>
          </xVal>
          <yVal>
            <numRef>
              <f>'Casos 99'!$L$93</f>
            </numRef>
          </yVal>
        </ser>
        <dLbls>
          <showLegendKey val="0"/>
          <showVal val="0"/>
          <showSerName val="1"/>
        </dLbls>
        <axId val="10"/>
        <axId val="20"/>
      </scatterChart>
      <valAx>
        <axId val="10"/>
        <scaling>
          <orientation val="minMax"/>
          <max val="0.4"/>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4"/>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3"/>
  <chart>
    <title>
      <tx>
        <rich>
          <a:bodyPr xmlns:a="http://schemas.openxmlformats.org/drawingml/2006/main"/>
          <a:p xmlns:a="http://schemas.openxmlformats.org/drawingml/2006/main">
            <a:pPr>
              <a:defRPr/>
            </a:pPr>
            <a:r>
              <a:t>Monosacado/concentrado BRF e Marfrig · mínimo estrutural x Sub/PL atual</a:t>
            </a:r>
          </a:p>
        </rich>
      </tx>
    </title>
    <plotArea>
      <scatterChart>
        <ser>
          <idx val="0"/>
          <order val="0"/>
          <tx>
            <strRef>
              <f>'Nomes editáveis'!$D$83</f>
            </strRef>
          </tx>
          <spPr>
            <a:ln xmlns:a="http://schemas.openxmlformats.org/drawingml/2006/main">
              <a:noFill/>
              <a:prstDash val="solid"/>
            </a:ln>
          </spPr>
          <marker>
            <symbol val="circle"/>
            <size val="8"/>
            <spPr>
              <a:solidFill xmlns:a="http://schemas.openxmlformats.org/drawingml/2006/main">
                <a:srgbClr val="EC7000"/>
              </a:solidFill>
              <a:ln xmlns:a="http://schemas.openxmlformats.org/drawingml/2006/main">
                <a:solidFill>
                  <a:srgbClr val="EC7000"/>
                </a:solidFill>
                <a:prstDash val="solid"/>
              </a:ln>
            </spPr>
          </marker>
          <xVal>
            <numRef>
              <f>'Casos 99'!$S$83</f>
            </numRef>
          </xVal>
          <yVal>
            <numRef>
              <f>'Casos 99'!$L$83</f>
            </numRef>
          </yVal>
        </ser>
        <dLbls>
          <showLegendKey val="0"/>
          <showVal val="0"/>
          <showSerName val="1"/>
        </dLbls>
        <axId val="10"/>
        <axId val="20"/>
      </scatterChart>
      <valAx>
        <axId val="10"/>
        <scaling>
          <orientation val="minMax"/>
          <max val="0.1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1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13"/>
  <chart>
    <title>
      <tx>
        <rich>
          <a:bodyPr xmlns:a="http://schemas.openxmlformats.org/drawingml/2006/main"/>
          <a:p xmlns:a="http://schemas.openxmlformats.org/drawingml/2006/main">
            <a:pPr>
              <a:defRPr/>
            </a:pPr>
            <a:r>
              <a:t>Multicedente agro, lastro específico pendente · mínimo estrutural x Sub/PL atual</a:t>
            </a:r>
          </a:p>
        </rich>
      </tx>
    </title>
    <plotArea>
      <scatterChart>
        <ser>
          <idx val="0"/>
          <order val="0"/>
          <tx>
            <strRef>
              <f>'Nomes editáveis'!$D$27</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99'!$S$27</f>
            </numRef>
          </xVal>
          <yVal>
            <numRef>
              <f>'Casos 99'!$L$27</f>
            </numRef>
          </yVal>
        </ser>
        <dLbls>
          <showLegendKey val="0"/>
          <showVal val="0"/>
          <showSerName val="1"/>
        </dLbls>
        <axId val="10"/>
        <axId val="20"/>
      </scatterChart>
      <valAx>
        <axId val="10"/>
        <scaling>
          <orientation val="minMax"/>
          <max val="1.1"/>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1.1"/>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13"/>
  <chart>
    <title>
      <tx>
        <rich>
          <a:bodyPr xmlns:a="http://schemas.openxmlformats.org/drawingml/2006/main"/>
          <a:p xmlns:a="http://schemas.openxmlformats.org/drawingml/2006/main">
            <a:pPr>
              <a:defRPr/>
            </a:pPr>
            <a:r>
              <a:t>Máquinas e implementos agrícolas, vendas e serviços performados · mínimo estrutural x Sub/PL atual</a:t>
            </a:r>
          </a:p>
        </rich>
      </tx>
    </title>
    <plotArea>
      <scatterChart>
        <ser>
          <idx val="0"/>
          <order val="0"/>
          <tx>
            <strRef>
              <f>'Nomes editáveis'!$D$8</f>
            </strRef>
          </tx>
          <spPr>
            <a:ln xmlns:a="http://schemas.openxmlformats.org/drawingml/2006/main">
              <a:noFill/>
              <a:prstDash val="solid"/>
            </a:ln>
          </spPr>
          <marker>
            <symbol val="circle"/>
            <size val="8"/>
            <spPr>
              <a:solidFill xmlns:a="http://schemas.openxmlformats.org/drawingml/2006/main">
                <a:srgbClr val="7A1F3D"/>
              </a:solidFill>
              <a:ln xmlns:a="http://schemas.openxmlformats.org/drawingml/2006/main">
                <a:solidFill>
                  <a:srgbClr val="7A1F3D"/>
                </a:solidFill>
                <a:prstDash val="solid"/>
              </a:ln>
            </spPr>
          </marker>
          <xVal>
            <numRef>
              <f>'Casos 99'!$S$8</f>
            </numRef>
          </xVal>
          <yVal>
            <numRef>
              <f>'Casos 99'!$L$8</f>
            </numRef>
          </yVal>
        </ser>
        <dLbls>
          <showLegendKey val="0"/>
          <showVal val="0"/>
          <showSerName val="1"/>
        </dLbls>
        <axId val="10"/>
        <axId val="20"/>
      </scatterChart>
      <valAx>
        <axId val="10"/>
        <scaling>
          <orientation val="minMax"/>
          <max val="0.2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2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13"/>
  <chart>
    <title>
      <tx>
        <rich>
          <a:bodyPr xmlns:a="http://schemas.openxmlformats.org/drawingml/2006/main"/>
          <a:p xmlns:a="http://schemas.openxmlformats.org/drawingml/2006/main">
            <a:pPr>
              <a:defRPr/>
            </a:pPr>
            <a:r>
              <a:t>Notas comerciais da Dass, projeto de investimento · mínimo estrutural x Sub/PL atual</a:t>
            </a:r>
          </a:p>
        </rich>
      </tx>
    </title>
    <plotArea>
      <scatterChart>
        <ser>
          <idx val="0"/>
          <order val="0"/>
          <tx>
            <strRef>
              <f>'Nomes editáveis'!$D$48</f>
            </strRef>
          </tx>
          <spPr>
            <a:ln xmlns:a="http://schemas.openxmlformats.org/drawingml/2006/main">
              <a:noFill/>
              <a:prstDash val="solid"/>
            </a:ln>
          </spPr>
          <marker>
            <symbol val="circle"/>
            <size val="8"/>
            <spPr>
              <a:solidFill xmlns:a="http://schemas.openxmlformats.org/drawingml/2006/main">
                <a:srgbClr val="EC7000"/>
              </a:solidFill>
              <a:ln xmlns:a="http://schemas.openxmlformats.org/drawingml/2006/main">
                <a:solidFill>
                  <a:srgbClr val="EC7000"/>
                </a:solidFill>
                <a:prstDash val="solid"/>
              </a:ln>
            </spPr>
          </marker>
          <xVal>
            <numRef>
              <f>'Casos 99'!$S$48</f>
            </numRef>
          </xVal>
          <yVal>
            <numRef>
              <f>'Casos 99'!$L$48</f>
            </numRef>
          </yVal>
        </ser>
        <dLbls>
          <showLegendKey val="0"/>
          <showVal val="0"/>
          <showSerName val="1"/>
        </dLbls>
        <axId val="10"/>
        <axId val="20"/>
      </scatterChart>
      <valAx>
        <axId val="10"/>
        <scaling>
          <orientation val="minMax"/>
          <max val="0.6"/>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6"/>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1.xml><?xml version="1.0" encoding="utf-8"?>
<chartSpace xmlns="http://schemas.openxmlformats.org/drawingml/2006/chart">
  <style val="13"/>
  <chart>
    <title>
      <tx>
        <rich>
          <a:bodyPr xmlns:a="http://schemas.openxmlformats.org/drawingml/2006/main"/>
          <a:p xmlns:a="http://schemas.openxmlformats.org/drawingml/2006/main">
            <a:pPr>
              <a:defRPr/>
            </a:pPr>
            <a:r>
              <a:t>Notas comerciais de empresas/devedores · mínimo estrutural x Sub/PL atual</a:t>
            </a:r>
          </a:p>
        </rich>
      </tx>
    </title>
    <plotArea>
      <scatterChart>
        <ser>
          <idx val="0"/>
          <order val="0"/>
          <tx>
            <strRef>
              <f>'Nomes editáveis'!$D$66</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99'!$S$66</f>
            </numRef>
          </xVal>
          <yVal>
            <numRef>
              <f>'Casos 99'!$L$66</f>
            </numRef>
          </yVal>
        </ser>
        <dLbls>
          <showLegendKey val="0"/>
          <showVal val="0"/>
          <showSerName val="1"/>
        </dLbls>
        <axId val="10"/>
        <axId val="20"/>
      </scatterChart>
      <valAx>
        <axId val="10"/>
        <scaling>
          <orientation val="minMax"/>
          <max val="0.4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4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2.xml><?xml version="1.0" encoding="utf-8"?>
<chartSpace xmlns="http://schemas.openxmlformats.org/drawingml/2006/chart">
  <style val="13"/>
  <chart>
    <title>
      <tx>
        <rich>
          <a:bodyPr xmlns:a="http://schemas.openxmlformats.org/drawingml/2006/main"/>
          <a:p xmlns:a="http://schemas.openxmlformats.org/drawingml/2006/main">
            <a:pPr>
              <a:defRPr/>
            </a:pPr>
            <a:r>
              <a:t>Recebíveis Albaugh, insumos agro · mínimo estrutural x Sub/PL atual</a:t>
            </a:r>
          </a:p>
        </rich>
      </tx>
    </title>
    <plotArea>
      <scatterChart>
        <ser>
          <idx val="0"/>
          <order val="0"/>
          <tx>
            <strRef>
              <f>'Nomes editáveis'!$D$17</f>
            </strRef>
          </tx>
          <spPr>
            <a:ln xmlns:a="http://schemas.openxmlformats.org/drawingml/2006/main">
              <a:noFill/>
              <a:prstDash val="solid"/>
            </a:ln>
          </spPr>
          <marker>
            <symbol val="circle"/>
            <size val="8"/>
            <spPr>
              <a:solidFill xmlns:a="http://schemas.openxmlformats.org/drawingml/2006/main">
                <a:srgbClr val="7A1F3D"/>
              </a:solidFill>
              <a:ln xmlns:a="http://schemas.openxmlformats.org/drawingml/2006/main">
                <a:solidFill>
                  <a:srgbClr val="7A1F3D"/>
                </a:solidFill>
                <a:prstDash val="solid"/>
              </a:ln>
            </spPr>
          </marker>
          <xVal>
            <numRef>
              <f>'Casos 99'!$S$17</f>
            </numRef>
          </xVal>
          <yVal>
            <numRef>
              <f>'Casos 99'!$L$17</f>
            </numRef>
          </yVal>
        </ser>
        <ser>
          <idx val="1"/>
          <order val="1"/>
          <tx>
            <strRef>
              <f>'Nomes editáveis'!$D$51</f>
            </strRef>
          </tx>
          <spPr>
            <a:ln xmlns:a="http://schemas.openxmlformats.org/drawingml/2006/main">
              <a:noFill/>
              <a:prstDash val="solid"/>
            </a:ln>
          </spPr>
          <marker>
            <symbol val="circle"/>
            <size val="8"/>
            <spPr>
              <a:solidFill xmlns:a="http://schemas.openxmlformats.org/drawingml/2006/main">
                <a:srgbClr val="EC7000"/>
              </a:solidFill>
              <a:ln xmlns:a="http://schemas.openxmlformats.org/drawingml/2006/main">
                <a:solidFill>
                  <a:srgbClr val="EC7000"/>
                </a:solidFill>
                <a:prstDash val="solid"/>
              </a:ln>
            </spPr>
          </marker>
          <xVal>
            <numRef>
              <f>'Casos 99'!$S$51</f>
            </numRef>
          </xVal>
          <yVal>
            <numRef>
              <f>'Casos 99'!$L$51</f>
            </numRef>
          </yVal>
        </ser>
        <dLbls>
          <showLegendKey val="0"/>
          <showVal val="0"/>
          <showSerName val="1"/>
        </dLbls>
        <axId val="10"/>
        <axId val="20"/>
      </scatterChart>
      <valAx>
        <axId val="10"/>
        <scaling>
          <orientation val="minMax"/>
          <max val="0.4"/>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4"/>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3.xml><?xml version="1.0" encoding="utf-8"?>
<chartSpace xmlns="http://schemas.openxmlformats.org/drawingml/2006/chart">
  <style val="13"/>
  <chart>
    <title>
      <tx>
        <rich>
          <a:bodyPr xmlns:a="http://schemas.openxmlformats.org/drawingml/2006/main"/>
          <a:p xmlns:a="http://schemas.openxmlformats.org/drawingml/2006/main">
            <a:pPr>
              <a:defRPr/>
            </a:pPr>
            <a:r>
              <a:t>Recebíveis Gazin, natureza contratual não isolada · mínimo estrutural x Sub/PL atual</a:t>
            </a:r>
          </a:p>
        </rich>
      </tx>
    </title>
    <plotArea>
      <scatterChart>
        <ser>
          <idx val="0"/>
          <order val="0"/>
          <tx>
            <strRef>
              <f>'Nomes editáveis'!$D$80</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99'!$S$80</f>
            </numRef>
          </xVal>
          <yVal>
            <numRef>
              <f>'Casos 99'!$L$80</f>
            </numRef>
          </yVal>
        </ser>
        <dLbls>
          <showLegendKey val="0"/>
          <showVal val="0"/>
          <showSerName val="1"/>
        </dLbls>
        <axId val="10"/>
        <axId val="20"/>
      </scatterChart>
      <valAx>
        <axId val="10"/>
        <scaling>
          <orientation val="minMax"/>
          <max val="0.7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7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4.xml><?xml version="1.0" encoding="utf-8"?>
<chartSpace xmlns="http://schemas.openxmlformats.org/drawingml/2006/chart">
  <style val="13"/>
  <chart>
    <title>
      <tx>
        <rich>
          <a:bodyPr xmlns:a="http://schemas.openxmlformats.org/drawingml/2006/main"/>
          <a:p xmlns:a="http://schemas.openxmlformats.org/drawingml/2006/main">
            <a:pPr>
              <a:defRPr/>
            </a:pPr>
            <a:r>
              <a:t>Recebíveis comerciais de produtos Cantu Store · mínimo estrutural x Sub/PL atual</a:t>
            </a:r>
          </a:p>
        </rich>
      </tx>
    </title>
    <plotArea>
      <scatterChart>
        <ser>
          <idx val="0"/>
          <order val="0"/>
          <tx>
            <strRef>
              <f>'Nomes editáveis'!$D$99</f>
            </strRef>
          </tx>
          <spPr>
            <a:ln xmlns:a="http://schemas.openxmlformats.org/drawingml/2006/main">
              <a:noFill/>
              <a:prstDash val="solid"/>
            </a:ln>
          </spPr>
          <marker>
            <symbol val="circle"/>
            <size val="8"/>
            <spPr>
              <a:solidFill xmlns:a="http://schemas.openxmlformats.org/drawingml/2006/main">
                <a:srgbClr val="7A1F3D"/>
              </a:solidFill>
              <a:ln xmlns:a="http://schemas.openxmlformats.org/drawingml/2006/main">
                <a:solidFill>
                  <a:srgbClr val="7A1F3D"/>
                </a:solidFill>
                <a:prstDash val="solid"/>
              </a:ln>
            </spPr>
          </marker>
          <xVal>
            <numRef>
              <f>'Casos 99'!$S$99</f>
            </numRef>
          </xVal>
          <yVal>
            <numRef>
              <f>'Casos 99'!$L$99</f>
            </numRef>
          </yVal>
        </ser>
        <dLbls>
          <showLegendKey val="0"/>
          <showVal val="0"/>
          <showSerName val="1"/>
        </dLbls>
        <axId val="10"/>
        <axId val="20"/>
      </scatterChart>
      <valAx>
        <axId val="10"/>
        <scaling>
          <orientation val="minMax"/>
          <max val="0.2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2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5.xml><?xml version="1.0" encoding="utf-8"?>
<chartSpace xmlns="http://schemas.openxmlformats.org/drawingml/2006/chart">
  <style val="13"/>
  <chart>
    <title>
      <tx>
        <rich>
          <a:bodyPr xmlns:a="http://schemas.openxmlformats.org/drawingml/2006/main"/>
          <a:p xmlns:a="http://schemas.openxmlformats.org/drawingml/2006/main">
            <a:pPr>
              <a:defRPr/>
            </a:pPr>
            <a:r>
              <a:t>Recebíveis de insumos Yara · mínimo estrutural x Sub/PL atual</a:t>
            </a:r>
          </a:p>
        </rich>
      </tx>
    </title>
    <plotArea>
      <scatterChart>
        <ser>
          <idx val="0"/>
          <order val="0"/>
          <tx>
            <strRef>
              <f>'Nomes editáveis'!$D$29</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99'!$S$29</f>
            </numRef>
          </xVal>
          <yVal>
            <numRef>
              <f>'Casos 99'!$L$29</f>
            </numRef>
          </yVal>
        </ser>
        <dLbls>
          <showLegendKey val="0"/>
          <showVal val="0"/>
          <showSerName val="1"/>
        </dLbls>
        <axId val="10"/>
        <axId val="20"/>
      </scatterChart>
      <valAx>
        <axId val="10"/>
        <scaling>
          <orientation val="minMax"/>
          <max val="1.1"/>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1.1"/>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6.xml><?xml version="1.0" encoding="utf-8"?>
<chartSpace xmlns="http://schemas.openxmlformats.org/drawingml/2006/chart">
  <style val="13"/>
  <chart>
    <title>
      <tx>
        <rich>
          <a:bodyPr xmlns:a="http://schemas.openxmlformats.org/drawingml/2006/main"/>
          <a:p xmlns:a="http://schemas.openxmlformats.org/drawingml/2006/main">
            <a:pPr>
              <a:defRPr/>
            </a:pPr>
            <a:r>
              <a:t>Recebíveis de transações de pagamento Pernambucanas · mínimo estrutural x Sub/PL atual</a:t>
            </a:r>
          </a:p>
        </rich>
      </tx>
    </title>
    <plotArea>
      <scatterChart>
        <ser>
          <idx val="0"/>
          <order val="0"/>
          <tx>
            <strRef>
              <f>'Nomes editáveis'!$D$23</f>
            </strRef>
          </tx>
          <spPr>
            <a:ln xmlns:a="http://schemas.openxmlformats.org/drawingml/2006/main">
              <a:noFill/>
              <a:prstDash val="solid"/>
            </a:ln>
          </spPr>
          <marker>
            <symbol val="circle"/>
            <size val="8"/>
            <spPr>
              <a:solidFill xmlns:a="http://schemas.openxmlformats.org/drawingml/2006/main">
                <a:srgbClr val="EC7000"/>
              </a:solidFill>
              <a:ln xmlns:a="http://schemas.openxmlformats.org/drawingml/2006/main">
                <a:solidFill>
                  <a:srgbClr val="EC7000"/>
                </a:solidFill>
                <a:prstDash val="solid"/>
              </a:ln>
            </spPr>
          </marker>
          <xVal>
            <numRef>
              <f>'Casos 99'!$S$23</f>
            </numRef>
          </xVal>
          <yVal>
            <numRef>
              <f>'Casos 99'!$L$23</f>
            </numRef>
          </yVal>
        </ser>
        <dLbls>
          <showLegendKey val="0"/>
          <showVal val="0"/>
          <showSerName val="1"/>
        </dLbls>
        <axId val="10"/>
        <axId val="20"/>
      </scatterChart>
      <valAx>
        <axId val="10"/>
        <scaling>
          <orientation val="minMax"/>
          <max val="0.2"/>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2"/>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7.xml><?xml version="1.0" encoding="utf-8"?>
<chartSpace xmlns="http://schemas.openxmlformats.org/drawingml/2006/chart">
  <style val="13"/>
  <chart>
    <title>
      <tx>
        <rich>
          <a:bodyPr xmlns:a="http://schemas.openxmlformats.org/drawingml/2006/main"/>
          <a:p xmlns:a="http://schemas.openxmlformats.org/drawingml/2006/main">
            <a:pPr>
              <a:defRPr/>
            </a:pPr>
            <a:r>
              <a:t>Supplier finance, ArcelorMittal como devedora · mínimo estrutural x Sub/PL atual</a:t>
            </a:r>
          </a:p>
        </rich>
      </tx>
    </title>
    <plotArea>
      <scatterChart>
        <ser>
          <idx val="0"/>
          <order val="0"/>
          <tx>
            <strRef>
              <f>'Nomes editáveis'!$D$100</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99'!$S$100</f>
            </numRef>
          </xVal>
          <yVal>
            <numRef>
              <f>'Casos 99'!$L$100</f>
            </numRef>
          </yVal>
        </ser>
        <dLbls>
          <showLegendKey val="0"/>
          <showVal val="0"/>
          <showSerName val="1"/>
        </dLbls>
        <axId val="10"/>
        <axId val="20"/>
      </scatterChart>
      <valAx>
        <axId val="10"/>
        <scaling>
          <orientation val="minMax"/>
          <max val="0.3"/>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3"/>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8.xml><?xml version="1.0" encoding="utf-8"?>
<chartSpace xmlns="http://schemas.openxmlformats.org/drawingml/2006/chart">
  <style val="13"/>
  <chart>
    <title>
      <tx>
        <rich>
          <a:bodyPr xmlns:a="http://schemas.openxmlformats.org/drawingml/2006/main"/>
          <a:p xmlns:a="http://schemas.openxmlformats.org/drawingml/2006/main">
            <a:pPr>
              <a:defRPr/>
            </a:pPr>
            <a:r>
              <a:t>Supplier finance, MadeiraMadeira como devedora · mínimo estrutural x Sub/PL atual</a:t>
            </a:r>
          </a:p>
        </rich>
      </tx>
    </title>
    <plotArea>
      <scatterChart>
        <ser>
          <idx val="0"/>
          <order val="0"/>
          <tx>
            <strRef>
              <f>'Nomes editáveis'!$D$42</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99'!$S$42</f>
            </numRef>
          </xVal>
          <yVal>
            <numRef>
              <f>'Casos 99'!$L$42</f>
            </numRef>
          </yVal>
        </ser>
        <dLbls>
          <showLegendKey val="0"/>
          <showVal val="0"/>
          <showSerName val="1"/>
        </dLbls>
        <axId val="10"/>
        <axId val="20"/>
      </scatterChart>
      <valAx>
        <axId val="10"/>
        <scaling>
          <orientation val="minMax"/>
          <max val="0.5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5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19.xml><?xml version="1.0" encoding="utf-8"?>
<chartSpace xmlns="http://schemas.openxmlformats.org/drawingml/2006/chart">
  <style val="13"/>
  <chart>
    <title>
      <tx>
        <rich>
          <a:bodyPr xmlns:a="http://schemas.openxmlformats.org/drawingml/2006/main"/>
          <a:p xmlns:a="http://schemas.openxmlformats.org/drawingml/2006/main">
            <a:pPr>
              <a:defRPr/>
            </a:pPr>
            <a:r>
              <a:t>Venda a prazo de máquinas e implementos Maqnelson · mínimo estrutural x Sub/PL atual</a:t>
            </a:r>
          </a:p>
        </rich>
      </tx>
    </title>
    <plotArea>
      <scatterChart>
        <ser>
          <idx val="0"/>
          <order val="0"/>
          <tx>
            <strRef>
              <f>'Nomes editáveis'!$D$61</f>
            </strRef>
          </tx>
          <spPr>
            <a:ln xmlns:a="http://schemas.openxmlformats.org/drawingml/2006/main">
              <a:noFill/>
              <a:prstDash val="solid"/>
            </a:ln>
          </spPr>
          <marker>
            <symbol val="circle"/>
            <size val="8"/>
            <spPr>
              <a:solidFill xmlns:a="http://schemas.openxmlformats.org/drawingml/2006/main">
                <a:srgbClr val="7A1F3D"/>
              </a:solidFill>
              <a:ln xmlns:a="http://schemas.openxmlformats.org/drawingml/2006/main">
                <a:solidFill>
                  <a:srgbClr val="7A1F3D"/>
                </a:solidFill>
                <a:prstDash val="solid"/>
              </a:ln>
            </spPr>
          </marker>
          <xVal>
            <numRef>
              <f>'Casos 99'!$S$61</f>
            </numRef>
          </xVal>
          <yVal>
            <numRef>
              <f>'Casos 99'!$L$61</f>
            </numRef>
          </yVal>
        </ser>
        <dLbls>
          <showLegendKey val="0"/>
          <showVal val="0"/>
          <showSerName val="1"/>
        </dLbls>
        <axId val="10"/>
        <axId val="20"/>
      </scatterChart>
      <valAx>
        <axId val="10"/>
        <scaling>
          <orientation val="minMax"/>
          <max val="0.55"/>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0.55"/>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charts/chart20.xml><?xml version="1.0" encoding="utf-8"?>
<chartSpace xmlns="http://schemas.openxmlformats.org/drawingml/2006/chart">
  <style val="13"/>
  <chart>
    <title>
      <tx>
        <rich>
          <a:bodyPr xmlns:a="http://schemas.openxmlformats.org/drawingml/2006/main"/>
          <a:p xmlns:a="http://schemas.openxmlformats.org/drawingml/2006/main">
            <a:pPr>
              <a:defRPr/>
            </a:pPr>
            <a:r>
              <a:t>Venda de insumos a produtores e distribuidores · mínimo estrutural x Sub/PL atual</a:t>
            </a:r>
          </a:p>
        </rich>
      </tx>
    </title>
    <plotArea>
      <scatterChart>
        <ser>
          <idx val="0"/>
          <order val="0"/>
          <tx>
            <strRef>
              <f>'Nomes editáveis'!$D$75</f>
            </strRef>
          </tx>
          <spPr>
            <a:ln xmlns:a="http://schemas.openxmlformats.org/drawingml/2006/main">
              <a:noFill/>
              <a:prstDash val="solid"/>
            </a:ln>
          </spPr>
          <marker>
            <symbol val="circle"/>
            <size val="8"/>
            <spPr>
              <a:solidFill xmlns:a="http://schemas.openxmlformats.org/drawingml/2006/main">
                <a:srgbClr val="002B5C"/>
              </a:solidFill>
              <a:ln xmlns:a="http://schemas.openxmlformats.org/drawingml/2006/main">
                <a:solidFill>
                  <a:srgbClr val="002B5C"/>
                </a:solidFill>
                <a:prstDash val="solid"/>
              </a:ln>
            </spPr>
          </marker>
          <xVal>
            <numRef>
              <f>'Casos 99'!$S$75</f>
            </numRef>
          </xVal>
          <yVal>
            <numRef>
              <f>'Casos 99'!$L$75</f>
            </numRef>
          </yVal>
        </ser>
        <dLbls>
          <showLegendKey val="0"/>
          <showVal val="0"/>
          <showSerName val="1"/>
        </dLbls>
        <axId val="10"/>
        <axId val="20"/>
      </scatterChart>
      <valAx>
        <axId val="10"/>
        <scaling>
          <orientation val="minMax"/>
          <max val="1.1"/>
          <min val="0"/>
        </scaling>
        <axPos val="l"/>
        <majorGridlines/>
        <title>
          <tx>
            <rich>
              <a:bodyPr xmlns:a="http://schemas.openxmlformats.org/drawingml/2006/main"/>
              <a:p xmlns:a="http://schemas.openxmlformats.org/drawingml/2006/main">
                <a:pPr>
                  <a:defRPr/>
                </a:pPr>
                <a:r>
                  <a:t>Subordinação mínima / suporte estrutural</a:t>
                </a:r>
              </a:p>
            </rich>
          </tx>
        </title>
        <numFmt formatCode="0%" sourceLinked="0"/>
        <majorTickMark val="none"/>
        <minorTickMark val="none"/>
        <crossAx val="20"/>
      </valAx>
      <valAx>
        <axId val="20"/>
        <scaling>
          <orientation val="minMax"/>
          <max val="1.1"/>
          <min val="0"/>
        </scaling>
        <axPos val="l"/>
        <majorGridlines/>
        <title>
          <tx>
            <rich>
              <a:bodyPr xmlns:a="http://schemas.openxmlformats.org/drawingml/2006/main"/>
              <a:p xmlns:a="http://schemas.openxmlformats.org/drawingml/2006/main">
                <a:pPr>
                  <a:defRPr/>
                </a:pPr>
                <a:r>
                  <a:t>Subordinação atual / PL</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_rels/drawing7.xml.rels><Relationships xmlns="http://schemas.openxmlformats.org/package/2006/relationships"><Relationship Type="http://schemas.openxmlformats.org/officeDocument/2006/relationships/chart" Target="/xl/charts/chart7.xml" Id="rId1"/></Relationships>
</file>

<file path=xl/drawings/_rels/drawing8.xml.rels><Relationships xmlns="http://schemas.openxmlformats.org/package/2006/relationships"><Relationship Type="http://schemas.openxmlformats.org/officeDocument/2006/relationships/chart" Target="/xl/charts/chart8.xml" Id="rId1"/></Relationships>
</file>

<file path=xl/drawings/_rels/drawing9.xml.rels><Relationships xmlns="http://schemas.openxmlformats.org/package/2006/relationships"><Relationship Type="http://schemas.openxmlformats.org/officeDocument/2006/relationships/chart" Target="/xl/charts/chart9.xml" Id="rId1"/></Relationships>
</file>

<file path=xl/drawings/_rels/drawing10.xml.rels><Relationships xmlns="http://schemas.openxmlformats.org/package/2006/relationships"><Relationship Type="http://schemas.openxmlformats.org/officeDocument/2006/relationships/chart" Target="/xl/charts/chart10.xml" Id="rId1"/></Relationships>
</file>

<file path=xl/drawings/_rels/drawing11.xml.rels><Relationships xmlns="http://schemas.openxmlformats.org/package/2006/relationships"><Relationship Type="http://schemas.openxmlformats.org/officeDocument/2006/relationships/chart" Target="/xl/charts/chart11.xml" Id="rId1"/></Relationships>
</file>

<file path=xl/drawings/_rels/drawing12.xml.rels><Relationships xmlns="http://schemas.openxmlformats.org/package/2006/relationships"><Relationship Type="http://schemas.openxmlformats.org/officeDocument/2006/relationships/chart" Target="/xl/charts/chart12.xml" Id="rId1"/></Relationships>
</file>

<file path=xl/drawings/_rels/drawing13.xml.rels><Relationships xmlns="http://schemas.openxmlformats.org/package/2006/relationships"><Relationship Type="http://schemas.openxmlformats.org/officeDocument/2006/relationships/chart" Target="/xl/charts/chart13.xml" Id="rId1"/></Relationships>
</file>

<file path=xl/drawings/_rels/drawing14.xml.rels><Relationships xmlns="http://schemas.openxmlformats.org/package/2006/relationships"><Relationship Type="http://schemas.openxmlformats.org/officeDocument/2006/relationships/chart" Target="/xl/charts/chart14.xml" Id="rId1"/></Relationships>
</file>

<file path=xl/drawings/_rels/drawing15.xml.rels><Relationships xmlns="http://schemas.openxmlformats.org/package/2006/relationships"><Relationship Type="http://schemas.openxmlformats.org/officeDocument/2006/relationships/chart" Target="/xl/charts/chart15.xml" Id="rId1"/></Relationships>
</file>

<file path=xl/drawings/_rels/drawing16.xml.rels><Relationships xmlns="http://schemas.openxmlformats.org/package/2006/relationships"><Relationship Type="http://schemas.openxmlformats.org/officeDocument/2006/relationships/chart" Target="/xl/charts/chart16.xml" Id="rId1"/></Relationships>
</file>

<file path=xl/drawings/_rels/drawing17.xml.rels><Relationships xmlns="http://schemas.openxmlformats.org/package/2006/relationships"><Relationship Type="http://schemas.openxmlformats.org/officeDocument/2006/relationships/chart" Target="/xl/charts/chart17.xml" Id="rId1"/></Relationships>
</file>

<file path=xl/drawings/_rels/drawing18.xml.rels><Relationships xmlns="http://schemas.openxmlformats.org/package/2006/relationships"><Relationship Type="http://schemas.openxmlformats.org/officeDocument/2006/relationships/chart" Target="/xl/charts/chart18.xml" Id="rId1"/></Relationships>
</file>

<file path=xl/drawings/_rels/drawing19.xml.rels><Relationships xmlns="http://schemas.openxmlformats.org/package/2006/relationships"><Relationship Type="http://schemas.openxmlformats.org/officeDocument/2006/relationships/chart" Target="/xl/charts/chart19.xml" Id="rId1"/></Relationships>
</file>

<file path=xl/drawings/_rels/drawing20.xml.rels><Relationships xmlns="http://schemas.openxmlformats.org/package/2006/relationships"><Relationship Type="http://schemas.openxmlformats.org/officeDocument/2006/relationships/chart" Target="/xl/charts/chart20.xml" Id="rId1"/></Relationships>
</file>

<file path=xl/drawings/drawing1.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7.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9.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0.xml><?xml version="1.0" encoding="utf-8"?>
<wsDr xmlns="http://schemas.openxmlformats.org/drawingml/2006/spreadsheetDrawing">
  <oneCellAnchor>
    <from>
      <col>0</col>
      <colOff>0</colOff>
      <row>4</row>
      <rowOff>0</rowOff>
    </from>
    <ext cx="9000000" cy="52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4.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17.xml.rels><Relationships xmlns="http://schemas.openxmlformats.org/package/2006/relationships"><Relationship Type="http://schemas.openxmlformats.org/officeDocument/2006/relationships/drawing" Target="/xl/drawings/drawing4.xml" Id="rId1"/></Relationships>
</file>

<file path=xl/worksheets/_rels/sheet18.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_rels/sheet22.xml.rels><Relationships xmlns="http://schemas.openxmlformats.org/package/2006/relationships"><Relationship Type="http://schemas.openxmlformats.org/officeDocument/2006/relationships/drawing" Target="/xl/drawings/drawing9.xml" Id="rId1"/></Relationships>
</file>

<file path=xl/worksheets/_rels/sheet23.xml.rels><Relationships xmlns="http://schemas.openxmlformats.org/package/2006/relationships"><Relationship Type="http://schemas.openxmlformats.org/officeDocument/2006/relationships/drawing" Target="/xl/drawings/drawing10.xml" Id="rId1"/></Relationships>
</file>

<file path=xl/worksheets/_rels/sheet24.xml.rels><Relationships xmlns="http://schemas.openxmlformats.org/package/2006/relationships"><Relationship Type="http://schemas.openxmlformats.org/officeDocument/2006/relationships/drawing" Target="/xl/drawings/drawing11.xml" Id="rId1"/></Relationships>
</file>

<file path=xl/worksheets/_rels/sheet25.xml.rels><Relationships xmlns="http://schemas.openxmlformats.org/package/2006/relationships"><Relationship Type="http://schemas.openxmlformats.org/officeDocument/2006/relationships/drawing" Target="/xl/drawings/drawing12.xml" Id="rId1"/></Relationships>
</file>

<file path=xl/worksheets/_rels/sheet26.xml.rels><Relationships xmlns="http://schemas.openxmlformats.org/package/2006/relationships"><Relationship Type="http://schemas.openxmlformats.org/officeDocument/2006/relationships/drawing" Target="/xl/drawings/drawing13.xml" Id="rId1"/></Relationships>
</file>

<file path=xl/worksheets/_rels/sheet27.xml.rels><Relationships xmlns="http://schemas.openxmlformats.org/package/2006/relationships"><Relationship Type="http://schemas.openxmlformats.org/officeDocument/2006/relationships/drawing" Target="/xl/drawings/drawing14.xml" Id="rId1"/></Relationships>
</file>

<file path=xl/worksheets/_rels/sheet28.xml.rels><Relationships xmlns="http://schemas.openxmlformats.org/package/2006/relationships"><Relationship Type="http://schemas.openxmlformats.org/officeDocument/2006/relationships/drawing" Target="/xl/drawings/drawing15.xml" Id="rId1"/></Relationships>
</file>

<file path=xl/worksheets/_rels/sheet29.xml.rels><Relationships xmlns="http://schemas.openxmlformats.org/package/2006/relationships"><Relationship Type="http://schemas.openxmlformats.org/officeDocument/2006/relationships/drawing" Target="/xl/drawings/drawing16.xml" Id="rId1"/></Relationships>
</file>

<file path=xl/worksheets/_rels/sheet30.xml.rels><Relationships xmlns="http://schemas.openxmlformats.org/package/2006/relationships"><Relationship Type="http://schemas.openxmlformats.org/officeDocument/2006/relationships/drawing" Target="/xl/drawings/drawing17.xml" Id="rId1"/></Relationships>
</file>

<file path=xl/worksheets/_rels/sheet31.xml.rels><Relationships xmlns="http://schemas.openxmlformats.org/package/2006/relationships"><Relationship Type="http://schemas.openxmlformats.org/officeDocument/2006/relationships/drawing" Target="/xl/drawings/drawing18.xml" Id="rId1"/></Relationships>
</file>

<file path=xl/worksheets/_rels/sheet32.xml.rels><Relationships xmlns="http://schemas.openxmlformats.org/package/2006/relationships"><Relationship Type="http://schemas.openxmlformats.org/officeDocument/2006/relationships/drawing" Target="/xl/drawings/drawing19.xml" Id="rId1"/></Relationships>
</file>

<file path=xl/worksheets/_rels/sheet33.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H17"/>
  <sheetViews>
    <sheetView showGridLines="0" workbookViewId="0">
      <pane ySplit="2" topLeftCell="A3" activePane="bottomLeft" state="frozen"/>
      <selection activeCell="A1" sqref="A1"/>
    </sheetView>
  </sheetViews>
  <sheetFormatPr baseColWidth="8" defaultRowHeight="15"/>
  <cols>
    <col width="23.75" customWidth="1" min="1" max="1"/>
    <col width="95" customWidth="1" min="2" max="2"/>
    <col width="16.25" customWidth="1" min="3" max="3"/>
    <col width="16.25" customWidth="1" min="4" max="4"/>
    <col width="16.25" customWidth="1" min="5" max="5"/>
    <col width="16.25" customWidth="1" min="6" max="6"/>
    <col width="16.25" customWidth="1" min="7" max="7"/>
    <col width="16.25" customWidth="1" min="8" max="8"/>
  </cols>
  <sheetData>
    <row r="1" ht="30" customHeight="1">
      <c r="A1" s="2" t="inlineStr">
        <is>
          <t>Carteira 101 + Flagships · base analítica manipulável</t>
        </is>
      </c>
    </row>
    <row r="2" ht="28.5" customHeight="1">
      <c r="A2" s="4" t="inlineStr">
        <is>
          <t>Competência 2026-08. Uma linha por CNPJ, com PL e Sub/PL do Informe Mensal, índices da curadoria documental e métricas do dataframe estrutural compartilhado.</t>
        </is>
      </c>
    </row>
    <row r="4">
      <c r="A4" s="11" t="inlineStr">
        <is>
          <t>Carteira 101</t>
        </is>
      </c>
      <c r="C4" s="11" t="inlineStr">
        <is>
          <t>Flagships</t>
        </is>
      </c>
      <c r="E4" s="16" t="inlineStr">
        <is>
          <t>Mínimo júnior identificado</t>
        </is>
      </c>
      <c r="G4" s="11" t="inlineStr">
        <is>
          <t>Folga comparável</t>
        </is>
      </c>
    </row>
    <row r="5">
      <c r="A5" s="12" t="n">
        <v>101</v>
      </c>
      <c r="C5" s="12" t="n">
        <v>47</v>
      </c>
      <c r="E5" s="12" t="inlineStr">
        <is>
          <t>83/101</t>
        </is>
      </c>
      <c r="G5" s="12" t="inlineStr">
        <is>
          <t>24/101</t>
        </is>
      </c>
    </row>
    <row r="6"/>
    <row r="9">
      <c r="A9" s="22" t="inlineStr">
        <is>
          <t>Tema</t>
        </is>
      </c>
      <c r="B9" s="22" t="inlineStr">
        <is>
          <t>Orientação</t>
        </is>
      </c>
    </row>
    <row r="10" ht="36" customHeight="1">
      <c r="A10" s="23" t="inlineStr">
        <is>
          <t>Como usar</t>
        </is>
      </c>
      <c r="B10" s="24" t="inlineStr">
        <is>
          <t>Filtre Carteira 101 ou Flagships por taxonomia, porte, situação regulatória, folga e campos manuais. Todos os percentuais são valores numéricos formatados como %.</t>
        </is>
      </c>
    </row>
    <row r="11" ht="36" customHeight="1">
      <c r="A11" s="23" t="inlineStr">
        <is>
          <t>CNPJ</t>
        </is>
      </c>
      <c r="B11" s="24" t="inlineStr">
        <is>
          <t>A coluna CNPJ é numérica e usa o formato 00000000000000. A coluna seguinte preserva a apresentação pontuada.</t>
        </is>
      </c>
    </row>
    <row r="12" ht="36" customHeight="1">
      <c r="A12" s="23" t="inlineStr">
        <is>
          <t>Folga / falta</t>
        </is>
      </c>
      <c r="B12" s="24" t="inlineStr">
        <is>
          <t>Sub/PL atual menos o índice estrutural usado. O campo permanece N/D quando a equivalência de tranche não está comprovada.</t>
        </is>
      </c>
    </row>
    <row r="13" ht="36" customHeight="1">
      <c r="A13" s="23" t="inlineStr">
        <is>
          <t>Capacidade até o gatilho</t>
        </is>
      </c>
      <c r="B13" s="24" t="inlineStr">
        <is>
          <t>Fração de perda absorvível antes do piso: (Sub/PL atual − mínimo) / (1 − mínimo). Calculada somente em estruturas comparáveis.</t>
        </is>
      </c>
    </row>
    <row r="14" ht="36" customHeight="1">
      <c r="A14" s="23" t="inlineStr">
        <is>
          <t>Asterisco (*)</t>
        </is>
      </c>
      <c r="B14" s="24" t="inlineStr">
        <is>
          <t>Indica mínimo calculado ou ajustado, suporte total/combinado, exceção de comparabilidade ou transcrição das fotos fornecidas pelo usuário. A natureza e a fonte permanecem na mesma linha.</t>
        </is>
      </c>
    </row>
    <row r="15" ht="36" customHeight="1">
      <c r="A15" s="23" t="inlineStr">
        <is>
          <t>Lacunas</t>
        </is>
      </c>
      <c r="B15" s="24" t="inlineStr">
        <is>
          <t>N/D identifica informação não localizada ou não comparável. N/D não representa zero, média ou estimativa.</t>
        </is>
      </c>
    </row>
    <row r="16" ht="36" customHeight="1">
      <c r="A16" s="23" t="inlineStr">
        <is>
          <t>Precedência</t>
        </is>
      </c>
      <c r="B16" s="24" t="inlineStr">
        <is>
          <t>Documento primário preservado; o complemento manual ocupa somente lacunas e aparece em colunas próprias.</t>
        </is>
      </c>
    </row>
    <row r="17" ht="36" customHeight="1">
      <c r="A17" s="23" t="inlineStr">
        <is>
          <t>Escopo econômico</t>
        </is>
      </c>
      <c r="B17" s="24" t="inlineStr">
        <is>
          <t>PL representa o patrimônio do veículo. O valor efetivamente encarteirado por posição não está disponível nesta base.</t>
        </is>
      </c>
    </row>
  </sheetData>
  <mergeCells count="10">
    <mergeCell ref="A4:B4"/>
    <mergeCell ref="G4:H4"/>
    <mergeCell ref="E4:F4"/>
    <mergeCell ref="A2:H2"/>
    <mergeCell ref="C5:D6"/>
    <mergeCell ref="A5:B6"/>
    <mergeCell ref="G5:H6"/>
    <mergeCell ref="E5:F6"/>
    <mergeCell ref="A1:H1"/>
    <mergeCell ref="C4:D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B105"/>
  <sheetViews>
    <sheetView workbookViewId="0">
      <pane xSplit="4" ySplit="4" topLeftCell="E5" activePane="bottomRight" state="frozen"/>
      <selection activeCell="A1" sqref="A1"/>
    </sheetView>
  </sheetViews>
  <sheetFormatPr baseColWidth="8" defaultRowHeight="15"/>
  <cols>
    <col width="8.130000114440918" customWidth="1" min="1" max="1"/>
    <col width="15.63000011444092" customWidth="1" min="2" max="2"/>
    <col width="16.8799991607666" customWidth="1" min="3" max="3"/>
    <col width="45" customWidth="1" min="4" max="4"/>
    <col width="32.5" customWidth="1" min="5" max="5"/>
    <col width="13.13000011444092" customWidth="1" min="6" max="6"/>
    <col width="13.13000011444092" customWidth="1" min="7" max="7"/>
    <col width="19.3799991607666" customWidth="1" min="8" max="8"/>
    <col width="16.25" customWidth="1" min="9" max="9"/>
    <col width="18.1299991607666" customWidth="1" min="10" max="10"/>
    <col width="18.1299991607666" customWidth="1" min="11" max="11"/>
    <col width="13.13000011444092" customWidth="1" min="12" max="12"/>
    <col width="32.5" customWidth="1" min="13" max="13"/>
    <col width="13.75" customWidth="1" min="14" max="14"/>
    <col width="15.63000011444092" customWidth="1" min="15" max="15"/>
    <col width="15" customWidth="1" min="16" max="16"/>
    <col width="13.13000011444092" customWidth="1" min="17" max="17"/>
    <col width="17.5" customWidth="1" min="18" max="18"/>
    <col width="16.8799991607666" customWidth="1" min="19" max="19"/>
    <col width="19.3799991607666" customWidth="1" min="20" max="20"/>
    <col width="21.25" customWidth="1" min="21" max="21"/>
    <col width="26.25" customWidth="1" min="22" max="22"/>
    <col width="11.25" customWidth="1" min="23" max="23"/>
    <col width="52.5" customWidth="1" min="24" max="24"/>
    <col width="10.25" customWidth="1" min="25" max="25"/>
    <col width="13.13000011444092" customWidth="1" min="26" max="26"/>
    <col width="16.8799991607666" customWidth="1" min="27" max="27"/>
    <col width="18.1299991607666" customWidth="1" min="28" max="28"/>
    <col width="18.75" customWidth="1" min="29" max="29"/>
    <col width="23.75" customWidth="1" min="30" max="30"/>
    <col width="22.5" customWidth="1" min="31" max="31"/>
    <col width="22.5" customWidth="1" min="32" max="32"/>
    <col width="23.1299991607666" customWidth="1" min="33" max="33"/>
    <col width="23.75" customWidth="1" min="34" max="34"/>
    <col width="28.75" customWidth="1" min="35" max="35"/>
    <col width="15.63000011444092" customWidth="1" min="36" max="36"/>
    <col width="32.5" customWidth="1" min="37" max="37"/>
    <col width="53.75" customWidth="1" min="38" max="38"/>
    <col width="48.75" customWidth="1" min="39" max="39"/>
    <col width="32.5" customWidth="1" min="40" max="40"/>
    <col width="47.5" customWidth="1" min="41" max="41"/>
    <col width="15" customWidth="1" min="42" max="42"/>
    <col width="23.1299991607666" customWidth="1" min="43" max="43"/>
    <col width="23.1299991607666" customWidth="1" min="44" max="44"/>
    <col width="13.13000011444092" customWidth="1" min="45" max="45"/>
    <col width="48.75" customWidth="1" min="46" max="46"/>
    <col width="52.5" customWidth="1" min="47" max="47"/>
    <col width="15.63000011444092" customWidth="1" min="48" max="48"/>
    <col width="14.38000011444092" customWidth="1" min="49" max="49"/>
    <col width="21.8799991607666" customWidth="1" min="50" max="50"/>
    <col width="23.75" customWidth="1" min="51" max="51"/>
    <col width="15" customWidth="1" min="52" max="52"/>
    <col width="14.38000011444092" customWidth="1" min="53" max="53"/>
    <col width="13.13000011444092" customWidth="1" min="54" max="54"/>
    <col width="18.1299991607666" customWidth="1" min="55" max="55"/>
    <col width="32.5" customWidth="1" min="56" max="56"/>
    <col width="23.75" customWidth="1" min="57" max="57"/>
    <col width="27.5" customWidth="1" min="58" max="58"/>
    <col width="16.25" customWidth="1" min="59" max="59"/>
    <col width="18.1299991607666" customWidth="1" min="60" max="60"/>
    <col width="52.5" customWidth="1" min="61" max="61"/>
    <col width="30" customWidth="1" min="62" max="62"/>
    <col width="13.13000011444092" customWidth="1" min="63" max="63"/>
    <col width="31.25" customWidth="1" min="64" max="64"/>
    <col width="18.75" customWidth="1" min="65" max="65"/>
    <col width="26.25" customWidth="1" min="66" max="66"/>
    <col width="26.25" customWidth="1" min="67" max="67"/>
    <col width="27.5" customWidth="1" min="68" max="68"/>
    <col width="41.25" customWidth="1" min="69" max="69"/>
    <col width="37.5" customWidth="1" min="70" max="70"/>
    <col width="21.8799991607666" customWidth="1" min="71" max="71"/>
    <col width="45" customWidth="1" min="72" max="72"/>
    <col width="16.25" customWidth="1" min="73" max="73"/>
    <col width="14.38000011444092" customWidth="1" min="74" max="74"/>
    <col width="17.5" customWidth="1" min="75" max="75"/>
    <col width="29.3799991607666" customWidth="1" min="76" max="76"/>
    <col width="52.5" customWidth="1" min="77" max="77"/>
    <col width="57.5" customWidth="1" min="78" max="78"/>
    <col width="40" customWidth="1" min="79" max="79"/>
    <col width="23.75" customWidth="1" min="80" max="80"/>
  </cols>
  <sheetData>
    <row r="1" ht="25.5" customHeight="1">
      <c r="A1" s="26" t="inlineStr">
        <is>
          <t>Carteira 101 · base manipulável de risco estrutural</t>
        </is>
      </c>
    </row>
    <row r="2" ht="22.5" customHeight="1">
      <c r="A2" s="29" t="inlineStr">
        <is>
          <t>101 CNPJs na ordem da base fornecida. Campos estruturais usam a curadoria documental e o dataframe compartilhado; exceções levam * e descrição por linha.</t>
        </is>
      </c>
    </row>
    <row r="3" ht="16.5" customHeight="1">
      <c r="A3" s="42" t="inlineStr">
        <is>
          <t>IDENTIFICAÇÃO</t>
        </is>
      </c>
      <c r="I3" s="45" t="inlineStr">
        <is>
          <t>PORTE E SUBORDINAÇÃO ATUAL</t>
        </is>
      </c>
      <c r="N3" s="48" t="inlineStr">
        <is>
          <t>ÍNDICES DOCUMENTAIS</t>
        </is>
      </c>
      <c r="W3" s="52" t="inlineStr">
        <is>
          <t>COMPARABILIDADE E FOLGA</t>
        </is>
      </c>
      <c r="AC3" s="56" t="inlineStr">
        <is>
          <t>TAXONOMIA E REVISÃO DE RISCO</t>
        </is>
      </c>
      <c r="AQ3" s="60" t="inlineStr">
        <is>
          <t>MVP · 6 SLIDES</t>
        </is>
      </c>
      <c r="AY3" s="45" t="inlineStr">
        <is>
          <t>BENCHMARK DE MERCADO</t>
        </is>
      </c>
      <c r="BC3" s="64" t="inlineStr">
        <is>
          <t>PREÇO UNITÁRIO POR COTA</t>
        </is>
      </c>
      <c r="BL3" s="68" t="inlineStr">
        <is>
          <t>PARTES E RECEBÍVEL</t>
        </is>
      </c>
      <c r="BU3" s="72" t="inlineStr">
        <is>
          <t>RASTREABILIDADE</t>
        </is>
      </c>
      <c r="CA3" s="42" t="inlineStr">
        <is>
          <t>LACUNAS</t>
        </is>
      </c>
    </row>
    <row r="4" ht="25.5" customHeight="1">
      <c r="A4" s="32" t="inlineStr">
        <is>
          <t>Ordem</t>
        </is>
      </c>
      <c r="B4" s="32" t="inlineStr">
        <is>
          <t>CNPJ</t>
        </is>
      </c>
      <c r="C4" s="32" t="inlineStr">
        <is>
          <t>CNPJ formatado</t>
        </is>
      </c>
      <c r="D4" s="32" t="inlineStr">
        <is>
          <t>Nome completo do fundo (CVM)</t>
        </is>
      </c>
      <c r="E4" s="32" t="inlineStr">
        <is>
          <t>Nome de referência</t>
        </is>
      </c>
      <c r="F4" s="32" t="inlineStr">
        <is>
          <t>Coorte</t>
        </is>
      </c>
      <c r="G4" s="32" t="inlineStr">
        <is>
          <t>Data de referência</t>
        </is>
      </c>
      <c r="H4" s="32" t="inlineStr">
        <is>
          <t>Status da identidade</t>
        </is>
      </c>
      <c r="I4" s="32" t="inlineStr">
        <is>
          <t>PL atual</t>
        </is>
      </c>
      <c r="J4" s="32" t="inlineStr">
        <is>
          <t>PL das classes reportadas</t>
        </is>
      </c>
      <c r="K4" s="32" t="inlineStr">
        <is>
          <t>PL subordinado atual</t>
        </is>
      </c>
      <c r="L4" s="32" t="inlineStr">
        <is>
          <t>Sub / PL atual</t>
        </is>
      </c>
      <c r="M4" s="32" t="inlineStr">
        <is>
          <t>Status do Sub / PL</t>
        </is>
      </c>
      <c r="N4" s="32" t="inlineStr">
        <is>
          <t>Mínimo Jr literal</t>
        </is>
      </c>
      <c r="O4" s="32" t="inlineStr">
        <is>
          <t>Mínimo Jr calculado*</t>
        </is>
      </c>
      <c r="P4" s="32" t="inlineStr">
        <is>
          <t>Mínimo Jr ajustado*</t>
        </is>
      </c>
      <c r="Q4" s="32" t="inlineStr">
        <is>
          <t>Suporte total*</t>
        </is>
      </c>
      <c r="R4" s="32" t="inlineStr">
        <is>
          <t>Suporte Jr + Mezanino*</t>
        </is>
      </c>
      <c r="S4" s="32" t="inlineStr">
        <is>
          <t>Índice estrutural usado</t>
        </is>
      </c>
      <c r="T4" s="32" t="inlineStr">
        <is>
          <t>Índice estrutural exibido</t>
        </is>
      </c>
      <c r="U4" s="32" t="inlineStr">
        <is>
          <t>Natureza do índice</t>
        </is>
      </c>
      <c r="V4" s="32" t="inlineStr">
        <is>
          <t>Fórmula / regra</t>
        </is>
      </c>
      <c r="W4" s="32" t="inlineStr">
        <is>
          <t>Comparável?</t>
        </is>
      </c>
      <c r="X4" s="32" t="inlineStr">
        <is>
          <t>Motivo da comparabilidade</t>
        </is>
      </c>
      <c r="Y4" s="32" t="inlineStr">
        <is>
          <t>Exceção*</t>
        </is>
      </c>
      <c r="Z4" s="32" t="inlineStr">
        <is>
          <t>Folga / falta</t>
        </is>
      </c>
      <c r="AA4" s="32" t="inlineStr">
        <is>
          <t>Capacidade até o gatilho</t>
        </is>
      </c>
      <c r="AB4" s="32" t="inlineStr">
        <is>
          <t>Situação regulatória</t>
        </is>
      </c>
      <c r="AC4" s="32" t="inlineStr">
        <is>
          <t>Tipo</t>
        </is>
      </c>
      <c r="AD4" s="32" t="inlineStr">
        <is>
          <t>Foco</t>
        </is>
      </c>
      <c r="AE4" s="32" t="inlineStr">
        <is>
          <t>Taxonomia estrutural</t>
        </is>
      </c>
      <c r="AF4" s="32" t="inlineStr">
        <is>
          <t>Grupo de comparação</t>
        </is>
      </c>
      <c r="AG4" s="32" t="inlineStr">
        <is>
          <t>Categoria de risco atual</t>
        </is>
      </c>
      <c r="AH4" s="32" t="inlineStr">
        <is>
          <t>Categoria de risco proposta</t>
        </is>
      </c>
      <c r="AI4" s="32" t="inlineStr">
        <is>
          <t>Subtipo de risco diagnosticado</t>
        </is>
      </c>
      <c r="AJ4" s="32" t="inlineStr">
        <is>
          <t>Reclassificação proposta?</t>
        </is>
      </c>
      <c r="AK4" s="32" t="inlineStr">
        <is>
          <t>Status da avaliação</t>
        </is>
      </c>
      <c r="AL4" s="32" t="inlineStr">
        <is>
          <t>Fundamento da avaliação</t>
        </is>
      </c>
      <c r="AM4" s="32" t="inlineStr">
        <is>
          <t>Fonte da avaliação</t>
        </is>
      </c>
      <c r="AN4" s="32" t="inlineStr">
        <is>
          <t>Middle Market · status</t>
        </is>
      </c>
      <c r="AO4" s="32" t="inlineStr">
        <is>
          <t>Middle Market · evidência</t>
        </is>
      </c>
      <c r="AP4" s="32" t="inlineStr">
        <is>
          <t>Porte documentado?</t>
        </is>
      </c>
      <c r="AQ4" s="32" t="inlineStr">
        <is>
          <t>Categoria MVP</t>
        </is>
      </c>
      <c r="AR4" s="32" t="inlineStr">
        <is>
          <t>Categoria MVP original</t>
        </is>
      </c>
      <c r="AS4" s="32" t="inlineStr">
        <is>
          <t>Override editorial?</t>
        </is>
      </c>
      <c r="AT4" s="32" t="inlineStr">
        <is>
          <t>Fonte do override MVP</t>
        </is>
      </c>
      <c r="AU4" s="32" t="inlineStr">
        <is>
          <t>Motivo do override MVP</t>
        </is>
      </c>
      <c r="AV4" s="32" t="inlineStr">
        <is>
          <t>Faixa de Sub atual · MVP</t>
        </is>
      </c>
      <c r="AW4" s="32" t="inlineStr">
        <is>
          <t>Elegível nos 6 slides?</t>
        </is>
      </c>
      <c r="AX4" s="32" t="inlineStr">
        <is>
          <t>Sinal vs. mínimo estrutural</t>
        </is>
      </c>
      <c r="AY4" s="32" t="inlineStr">
        <is>
          <t>Posição vs. mercado</t>
        </is>
      </c>
      <c r="AZ4" s="32" t="inlineStr">
        <is>
          <t>Excesso vs. mediana</t>
        </is>
      </c>
      <c r="BA4" s="32" t="inlineStr">
        <is>
          <t>Benchmark confiável?</t>
        </is>
      </c>
      <c r="BB4" s="32" t="inlineStr">
        <is>
          <t>Nº de comparáveis</t>
        </is>
      </c>
      <c r="BC4" s="32" t="inlineStr">
        <is>
          <t>Preço unitário numérico</t>
        </is>
      </c>
      <c r="BD4" s="32" t="inlineStr">
        <is>
          <t>Preço por cota · leitura</t>
        </is>
      </c>
      <c r="BE4" s="32" t="inlineStr">
        <is>
          <t>Natureza do preço</t>
        </is>
      </c>
      <c r="BF4" s="32" t="inlineStr">
        <is>
          <t>Classe / série do preço</t>
        </is>
      </c>
      <c r="BG4" s="32" t="inlineStr">
        <is>
          <t>Data do documento de preço</t>
        </is>
      </c>
      <c r="BH4" s="32" t="inlineStr">
        <is>
          <t>Documento do preço</t>
        </is>
      </c>
      <c r="BI4" s="32" t="inlineStr">
        <is>
          <t>Fonte do preço</t>
        </is>
      </c>
      <c r="BJ4" s="32" t="inlineStr">
        <is>
          <t>Status do preço</t>
        </is>
      </c>
      <c r="BK4" s="32" t="inlineStr">
        <is>
          <t>Exceção de preço*</t>
        </is>
      </c>
      <c r="BL4" s="32" t="inlineStr">
        <is>
          <t>Cedente / Originador literal*</t>
        </is>
      </c>
      <c r="BM4" s="32" t="inlineStr">
        <is>
          <t>Papel literal*</t>
        </is>
      </c>
      <c r="BN4" s="32" t="inlineStr">
        <is>
          <t>Originador*</t>
        </is>
      </c>
      <c r="BO4" s="32" t="inlineStr">
        <is>
          <t>Cedente*</t>
        </is>
      </c>
      <c r="BP4" s="32" t="inlineStr">
        <is>
          <t>Sacado / devedor*</t>
        </is>
      </c>
      <c r="BQ4" s="32" t="inlineStr">
        <is>
          <t>Tipo de recebível*</t>
        </is>
      </c>
      <c r="BR4" s="32" t="inlineStr">
        <is>
          <t>Fonte das partes / recebível</t>
        </is>
      </c>
      <c r="BS4" s="32" t="inlineStr">
        <is>
          <t>Status do complemento manual</t>
        </is>
      </c>
      <c r="BT4" s="32" t="inlineStr">
        <is>
          <t>Observação do complemento manual</t>
        </is>
      </c>
      <c r="BU4" s="32" t="inlineStr">
        <is>
          <t>Documento</t>
        </is>
      </c>
      <c r="BV4" s="32" t="inlineStr">
        <is>
          <t>Data do documento</t>
        </is>
      </c>
      <c r="BW4" s="32" t="inlineStr">
        <is>
          <t>Página / cláusula</t>
        </is>
      </c>
      <c r="BX4" s="32" t="inlineStr">
        <is>
          <t>Status da curadoria</t>
        </is>
      </c>
      <c r="BY4" s="32" t="inlineStr">
        <is>
          <t>Fonte documental</t>
        </is>
      </c>
      <c r="BZ4" s="32" t="inlineStr">
        <is>
          <t>Texto do mínimo</t>
        </is>
      </c>
      <c r="CA4" s="32" t="inlineStr">
        <is>
          <t>Campos não preenchidos</t>
        </is>
      </c>
      <c r="CB4" s="32" t="inlineStr">
        <is>
          <t>Status do preenchimento</t>
        </is>
      </c>
    </row>
    <row r="5" ht="31.5" customHeight="1">
      <c r="A5" s="73" t="n">
        <v>1</v>
      </c>
      <c r="B5" s="134" t="n">
        <v>42462306000100</v>
      </c>
      <c r="C5" s="73" t="inlineStr">
        <is>
          <t>42.462.306/0001-00</t>
        </is>
      </c>
      <c r="D5" s="73" t="inlineStr">
        <is>
          <t>IS GREEN SOLFÁCIL II FUNDO DE INVESTIMENTO EM DIREITOS CREDITÓRIOS DE RESPONSABILIDADE LIMITADA</t>
        </is>
      </c>
      <c r="E5" s="73" t="inlineStr">
        <is>
          <t>IS GREEN SOLFACIL II FIDC</t>
        </is>
      </c>
      <c r="F5" s="73" t="inlineStr">
        <is>
          <t>Carteira 101</t>
        </is>
      </c>
      <c r="G5" s="73" t="inlineStr">
        <is>
          <t>2026-08</t>
        </is>
      </c>
      <c r="H5" s="73" t="inlineStr">
        <is>
          <t>localizado</t>
        </is>
      </c>
      <c r="I5" s="135" t="n">
        <v>87853640.33</v>
      </c>
      <c r="J5" s="135" t="n">
        <v>87853640.66977322</v>
      </c>
      <c r="K5" s="135" t="n">
        <v>23060468.81977321</v>
      </c>
      <c r="L5" s="136" t="n">
        <v>0.2624873452386536</v>
      </c>
      <c r="M5" s="73" t="inlineStr">
        <is>
          <t>Calculado com classes reportadas e PL oficial reconciliado</t>
        </is>
      </c>
      <c r="N5" s="136" t="n">
        <v>0.045</v>
      </c>
      <c r="O5" s="136" t="inlineStr">
        <is>
          <t>N/D</t>
        </is>
      </c>
      <c r="P5" s="136" t="inlineStr">
        <is>
          <t>N/D</t>
        </is>
      </c>
      <c r="Q5" s="136" t="inlineStr">
        <is>
          <t>N/D</t>
        </is>
      </c>
      <c r="R5" s="136" t="inlineStr">
        <is>
          <t>N/D</t>
        </is>
      </c>
      <c r="S5" s="136" t="n">
        <v>0.045</v>
      </c>
      <c r="T5" s="73" t="inlineStr">
        <is>
          <t>N/D</t>
        </is>
      </c>
      <c r="U5" s="73" t="inlineStr">
        <is>
          <t>junior_pl</t>
        </is>
      </c>
      <c r="V5" s="73" t="inlineStr">
        <is>
          <t>direto no regulamento</t>
        </is>
      </c>
      <c r="W5" s="73" t="b">
        <v>0</v>
      </c>
      <c r="X5" s="73" t="inlineStr">
        <is>
          <t>Mínimo júnior isolado; a subordinação atual disponível agrega todas as classes subordinadas.</t>
        </is>
      </c>
      <c r="Y5" s="73" t="b">
        <v>0</v>
      </c>
      <c r="Z5" s="136" t="inlineStr">
        <is>
          <t>N/D</t>
        </is>
      </c>
      <c r="AA5" s="136" t="inlineStr">
        <is>
          <t>N/D</t>
        </is>
      </c>
      <c r="AB5" s="73" t="inlineStr">
        <is>
          <t>não medido</t>
        </is>
      </c>
      <c r="AC5" s="73" t="inlineStr">
        <is>
          <t>Financeiro</t>
        </is>
      </c>
      <c r="AD5" s="73" t="inlineStr">
        <is>
          <t>Crédito Pessoal</t>
        </is>
      </c>
      <c r="AE5" s="73" t="inlineStr">
        <is>
          <t>Financeiro</t>
        </is>
      </c>
      <c r="AF5" s="73" t="inlineStr">
        <is>
          <t>Financeiro</t>
        </is>
      </c>
      <c r="AG5" s="73" t="inlineStr">
        <is>
          <t>Financeiro</t>
        </is>
      </c>
      <c r="AH5" s="73" t="inlineStr">
        <is>
          <t>Financeiro</t>
        </is>
      </c>
      <c r="AI5" s="73" t="inlineStr">
        <is>
          <t>Crédito solar / recebíveis para securitização</t>
        </is>
      </c>
      <c r="AJ5" s="73" t="b">
        <v>0</v>
      </c>
      <c r="AK5" s="73" t="inlineStr">
        <is>
          <t>MANTER_ALTA</t>
        </is>
      </c>
      <c r="AL5" s="73" t="inlineStr">
        <is>
          <t>Risco de financiamento solar</t>
        </is>
      </c>
      <c r="AM5" s="73" t="inlineStr">
        <is>
          <t>rating 1023995 + IMG_8704</t>
        </is>
      </c>
      <c r="AN5" s="73" t="inlineStr">
        <is>
          <t>Não</t>
        </is>
      </c>
      <c r="AO5" s="73" t="inlineStr">
        <is>
          <t>rating 1023995 + IMG_8704</t>
        </is>
      </c>
      <c r="AP5" s="73" t="b">
        <v>0</v>
      </c>
      <c r="AQ5" s="73" t="inlineStr">
        <is>
          <t>Financeiro</t>
        </is>
      </c>
      <c r="AR5" s="73" t="inlineStr">
        <is>
          <t>Financeiro</t>
        </is>
      </c>
      <c r="AS5" s="73" t="b">
        <v>0</v>
      </c>
      <c r="AT5" s="73" t="inlineStr">
        <is>
          <t>N/D</t>
        </is>
      </c>
      <c r="AU5" s="73" t="inlineStr">
        <is>
          <t>N/D</t>
        </is>
      </c>
      <c r="AV5" s="73" t="inlineStr">
        <is>
          <t>20%–35%</t>
        </is>
      </c>
      <c r="AW5" s="73" t="b">
        <v>1</v>
      </c>
      <c r="AX5" s="73" t="inlineStr">
        <is>
          <t>incomparável</t>
        </is>
      </c>
      <c r="AY5" s="73" t="inlineStr">
        <is>
          <t>abaixo do mercado</t>
        </is>
      </c>
      <c r="AZ5" s="136" t="n">
        <v>-0.04370643545783054</v>
      </c>
      <c r="BA5" s="73" t="b">
        <v>1</v>
      </c>
      <c r="BB5" s="137" t="n">
        <v>12</v>
      </c>
      <c r="BC5" s="135" t="inlineStr">
        <is>
          <t>N/D</t>
        </is>
      </c>
      <c r="BD5" s="73" t="inlineStr">
        <is>
          <t>N/D</t>
        </is>
      </c>
      <c r="BE5" s="73" t="inlineStr">
        <is>
          <t>N/D</t>
        </is>
      </c>
      <c r="BF5" s="73" t="inlineStr">
        <is>
          <t>N/D</t>
        </is>
      </c>
      <c r="BG5" s="73" t="inlineStr">
        <is>
          <t>N/D</t>
        </is>
      </c>
      <c r="BH5" s="73" t="inlineStr">
        <is>
          <t>N/D</t>
        </is>
      </c>
      <c r="BI5" s="73" t="inlineStr">
        <is>
          <t>N/D</t>
        </is>
      </c>
      <c r="BJ5" s="73" t="inlineStr">
        <is>
          <t>não localizado</t>
        </is>
      </c>
      <c r="BK5" s="73" t="b">
        <v>0</v>
      </c>
      <c r="BL5" s="73" t="inlineStr">
        <is>
          <t>Solfácil</t>
        </is>
      </c>
      <c r="BM5" s="73" t="inlineStr">
        <is>
          <t>cedente</t>
        </is>
      </c>
      <c r="BN5" s="73" t="inlineStr">
        <is>
          <t>Solfácil Energia</t>
        </is>
      </c>
      <c r="BO5" s="73" t="inlineStr">
        <is>
          <t>Solfácil</t>
        </is>
      </c>
      <c r="BP5" s="73" t="inlineStr">
        <is>
          <t>N/D</t>
        </is>
      </c>
      <c r="BQ5" s="73" t="inlineStr">
        <is>
          <t>créditos originados para securitização posterior em CRIs</t>
        </is>
      </c>
      <c r="BR5" s="73" t="inlineStr">
        <is>
          <t>originador: https://fnet.bmfbovespa.com.br/fnet/publico/downloadDocumento?id=1023995 | cedente: IMG_8704.JPG | tipo_recebivel: IMG_8704.JPG</t>
        </is>
      </c>
      <c r="BS5" s="73" t="inlineStr">
        <is>
          <t>manual_aplicado</t>
        </is>
      </c>
      <c r="BT5" s="73" t="inlineStr">
        <is>
          <t>OBS da foto: FIDC warehouse com finalidade de originar créditos para serem securitizados posteriormente em CRIs a mercado; texto final cortado pela foto.</t>
        </is>
      </c>
      <c r="BU5" s="73" t="inlineStr">
        <is>
          <t>896879</t>
        </is>
      </c>
      <c r="BV5" s="73" t="inlineStr">
        <is>
          <t>2025-05-05</t>
        </is>
      </c>
      <c r="BW5" s="73" t="inlineStr">
        <is>
          <t>12</t>
        </is>
      </c>
      <c r="BX5" s="73" t="inlineStr">
        <is>
          <t>revisto — mínimo júnior localizado</t>
        </is>
      </c>
      <c r="BY5" s="73" t="inlineStr">
        <is>
          <t>FundosNet/B3; documento 896879; referência 2025-05-05; p. 12</t>
        </is>
      </c>
      <c r="BZ5" s="73" t="inlineStr">
        <is>
          <t>Cotas subordinadas júnior / PL, mínimo de 4,5%.</t>
        </is>
      </c>
      <c r="CA5" s="73" t="inlineStr">
        <is>
          <t>preço unitário da cota; sacado/devedor</t>
        </is>
      </c>
      <c r="CB5" s="73" t="inlineStr">
        <is>
          <t>estrutura_incomparavel</t>
        </is>
      </c>
    </row>
    <row r="6" ht="31.5" customHeight="1">
      <c r="A6" s="74" t="n">
        <v>2</v>
      </c>
      <c r="B6" s="138" t="n">
        <v>54810968000102</v>
      </c>
      <c r="C6" s="74" t="inlineStr">
        <is>
          <t>54.810.968/0001-02</t>
        </is>
      </c>
      <c r="D6" s="74" t="inlineStr">
        <is>
          <t>ANGÁ FGTS III FUNDO DE INVESTIMENTO EM DIREITOS CREDITÓRIOS</t>
        </is>
      </c>
      <c r="E6" s="74" t="inlineStr">
        <is>
          <t>ANGA FGTS III FUNDO DE INVESTIMENTO EM DIREITOS CR</t>
        </is>
      </c>
      <c r="F6" s="74" t="inlineStr">
        <is>
          <t>Carteira 101</t>
        </is>
      </c>
      <c r="G6" s="74" t="inlineStr">
        <is>
          <t>2026-08</t>
        </is>
      </c>
      <c r="H6" s="74" t="inlineStr">
        <is>
          <t>localizado</t>
        </is>
      </c>
      <c r="I6" s="139" t="n">
        <v>926783405.79</v>
      </c>
      <c r="J6" s="139" t="n">
        <v>926783405.793</v>
      </c>
      <c r="K6" s="139" t="n">
        <v>158995139.3595</v>
      </c>
      <c r="L6" s="140" t="n">
        <v>0.1715558763419711</v>
      </c>
      <c r="M6" s="74" t="inlineStr">
        <is>
          <t>Calculado com classes reportadas e PL oficial reconciliado</t>
        </is>
      </c>
      <c r="N6" s="140" t="n">
        <v>0.05</v>
      </c>
      <c r="O6" s="140" t="inlineStr">
        <is>
          <t>N/D</t>
        </is>
      </c>
      <c r="P6" s="140" t="inlineStr">
        <is>
          <t>N/D</t>
        </is>
      </c>
      <c r="Q6" s="140" t="inlineStr">
        <is>
          <t>N/D</t>
        </is>
      </c>
      <c r="R6" s="140" t="inlineStr">
        <is>
          <t>N/D</t>
        </is>
      </c>
      <c r="S6" s="140" t="n">
        <v>0.05</v>
      </c>
      <c r="T6" s="74" t="inlineStr">
        <is>
          <t>N/D</t>
        </is>
      </c>
      <c r="U6" s="74" t="inlineStr">
        <is>
          <t>junior_pl</t>
        </is>
      </c>
      <c r="V6" s="74" t="inlineStr">
        <is>
          <t>direto no regulamento</t>
        </is>
      </c>
      <c r="W6" s="74" t="b">
        <v>0</v>
      </c>
      <c r="X6" s="74" t="inlineStr">
        <is>
          <t>Mínimo júnior isolado; a subordinação atual disponível agrega todas as classes subordinadas.</t>
        </is>
      </c>
      <c r="Y6" s="74" t="b">
        <v>0</v>
      </c>
      <c r="Z6" s="140" t="inlineStr">
        <is>
          <t>N/D</t>
        </is>
      </c>
      <c r="AA6" s="140" t="inlineStr">
        <is>
          <t>N/D</t>
        </is>
      </c>
      <c r="AB6" s="74" t="inlineStr">
        <is>
          <t>não medido</t>
        </is>
      </c>
      <c r="AC6" s="74" t="inlineStr">
        <is>
          <t>Financeiro</t>
        </is>
      </c>
      <c r="AD6" s="74" t="inlineStr">
        <is>
          <t>Crédito Pessoal</t>
        </is>
      </c>
      <c r="AE6" s="74" t="inlineStr">
        <is>
          <t>Consignado FGTS</t>
        </is>
      </c>
      <c r="AF6" s="74" t="inlineStr">
        <is>
          <t>Consignado FGTS</t>
        </is>
      </c>
      <c r="AG6" s="74" t="inlineStr">
        <is>
          <t>Consignado INSS e FGTS</t>
        </is>
      </c>
      <c r="AH6" s="74" t="inlineStr">
        <is>
          <t>Consignado INSS e FGTS</t>
        </is>
      </c>
      <c r="AI6" s="74" t="inlineStr">
        <is>
          <t>N/D</t>
        </is>
      </c>
      <c r="AJ6" s="74" t="b">
        <v>0</v>
      </c>
      <c r="AK6" s="74" t="inlineStr">
        <is>
          <t>fora da revisão Financeiro/Agro</t>
        </is>
      </c>
      <c r="AL6" s="74" t="inlineStr">
        <is>
          <t>N/D</t>
        </is>
      </c>
      <c r="AM6" s="74" t="inlineStr">
        <is>
          <t>N/D</t>
        </is>
      </c>
      <c r="AN6" s="74" t="inlineStr">
        <is>
          <t>N/D</t>
        </is>
      </c>
      <c r="AO6" s="74" t="inlineStr">
        <is>
          <t>N/D</t>
        </is>
      </c>
      <c r="AP6" s="74" t="inlineStr">
        <is>
          <t>N/D</t>
        </is>
      </c>
      <c r="AQ6" s="74" t="inlineStr">
        <is>
          <t>Consignado INSS e FGTS</t>
        </is>
      </c>
      <c r="AR6" s="74" t="inlineStr">
        <is>
          <t>Consignado INSS e FGTS</t>
        </is>
      </c>
      <c r="AS6" s="74" t="b">
        <v>0</v>
      </c>
      <c r="AT6" s="74" t="inlineStr">
        <is>
          <t>N/D</t>
        </is>
      </c>
      <c r="AU6" s="74" t="inlineStr">
        <is>
          <t>N/D</t>
        </is>
      </c>
      <c r="AV6" s="74" t="inlineStr">
        <is>
          <t>15%–20%</t>
        </is>
      </c>
      <c r="AW6" s="74" t="b">
        <v>1</v>
      </c>
      <c r="AX6" s="74" t="inlineStr">
        <is>
          <t>incomparável</t>
        </is>
      </c>
      <c r="AY6" s="74" t="inlineStr">
        <is>
          <t>em linha com o mercado</t>
        </is>
      </c>
      <c r="AZ6" s="140" t="n">
        <v>-0.01122356481751938</v>
      </c>
      <c r="BA6" s="74" t="b">
        <v>1</v>
      </c>
      <c r="BB6" s="141" t="n">
        <v>5</v>
      </c>
      <c r="BC6" s="139" t="n">
        <v>1000</v>
      </c>
      <c r="BD6" s="74" t="inlineStr">
        <is>
          <t>Cotas Seniores: R$ 1.000,00 | Cotas Subordinadas Junior: R$ 1.000,00 | R$ 1.000,00</t>
        </is>
      </c>
      <c r="BE6" s="74" t="inlineStr">
        <is>
          <t>preço/valor unitário de emissão</t>
        </is>
      </c>
      <c r="BF6" s="74" t="inlineStr">
        <is>
          <t>Cotas Seniores | Cotas Subordinadas Junior</t>
        </is>
      </c>
      <c r="BG6" s="74" t="inlineStr">
        <is>
          <t>2025-04-22</t>
        </is>
      </c>
      <c r="BH6" s="74" t="inlineStr">
        <is>
          <t>937760</t>
        </is>
      </c>
      <c r="BI6" s="74" t="inlineStr">
        <is>
          <t>https://fnet.bmfbovespa.com.br/fnet/publico/downloadDocumento?id=937760</t>
        </is>
      </c>
      <c r="BJ6" s="74" t="inlineStr">
        <is>
          <t>localizado documentalmente — múltiplos valores/classes</t>
        </is>
      </c>
      <c r="BK6" s="74" t="b">
        <v>1</v>
      </c>
      <c r="BL6" s="74" t="inlineStr">
        <is>
          <t>BMG</t>
        </is>
      </c>
      <c r="BM6" s="74" t="inlineStr">
        <is>
          <t>cedente</t>
        </is>
      </c>
      <c r="BN6" s="74" t="inlineStr">
        <is>
          <t>N/D</t>
        </is>
      </c>
      <c r="BO6" s="74" t="inlineStr">
        <is>
          <t>BMG</t>
        </is>
      </c>
      <c r="BP6" s="74" t="inlineStr">
        <is>
          <t>N/D</t>
        </is>
      </c>
      <c r="BQ6" s="74" t="inlineStr">
        <is>
          <t>Crédito FGTS</t>
        </is>
      </c>
      <c r="BR6" s="74" t="inlineStr">
        <is>
          <t>cedente: IMG_8704.JPG | tipo_recebivel: IMG_8704.JPG</t>
        </is>
      </c>
      <c r="BS6" s="74" t="inlineStr">
        <is>
          <t>manual_aplicado</t>
        </is>
      </c>
      <c r="BT6" s="74" t="inlineStr">
        <is>
          <t>Denominação cortada pela largura da coluna na foto.</t>
        </is>
      </c>
      <c r="BU6" s="74" t="inlineStr">
        <is>
          <t>937760</t>
        </is>
      </c>
      <c r="BV6" s="74" t="inlineStr">
        <is>
          <t>2025-04-22</t>
        </is>
      </c>
      <c r="BW6" s="74" t="inlineStr">
        <is>
          <t>16</t>
        </is>
      </c>
      <c r="BX6" s="74" t="inlineStr">
        <is>
          <t>revisto — mínimo júnior localizado</t>
        </is>
      </c>
      <c r="BY6" s="74" t="inlineStr">
        <is>
          <t>FundosNet/B3; documento 937760; referência 2025-04-22; p. 16</t>
        </is>
      </c>
      <c r="BZ6" s="74" t="inlineStr">
        <is>
          <t>Índice de Subordinação Mezanino: cotas júnior / PL, mínimo de 5,0%.</t>
        </is>
      </c>
      <c r="CA6" s="74" t="inlineStr">
        <is>
          <t>originador; sacado/devedor</t>
        </is>
      </c>
      <c r="CB6" s="74" t="inlineStr">
        <is>
          <t>estrutura_incomparavel</t>
        </is>
      </c>
    </row>
    <row r="7" ht="31.5" customHeight="1">
      <c r="A7" s="75" t="n">
        <v>3</v>
      </c>
      <c r="B7" s="142" t="n">
        <v>53270983000142</v>
      </c>
      <c r="C7" s="75" t="inlineStr">
        <is>
          <t>53.270.983/0001-42</t>
        </is>
      </c>
      <c r="D7" s="75" t="inlineStr">
        <is>
          <t>ANGÁ FGTS +AG FUNDO DE INVESTIMENTO EM DIREITOS CREDITÓRIOS - RESPONSABILIDADE LIMITADA</t>
        </is>
      </c>
      <c r="E7" s="75" t="inlineStr">
        <is>
          <t>ANGA FGTS MAIS AG FIDC RESPONSABILIDADE LIMITADA</t>
        </is>
      </c>
      <c r="F7" s="75" t="inlineStr">
        <is>
          <t>Carteira 101</t>
        </is>
      </c>
      <c r="G7" s="75" t="inlineStr">
        <is>
          <t>2026-08</t>
        </is>
      </c>
      <c r="H7" s="75" t="inlineStr">
        <is>
          <t>localizado</t>
        </is>
      </c>
      <c r="I7" s="143" t="n">
        <v>67695100.98999999</v>
      </c>
      <c r="J7" s="143" t="n">
        <v>67695100.98999999</v>
      </c>
      <c r="K7" s="143" t="n">
        <v>13664539.85</v>
      </c>
      <c r="L7" s="144" t="n">
        <v>0.2018541910738643</v>
      </c>
      <c r="M7" s="75" t="inlineStr">
        <is>
          <t>Calculado com classes reportadas e PL oficial reconciliado</t>
        </is>
      </c>
      <c r="N7" s="144" t="n">
        <v>0.08</v>
      </c>
      <c r="O7" s="144" t="inlineStr">
        <is>
          <t>N/D</t>
        </is>
      </c>
      <c r="P7" s="144" t="inlineStr">
        <is>
          <t>N/D</t>
        </is>
      </c>
      <c r="Q7" s="144" t="inlineStr">
        <is>
          <t>N/D</t>
        </is>
      </c>
      <c r="R7" s="144" t="inlineStr">
        <is>
          <t>N/D</t>
        </is>
      </c>
      <c r="S7" s="144" t="n">
        <v>0.08</v>
      </c>
      <c r="T7" s="75" t="inlineStr">
        <is>
          <t>N/D</t>
        </is>
      </c>
      <c r="U7" s="75" t="inlineStr">
        <is>
          <t>junior_pl</t>
        </is>
      </c>
      <c r="V7" s="75" t="inlineStr">
        <is>
          <t>direto no regulamento</t>
        </is>
      </c>
      <c r="W7" s="75" t="b">
        <v>0</v>
      </c>
      <c r="X7" s="75" t="inlineStr">
        <is>
          <t>Mínimo júnior isolado; a subordinação atual disponível agrega todas as classes subordinadas.</t>
        </is>
      </c>
      <c r="Y7" s="75" t="b">
        <v>0</v>
      </c>
      <c r="Z7" s="144" t="inlineStr">
        <is>
          <t>N/D</t>
        </is>
      </c>
      <c r="AA7" s="144" t="inlineStr">
        <is>
          <t>N/D</t>
        </is>
      </c>
      <c r="AB7" s="75" t="inlineStr">
        <is>
          <t>não medido</t>
        </is>
      </c>
      <c r="AC7" s="75" t="inlineStr">
        <is>
          <t>Financeiro</t>
        </is>
      </c>
      <c r="AD7" s="75" t="inlineStr">
        <is>
          <t>Crédito Pessoal</t>
        </is>
      </c>
      <c r="AE7" s="75" t="inlineStr">
        <is>
          <t>Consignado FGTS</t>
        </is>
      </c>
      <c r="AF7" s="75" t="inlineStr">
        <is>
          <t>Consignado FGTS</t>
        </is>
      </c>
      <c r="AG7" s="75" t="inlineStr">
        <is>
          <t>Consignado INSS e FGTS</t>
        </is>
      </c>
      <c r="AH7" s="75" t="inlineStr">
        <is>
          <t>Consignado INSS e FGTS</t>
        </is>
      </c>
      <c r="AI7" s="75" t="inlineStr">
        <is>
          <t>N/D</t>
        </is>
      </c>
      <c r="AJ7" s="75" t="b">
        <v>0</v>
      </c>
      <c r="AK7" s="75" t="inlineStr">
        <is>
          <t>fora da revisão Financeiro/Agro</t>
        </is>
      </c>
      <c r="AL7" s="75" t="inlineStr">
        <is>
          <t>N/D</t>
        </is>
      </c>
      <c r="AM7" s="75" t="inlineStr">
        <is>
          <t>N/D</t>
        </is>
      </c>
      <c r="AN7" s="75" t="inlineStr">
        <is>
          <t>N/D</t>
        </is>
      </c>
      <c r="AO7" s="75" t="inlineStr">
        <is>
          <t>N/D</t>
        </is>
      </c>
      <c r="AP7" s="75" t="inlineStr">
        <is>
          <t>N/D</t>
        </is>
      </c>
      <c r="AQ7" s="75" t="inlineStr">
        <is>
          <t>Consignado INSS e FGTS</t>
        </is>
      </c>
      <c r="AR7" s="75" t="inlineStr">
        <is>
          <t>Consignado INSS e FGTS</t>
        </is>
      </c>
      <c r="AS7" s="75" t="b">
        <v>0</v>
      </c>
      <c r="AT7" s="75" t="inlineStr">
        <is>
          <t>N/D</t>
        </is>
      </c>
      <c r="AU7" s="75" t="inlineStr">
        <is>
          <t>N/D</t>
        </is>
      </c>
      <c r="AV7" s="75" t="inlineStr">
        <is>
          <t>20%–35%</t>
        </is>
      </c>
      <c r="AW7" s="75" t="b">
        <v>1</v>
      </c>
      <c r="AX7" s="75" t="inlineStr">
        <is>
          <t>incomparável</t>
        </is>
      </c>
      <c r="AY7" s="75" t="inlineStr">
        <is>
          <t>em linha com o mercado</t>
        </is>
      </c>
      <c r="AZ7" s="144" t="n">
        <v>0.01907474991437383</v>
      </c>
      <c r="BA7" s="75" t="b">
        <v>1</v>
      </c>
      <c r="BB7" s="145" t="n">
        <v>5</v>
      </c>
      <c r="BC7" s="143" t="n">
        <v>1000</v>
      </c>
      <c r="BD7" s="75" t="inlineStr">
        <is>
          <t>Cotas Seniores: R$ 1.000,00 | Cotas Subordinadas Junior: R$ 1.000,00 | Cotas Subordinadas Mezanino: R$ 1.000,00</t>
        </is>
      </c>
      <c r="BE7" s="75" t="inlineStr">
        <is>
          <t>preço/valor unitário de emissão</t>
        </is>
      </c>
      <c r="BF7" s="75" t="inlineStr">
        <is>
          <t>Cotas Seniores | Cotas Subordinadas Junior | Cotas Subordinadas Mezanino</t>
        </is>
      </c>
      <c r="BG7" s="75" t="inlineStr">
        <is>
          <t>06/03/2024</t>
        </is>
      </c>
      <c r="BH7" s="75" t="inlineStr">
        <is>
          <t>617093</t>
        </is>
      </c>
      <c r="BI7" s="75" t="inlineStr">
        <is>
          <t>https://fnet.bmfbovespa.com.br/fnet/publico/downloadDocumento?id=617093</t>
        </is>
      </c>
      <c r="BJ7" s="75" t="inlineStr">
        <is>
          <t>localizado documentalmente — múltiplos valores/classes</t>
        </is>
      </c>
      <c r="BK7" s="75" t="b">
        <v>1</v>
      </c>
      <c r="BL7" s="75" t="inlineStr">
        <is>
          <t>QI Tech</t>
        </is>
      </c>
      <c r="BM7" s="75" t="inlineStr">
        <is>
          <t>cedente</t>
        </is>
      </c>
      <c r="BN7" s="75" t="inlineStr">
        <is>
          <t>N/D</t>
        </is>
      </c>
      <c r="BO7" s="75" t="inlineStr">
        <is>
          <t>QI Tech</t>
        </is>
      </c>
      <c r="BP7" s="75" t="inlineStr">
        <is>
          <t>N/D</t>
        </is>
      </c>
      <c r="BQ7" s="75" t="inlineStr">
        <is>
          <t>N/D</t>
        </is>
      </c>
      <c r="BR7" s="75" t="inlineStr">
        <is>
          <t>cedente: IMG_8704.JPG</t>
        </is>
      </c>
      <c r="BS7" s="75" t="inlineStr">
        <is>
          <t>manual_aplicado</t>
        </is>
      </c>
      <c r="BT7" s="75" t="inlineStr">
        <is>
          <t>N/D</t>
        </is>
      </c>
      <c r="BU7" s="75" t="inlineStr">
        <is>
          <t>881263</t>
        </is>
      </c>
      <c r="BV7" s="75" t="inlineStr">
        <is>
          <t>2025-04-03</t>
        </is>
      </c>
      <c r="BW7" s="75" t="inlineStr">
        <is>
          <t>14</t>
        </is>
      </c>
      <c r="BX7" s="75" t="inlineStr">
        <is>
          <t>revisto — mínimo júnior localizado</t>
        </is>
      </c>
      <c r="BY7" s="75" t="inlineStr">
        <is>
          <t>FundosNet/B3; documento 881263; referência 2025-04-03; p. 14</t>
        </is>
      </c>
      <c r="BZ7" s="75" t="inlineStr">
        <is>
          <t>Índice de Subordinação Mezanino: cotas júnior / PL, mínimo de 8,0%.</t>
        </is>
      </c>
      <c r="CA7" s="75" t="inlineStr">
        <is>
          <t>originador; sacado/devedor; tipo de recebível</t>
        </is>
      </c>
      <c r="CB7" s="75" t="inlineStr">
        <is>
          <t>estrutura_incomparavel</t>
        </is>
      </c>
    </row>
    <row r="8" ht="31.5" customHeight="1">
      <c r="A8" s="74" t="n">
        <v>4</v>
      </c>
      <c r="B8" s="138" t="n">
        <v>52968533000165</v>
      </c>
      <c r="C8" s="74" t="inlineStr">
        <is>
          <t>52.968.533/0001-65</t>
        </is>
      </c>
      <c r="D8" s="74" t="inlineStr">
        <is>
          <t>MCPO FUNDO DE INVESTIMENTO EM DIREITOS CREDITÓRIOS</t>
        </is>
      </c>
      <c r="E8" s="74" t="inlineStr">
        <is>
          <t>MCPO FUNDO DE INVESTIMENTO EM DIREITOS CREDITORIO</t>
        </is>
      </c>
      <c r="F8" s="74" t="inlineStr">
        <is>
          <t>Carteira 101</t>
        </is>
      </c>
      <c r="G8" s="74" t="inlineStr">
        <is>
          <t>2026-08</t>
        </is>
      </c>
      <c r="H8" s="74" t="inlineStr">
        <is>
          <t>localizado</t>
        </is>
      </c>
      <c r="I8" s="139" t="n">
        <v>102271218.36</v>
      </c>
      <c r="J8" s="139" t="n">
        <v>102271218.3603658</v>
      </c>
      <c r="K8" s="139" t="n">
        <v>0</v>
      </c>
      <c r="L8" s="140" t="n">
        <v>0</v>
      </c>
      <c r="M8" s="74" t="inlineStr">
        <is>
          <t>Calculado com classes reportadas e PL oficial reconciliado</t>
        </is>
      </c>
      <c r="N8" s="140" t="inlineStr">
        <is>
          <t>N/D</t>
        </is>
      </c>
      <c r="O8" s="140" t="inlineStr">
        <is>
          <t>N/D</t>
        </is>
      </c>
      <c r="P8" s="140" t="inlineStr">
        <is>
          <t>N/D</t>
        </is>
      </c>
      <c r="Q8" s="140" t="n">
        <v>0.2</v>
      </c>
      <c r="R8" s="140" t="inlineStr">
        <is>
          <t>N/D</t>
        </is>
      </c>
      <c r="S8" s="140" t="n">
        <v>0.2</v>
      </c>
      <c r="T8" s="74" t="inlineStr">
        <is>
          <t>20,0%*</t>
        </is>
      </c>
      <c r="U8" s="74" t="inlineStr">
        <is>
          <t>suporte_total_pl</t>
        </is>
      </c>
      <c r="V8" s="74" t="inlineStr">
        <is>
          <t>direto no regulamento</t>
        </is>
      </c>
      <c r="W8" s="74" t="b">
        <v>1</v>
      </c>
      <c r="X8" s="74" t="inlineStr">
        <is>
          <t>Suporte total ou combinado; não representa mínimo júnior isolado.</t>
        </is>
      </c>
      <c r="Y8" s="74" t="b">
        <v>1</v>
      </c>
      <c r="Z8" s="140" t="n">
        <v>-0.2</v>
      </c>
      <c r="AA8" s="140" t="n">
        <v>-0.25</v>
      </c>
      <c r="AB8" s="74" t="inlineStr">
        <is>
          <t>abaixo do mínimo</t>
        </is>
      </c>
      <c r="AC8" s="74" t="inlineStr">
        <is>
          <t>Financeiro</t>
        </is>
      </c>
      <c r="AD8" s="74" t="inlineStr">
        <is>
          <t>Multicarteira Financeiro</t>
        </is>
      </c>
      <c r="AE8" s="74" t="inlineStr">
        <is>
          <t>Financeiro</t>
        </is>
      </c>
      <c r="AF8" s="74" t="inlineStr">
        <is>
          <t>Financeiro</t>
        </is>
      </c>
      <c r="AG8" s="74" t="inlineStr">
        <is>
          <t>Financeiro</t>
        </is>
      </c>
      <c r="AH8" s="74" t="inlineStr">
        <is>
          <t>Agro / Revenda</t>
        </is>
      </c>
      <c r="AI8" s="74" t="inlineStr">
        <is>
          <t>Máquinas e implementos agrícolas, vendas e serviços performados</t>
        </is>
      </c>
      <c r="AJ8" s="74" t="b">
        <v>1</v>
      </c>
      <c r="AK8" s="74" t="inlineStr">
        <is>
          <t>APLICAR_ALTA</t>
        </is>
      </c>
      <c r="AL8" s="74" t="inlineStr">
        <is>
          <t>Maqcampo cede vendas e serviços a clientes da cadeia agro</t>
        </is>
      </c>
      <c r="AM8" s="74" t="inlineStr">
        <is>
          <t>regulamento 994391, 106 páginas</t>
        </is>
      </c>
      <c r="AN8" s="74" t="inlineStr">
        <is>
          <t>Não</t>
        </is>
      </c>
      <c r="AO8" s="74" t="inlineStr">
        <is>
          <t>regulamento 994391, 106 páginas</t>
        </is>
      </c>
      <c r="AP8" s="74" t="b">
        <v>0</v>
      </c>
      <c r="AQ8" s="74" t="inlineStr">
        <is>
          <t>Agro / Revenda</t>
        </is>
      </c>
      <c r="AR8" s="74" t="inlineStr">
        <is>
          <t>Financeiro</t>
        </is>
      </c>
      <c r="AS8" s="74" t="b">
        <v>1</v>
      </c>
      <c r="AT8" s="74" t="inlineStr">
        <is>
          <t>regulamento 994391, 106 páginas</t>
        </is>
      </c>
      <c r="AU8" s="74" t="inlineStr">
        <is>
          <t>Maqcampo cede vendas e serviços a clientes da cadeia agro</t>
        </is>
      </c>
      <c r="AV8" s="74" t="inlineStr">
        <is>
          <t>&lt; 10%</t>
        </is>
      </c>
      <c r="AW8" s="74" t="b">
        <v>1</v>
      </c>
      <c r="AX8" s="74" t="inlineStr">
        <is>
          <t>abaixo do piso</t>
        </is>
      </c>
      <c r="AY8" s="74" t="inlineStr">
        <is>
          <t>abaixo do mercado</t>
        </is>
      </c>
      <c r="AZ8" s="140" t="n">
        <v>-0.3061937806964842</v>
      </c>
      <c r="BA8" s="74" t="b">
        <v>1</v>
      </c>
      <c r="BB8" s="141" t="n">
        <v>12</v>
      </c>
      <c r="BC8" s="139" t="n">
        <v>1000</v>
      </c>
      <c r="BD8" s="74" t="inlineStr">
        <is>
          <t>Cotas Subordinadas: R$1.000,00 | Cotas Subordinadas Júnior: R$1.000,00 | R$1.000,00</t>
        </is>
      </c>
      <c r="BE8" s="74" t="inlineStr">
        <is>
          <t>preço/valor unitário de emissão</t>
        </is>
      </c>
      <c r="BF8" s="74" t="inlineStr">
        <is>
          <t>Cotas Subordinadas | Cotas Subordinadas Júnior</t>
        </is>
      </c>
      <c r="BG8" s="74" t="inlineStr">
        <is>
          <t>14/10/2025</t>
        </is>
      </c>
      <c r="BH8" s="74" t="inlineStr">
        <is>
          <t>1049185</t>
        </is>
      </c>
      <c r="BI8" s="74" t="inlineStr">
        <is>
          <t>https://fnet.bmfbovespa.com.br/fnet/publico/downloadDocumento?id=1049185</t>
        </is>
      </c>
      <c r="BJ8" s="74" t="inlineStr">
        <is>
          <t>localizado documentalmente — múltiplos valores/classes</t>
        </is>
      </c>
      <c r="BK8" s="74" t="b">
        <v>1</v>
      </c>
      <c r="BL8" s="74" t="inlineStr">
        <is>
          <t>Maqcampo</t>
        </is>
      </c>
      <c r="BM8" s="74" t="inlineStr">
        <is>
          <t>cedente</t>
        </is>
      </c>
      <c r="BN8" s="74" t="inlineStr">
        <is>
          <t>N/D</t>
        </is>
      </c>
      <c r="BO8" s="74" t="inlineStr">
        <is>
          <t>a MAQCAMPO SOLUÇÕES AGRÍCOLAS S.A. , sociedade por ações, com sede na cidade de Brasília, Distrito Federal, no Docusign Envelope ID: 5A498997-5E9C-4FDB-AAA6-D7EDA05D2564</t>
        </is>
      </c>
      <c r="BP8" s="74" t="inlineStr">
        <is>
          <t>qualquer cliente da Cedente cujos Direitos Creditórios venham a ser cedidos ao Fundo, observadas as características e condições descritas neste Anexo Descritivo</t>
        </is>
      </c>
      <c r="BQ8" s="74" t="inlineStr">
        <is>
          <t>os direitos creditórios performados originados da venda a prazo de Bens, assim como da prestação dos Serviços pela Cedente, representados pelos Documentos Comprobatórios, conforme o caso, detidas pela Cedente contra os Devedores</t>
        </is>
      </c>
      <c r="BR8" s="74" t="inlineStr">
        <is>
          <t>cedente: https://fnet.bmfbovespa.com.br/fnet/publico/downloadDocumento?id=1049185 | sacado_devedor: https://fnet.bmfbovespa.com.br/fnet/publico/downloadDocumento?id=1049185 | tipo_recebivel: https://fnet.bmfbovespa.com.br/fnet/publico/downloadDocumento?id=994391</t>
        </is>
      </c>
      <c r="BS8" s="74" t="inlineStr">
        <is>
          <t>manual_aplicado</t>
        </is>
      </c>
      <c r="BT8" s="74" t="inlineStr">
        <is>
          <t>OBS da foto: atrasos elevados; em discussão de possível solução de parcela dos vencidos.</t>
        </is>
      </c>
      <c r="BU8" s="74" t="inlineStr">
        <is>
          <t>1049185</t>
        </is>
      </c>
      <c r="BV8" s="74" t="inlineStr">
        <is>
          <t>2025-10-14</t>
        </is>
      </c>
      <c r="BW8" s="74" t="inlineStr">
        <is>
          <t>72</t>
        </is>
      </c>
      <c r="BX8" s="74" t="inlineStr">
        <is>
          <t>revisto — suporte estrutural total localizado</t>
        </is>
      </c>
      <c r="BY8" s="74" t="inlineStr">
        <is>
          <t>FundosNet/B3; documento 1049185; referência 2025-10-14; p. 72</t>
        </is>
      </c>
      <c r="BZ8" s="74" t="inlineStr">
        <is>
          <t>N/D</t>
        </is>
      </c>
      <c r="CA8" s="74" t="inlineStr">
        <is>
          <t>originador</t>
        </is>
      </c>
      <c r="CB8" s="74" t="inlineStr">
        <is>
          <t>completo_para_folga</t>
        </is>
      </c>
    </row>
    <row r="9" ht="31.5" customHeight="1">
      <c r="A9" s="75" t="n">
        <v>5</v>
      </c>
      <c r="B9" s="142" t="n">
        <v>52100879000147</v>
      </c>
      <c r="C9" s="75" t="inlineStr">
        <is>
          <t>52.100.879/0001-47</t>
        </is>
      </c>
      <c r="D9" s="75" t="inlineStr">
        <is>
          <t>SOTREQ FUNDO DE INVESTIMENTO EM DIREITOS CREDITÓRIOS - RESPONSABILIDADE LIMITADA</t>
        </is>
      </c>
      <c r="E9" s="75" t="inlineStr">
        <is>
          <t>SOTREQ FUNDO DE INVESTIMENTO EM DIREITOS CREDITORIOS</t>
        </is>
      </c>
      <c r="F9" s="75" t="inlineStr">
        <is>
          <t>Carteira 101</t>
        </is>
      </c>
      <c r="G9" s="75" t="inlineStr">
        <is>
          <t>2026-08</t>
        </is>
      </c>
      <c r="H9" s="75" t="inlineStr">
        <is>
          <t>localizado</t>
        </is>
      </c>
      <c r="I9" s="143" t="n">
        <v>214704733.67</v>
      </c>
      <c r="J9" s="143" t="n">
        <v>214087001.1704569</v>
      </c>
      <c r="K9" s="143" t="n">
        <v>53092077.31795698</v>
      </c>
      <c r="L9" s="144" t="n">
        <v>0.2472794912829412</v>
      </c>
      <c r="M9" s="75" t="inlineStr">
        <is>
          <t>Calculado com classes reportadas e PL oficial reconciliado</t>
        </is>
      </c>
      <c r="N9" s="144" t="inlineStr">
        <is>
          <t>N/D</t>
        </is>
      </c>
      <c r="O9" s="144" t="inlineStr">
        <is>
          <t>N/D</t>
        </is>
      </c>
      <c r="P9" s="144" t="inlineStr">
        <is>
          <t>N/D</t>
        </is>
      </c>
      <c r="Q9" s="144" t="n">
        <v>0.25</v>
      </c>
      <c r="R9" s="144" t="inlineStr">
        <is>
          <t>N/D</t>
        </is>
      </c>
      <c r="S9" s="144" t="n">
        <v>0.25</v>
      </c>
      <c r="T9" s="75" t="inlineStr">
        <is>
          <t>25,0%*</t>
        </is>
      </c>
      <c r="U9" s="75" t="inlineStr">
        <is>
          <t>suporte_total_pl</t>
        </is>
      </c>
      <c r="V9" s="75" t="inlineStr">
        <is>
          <t>direto no regulamento</t>
        </is>
      </c>
      <c r="W9" s="75" t="b">
        <v>1</v>
      </c>
      <c r="X9" s="75" t="inlineStr">
        <is>
          <t>Suporte total ou combinado; não representa mínimo júnior isolado.</t>
        </is>
      </c>
      <c r="Y9" s="75" t="b">
        <v>1</v>
      </c>
      <c r="Z9" s="144" t="n">
        <v>-0.002720508717058756</v>
      </c>
      <c r="AA9" s="144" t="n">
        <v>-0.003627344956078341</v>
      </c>
      <c r="AB9" s="75" t="inlineStr">
        <is>
          <t>abaixo do mínimo</t>
        </is>
      </c>
      <c r="AC9" s="75" t="inlineStr">
        <is>
          <t>Financeiro</t>
        </is>
      </c>
      <c r="AD9" s="75" t="inlineStr">
        <is>
          <t>Multicarteira Financeiro</t>
        </is>
      </c>
      <c r="AE9" s="75" t="inlineStr">
        <is>
          <t>Financeiro</t>
        </is>
      </c>
      <c r="AF9" s="75" t="inlineStr">
        <is>
          <t>Financeiro</t>
        </is>
      </c>
      <c r="AG9" s="75" t="inlineStr">
        <is>
          <t>Financeiro</t>
        </is>
      </c>
      <c r="AH9" s="75" t="inlineStr">
        <is>
          <t>Risco Corporativo</t>
        </is>
      </c>
      <c r="AI9" s="75" t="inlineStr">
        <is>
          <t>Equipamentos e serviços, recebíveis comerciais pulverizados</t>
        </is>
      </c>
      <c r="AJ9" s="75" t="b">
        <v>1</v>
      </c>
      <c r="AK9" s="75" t="inlineStr">
        <is>
          <t>APLICAR_ALTA</t>
        </is>
      </c>
      <c r="AL9" s="75" t="inlineStr">
        <is>
          <t>Sotreq e Somov cedem vendas e serviços a clientes empresariais</t>
        </is>
      </c>
      <c r="AM9" s="75" t="inlineStr">
        <is>
          <t>regulamento 1117315, 244 páginas</t>
        </is>
      </c>
      <c r="AN9" s="75" t="inlineStr">
        <is>
          <t>Candidato</t>
        </is>
      </c>
      <c r="AO9" s="75" t="inlineStr">
        <is>
          <t>regulamento 1117315, 244 páginas</t>
        </is>
      </c>
      <c r="AP9" s="75" t="inlineStr">
        <is>
          <t>N/D</t>
        </is>
      </c>
      <c r="AQ9" s="75" t="inlineStr">
        <is>
          <t>Risco Corporativo</t>
        </is>
      </c>
      <c r="AR9" s="75" t="inlineStr">
        <is>
          <t>Financeiro</t>
        </is>
      </c>
      <c r="AS9" s="75" t="b">
        <v>1</v>
      </c>
      <c r="AT9" s="75" t="inlineStr">
        <is>
          <t>regulamento 1117315, 244 páginas</t>
        </is>
      </c>
      <c r="AU9" s="75" t="inlineStr">
        <is>
          <t>Sotreq e Somov cedem vendas e serviços a clientes empresariais</t>
        </is>
      </c>
      <c r="AV9" s="75" t="inlineStr">
        <is>
          <t>20%–35%</t>
        </is>
      </c>
      <c r="AW9" s="75" t="b">
        <v>1</v>
      </c>
      <c r="AX9" s="75" t="inlineStr">
        <is>
          <t>abaixo do piso</t>
        </is>
      </c>
      <c r="AY9" s="75" t="inlineStr">
        <is>
          <t>abaixo do mercado</t>
        </is>
      </c>
      <c r="AZ9" s="144" t="n">
        <v>-0.05891428941354293</v>
      </c>
      <c r="BA9" s="75" t="b">
        <v>1</v>
      </c>
      <c r="BB9" s="145" t="n">
        <v>12</v>
      </c>
      <c r="BC9" s="143" t="n">
        <v>1000</v>
      </c>
      <c r="BD9" s="75" t="inlineStr">
        <is>
          <t>Cotas Subordinadas: R$1.000,00 | Cotas Subordinadas Júnior: R$1.000,00</t>
        </is>
      </c>
      <c r="BE9" s="75" t="inlineStr">
        <is>
          <t>preço/valor unitário de emissão</t>
        </is>
      </c>
      <c r="BF9" s="75" t="inlineStr">
        <is>
          <t>Cotas Subordinadas | Cotas Subordinadas Júnior</t>
        </is>
      </c>
      <c r="BG9" s="75" t="inlineStr">
        <is>
          <t>17/09/2024</t>
        </is>
      </c>
      <c r="BH9" s="75" t="inlineStr">
        <is>
          <t>740367</t>
        </is>
      </c>
      <c r="BI9" s="75" t="inlineStr">
        <is>
          <t>https://fnet.bmfbovespa.com.br/fnet/publico/downloadDocumento?id=740367</t>
        </is>
      </c>
      <c r="BJ9" s="75" t="inlineStr">
        <is>
          <t>localizado documentalmente — múltiplos valores/classes</t>
        </is>
      </c>
      <c r="BK9" s="75" t="b">
        <v>1</v>
      </c>
      <c r="BL9" s="75" t="inlineStr">
        <is>
          <t>Sotreq</t>
        </is>
      </c>
      <c r="BM9" s="75" t="inlineStr">
        <is>
          <t>cedente</t>
        </is>
      </c>
      <c r="BN9" s="75" t="inlineStr">
        <is>
          <t>N/D</t>
        </is>
      </c>
      <c r="BO9" s="75" t="inlineStr">
        <is>
          <t>a Sotreq e a Somov, na qualidade de cedentes de Direitos Creditórios, por meio de sua matriz ou de suas filiais. - 9 -</t>
        </is>
      </c>
      <c r="BP9" s="75" t="inlineStr">
        <is>
          <t>N/D</t>
        </is>
      </c>
      <c r="BQ9" s="75" t="inlineStr">
        <is>
          <t>N/D</t>
        </is>
      </c>
      <c r="BR9" s="75" t="inlineStr">
        <is>
          <t>cedente: https://fnet.bmfbovespa.com.br/fnet/publico/downloadDocumento?id=740367</t>
        </is>
      </c>
      <c r="BS9" s="75" t="inlineStr">
        <is>
          <t>manual_aplicado</t>
        </is>
      </c>
      <c r="BT9" s="75" t="inlineStr">
        <is>
          <t>Denominação cortada pela largura da coluna na foto.</t>
        </is>
      </c>
      <c r="BU9" s="75" t="inlineStr">
        <is>
          <t>1117315</t>
        </is>
      </c>
      <c r="BV9" s="75" t="inlineStr">
        <is>
          <t>2026-02-06</t>
        </is>
      </c>
      <c r="BW9" s="75" t="inlineStr">
        <is>
          <t>49</t>
        </is>
      </c>
      <c r="BX9" s="75" t="inlineStr">
        <is>
          <t>revisto — suporte estrutural total localizado</t>
        </is>
      </c>
      <c r="BY9" s="75" t="inlineStr">
        <is>
          <t>FundosNet/B3; documento 1117315; referência 2026-02-06; p. 49</t>
        </is>
      </c>
      <c r="BZ9" s="75" t="inlineStr">
        <is>
          <t>N/D</t>
        </is>
      </c>
      <c r="CA9" s="75" t="inlineStr">
        <is>
          <t>originador; sacado/devedor; tipo de recebível</t>
        </is>
      </c>
      <c r="CB9" s="75" t="inlineStr">
        <is>
          <t>completo_para_folga</t>
        </is>
      </c>
    </row>
    <row r="10" ht="31.5" customHeight="1">
      <c r="A10" s="74" t="n">
        <v>6</v>
      </c>
      <c r="B10" s="138" t="n">
        <v>53662209000187</v>
      </c>
      <c r="C10" s="74" t="inlineStr">
        <is>
          <t>53.662.209/0001-87</t>
        </is>
      </c>
      <c r="D10" s="74" t="inlineStr">
        <is>
          <t>PNEUCASH FUNDO DE INVESTIMENTO EM DIREITOS CREDITÓRIOS DE CLASSE ÚNICA FECHADA - RESP LTDA</t>
        </is>
      </c>
      <c r="E10" s="74" t="inlineStr">
        <is>
          <t>PNEUCASH FUNDO DE INVESTIMENTO EM DIREITOS CREDITORIOS</t>
        </is>
      </c>
      <c r="F10" s="74" t="inlineStr">
        <is>
          <t>Carteira 101</t>
        </is>
      </c>
      <c r="G10" s="74" t="inlineStr">
        <is>
          <t>2026-08</t>
        </is>
      </c>
      <c r="H10" s="74" t="inlineStr">
        <is>
          <t>localizado</t>
        </is>
      </c>
      <c r="I10" s="139" t="n">
        <v>243523109.81</v>
      </c>
      <c r="J10" s="139" t="n">
        <v>223229399.6670629</v>
      </c>
      <c r="K10" s="139" t="n">
        <v>65236619.2683814</v>
      </c>
      <c r="L10" s="140" t="inlineStr">
        <is>
          <t>N/D</t>
        </is>
      </c>
      <c r="M10" s="74" t="inlineStr">
        <is>
          <t>N/D — PL oficial diverge das classes acima de 0,5%</t>
        </is>
      </c>
      <c r="N10" s="140" t="inlineStr">
        <is>
          <t>N/D</t>
        </is>
      </c>
      <c r="O10" s="140" t="inlineStr">
        <is>
          <t>N/D</t>
        </is>
      </c>
      <c r="P10" s="140" t="inlineStr">
        <is>
          <t>N/D</t>
        </is>
      </c>
      <c r="Q10" s="140" t="n">
        <v>0.2</v>
      </c>
      <c r="R10" s="140" t="inlineStr">
        <is>
          <t>N/D</t>
        </is>
      </c>
      <c r="S10" s="140" t="n">
        <v>0.2</v>
      </c>
      <c r="T10" s="74" t="inlineStr">
        <is>
          <t>20,0%*</t>
        </is>
      </c>
      <c r="U10" s="74" t="inlineStr">
        <is>
          <t>suporte_total_pl</t>
        </is>
      </c>
      <c r="V10" s="74" t="inlineStr">
        <is>
          <t>direto no regulamento</t>
        </is>
      </c>
      <c r="W10" s="74" t="b">
        <v>1</v>
      </c>
      <c r="X10" s="74" t="inlineStr">
        <is>
          <t>Suporte total ou combinado; não representa mínimo júnior isolado.</t>
        </is>
      </c>
      <c r="Y10" s="74" t="b">
        <v>1</v>
      </c>
      <c r="Z10" s="140" t="inlineStr">
        <is>
          <t>N/D</t>
        </is>
      </c>
      <c r="AA10" s="140" t="inlineStr">
        <is>
          <t>N/D</t>
        </is>
      </c>
      <c r="AB10" s="74" t="inlineStr">
        <is>
          <t>não medido</t>
        </is>
      </c>
      <c r="AC10" s="74" t="inlineStr">
        <is>
          <t>Fomento Mercantil</t>
        </is>
      </c>
      <c r="AD10" s="74" t="inlineStr">
        <is>
          <t>Fomento Mercantil</t>
        </is>
      </c>
      <c r="AE10" s="74" t="inlineStr">
        <is>
          <t>Factoring</t>
        </is>
      </c>
      <c r="AF10" s="74" t="inlineStr">
        <is>
          <t>Factoring</t>
        </is>
      </c>
      <c r="AG10" s="74" t="inlineStr">
        <is>
          <t>Factoring</t>
        </is>
      </c>
      <c r="AH10" s="74" t="inlineStr">
        <is>
          <t>Factoring</t>
        </is>
      </c>
      <c r="AI10" s="74" t="inlineStr">
        <is>
          <t>N/D</t>
        </is>
      </c>
      <c r="AJ10" s="74" t="b">
        <v>0</v>
      </c>
      <c r="AK10" s="74" t="inlineStr">
        <is>
          <t>fora da revisão Financeiro/Agro</t>
        </is>
      </c>
      <c r="AL10" s="74" t="inlineStr">
        <is>
          <t>N/D</t>
        </is>
      </c>
      <c r="AM10" s="74" t="inlineStr">
        <is>
          <t>N/D</t>
        </is>
      </c>
      <c r="AN10" s="74" t="inlineStr">
        <is>
          <t>N/D</t>
        </is>
      </c>
      <c r="AO10" s="74" t="inlineStr">
        <is>
          <t>N/D</t>
        </is>
      </c>
      <c r="AP10" s="74" t="inlineStr">
        <is>
          <t>N/D</t>
        </is>
      </c>
      <c r="AQ10" s="74" t="inlineStr">
        <is>
          <t>Factoring</t>
        </is>
      </c>
      <c r="AR10" s="74" t="inlineStr">
        <is>
          <t>Factoring</t>
        </is>
      </c>
      <c r="AS10" s="74" t="b">
        <v>0</v>
      </c>
      <c r="AT10" s="74" t="inlineStr">
        <is>
          <t>N/D</t>
        </is>
      </c>
      <c r="AU10" s="74" t="inlineStr">
        <is>
          <t>N/D</t>
        </is>
      </c>
      <c r="AV10" s="74" t="inlineStr">
        <is>
          <t>N/D</t>
        </is>
      </c>
      <c r="AW10" s="74" t="b">
        <v>0</v>
      </c>
      <c r="AX10" s="74" t="inlineStr">
        <is>
          <t>N/D</t>
        </is>
      </c>
      <c r="AY10" s="74" t="inlineStr">
        <is>
          <t>sem benchmark confiável</t>
        </is>
      </c>
      <c r="AZ10" s="140" t="inlineStr">
        <is>
          <t>N/D</t>
        </is>
      </c>
      <c r="BA10" s="74" t="b">
        <v>0</v>
      </c>
      <c r="BB10" s="141" t="n">
        <v>2</v>
      </c>
      <c r="BC10" s="139" t="n">
        <v>1000</v>
      </c>
      <c r="BD10" s="74" t="inlineStr">
        <is>
          <t>Cotas Subordinadas Junior: R$ 1.000,00 | Cotas Subordinadas Mezanino: R$ 1.000,00 | Série Cotas Seniores: R$ 1.000,00</t>
        </is>
      </c>
      <c r="BE10" s="74" t="inlineStr">
        <is>
          <t>preço/valor unitário de emissão</t>
        </is>
      </c>
      <c r="BF10" s="74" t="inlineStr">
        <is>
          <t>Cotas Subordinadas Junior | Cotas Subordinadas Mezanino | Série Cotas Seniores</t>
        </is>
      </c>
      <c r="BG10" s="74" t="inlineStr">
        <is>
          <t>30/06/2026</t>
        </is>
      </c>
      <c r="BH10" s="74" t="inlineStr">
        <is>
          <t>1239751</t>
        </is>
      </c>
      <c r="BI10" s="74" t="inlineStr">
        <is>
          <t>https://fnet.bmfbovespa.com.br/fnet/publico/downloadDocumento?id=1239751</t>
        </is>
      </c>
      <c r="BJ10" s="74" t="inlineStr">
        <is>
          <t>localizado documentalmente — múltiplos valores/classes</t>
        </is>
      </c>
      <c r="BK10" s="74" t="b">
        <v>1</v>
      </c>
      <c r="BL10" s="74" t="inlineStr">
        <is>
          <t>Cantu Store</t>
        </is>
      </c>
      <c r="BM10" s="74" t="inlineStr">
        <is>
          <t>cedente</t>
        </is>
      </c>
      <c r="BN10" s="74" t="inlineStr">
        <is>
          <t>N/D</t>
        </is>
      </c>
      <c r="BO10" s="74" t="inlineStr">
        <is>
          <t>Cantu Store</t>
        </is>
      </c>
      <c r="BP10" s="74" t="inlineStr">
        <is>
          <t>os devedores (sacados), pessoas físicas ou jurídicas, que tenham estabelecido relação de consumo dos Direitos Creditórios com as Cedentes</t>
        </is>
      </c>
      <c r="BQ10" s="74" t="inlineStr">
        <is>
          <t>N/D</t>
        </is>
      </c>
      <c r="BR10" s="74" t="inlineStr">
        <is>
          <t>cedente: IMG_8704.JPG | sacado_devedor: https://fnet.bmfbovespa.com.br/fnet/publico/downloadDocumento?id=1239751</t>
        </is>
      </c>
      <c r="BS10" s="74" t="inlineStr">
        <is>
          <t>manual_aplicado</t>
        </is>
      </c>
      <c r="BT10" s="74" t="inlineStr">
        <is>
          <t>OBS da foto: FIDC pulverizado com 20% de subordinação e baixa inadimplência.</t>
        </is>
      </c>
      <c r="BU10" s="74" t="inlineStr">
        <is>
          <t>1239751</t>
        </is>
      </c>
      <c r="BV10" s="74" t="inlineStr">
        <is>
          <t>2026-06-30</t>
        </is>
      </c>
      <c r="BW10" s="74" t="inlineStr">
        <is>
          <t>49</t>
        </is>
      </c>
      <c r="BX10" s="74" t="inlineStr">
        <is>
          <t>revisto — suporte estrutural total localizado</t>
        </is>
      </c>
      <c r="BY10" s="74" t="inlineStr">
        <is>
          <t>FundosNet/B3; documento 1239751; referência 2026-06-30; p. 49</t>
        </is>
      </c>
      <c r="BZ10" s="74" t="inlineStr">
        <is>
          <t>N/D</t>
        </is>
      </c>
      <c r="CA10" s="74" t="inlineStr">
        <is>
          <t>Sub/PL atual; originador; tipo de recebível</t>
        </is>
      </c>
      <c r="CB10" s="74" t="inlineStr">
        <is>
          <t>sub_pl_atual_ausente</t>
        </is>
      </c>
    </row>
    <row r="11" ht="31.5" customHeight="1">
      <c r="A11" s="75" t="n">
        <v>7</v>
      </c>
      <c r="B11" s="142" t="n">
        <v>53577135000180</v>
      </c>
      <c r="C11" s="75" t="inlineStr">
        <is>
          <t>53.577.135/0001-80</t>
        </is>
      </c>
      <c r="D11" s="75" t="inlineStr">
        <is>
          <t>ANGÁ FGTS II FUNDO DE INVESTIMENTO EM DIREITOS CREDITÓRIOS - RESPONSABILIDADE LIMITADA</t>
        </is>
      </c>
      <c r="E11" s="75" t="inlineStr">
        <is>
          <t>ANGA FGTS II FUNDO DE INVESTIMENTO EM DIREITOS CR</t>
        </is>
      </c>
      <c r="F11" s="75" t="inlineStr">
        <is>
          <t>Carteira 101</t>
        </is>
      </c>
      <c r="G11" s="75" t="inlineStr">
        <is>
          <t>2026-08</t>
        </is>
      </c>
      <c r="H11" s="75" t="inlineStr">
        <is>
          <t>localizado</t>
        </is>
      </c>
      <c r="I11" s="143" t="n">
        <v>236600544.72</v>
      </c>
      <c r="J11" s="143" t="n">
        <v>236600544.7212134</v>
      </c>
      <c r="K11" s="143" t="n">
        <v>56750307.62844241</v>
      </c>
      <c r="L11" s="144" t="n">
        <v>0.2398570455347107</v>
      </c>
      <c r="M11" s="75" t="inlineStr">
        <is>
          <t>Calculado com classes reportadas e PL oficial reconciliado</t>
        </is>
      </c>
      <c r="N11" s="144" t="n">
        <v>0.15</v>
      </c>
      <c r="O11" s="144" t="inlineStr">
        <is>
          <t>N/D</t>
        </is>
      </c>
      <c r="P11" s="144" t="inlineStr">
        <is>
          <t>N/D</t>
        </is>
      </c>
      <c r="Q11" s="144" t="inlineStr">
        <is>
          <t>N/D</t>
        </is>
      </c>
      <c r="R11" s="144" t="inlineStr">
        <is>
          <t>N/D</t>
        </is>
      </c>
      <c r="S11" s="144" t="n">
        <v>0.15</v>
      </c>
      <c r="T11" s="75" t="inlineStr">
        <is>
          <t>N/D</t>
        </is>
      </c>
      <c r="U11" s="75" t="inlineStr">
        <is>
          <t>junior_pl</t>
        </is>
      </c>
      <c r="V11" s="75" t="inlineStr">
        <is>
          <t>direto no regulamento</t>
        </is>
      </c>
      <c r="W11" s="75" t="b">
        <v>0</v>
      </c>
      <c r="X11" s="75" t="inlineStr">
        <is>
          <t>Mínimo júnior isolado; a subordinação atual disponível agrega todas as classes subordinadas.</t>
        </is>
      </c>
      <c r="Y11" s="75" t="b">
        <v>0</v>
      </c>
      <c r="Z11" s="144" t="inlineStr">
        <is>
          <t>N/D</t>
        </is>
      </c>
      <c r="AA11" s="144" t="inlineStr">
        <is>
          <t>N/D</t>
        </is>
      </c>
      <c r="AB11" s="75" t="inlineStr">
        <is>
          <t>não medido</t>
        </is>
      </c>
      <c r="AC11" s="75" t="inlineStr">
        <is>
          <t>Financeiro</t>
        </is>
      </c>
      <c r="AD11" s="75" t="inlineStr">
        <is>
          <t>Crédito Pessoal</t>
        </is>
      </c>
      <c r="AE11" s="75" t="inlineStr">
        <is>
          <t>Consignado FGTS</t>
        </is>
      </c>
      <c r="AF11" s="75" t="inlineStr">
        <is>
          <t>Consignado FGTS</t>
        </is>
      </c>
      <c r="AG11" s="75" t="inlineStr">
        <is>
          <t>Consignado INSS e FGTS</t>
        </is>
      </c>
      <c r="AH11" s="75" t="inlineStr">
        <is>
          <t>Consignado INSS e FGTS</t>
        </is>
      </c>
      <c r="AI11" s="75" t="inlineStr">
        <is>
          <t>N/D</t>
        </is>
      </c>
      <c r="AJ11" s="75" t="b">
        <v>0</v>
      </c>
      <c r="AK11" s="75" t="inlineStr">
        <is>
          <t>fora da revisão Financeiro/Agro</t>
        </is>
      </c>
      <c r="AL11" s="75" t="inlineStr">
        <is>
          <t>N/D</t>
        </is>
      </c>
      <c r="AM11" s="75" t="inlineStr">
        <is>
          <t>N/D</t>
        </is>
      </c>
      <c r="AN11" s="75" t="inlineStr">
        <is>
          <t>N/D</t>
        </is>
      </c>
      <c r="AO11" s="75" t="inlineStr">
        <is>
          <t>N/D</t>
        </is>
      </c>
      <c r="AP11" s="75" t="inlineStr">
        <is>
          <t>N/D</t>
        </is>
      </c>
      <c r="AQ11" s="75" t="inlineStr">
        <is>
          <t>Consignado INSS e FGTS</t>
        </is>
      </c>
      <c r="AR11" s="75" t="inlineStr">
        <is>
          <t>Consignado INSS e FGTS</t>
        </is>
      </c>
      <c r="AS11" s="75" t="b">
        <v>0</v>
      </c>
      <c r="AT11" s="75" t="inlineStr">
        <is>
          <t>N/D</t>
        </is>
      </c>
      <c r="AU11" s="75" t="inlineStr">
        <is>
          <t>N/D</t>
        </is>
      </c>
      <c r="AV11" s="75" t="inlineStr">
        <is>
          <t>20%–35%</t>
        </is>
      </c>
      <c r="AW11" s="75" t="b">
        <v>1</v>
      </c>
      <c r="AX11" s="75" t="inlineStr">
        <is>
          <t>incomparável</t>
        </is>
      </c>
      <c r="AY11" s="75" t="inlineStr">
        <is>
          <t>acima do mercado</t>
        </is>
      </c>
      <c r="AZ11" s="144" t="n">
        <v>0.0570776043752203</v>
      </c>
      <c r="BA11" s="75" t="b">
        <v>1</v>
      </c>
      <c r="BB11" s="145" t="n">
        <v>5</v>
      </c>
      <c r="BC11" s="143" t="n">
        <v>1000</v>
      </c>
      <c r="BD11" s="75" t="inlineStr">
        <is>
          <t>Cotas Seniores: R$ 1.000,00 | Cotas Subordinadas Junior: R$ 1.000,00 | Cotas Subordinadas Mezanino: R$ 1.000,00</t>
        </is>
      </c>
      <c r="BE11" s="75" t="inlineStr">
        <is>
          <t>preço/valor unitário de emissão</t>
        </is>
      </c>
      <c r="BF11" s="75" t="inlineStr">
        <is>
          <t>Cotas Seniores | Cotas Subordinadas Junior | Cotas Subordinadas Mezanino</t>
        </is>
      </c>
      <c r="BG11" s="75" t="inlineStr">
        <is>
          <t>18/06/2026</t>
        </is>
      </c>
      <c r="BH11" s="75" t="inlineStr">
        <is>
          <t>1224059</t>
        </is>
      </c>
      <c r="BI11" s="75" t="inlineStr">
        <is>
          <t>https://fnet.bmfbovespa.com.br/fnet/publico/downloadDocumento?id=1224059</t>
        </is>
      </c>
      <c r="BJ11" s="75" t="inlineStr">
        <is>
          <t>localizado documentalmente — múltiplos valores/classes</t>
        </is>
      </c>
      <c r="BK11" s="75" t="b">
        <v>1</v>
      </c>
      <c r="BL11" s="75" t="inlineStr">
        <is>
          <t>QI Tech</t>
        </is>
      </c>
      <c r="BM11" s="75" t="inlineStr">
        <is>
          <t>cedente</t>
        </is>
      </c>
      <c r="BN11" s="75" t="inlineStr">
        <is>
          <t>N/D</t>
        </is>
      </c>
      <c r="BO11" s="75" t="inlineStr">
        <is>
          <t>QI Tech</t>
        </is>
      </c>
      <c r="BP11" s="75" t="inlineStr">
        <is>
          <t>N/D</t>
        </is>
      </c>
      <c r="BQ11" s="75" t="inlineStr">
        <is>
          <t>Crédito FGTS</t>
        </is>
      </c>
      <c r="BR11" s="75" t="inlineStr">
        <is>
          <t>cedente: IMG_8704.JPG | tipo_recebivel: IMG_8704.JPG</t>
        </is>
      </c>
      <c r="BS11" s="75" t="inlineStr">
        <is>
          <t>manual_aplicado</t>
        </is>
      </c>
      <c r="BT11" s="75" t="inlineStr">
        <is>
          <t>Denominação cortada pela largura da coluna na foto.</t>
        </is>
      </c>
      <c r="BU11" s="75" t="inlineStr">
        <is>
          <t>1224059</t>
        </is>
      </c>
      <c r="BV11" s="75" t="inlineStr">
        <is>
          <t>2026-06-18</t>
        </is>
      </c>
      <c r="BW11" s="75" t="inlineStr">
        <is>
          <t>17</t>
        </is>
      </c>
      <c r="BX11" s="75" t="inlineStr">
        <is>
          <t>revisto — mínimo júnior localizado</t>
        </is>
      </c>
      <c r="BY11" s="75" t="inlineStr">
        <is>
          <t>FundosNet/B3; documento 1224059; referência 2026-06-18; p. 17</t>
        </is>
      </c>
      <c r="BZ11" s="75" t="inlineStr">
        <is>
          <t>Índice de Subordinação Mezanino: cotas júnior / PL, mínimo de 15,0%.</t>
        </is>
      </c>
      <c r="CA11" s="75" t="inlineStr">
        <is>
          <t>originador; sacado/devedor</t>
        </is>
      </c>
      <c r="CB11" s="75" t="inlineStr">
        <is>
          <t>estrutura_incomparavel</t>
        </is>
      </c>
    </row>
    <row r="12" ht="31.5" customHeight="1">
      <c r="A12" s="74" t="n">
        <v>8</v>
      </c>
      <c r="B12" s="138" t="n">
        <v>62626887000185</v>
      </c>
      <c r="C12" s="74" t="inlineStr">
        <is>
          <t>62.626.887/0001-85</t>
        </is>
      </c>
      <c r="D12" s="74" t="inlineStr">
        <is>
          <t>SUMUP SMART IV FIDC SEGMENTO MEIOS DE PAGAMENTO DE RESPONSABILIDADE LIMITADA</t>
        </is>
      </c>
      <c r="E12" s="74" t="inlineStr">
        <is>
          <t>TOP 2025 C FIDC RESP LTDA</t>
        </is>
      </c>
      <c r="F12" s="74" t="inlineStr">
        <is>
          <t>Carteira 101</t>
        </is>
      </c>
      <c r="G12" s="74" t="inlineStr">
        <is>
          <t>2026-08</t>
        </is>
      </c>
      <c r="H12" s="74" t="inlineStr">
        <is>
          <t>localizado</t>
        </is>
      </c>
      <c r="I12" s="139" t="n">
        <v>358462032.54</v>
      </c>
      <c r="J12" s="139" t="n">
        <v>358462032.547115</v>
      </c>
      <c r="K12" s="139" t="n">
        <v>15864230.86962</v>
      </c>
      <c r="L12" s="140" t="n">
        <v>0.04425637704838306</v>
      </c>
      <c r="M12" s="74" t="inlineStr">
        <is>
          <t>Calculado com classes reportadas e PL oficial reconciliado</t>
        </is>
      </c>
      <c r="N12" s="140" t="n">
        <v>0.029</v>
      </c>
      <c r="O12" s="140" t="inlineStr">
        <is>
          <t>N/D</t>
        </is>
      </c>
      <c r="P12" s="140" t="inlineStr">
        <is>
          <t>N/D</t>
        </is>
      </c>
      <c r="Q12" s="140" t="inlineStr">
        <is>
          <t>N/D</t>
        </is>
      </c>
      <c r="R12" s="140" t="inlineStr">
        <is>
          <t>N/D</t>
        </is>
      </c>
      <c r="S12" s="140" t="n">
        <v>0.029</v>
      </c>
      <c r="T12" s="74" t="inlineStr">
        <is>
          <t>N/D</t>
        </is>
      </c>
      <c r="U12" s="74" t="inlineStr">
        <is>
          <t>junior_pl</t>
        </is>
      </c>
      <c r="V12" s="74" t="inlineStr">
        <is>
          <t>direto no regulamento</t>
        </is>
      </c>
      <c r="W12" s="74" t="b">
        <v>0</v>
      </c>
      <c r="X12" s="74" t="inlineStr">
        <is>
          <t>Mínimo júnior isolado; a subordinação atual disponível agrega todas as classes subordinadas.</t>
        </is>
      </c>
      <c r="Y12" s="74" t="b">
        <v>0</v>
      </c>
      <c r="Z12" s="140" t="inlineStr">
        <is>
          <t>N/D</t>
        </is>
      </c>
      <c r="AA12" s="140" t="inlineStr">
        <is>
          <t>N/D</t>
        </is>
      </c>
      <c r="AB12" s="74" t="inlineStr">
        <is>
          <t>não medido</t>
        </is>
      </c>
      <c r="AC12" s="74" t="inlineStr">
        <is>
          <t>Agro, Indústria e Comércio</t>
        </is>
      </c>
      <c r="AD12" s="74" t="inlineStr">
        <is>
          <t>Recebíveis Comerciais</t>
        </is>
      </c>
      <c r="AE12" s="74" t="inlineStr">
        <is>
          <t>Agro / Revenda</t>
        </is>
      </c>
      <c r="AF12" s="74" t="inlineStr">
        <is>
          <t>Agro / Revenda</t>
        </is>
      </c>
      <c r="AG12" s="74" t="inlineStr">
        <is>
          <t>Adquirência</t>
        </is>
      </c>
      <c r="AH12" s="74" t="inlineStr">
        <is>
          <t>Adquirência</t>
        </is>
      </c>
      <c r="AI12" s="74" t="inlineStr">
        <is>
          <t>N/D</t>
        </is>
      </c>
      <c r="AJ12" s="74" t="b">
        <v>0</v>
      </c>
      <c r="AK12" s="74" t="inlineStr">
        <is>
          <t>fora da revisão Financeiro/Agro</t>
        </is>
      </c>
      <c r="AL12" s="74" t="inlineStr">
        <is>
          <t>N/D</t>
        </is>
      </c>
      <c r="AM12" s="74" t="inlineStr">
        <is>
          <t>N/D</t>
        </is>
      </c>
      <c r="AN12" s="74" t="inlineStr">
        <is>
          <t>N/D</t>
        </is>
      </c>
      <c r="AO12" s="74" t="inlineStr">
        <is>
          <t>N/D</t>
        </is>
      </c>
      <c r="AP12" s="74" t="inlineStr">
        <is>
          <t>N/D</t>
        </is>
      </c>
      <c r="AQ12" s="74" t="inlineStr">
        <is>
          <t>Adquirência</t>
        </is>
      </c>
      <c r="AR12" s="74" t="inlineStr">
        <is>
          <t>Agro / Revenda</t>
        </is>
      </c>
      <c r="AS12" s="74" t="b">
        <v>1</v>
      </c>
      <c r="AT12" s="74" t="inlineStr">
        <is>
          <t>FundosNet/B3 doc. 1152823, p. 93; IMG_8704.JPG</t>
        </is>
      </c>
      <c r="AU12" s="74" t="inlineStr">
        <is>
          <t>Transações com instrumentos de pagamento operacionalizadas pelo Sistema SumUp; devedores são os emissores.</t>
        </is>
      </c>
      <c r="AV12" s="74" t="inlineStr">
        <is>
          <t>&lt; 10%</t>
        </is>
      </c>
      <c r="AW12" s="74" t="b">
        <v>1</v>
      </c>
      <c r="AX12" s="74" t="inlineStr">
        <is>
          <t>incomparável</t>
        </is>
      </c>
      <c r="AY12" s="74" t="inlineStr">
        <is>
          <t>sem benchmark confiável</t>
        </is>
      </c>
      <c r="AZ12" s="140" t="inlineStr">
        <is>
          <t>N/D</t>
        </is>
      </c>
      <c r="BA12" s="74" t="b">
        <v>0</v>
      </c>
      <c r="BB12" s="141" t="n">
        <v>0</v>
      </c>
      <c r="BC12" s="139" t="n">
        <v>1000</v>
      </c>
      <c r="BD12" s="74" t="inlineStr">
        <is>
          <t>Cotas Seniores: R$1.000,00 | Cotas Subordinadas Junior: R$1.000,00</t>
        </is>
      </c>
      <c r="BE12" s="74" t="inlineStr">
        <is>
          <t>valor nominal unitário (VNU)</t>
        </is>
      </c>
      <c r="BF12" s="74" t="inlineStr">
        <is>
          <t>Cotas Seniores | Cotas Subordinadas Junior</t>
        </is>
      </c>
      <c r="BG12" s="74" t="inlineStr">
        <is>
          <t>2026-03-31</t>
        </is>
      </c>
      <c r="BH12" s="74" t="inlineStr">
        <is>
          <t>1152823</t>
        </is>
      </c>
      <c r="BI12" s="74" t="inlineStr">
        <is>
          <t>https://fnet.bmfbovespa.com.br/fnet/publico/downloadDocumento?id=1152823</t>
        </is>
      </c>
      <c r="BJ12" s="74" t="inlineStr">
        <is>
          <t>localizado documentalmente — múltiplos valores/classes</t>
        </is>
      </c>
      <c r="BK12" s="74" t="b">
        <v>1</v>
      </c>
      <c r="BL12" s="74" t="inlineStr">
        <is>
          <t>Sumup IP</t>
        </is>
      </c>
      <c r="BM12" s="74" t="inlineStr">
        <is>
          <t>cedente</t>
        </is>
      </c>
      <c r="BN12" s="74" t="inlineStr">
        <is>
          <t>N/D</t>
        </is>
      </c>
      <c r="BO12" s="74" t="inlineStr">
        <is>
          <t>a SUMUP INSTITUIÇÃO DE PAGAMENTO BRASIL LTDA., sociedade limitada com sede na Cidade e Estado de São Paulo, na Rua Gilberto Sabino, nº 215, 10º andar, Pinheiros, CEP: 05425-020, inscrita no CNPJ/MF sob o nº 16.668.076/0001-20</t>
        </is>
      </c>
      <c r="BP12" s="74" t="inlineStr">
        <is>
          <t>os Emissores</t>
        </is>
      </c>
      <c r="BQ12" s="74"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BR12" s="74" t="inlineStr">
        <is>
          <t>cedente: https://fnet.bmfbovespa.com.br/fnet/publico/downloadDocumento?id=1152823 | sacado_devedor: https://fnet.bmfbovespa.com.br/fnet/publico/downloadDocumento?id=1152823 | tipo_recebivel: https://fnet.bmfbovespa.com.br/fnet/publico/downloadDocumento?id=1152823</t>
        </is>
      </c>
      <c r="BS12" s="74" t="inlineStr">
        <is>
          <t>manual_aplicado</t>
        </is>
      </c>
      <c r="BT12" s="74" t="inlineStr">
        <is>
          <t>OBS da foto: Risco Banco Emissor Itaú.</t>
        </is>
      </c>
      <c r="BU12" s="74" t="inlineStr">
        <is>
          <t>1152823</t>
        </is>
      </c>
      <c r="BV12" s="74" t="inlineStr">
        <is>
          <t>2026-03-31</t>
        </is>
      </c>
      <c r="BW12" s="74" t="inlineStr">
        <is>
          <t>96</t>
        </is>
      </c>
      <c r="BX12" s="74" t="inlineStr">
        <is>
          <t>revisto — mínimo júnior localizado</t>
        </is>
      </c>
      <c r="BY12" s="74" t="inlineStr">
        <is>
          <t>FundosNet/B3; documento 1152823; referência 2026-03-31; p. 96</t>
        </is>
      </c>
      <c r="BZ12" s="74" t="inlineStr">
        <is>
          <t>Cotas subordinadas júnior / PL, mínimo de 2,90%.</t>
        </is>
      </c>
      <c r="CA12" s="74" t="inlineStr">
        <is>
          <t>originador</t>
        </is>
      </c>
      <c r="CB12" s="74" t="inlineStr">
        <is>
          <t>estrutura_incomparavel</t>
        </is>
      </c>
    </row>
    <row r="13" ht="31.5" customHeight="1">
      <c r="A13" s="75" t="n">
        <v>9</v>
      </c>
      <c r="B13" s="142" t="n">
        <v>50098465000103</v>
      </c>
      <c r="C13" s="75" t="inlineStr">
        <is>
          <t>50.098.465/0001-03</t>
        </is>
      </c>
      <c r="D13" s="75" t="inlineStr">
        <is>
          <t>CHEMICAL XIII - FUNDO DE INVESTIMENTO EM DIREITOS CREDITÓRIOS - INDÚSTRIA PETROQUÍMICA</t>
        </is>
      </c>
      <c r="E13" s="75" t="inlineStr">
        <is>
          <t>CHEMICAL XIII FUNDO DE INVESTIMENTO EM DIREITOS</t>
        </is>
      </c>
      <c r="F13" s="75" t="inlineStr">
        <is>
          <t>Carteira 101</t>
        </is>
      </c>
      <c r="G13" s="75" t="inlineStr">
        <is>
          <t>2026-08</t>
        </is>
      </c>
      <c r="H13" s="75" t="inlineStr">
        <is>
          <t>localizado</t>
        </is>
      </c>
      <c r="I13" s="143" t="inlineStr">
        <is>
          <t>N/D</t>
        </is>
      </c>
      <c r="J13" s="143" t="inlineStr">
        <is>
          <t>N/D</t>
        </is>
      </c>
      <c r="K13" s="143" t="inlineStr">
        <is>
          <t>N/D</t>
        </is>
      </c>
      <c r="L13" s="144" t="inlineStr">
        <is>
          <t>N/D</t>
        </is>
      </c>
      <c r="M13" s="75" t="inlineStr">
        <is>
          <t>PL oficial ausente em 2026-08</t>
        </is>
      </c>
      <c r="N13" s="144" t="inlineStr">
        <is>
          <t>N/D</t>
        </is>
      </c>
      <c r="O13" s="144" t="inlineStr">
        <is>
          <t>N/D</t>
        </is>
      </c>
      <c r="P13" s="144" t="inlineStr">
        <is>
          <t>N/D</t>
        </is>
      </c>
      <c r="Q13" s="144" t="inlineStr">
        <is>
          <t>N/D</t>
        </is>
      </c>
      <c r="R13" s="144" t="n">
        <v>0.092</v>
      </c>
      <c r="S13" s="144" t="n">
        <v>0.092</v>
      </c>
      <c r="T13" s="75" t="inlineStr">
        <is>
          <t>9,2%*</t>
        </is>
      </c>
      <c r="U13" s="75" t="inlineStr">
        <is>
          <t>suporte_combinado_pl</t>
        </is>
      </c>
      <c r="V13" s="75" t="inlineStr">
        <is>
          <t>direto no regulamento</t>
        </is>
      </c>
      <c r="W13" s="75" t="b">
        <v>1</v>
      </c>
      <c r="X13" s="75" t="inlineStr">
        <is>
          <t>Suporte total ou combinado; não representa mínimo júnior isolado.</t>
        </is>
      </c>
      <c r="Y13" s="75" t="b">
        <v>1</v>
      </c>
      <c r="Z13" s="144" t="inlineStr">
        <is>
          <t>N/D</t>
        </is>
      </c>
      <c r="AA13" s="144" t="inlineStr">
        <is>
          <t>N/D</t>
        </is>
      </c>
      <c r="AB13" s="75" t="inlineStr">
        <is>
          <t>não medido</t>
        </is>
      </c>
      <c r="AC13" s="75" t="inlineStr">
        <is>
          <t>Agro, Indústria e Comércio</t>
        </is>
      </c>
      <c r="AD13" s="75" t="inlineStr">
        <is>
          <t>N/D</t>
        </is>
      </c>
      <c r="AE13" s="75" t="inlineStr">
        <is>
          <t>Agro / Revenda</t>
        </is>
      </c>
      <c r="AF13" s="75" t="inlineStr">
        <is>
          <t>Agro / Revenda</t>
        </is>
      </c>
      <c r="AG13" s="75" t="inlineStr">
        <is>
          <t>Agro / Revenda</t>
        </is>
      </c>
      <c r="AH13" s="75" t="inlineStr">
        <is>
          <t>Agro / Revenda</t>
        </is>
      </c>
      <c r="AI13" s="75" t="inlineStr">
        <is>
          <t>Exposição Braskem, lastro específico pendente</t>
        </is>
      </c>
      <c r="AJ13" s="75" t="b">
        <v>0</v>
      </c>
      <c r="AK13" s="75" t="inlineStr">
        <is>
          <t>PENDENTE_TIPO_LASTRO</t>
        </is>
      </c>
      <c r="AL13" s="75" t="inlineStr">
        <is>
          <t>Braskem identificada, sem instrumento ou devedor isolado</t>
        </is>
      </c>
      <c r="AM13" s="75" t="inlineStr">
        <is>
          <t>rating 903310 + regulamento 690567</t>
        </is>
      </c>
      <c r="AN13" s="75" t="inlineStr">
        <is>
          <t>Pendente</t>
        </is>
      </c>
      <c r="AO13" s="75" t="inlineStr">
        <is>
          <t>rating 903310 + regulamento 690567</t>
        </is>
      </c>
      <c r="AP13" s="75" t="inlineStr">
        <is>
          <t>N/D</t>
        </is>
      </c>
      <c r="AQ13" s="75" t="inlineStr">
        <is>
          <t>Agro / Revenda</t>
        </is>
      </c>
      <c r="AR13" s="75" t="inlineStr">
        <is>
          <t>Agro / Revenda</t>
        </is>
      </c>
      <c r="AS13" s="75" t="b">
        <v>0</v>
      </c>
      <c r="AT13" s="75" t="inlineStr">
        <is>
          <t>N/D</t>
        </is>
      </c>
      <c r="AU13" s="75" t="inlineStr">
        <is>
          <t>N/D</t>
        </is>
      </c>
      <c r="AV13" s="75" t="inlineStr">
        <is>
          <t>N/D</t>
        </is>
      </c>
      <c r="AW13" s="75" t="b">
        <v>0</v>
      </c>
      <c r="AX13" s="75" t="inlineStr">
        <is>
          <t>N/D</t>
        </is>
      </c>
      <c r="AY13" s="75" t="inlineStr">
        <is>
          <t>sem benchmark confiável</t>
        </is>
      </c>
      <c r="AZ13" s="144" t="inlineStr">
        <is>
          <t>N/D</t>
        </is>
      </c>
      <c r="BA13" s="75" t="b">
        <v>0</v>
      </c>
      <c r="BB13" s="145" t="n">
        <v>0</v>
      </c>
      <c r="BC13" s="143" t="n">
        <v>1000</v>
      </c>
      <c r="BD13" s="75" t="inlineStr">
        <is>
          <t>R$1.000,00</t>
        </is>
      </c>
      <c r="BE13" s="75" t="inlineStr">
        <is>
          <t>preço/valor unitário de emissão</t>
        </is>
      </c>
      <c r="BF13" s="75" t="inlineStr">
        <is>
          <t>N/D</t>
        </is>
      </c>
      <c r="BG13" s="75" t="inlineStr">
        <is>
          <t>01/07/2024</t>
        </is>
      </c>
      <c r="BH13" s="75" t="inlineStr">
        <is>
          <t>690567</t>
        </is>
      </c>
      <c r="BI13" s="75" t="inlineStr">
        <is>
          <t>https://fnet.bmfbovespa.com.br/fnet/publico/downloadDocumento?id=690567</t>
        </is>
      </c>
      <c r="BJ13" s="75" t="inlineStr">
        <is>
          <t>localizado documentalmente</t>
        </is>
      </c>
      <c r="BK13" s="75" t="b">
        <v>1</v>
      </c>
      <c r="BL13" s="75" t="inlineStr">
        <is>
          <t>Braskem</t>
        </is>
      </c>
      <c r="BM13" s="75" t="inlineStr">
        <is>
          <t>cedente</t>
        </is>
      </c>
      <c r="BN13" s="75" t="inlineStr">
        <is>
          <t>Braskem S .A.</t>
        </is>
      </c>
      <c r="BO13" s="75" t="inlineStr">
        <is>
          <t>Braskem</t>
        </is>
      </c>
      <c r="BP13" s="75" t="inlineStr">
        <is>
          <t>N/D</t>
        </is>
      </c>
      <c r="BQ13" s="75" t="inlineStr">
        <is>
          <t>N/D</t>
        </is>
      </c>
      <c r="BR13" s="75" t="inlineStr">
        <is>
          <t>originador: https://fnet.bmfbovespa.com.br/fnet/publico/downloadDocumento?id=903310 | cedente: IMG_8704.JPG</t>
        </is>
      </c>
      <c r="BS13" s="75" t="inlineStr">
        <is>
          <t>manual_aplicado</t>
        </is>
      </c>
      <c r="BT13" s="75" t="inlineStr">
        <is>
          <t>OBS da foto: baixo nível de inadimplência (0% Over90 nos últimos meses). Denominação cortada.</t>
        </is>
      </c>
      <c r="BU13" s="75" t="inlineStr">
        <is>
          <t>690567</t>
        </is>
      </c>
      <c r="BV13" s="75" t="inlineStr">
        <is>
          <t>2024-07-01</t>
        </is>
      </c>
      <c r="BW13" s="75" t="inlineStr">
        <is>
          <t>15</t>
        </is>
      </c>
      <c r="BX13" s="75" t="inlineStr">
        <is>
          <t>revisto — suporte estrutural total localizado</t>
        </is>
      </c>
      <c r="BY13" s="75" t="inlineStr">
        <is>
          <t>FundosNet/B3; documento 690567; referência 2024-07-01; p. 15</t>
        </is>
      </c>
      <c r="BZ13" s="75" t="inlineStr">
        <is>
          <t>N/D</t>
        </is>
      </c>
      <c r="CA13" s="75" t="inlineStr">
        <is>
          <t>PL atual; Sub/PL atual; sacado/devedor; tipo de recebível</t>
        </is>
      </c>
      <c r="CB13" s="75" t="inlineStr">
        <is>
          <t>sub_pl_atual_ausente</t>
        </is>
      </c>
    </row>
    <row r="14" ht="31.5" customHeight="1">
      <c r="A14" s="74" t="n">
        <v>10</v>
      </c>
      <c r="B14" s="138" t="n">
        <v>48967719000122</v>
      </c>
      <c r="C14" s="74" t="inlineStr">
        <is>
          <t>48.967.719/0001-22</t>
        </is>
      </c>
      <c r="D14" s="74" t="inlineStr">
        <is>
          <t>SOULPAY FUNDO DE INVESTIMENTO EM DIREITOS CREDITÓRIOS</t>
        </is>
      </c>
      <c r="E14" s="74" t="inlineStr">
        <is>
          <t>SOULPAY FIDC</t>
        </is>
      </c>
      <c r="F14" s="74" t="inlineStr">
        <is>
          <t>Carteira 101</t>
        </is>
      </c>
      <c r="G14" s="74" t="inlineStr">
        <is>
          <t>2026-08</t>
        </is>
      </c>
      <c r="H14" s="74" t="inlineStr">
        <is>
          <t>localizado</t>
        </is>
      </c>
      <c r="I14" s="139" t="n">
        <v>109837131.37</v>
      </c>
      <c r="J14" s="139" t="n">
        <v>109837131.369685</v>
      </c>
      <c r="K14" s="139" t="n">
        <v>6088072.399986479</v>
      </c>
      <c r="L14" s="140" t="n">
        <v>0.0554281810172013</v>
      </c>
      <c r="M14" s="74" t="inlineStr">
        <is>
          <t>Calculado com classes reportadas e PL oficial reconciliado</t>
        </is>
      </c>
      <c r="N14" s="140" t="n">
        <v>0.05</v>
      </c>
      <c r="O14" s="140" t="inlineStr">
        <is>
          <t>N/D</t>
        </is>
      </c>
      <c r="P14" s="140" t="inlineStr">
        <is>
          <t>N/D</t>
        </is>
      </c>
      <c r="Q14" s="140" t="n">
        <v>0.05</v>
      </c>
      <c r="R14" s="140" t="inlineStr">
        <is>
          <t>N/D</t>
        </is>
      </c>
      <c r="S14" s="140" t="n">
        <v>0.05</v>
      </c>
      <c r="T14" s="74" t="inlineStr">
        <is>
          <t>5,0%</t>
        </is>
      </c>
      <c r="U14" s="74" t="inlineStr">
        <is>
          <t>junior_pl</t>
        </is>
      </c>
      <c r="V14" s="74" t="inlineStr">
        <is>
          <t>direto no regulamento</t>
        </is>
      </c>
      <c r="W14" s="74" t="b">
        <v>1</v>
      </c>
      <c r="X14" s="74" t="inlineStr">
        <is>
          <t>Estrutura com uma única classe subordinada; métrica atual e piso usam o total subordinado sobre o PL.</t>
        </is>
      </c>
      <c r="Y14" s="74" t="b">
        <v>0</v>
      </c>
      <c r="Z14" s="140" t="n">
        <v>0.005428181017201293</v>
      </c>
      <c r="AA14" s="140" t="n">
        <v>0.00571387475494873</v>
      </c>
      <c r="AB14" s="74" t="inlineStr">
        <is>
          <t>folga estreita</t>
        </is>
      </c>
      <c r="AC14" s="74" t="inlineStr">
        <is>
          <t>Agro, Indústria e Comércio</t>
        </is>
      </c>
      <c r="AD14" s="74" t="inlineStr">
        <is>
          <t>Recebíveis Comerciais</t>
        </is>
      </c>
      <c r="AE14" s="74" t="inlineStr">
        <is>
          <t>Agro / Revenda</t>
        </is>
      </c>
      <c r="AF14" s="74" t="inlineStr">
        <is>
          <t>Agro / Revenda</t>
        </is>
      </c>
      <c r="AG14" s="74" t="inlineStr">
        <is>
          <t>Adquirência</t>
        </is>
      </c>
      <c r="AH14" s="74" t="inlineStr">
        <is>
          <t>Adquirência</t>
        </is>
      </c>
      <c r="AI14" s="74" t="inlineStr">
        <is>
          <t>N/D</t>
        </is>
      </c>
      <c r="AJ14" s="74" t="b">
        <v>0</v>
      </c>
      <c r="AK14" s="74" t="inlineStr">
        <is>
          <t>fora da revisão Financeiro/Agro</t>
        </is>
      </c>
      <c r="AL14" s="74" t="inlineStr">
        <is>
          <t>N/D</t>
        </is>
      </c>
      <c r="AM14" s="74" t="inlineStr">
        <is>
          <t>N/D</t>
        </is>
      </c>
      <c r="AN14" s="74" t="inlineStr">
        <is>
          <t>N/D</t>
        </is>
      </c>
      <c r="AO14" s="74" t="inlineStr">
        <is>
          <t>N/D</t>
        </is>
      </c>
      <c r="AP14" s="74" t="inlineStr">
        <is>
          <t>N/D</t>
        </is>
      </c>
      <c r="AQ14" s="74" t="inlineStr">
        <is>
          <t>Adquirência</t>
        </is>
      </c>
      <c r="AR14" s="74" t="inlineStr">
        <is>
          <t>Agro / Revenda</t>
        </is>
      </c>
      <c r="AS14" s="74" t="b">
        <v>1</v>
      </c>
      <c r="AT14" s="74" t="inlineStr">
        <is>
          <t>FundosNet/B3 doc. 785770, p. 14; IMG_8704.JPG</t>
        </is>
      </c>
      <c r="AU14" s="74" t="inlineStr">
        <is>
          <t>Soulpay atua como subcredenciadora; créditos contra Redecard decorrem de transações com instrumentos de pagamento.</t>
        </is>
      </c>
      <c r="AV14" s="74" t="inlineStr">
        <is>
          <t>&lt; 10%</t>
        </is>
      </c>
      <c r="AW14" s="74" t="b">
        <v>1</v>
      </c>
      <c r="AX14" s="74" t="inlineStr">
        <is>
          <t>até 2 p.p. acima</t>
        </is>
      </c>
      <c r="AY14" s="74" t="inlineStr">
        <is>
          <t>sem benchmark confiável</t>
        </is>
      </c>
      <c r="AZ14" s="140" t="inlineStr">
        <is>
          <t>N/D</t>
        </is>
      </c>
      <c r="BA14" s="74" t="b">
        <v>0</v>
      </c>
      <c r="BB14" s="141" t="n">
        <v>0</v>
      </c>
      <c r="BC14" s="139" t="n">
        <v>1000</v>
      </c>
      <c r="BD14" s="74" t="inlineStr">
        <is>
          <t>Cotas Seniores: R$1.000,00</t>
        </is>
      </c>
      <c r="BE14" s="74" t="inlineStr">
        <is>
          <t>valor nominal unitário (VNU)</t>
        </is>
      </c>
      <c r="BF14" s="74" t="inlineStr">
        <is>
          <t>Cotas Seniores</t>
        </is>
      </c>
      <c r="BG14" s="74" t="inlineStr">
        <is>
          <t>12/04/2023</t>
        </is>
      </c>
      <c r="BH14" s="74" t="inlineStr">
        <is>
          <t>445363</t>
        </is>
      </c>
      <c r="BI14" s="74" t="inlineStr">
        <is>
          <t>https://fnet.bmfbovespa.com.br/fnet/publico/downloadDocumento?id=445363</t>
        </is>
      </c>
      <c r="BJ14" s="74" t="inlineStr">
        <is>
          <t>localizado documentalmente</t>
        </is>
      </c>
      <c r="BK14" s="74" t="b">
        <v>0</v>
      </c>
      <c r="BL14" s="74" t="inlineStr">
        <is>
          <t>Soulpay Soluções de Pagamentos</t>
        </is>
      </c>
      <c r="BM14" s="74" t="inlineStr">
        <is>
          <t>cedente</t>
        </is>
      </c>
      <c r="BN14" s="74" t="inlineStr">
        <is>
          <t>N/D</t>
        </is>
      </c>
      <c r="BO14" s="74" t="inlineStr">
        <is>
          <t>Soulpay Soluções de Pagamentos</t>
        </is>
      </c>
      <c r="BP14" s="74" t="inlineStr">
        <is>
          <t>N/D</t>
        </is>
      </c>
      <c r="BQ14" s="74" t="inlineStr">
        <is>
          <t>N/D</t>
        </is>
      </c>
      <c r="BR14" s="74" t="inlineStr">
        <is>
          <t>cedente: IMG_8704.JPG</t>
        </is>
      </c>
      <c r="BS14" s="74" t="inlineStr">
        <is>
          <t>manual_aplicado</t>
        </is>
      </c>
      <c r="BT14" s="74" t="inlineStr">
        <is>
          <t>OBS da foto: Risco Rede.</t>
        </is>
      </c>
      <c r="BU14" s="74" t="inlineStr">
        <is>
          <t>785770</t>
        </is>
      </c>
      <c r="BV14" s="74" t="inlineStr">
        <is>
          <t>2024-11-22</t>
        </is>
      </c>
      <c r="BW14" s="74" t="inlineStr">
        <is>
          <t>82</t>
        </is>
      </c>
      <c r="BX14" s="74" t="inlineStr">
        <is>
          <t>revisto — mínimo júnior localizado</t>
        </is>
      </c>
      <c r="BY14" s="74" t="inlineStr">
        <is>
          <t>FundosNet/B3; documento 785770; referência 2024-11-22; p. 82</t>
        </is>
      </c>
      <c r="BZ14" s="74" t="inlineStr">
        <is>
          <t>Cotas subordinadas júnior / PL, mínimo de 5,0%.</t>
        </is>
      </c>
      <c r="CA14" s="74" t="inlineStr">
        <is>
          <t>originador; sacado/devedor; tipo de recebível</t>
        </is>
      </c>
      <c r="CB14" s="74" t="inlineStr">
        <is>
          <t>completo_para_folga</t>
        </is>
      </c>
    </row>
    <row r="15" ht="31.5" customHeight="1">
      <c r="A15" s="75" t="n">
        <v>11</v>
      </c>
      <c r="B15" s="142" t="n">
        <v>37645417000111</v>
      </c>
      <c r="C15" s="75" t="inlineStr">
        <is>
          <t>37.645.417/0001-11</t>
        </is>
      </c>
      <c r="D15" s="75" t="inlineStr">
        <is>
          <t>UBYFOL AGRO III FUNDO DE INVESTIMENTO NAS CADEIAS PRODUTIVAS DO AGRONEGÓCIO - RESP LIMITADA</t>
        </is>
      </c>
      <c r="E15" s="75" t="inlineStr">
        <is>
          <t>UBYFOL AGRO FIDC III</t>
        </is>
      </c>
      <c r="F15" s="75" t="inlineStr">
        <is>
          <t>Carteira 101</t>
        </is>
      </c>
      <c r="G15" s="75" t="inlineStr">
        <is>
          <t>2026-08</t>
        </is>
      </c>
      <c r="H15" s="75" t="inlineStr">
        <is>
          <t>localizado</t>
        </is>
      </c>
      <c r="I15" s="143" t="inlineStr">
        <is>
          <t>N/D</t>
        </is>
      </c>
      <c r="J15" s="143" t="inlineStr">
        <is>
          <t>N/D</t>
        </is>
      </c>
      <c r="K15" s="143" t="inlineStr">
        <is>
          <t>N/D</t>
        </is>
      </c>
      <c r="L15" s="144" t="inlineStr">
        <is>
          <t>N/D</t>
        </is>
      </c>
      <c r="M15" s="75" t="inlineStr">
        <is>
          <t>PL oficial ausente em 2026-08</t>
        </is>
      </c>
      <c r="N15" s="144" t="n">
        <v>0.1</v>
      </c>
      <c r="O15" s="144" t="inlineStr">
        <is>
          <t>N/D</t>
        </is>
      </c>
      <c r="P15" s="144" t="inlineStr">
        <is>
          <t>N/D</t>
        </is>
      </c>
      <c r="Q15" s="144" t="inlineStr">
        <is>
          <t>N/D</t>
        </is>
      </c>
      <c r="R15" s="144" t="inlineStr">
        <is>
          <t>N/D</t>
        </is>
      </c>
      <c r="S15" s="144" t="n">
        <v>0.1</v>
      </c>
      <c r="T15" s="75" t="inlineStr">
        <is>
          <t>N/D</t>
        </is>
      </c>
      <c r="U15" s="75" t="inlineStr">
        <is>
          <t>junior_pl</t>
        </is>
      </c>
      <c r="V15" s="75" t="inlineStr">
        <is>
          <t>direto no regulamento</t>
        </is>
      </c>
      <c r="W15" s="75" t="b">
        <v>0</v>
      </c>
      <c r="X15" s="75" t="inlineStr">
        <is>
          <t>Mínimo júnior isolado; a subordinação atual disponível agrega todas as classes subordinadas.</t>
        </is>
      </c>
      <c r="Y15" s="75" t="b">
        <v>0</v>
      </c>
      <c r="Z15" s="144" t="inlineStr">
        <is>
          <t>N/D</t>
        </is>
      </c>
      <c r="AA15" s="144" t="inlineStr">
        <is>
          <t>N/D</t>
        </is>
      </c>
      <c r="AB15" s="75" t="inlineStr">
        <is>
          <t>não medido</t>
        </is>
      </c>
      <c r="AC15" s="75" t="inlineStr">
        <is>
          <t>Agro, Indústria e Comércio</t>
        </is>
      </c>
      <c r="AD15" s="75" t="inlineStr">
        <is>
          <t>Multicarteira Agro, Indústria e Comércio</t>
        </is>
      </c>
      <c r="AE15" s="75" t="inlineStr">
        <is>
          <t>Agro / Revenda</t>
        </is>
      </c>
      <c r="AF15" s="75" t="inlineStr">
        <is>
          <t>Agro / Revenda</t>
        </is>
      </c>
      <c r="AG15" s="75" t="inlineStr">
        <is>
          <t>Agro / Revenda</t>
        </is>
      </c>
      <c r="AH15" s="75" t="inlineStr">
        <is>
          <t>Agro / Revenda</t>
        </is>
      </c>
      <c r="AI15" s="75" t="inlineStr">
        <is>
          <t>Insumos agrícolas, prazo safra</t>
        </is>
      </c>
      <c r="AJ15" s="75" t="b">
        <v>0</v>
      </c>
      <c r="AK15" s="75" t="inlineStr">
        <is>
          <t>MANTER_ALTA</t>
        </is>
      </c>
      <c r="AL15" s="75" t="inlineStr">
        <is>
          <t>Cedente Uby Agroquímica e lastro agro</t>
        </is>
      </c>
      <c r="AM15" s="75" t="inlineStr">
        <is>
          <t>IMG_8704</t>
        </is>
      </c>
      <c r="AN15" s="75" t="inlineStr">
        <is>
          <t>Não</t>
        </is>
      </c>
      <c r="AO15" s="75" t="inlineStr">
        <is>
          <t>IMG_8704</t>
        </is>
      </c>
      <c r="AP15" s="75" t="b">
        <v>0</v>
      </c>
      <c r="AQ15" s="75" t="inlineStr">
        <is>
          <t>Agro / Revenda</t>
        </is>
      </c>
      <c r="AR15" s="75" t="inlineStr">
        <is>
          <t>Agro / Revenda</t>
        </is>
      </c>
      <c r="AS15" s="75" t="b">
        <v>0</v>
      </c>
      <c r="AT15" s="75" t="inlineStr">
        <is>
          <t>N/D</t>
        </is>
      </c>
      <c r="AU15" s="75" t="inlineStr">
        <is>
          <t>N/D</t>
        </is>
      </c>
      <c r="AV15" s="75" t="inlineStr">
        <is>
          <t>N/D</t>
        </is>
      </c>
      <c r="AW15" s="75" t="b">
        <v>0</v>
      </c>
      <c r="AX15" s="75" t="inlineStr">
        <is>
          <t>N/D</t>
        </is>
      </c>
      <c r="AY15" s="75" t="inlineStr">
        <is>
          <t>sem benchmark confiável</t>
        </is>
      </c>
      <c r="AZ15" s="144" t="inlineStr">
        <is>
          <t>N/D</t>
        </is>
      </c>
      <c r="BA15" s="75" t="b">
        <v>0</v>
      </c>
      <c r="BB15" s="145" t="n">
        <v>0</v>
      </c>
      <c r="BC15" s="143" t="inlineStr">
        <is>
          <t>N/D</t>
        </is>
      </c>
      <c r="BD15" s="75" t="inlineStr">
        <is>
          <t>N/D</t>
        </is>
      </c>
      <c r="BE15" s="75" t="inlineStr">
        <is>
          <t>N/D</t>
        </is>
      </c>
      <c r="BF15" s="75" t="inlineStr">
        <is>
          <t>N/D</t>
        </is>
      </c>
      <c r="BG15" s="75" t="inlineStr">
        <is>
          <t>N/D</t>
        </is>
      </c>
      <c r="BH15" s="75" t="inlineStr">
        <is>
          <t>N/D</t>
        </is>
      </c>
      <c r="BI15" s="75" t="inlineStr">
        <is>
          <t>N/D</t>
        </is>
      </c>
      <c r="BJ15" s="75" t="inlineStr">
        <is>
          <t>não localizado</t>
        </is>
      </c>
      <c r="BK15" s="75" t="b">
        <v>0</v>
      </c>
      <c r="BL15" s="75" t="inlineStr">
        <is>
          <t>Ubyfol</t>
        </is>
      </c>
      <c r="BM15" s="75" t="inlineStr">
        <is>
          <t>cedente</t>
        </is>
      </c>
      <c r="BN15" s="75" t="inlineStr">
        <is>
          <t>N/D</t>
        </is>
      </c>
      <c r="BO15" s="75" t="inlineStr">
        <is>
          <t>Uby Agroquímica</t>
        </is>
      </c>
      <c r="BP15" s="75" t="inlineStr">
        <is>
          <t>N/D</t>
        </is>
      </c>
      <c r="BQ15" s="75" t="inlineStr">
        <is>
          <t>Insumos Agrícolas - prazo Safra</t>
        </is>
      </c>
      <c r="BR15" s="75" t="inlineStr">
        <is>
          <t>cedente: https://fnet.bmfbovespa.com.br/fnet/publico/downloadDocumento?id=779236 | tipo_recebivel: IMG_8704.JPG</t>
        </is>
      </c>
      <c r="BS15" s="75" t="inlineStr">
        <is>
          <t>manual_aplicado</t>
        </is>
      </c>
      <c r="BT15" s="75" t="inlineStr">
        <is>
          <t>N/D</t>
        </is>
      </c>
      <c r="BU15" s="75" t="inlineStr">
        <is>
          <t>1016909</t>
        </is>
      </c>
      <c r="BV15" s="75" t="inlineStr">
        <is>
          <t>2025-10-16</t>
        </is>
      </c>
      <c r="BW15" s="75" t="inlineStr">
        <is>
          <t>12</t>
        </is>
      </c>
      <c r="BX15" s="75" t="inlineStr">
        <is>
          <t>revisto — mínimo júnior localizado</t>
        </is>
      </c>
      <c r="BY15" s="75" t="inlineStr">
        <is>
          <t>FundosNet/B3; documento 1016909; referência 2025-10-16; p. 12</t>
        </is>
      </c>
      <c r="BZ15" s="75" t="inlineStr">
        <is>
          <t>Índice de Subordinação Mínima Mezanino: cotas júnior / PL, mínimo de 10,0%.</t>
        </is>
      </c>
      <c r="CA15" s="75" t="inlineStr">
        <is>
          <t>PL atual; Sub/PL atual; preço unitário da cota; originador; sacado/devedor</t>
        </is>
      </c>
      <c r="CB15" s="75" t="inlineStr">
        <is>
          <t>sub_pl_atual_ausente</t>
        </is>
      </c>
    </row>
    <row r="16" ht="31.5" customHeight="1">
      <c r="A16" s="74" t="n">
        <v>12</v>
      </c>
      <c r="B16" s="138" t="n">
        <v>50832746000130</v>
      </c>
      <c r="C16" s="74" t="inlineStr">
        <is>
          <t>50.832.746/0001-30</t>
        </is>
      </c>
      <c r="D16" s="74" t="inlineStr">
        <is>
          <t>BOASAFRA FUNDO DE INVESTIMENTO EM DIREITOS CREDITÓRIOS DO AGRONEGÓCIO RESPONSABILIDADE LIMITADA</t>
        </is>
      </c>
      <c r="E16" s="74" t="inlineStr">
        <is>
          <t>BOASAFRA FIDC DO AGRONEGOCIO</t>
        </is>
      </c>
      <c r="F16" s="74" t="inlineStr">
        <is>
          <t>Carteira 101</t>
        </is>
      </c>
      <c r="G16" s="74" t="inlineStr">
        <is>
          <t>2026-08</t>
        </is>
      </c>
      <c r="H16" s="74" t="inlineStr">
        <is>
          <t>localizado</t>
        </is>
      </c>
      <c r="I16" s="139" t="inlineStr">
        <is>
          <t>N/D</t>
        </is>
      </c>
      <c r="J16" s="139" t="inlineStr">
        <is>
          <t>N/D</t>
        </is>
      </c>
      <c r="K16" s="139" t="inlineStr">
        <is>
          <t>N/D</t>
        </is>
      </c>
      <c r="L16" s="140" t="inlineStr">
        <is>
          <t>N/D</t>
        </is>
      </c>
      <c r="M16" s="74" t="inlineStr">
        <is>
          <t>PL oficial ausente em 2026-08</t>
        </is>
      </c>
      <c r="N16" s="140" t="n">
        <v>0.2</v>
      </c>
      <c r="O16" s="140" t="inlineStr">
        <is>
          <t>N/D</t>
        </is>
      </c>
      <c r="P16" s="140" t="inlineStr">
        <is>
          <t>N/D</t>
        </is>
      </c>
      <c r="Q16" s="140" t="n">
        <v>0.3</v>
      </c>
      <c r="R16" s="140" t="inlineStr">
        <is>
          <t>N/D</t>
        </is>
      </c>
      <c r="S16" s="140" t="n">
        <v>0.3</v>
      </c>
      <c r="T16" s="74" t="inlineStr">
        <is>
          <t>30,0%*</t>
        </is>
      </c>
      <c r="U16" s="74" t="inlineStr">
        <is>
          <t>junior_pl</t>
        </is>
      </c>
      <c r="V16" s="74" t="inlineStr">
        <is>
          <t>direto no regulamento</t>
        </is>
      </c>
      <c r="W16" s="74" t="b">
        <v>0</v>
      </c>
      <c r="X16" s="74" t="inlineStr">
        <is>
          <t>Mínimo júnior isolado; a subordinação atual disponível agrega mais de uma classe subordinada ou usa denominador distinto.</t>
        </is>
      </c>
      <c r="Y16" s="74" t="b">
        <v>0</v>
      </c>
      <c r="Z16" s="140" t="inlineStr">
        <is>
          <t>N/D</t>
        </is>
      </c>
      <c r="AA16" s="140" t="inlineStr">
        <is>
          <t>N/D</t>
        </is>
      </c>
      <c r="AB16" s="74" t="inlineStr">
        <is>
          <t>não medido</t>
        </is>
      </c>
      <c r="AC16" s="74" t="inlineStr">
        <is>
          <t>Agro, Indústria e Comércio</t>
        </is>
      </c>
      <c r="AD16" s="74" t="inlineStr">
        <is>
          <t>N/D</t>
        </is>
      </c>
      <c r="AE16" s="74" t="inlineStr">
        <is>
          <t>Agro / Revenda</t>
        </is>
      </c>
      <c r="AF16" s="74" t="inlineStr">
        <is>
          <t>Agro / Revenda</t>
        </is>
      </c>
      <c r="AG16" s="74" t="inlineStr">
        <is>
          <t>Agro / Revenda</t>
        </is>
      </c>
      <c r="AH16" s="74" t="inlineStr">
        <is>
          <t>Agro / Revenda</t>
        </is>
      </c>
      <c r="AI16" s="74" t="inlineStr">
        <is>
          <t>Insumos agrícolas, prazo safra</t>
        </is>
      </c>
      <c r="AJ16" s="74" t="b">
        <v>0</v>
      </c>
      <c r="AK16" s="74" t="inlineStr">
        <is>
          <t>MANTER_ALTA</t>
        </is>
      </c>
      <c r="AL16" s="74" t="inlineStr">
        <is>
          <t>Cedente Boasafra e lastro agro</t>
        </is>
      </c>
      <c r="AM16" s="74" t="inlineStr">
        <is>
          <t>IMG_8704</t>
        </is>
      </c>
      <c r="AN16" s="74" t="inlineStr">
        <is>
          <t>Não</t>
        </is>
      </c>
      <c r="AO16" s="74" t="inlineStr">
        <is>
          <t>IMG_8704</t>
        </is>
      </c>
      <c r="AP16" s="74" t="b">
        <v>0</v>
      </c>
      <c r="AQ16" s="74" t="inlineStr">
        <is>
          <t>Agro / Revenda</t>
        </is>
      </c>
      <c r="AR16" s="74" t="inlineStr">
        <is>
          <t>Agro / Revenda</t>
        </is>
      </c>
      <c r="AS16" s="74" t="b">
        <v>0</v>
      </c>
      <c r="AT16" s="74" t="inlineStr">
        <is>
          <t>N/D</t>
        </is>
      </c>
      <c r="AU16" s="74" t="inlineStr">
        <is>
          <t>N/D</t>
        </is>
      </c>
      <c r="AV16" s="74" t="inlineStr">
        <is>
          <t>N/D</t>
        </is>
      </c>
      <c r="AW16" s="74" t="b">
        <v>0</v>
      </c>
      <c r="AX16" s="74" t="inlineStr">
        <is>
          <t>N/D</t>
        </is>
      </c>
      <c r="AY16" s="74" t="inlineStr">
        <is>
          <t>sem benchmark confiável</t>
        </is>
      </c>
      <c r="AZ16" s="140" t="inlineStr">
        <is>
          <t>N/D</t>
        </is>
      </c>
      <c r="BA16" s="74" t="b">
        <v>0</v>
      </c>
      <c r="BB16" s="141" t="n">
        <v>0</v>
      </c>
      <c r="BC16" s="139" t="n">
        <v>1000</v>
      </c>
      <c r="BD16" s="74" t="inlineStr">
        <is>
          <t>Cotas Seniores: R$1.000,00</t>
        </is>
      </c>
      <c r="BE16" s="74" t="inlineStr">
        <is>
          <t>valor nominal unitário (VNU)</t>
        </is>
      </c>
      <c r="BF16" s="74" t="inlineStr">
        <is>
          <t>Cotas Seniores</t>
        </is>
      </c>
      <c r="BG16" s="74" t="inlineStr">
        <is>
          <t>18/03/2024</t>
        </is>
      </c>
      <c r="BH16" s="74" t="inlineStr">
        <is>
          <t>622509</t>
        </is>
      </c>
      <c r="BI16" s="74" t="inlineStr">
        <is>
          <t>https://fnet.bmfbovespa.com.br/fnet/publico/downloadDocumento?id=622509</t>
        </is>
      </c>
      <c r="BJ16" s="74" t="inlineStr">
        <is>
          <t>localizado documentalmente</t>
        </is>
      </c>
      <c r="BK16" s="74" t="b">
        <v>0</v>
      </c>
      <c r="BL16" s="74" t="inlineStr">
        <is>
          <t>Boasafra (ID 5662361)</t>
        </is>
      </c>
      <c r="BM16" s="74" t="inlineStr">
        <is>
          <t>cedente</t>
        </is>
      </c>
      <c r="BN16" s="74" t="inlineStr">
        <is>
          <t>N/D</t>
        </is>
      </c>
      <c r="BO16" s="74" t="inlineStr">
        <is>
          <t>Boasafra</t>
        </is>
      </c>
      <c r="BP16" s="74" t="inlineStr">
        <is>
          <t>N/D</t>
        </is>
      </c>
      <c r="BQ16" s="74" t="inlineStr">
        <is>
          <t>Insumos Agrícolas - prazo Safra</t>
        </is>
      </c>
      <c r="BR16" s="74" t="inlineStr">
        <is>
          <t>cedente: https://fnet.bmfbovespa.com.br/fnet/publico/downloadDocumento?id=932142 | tipo_recebivel: IMG_8704.JPG</t>
        </is>
      </c>
      <c r="BS16" s="74" t="inlineStr">
        <is>
          <t>manual_aplicado</t>
        </is>
      </c>
      <c r="BT16" s="74" t="inlineStr">
        <is>
          <t>N/D</t>
        </is>
      </c>
      <c r="BU16" s="74" t="inlineStr">
        <is>
          <t>791780</t>
        </is>
      </c>
      <c r="BV16" s="74" t="inlineStr">
        <is>
          <t>2024-11-28</t>
        </is>
      </c>
      <c r="BW16" s="74" t="inlineStr">
        <is>
          <t>44</t>
        </is>
      </c>
      <c r="BX16" s="74" t="inlineStr">
        <is>
          <t>revisto — mínimo júnior localizado</t>
        </is>
      </c>
      <c r="BY16" s="74" t="inlineStr">
        <is>
          <t>FundosNet/B3; documento 791780; referência 2024-11-28; p. 44</t>
        </is>
      </c>
      <c r="BZ16" s="74" t="inlineStr">
        <is>
          <t>Cotas júnior / PL, mínimo de 20,0%; suporte subordinado total mínimo de 30,0%.</t>
        </is>
      </c>
      <c r="CA16" s="74" t="inlineStr">
        <is>
          <t>PL atual; Sub/PL atual; originador; sacado/devedor</t>
        </is>
      </c>
      <c r="CB16" s="74" t="inlineStr">
        <is>
          <t>sub_pl_atual_ausente</t>
        </is>
      </c>
    </row>
    <row r="17" ht="31.5" customHeight="1">
      <c r="A17" s="75" t="n">
        <v>13</v>
      </c>
      <c r="B17" s="142" t="n">
        <v>33076242000118</v>
      </c>
      <c r="C17" s="75" t="inlineStr">
        <is>
          <t>33.076.242/0001-18</t>
        </is>
      </c>
      <c r="D17" s="75" t="inlineStr">
        <is>
          <t>WORKCAP AGRO FUNDO DE INVESTIMENTO EM DIREITOS CREDITORIOS RESPONSABILIDADE LIMITADA</t>
        </is>
      </c>
      <c r="E17" s="75" t="inlineStr">
        <is>
          <t>FUNDO DE INVESTIMENTO EM DIREITOS CREDITORIOS ALBA</t>
        </is>
      </c>
      <c r="F17" s="75" t="inlineStr">
        <is>
          <t>Carteira 101</t>
        </is>
      </c>
      <c r="G17" s="75" t="inlineStr">
        <is>
          <t>2026-08</t>
        </is>
      </c>
      <c r="H17" s="75" t="inlineStr">
        <is>
          <t>localizado</t>
        </is>
      </c>
      <c r="I17" s="143" t="n">
        <v>444983236.36</v>
      </c>
      <c r="J17" s="143" t="n">
        <v>444983236.3582025</v>
      </c>
      <c r="K17" s="143" t="n">
        <v>87970677.92885245</v>
      </c>
      <c r="L17" s="144" t="n">
        <v>0.1976943640584305</v>
      </c>
      <c r="M17" s="75" t="inlineStr">
        <is>
          <t>Calculado com classes reportadas e PL oficial reconciliado</t>
        </is>
      </c>
      <c r="N17" s="144" t="n">
        <v>0.2</v>
      </c>
      <c r="O17" s="144" t="inlineStr">
        <is>
          <t>N/D</t>
        </is>
      </c>
      <c r="P17" s="144" t="inlineStr">
        <is>
          <t>N/D</t>
        </is>
      </c>
      <c r="Q17" s="144" t="n">
        <v>0.2</v>
      </c>
      <c r="R17" s="144" t="inlineStr">
        <is>
          <t>N/D</t>
        </is>
      </c>
      <c r="S17" s="144" t="n">
        <v>0.2</v>
      </c>
      <c r="T17" s="75" t="inlineStr">
        <is>
          <t>20,0%</t>
        </is>
      </c>
      <c r="U17" s="75" t="inlineStr">
        <is>
          <t>junior_pl</t>
        </is>
      </c>
      <c r="V17" s="75" t="inlineStr">
        <is>
          <t>direto no regulamento</t>
        </is>
      </c>
      <c r="W17" s="75" t="b">
        <v>1</v>
      </c>
      <c r="X17" s="75" t="inlineStr">
        <is>
          <t>Estrutura com uma única classe subordinada; métrica atual e piso usam o total subordinado sobre o PL.</t>
        </is>
      </c>
      <c r="Y17" s="75" t="b">
        <v>0</v>
      </c>
      <c r="Z17" s="144" t="n">
        <v>-0.002305635941569545</v>
      </c>
      <c r="AA17" s="144" t="n">
        <v>-0.002882044926961931</v>
      </c>
      <c r="AB17" s="75" t="inlineStr">
        <is>
          <t>abaixo do mínimo</t>
        </is>
      </c>
      <c r="AC17" s="75" t="inlineStr">
        <is>
          <t>Agro, Indústria e Comércio</t>
        </is>
      </c>
      <c r="AD17" s="75" t="inlineStr">
        <is>
          <t>Recebíveis Comerciais</t>
        </is>
      </c>
      <c r="AE17" s="75" t="inlineStr">
        <is>
          <t>Agro / Revenda</t>
        </is>
      </c>
      <c r="AF17" s="75" t="inlineStr">
        <is>
          <t>Agro / Revenda</t>
        </is>
      </c>
      <c r="AG17" s="75" t="inlineStr">
        <is>
          <t>Agro / Revenda</t>
        </is>
      </c>
      <c r="AH17" s="75" t="inlineStr">
        <is>
          <t>Agro / Revenda</t>
        </is>
      </c>
      <c r="AI17" s="75" t="inlineStr">
        <is>
          <t>Recebíveis Albaugh, insumos agro</t>
        </is>
      </c>
      <c r="AJ17" s="75" t="b">
        <v>0</v>
      </c>
      <c r="AK17" s="75" t="inlineStr">
        <is>
          <t>MANTER_ASTERISCO</t>
        </is>
      </c>
      <c r="AL17" s="75" t="inlineStr">
        <is>
          <t>Cedente Albaugh, com tipo literal ainda não isolado</t>
        </is>
      </c>
      <c r="AM17" s="75" t="inlineStr">
        <is>
          <t>auditoria documental</t>
        </is>
      </c>
      <c r="AN17" s="75" t="inlineStr">
        <is>
          <t>Não</t>
        </is>
      </c>
      <c r="AO17" s="75" t="inlineStr">
        <is>
          <t>auditoria documental</t>
        </is>
      </c>
      <c r="AP17" s="75" t="b">
        <v>0</v>
      </c>
      <c r="AQ17" s="75" t="inlineStr">
        <is>
          <t>Agro / Revenda</t>
        </is>
      </c>
      <c r="AR17" s="75" t="inlineStr">
        <is>
          <t>Agro / Revenda</t>
        </is>
      </c>
      <c r="AS17" s="75" t="b">
        <v>0</v>
      </c>
      <c r="AT17" s="75" t="inlineStr">
        <is>
          <t>N/D</t>
        </is>
      </c>
      <c r="AU17" s="75" t="inlineStr">
        <is>
          <t>N/D</t>
        </is>
      </c>
      <c r="AV17" s="75" t="inlineStr">
        <is>
          <t>15%–20%</t>
        </is>
      </c>
      <c r="AW17" s="75" t="b">
        <v>1</v>
      </c>
      <c r="AX17" s="75" t="inlineStr">
        <is>
          <t>abaixo do piso</t>
        </is>
      </c>
      <c r="AY17" s="75" t="inlineStr">
        <is>
          <t>sem benchmark confiável</t>
        </is>
      </c>
      <c r="AZ17" s="144" t="inlineStr">
        <is>
          <t>N/D</t>
        </is>
      </c>
      <c r="BA17" s="75" t="b">
        <v>0</v>
      </c>
      <c r="BB17" s="145" t="n">
        <v>0</v>
      </c>
      <c r="BC17" s="143" t="inlineStr">
        <is>
          <t>N/D</t>
        </is>
      </c>
      <c r="BD17" s="75" t="inlineStr">
        <is>
          <t>N/D</t>
        </is>
      </c>
      <c r="BE17" s="75" t="inlineStr">
        <is>
          <t>N/D</t>
        </is>
      </c>
      <c r="BF17" s="75" t="inlineStr">
        <is>
          <t>N/D</t>
        </is>
      </c>
      <c r="BG17" s="75" t="inlineStr">
        <is>
          <t>N/D</t>
        </is>
      </c>
      <c r="BH17" s="75" t="inlineStr">
        <is>
          <t>N/D</t>
        </is>
      </c>
      <c r="BI17" s="75" t="inlineStr">
        <is>
          <t>N/D</t>
        </is>
      </c>
      <c r="BJ17" s="75" t="inlineStr">
        <is>
          <t>não localizado</t>
        </is>
      </c>
      <c r="BK17" s="75" t="b">
        <v>0</v>
      </c>
      <c r="BL17" s="75" t="inlineStr">
        <is>
          <t>Albaugh</t>
        </is>
      </c>
      <c r="BM17" s="75" t="inlineStr">
        <is>
          <t>cedente</t>
        </is>
      </c>
      <c r="BN17" s="75" t="inlineStr">
        <is>
          <t>N/D</t>
        </is>
      </c>
      <c r="BO17" s="75" t="inlineStr">
        <is>
          <t>Albaugh Agro</t>
        </is>
      </c>
      <c r="BP17" s="75" t="inlineStr">
        <is>
          <t>N/D</t>
        </is>
      </c>
      <c r="BQ17" s="75" t="inlineStr">
        <is>
          <t>N/D</t>
        </is>
      </c>
      <c r="BR17" s="75" t="inlineStr">
        <is>
          <t>cedente: https://fnet.bmfbovespa.com.br/fnet/publico/downloadDocumento?id=978141</t>
        </is>
      </c>
      <c r="BS17" s="75" t="inlineStr">
        <is>
          <t>manual_aplicado</t>
        </is>
      </c>
      <c r="BT17" s="75" t="inlineStr">
        <is>
          <t>OBS legível: evento de avaliação por não pagamento de juros; o identificador de concentração e o restante do texto exigem revisão.</t>
        </is>
      </c>
      <c r="BU17" s="75" t="inlineStr">
        <is>
          <t>1060211</t>
        </is>
      </c>
      <c r="BV17" s="75" t="inlineStr">
        <is>
          <t>2025-12-12</t>
        </is>
      </c>
      <c r="BW17" s="75" t="inlineStr">
        <is>
          <t>61</t>
        </is>
      </c>
      <c r="BX17" s="75" t="inlineStr">
        <is>
          <t>revisto — mínimo júnior localizado</t>
        </is>
      </c>
      <c r="BY17" s="75" t="inlineStr">
        <is>
          <t>FundosNet/B3; documento 1060211; referência 2025-12-12; p. 61</t>
        </is>
      </c>
      <c r="BZ17" s="75" t="inlineStr">
        <is>
          <t>Cotas subordinadas / PL, mínimo de 20,0%; estrutura com uma única classe residual.</t>
        </is>
      </c>
      <c r="CA17" s="75" t="inlineStr">
        <is>
          <t>preço unitário da cota; originador; sacado/devedor; tipo de recebível</t>
        </is>
      </c>
      <c r="CB17" s="75" t="inlineStr">
        <is>
          <t>completo_para_folga</t>
        </is>
      </c>
    </row>
    <row r="18" ht="31.5" customHeight="1">
      <c r="A18" s="74" t="n">
        <v>14</v>
      </c>
      <c r="B18" s="138" t="n">
        <v>44173467000109</v>
      </c>
      <c r="C18" s="74" t="inlineStr">
        <is>
          <t>44.173.467/0001-09</t>
        </is>
      </c>
      <c r="D18" s="74" t="inlineStr">
        <is>
          <t>MT INSS RECEIVABLES III FUNDO DE INVESTIMENTO EM DIREITOS CREDITÓRIOS RESPONSABILIDADE</t>
        </is>
      </c>
      <c r="E18" s="74" t="inlineStr">
        <is>
          <t>RECEIVABLES 48 FUNDO DE INVEST INSS MEU TUDO</t>
        </is>
      </c>
      <c r="F18" s="74" t="inlineStr">
        <is>
          <t>Carteira 101</t>
        </is>
      </c>
      <c r="G18" s="74" t="inlineStr">
        <is>
          <t>2026-08</t>
        </is>
      </c>
      <c r="H18" s="74" t="inlineStr">
        <is>
          <t>localizado</t>
        </is>
      </c>
      <c r="I18" s="139" t="n">
        <v>25878515.55</v>
      </c>
      <c r="J18" s="139" t="n">
        <v>25878516.16340993</v>
      </c>
      <c r="K18" s="139" t="n">
        <v>2894853.600058563</v>
      </c>
      <c r="L18" s="140" t="n">
        <v>0.1118632015219498</v>
      </c>
      <c r="M18" s="74" t="inlineStr">
        <is>
          <t>Calculado com classes reportadas e PL oficial reconciliado</t>
        </is>
      </c>
      <c r="N18" s="140" t="inlineStr">
        <is>
          <t>N/D</t>
        </is>
      </c>
      <c r="O18" s="140" t="n">
        <v>0.01</v>
      </c>
      <c r="P18" s="140" t="inlineStr">
        <is>
          <t>N/D</t>
        </is>
      </c>
      <c r="Q18" s="140" t="n">
        <v>0.1</v>
      </c>
      <c r="R18" s="140" t="inlineStr">
        <is>
          <t>N/D</t>
        </is>
      </c>
      <c r="S18" s="140" t="n">
        <v>0.1</v>
      </c>
      <c r="T18" s="74" t="inlineStr">
        <is>
          <t>10,0%*</t>
        </is>
      </c>
      <c r="U18" s="74" t="inlineStr">
        <is>
          <t>junior_pl_calculado</t>
        </is>
      </c>
      <c r="V18" s="74" t="inlineStr">
        <is>
          <t>calculado: 10,0% × 10,0%</t>
        </is>
      </c>
      <c r="W18" s="74" t="b">
        <v>0</v>
      </c>
      <c r="X18" s="74" t="inlineStr">
        <is>
          <t>Mínimo júnior isolado; a subordinação atual disponível agrega mais de uma classe subordinada ou usa denominador distinto.</t>
        </is>
      </c>
      <c r="Y18" s="74" t="b">
        <v>1</v>
      </c>
      <c r="Z18" s="140" t="inlineStr">
        <is>
          <t>N/D</t>
        </is>
      </c>
      <c r="AA18" s="140" t="inlineStr">
        <is>
          <t>N/D</t>
        </is>
      </c>
      <c r="AB18" s="74" t="inlineStr">
        <is>
          <t>não medido</t>
        </is>
      </c>
      <c r="AC18" s="74" t="inlineStr">
        <is>
          <t>Financeiro</t>
        </is>
      </c>
      <c r="AD18" s="74" t="inlineStr">
        <is>
          <t>Crédito Consignado</t>
        </is>
      </c>
      <c r="AE18" s="74" t="inlineStr">
        <is>
          <t>Consignado INSS</t>
        </is>
      </c>
      <c r="AF18" s="74" t="inlineStr">
        <is>
          <t>Consignado INSS</t>
        </is>
      </c>
      <c r="AG18" s="74" t="inlineStr">
        <is>
          <t>Consignado INSS e FGTS</t>
        </is>
      </c>
      <c r="AH18" s="74" t="inlineStr">
        <is>
          <t>Consignado INSS e FGTS</t>
        </is>
      </c>
      <c r="AI18" s="74" t="inlineStr">
        <is>
          <t>N/D</t>
        </is>
      </c>
      <c r="AJ18" s="74" t="b">
        <v>0</v>
      </c>
      <c r="AK18" s="74" t="inlineStr">
        <is>
          <t>fora da revisão Financeiro/Agro</t>
        </is>
      </c>
      <c r="AL18" s="74" t="inlineStr">
        <is>
          <t>N/D</t>
        </is>
      </c>
      <c r="AM18" s="74" t="inlineStr">
        <is>
          <t>N/D</t>
        </is>
      </c>
      <c r="AN18" s="74" t="inlineStr">
        <is>
          <t>N/D</t>
        </is>
      </c>
      <c r="AO18" s="74" t="inlineStr">
        <is>
          <t>N/D</t>
        </is>
      </c>
      <c r="AP18" s="74" t="inlineStr">
        <is>
          <t>N/D</t>
        </is>
      </c>
      <c r="AQ18" s="74" t="inlineStr">
        <is>
          <t>Consignado INSS e FGTS</t>
        </is>
      </c>
      <c r="AR18" s="74" t="inlineStr">
        <is>
          <t>Consignado INSS e FGTS</t>
        </is>
      </c>
      <c r="AS18" s="74" t="b">
        <v>0</v>
      </c>
      <c r="AT18" s="74" t="inlineStr">
        <is>
          <t>N/D</t>
        </is>
      </c>
      <c r="AU18" s="74" t="inlineStr">
        <is>
          <t>N/D</t>
        </is>
      </c>
      <c r="AV18" s="74" t="inlineStr">
        <is>
          <t>10%–15%</t>
        </is>
      </c>
      <c r="AW18" s="74" t="b">
        <v>1</v>
      </c>
      <c r="AX18" s="74" t="inlineStr">
        <is>
          <t>incomparável</t>
        </is>
      </c>
      <c r="AY18" s="74" t="inlineStr">
        <is>
          <t>abaixo do mercado</t>
        </is>
      </c>
      <c r="AZ18" s="140" t="n">
        <v>-0.04802668044171615</v>
      </c>
      <c r="BA18" s="74" t="b">
        <v>1</v>
      </c>
      <c r="BB18" s="141" t="n">
        <v>5</v>
      </c>
      <c r="BC18" s="139" t="n">
        <v>1000</v>
      </c>
      <c r="BD18" s="74" t="inlineStr">
        <is>
          <t>Cotas Seniores: R$ 1.000,00 | Cotas Subordinadas Júnior: R$ 1.000,00 | Cotas Subordinadas Mezanino: R$ 1.000,00</t>
        </is>
      </c>
      <c r="BE18" s="74" t="inlineStr">
        <is>
          <t>preço/valor unitário de emissão</t>
        </is>
      </c>
      <c r="BF18" s="74" t="inlineStr">
        <is>
          <t>Cotas Seniores | Cotas Subordinadas Júnior | Cotas Subordinadas Mezanino</t>
        </is>
      </c>
      <c r="BG18" s="74" t="inlineStr">
        <is>
          <t>2024-11-28</t>
        </is>
      </c>
      <c r="BH18" s="74" t="inlineStr">
        <is>
          <t>791513</t>
        </is>
      </c>
      <c r="BI18" s="74" t="inlineStr">
        <is>
          <t>https://fnet.bmfbovespa.com.br/fnet/publico/downloadDocumento?id=791513</t>
        </is>
      </c>
      <c r="BJ18" s="74" t="inlineStr">
        <is>
          <t>localizado documentalmente — múltiplos valores/classes</t>
        </is>
      </c>
      <c r="BK18" s="74" t="b">
        <v>1</v>
      </c>
      <c r="BL18" s="74" t="inlineStr">
        <is>
          <t>Parati</t>
        </is>
      </c>
      <c r="BM18" s="74" t="inlineStr">
        <is>
          <t>cedente</t>
        </is>
      </c>
      <c r="BN18" s="74" t="inlineStr">
        <is>
          <t>N/D</t>
        </is>
      </c>
      <c r="BO18" s="74" t="inlineStr">
        <is>
          <t>Parati</t>
        </is>
      </c>
      <c r="BP18" s="74" t="inlineStr">
        <is>
          <t>N/D</t>
        </is>
      </c>
      <c r="BQ18" s="74" t="inlineStr">
        <is>
          <t>Crédito consignado INSS</t>
        </is>
      </c>
      <c r="BR18" s="74" t="inlineStr">
        <is>
          <t>cedente: IMG_8704.JPG | tipo_recebivel: IMG_8704.JPG</t>
        </is>
      </c>
      <c r="BS18" s="74" t="inlineStr">
        <is>
          <t>manual_aplicado</t>
        </is>
      </c>
      <c r="BT18" s="74" t="inlineStr">
        <is>
          <t>OBS da foto: Rating atual Baa1; se ajustar o rating na base, pode considerar perspectiva estável.</t>
        </is>
      </c>
      <c r="BU18" s="74" t="inlineStr">
        <is>
          <t>791513</t>
        </is>
      </c>
      <c r="BV18" s="74" t="inlineStr">
        <is>
          <t>2024-11-28</t>
        </is>
      </c>
      <c r="BW18" s="74" t="inlineStr">
        <is>
          <t>19</t>
        </is>
      </c>
      <c r="BX18" s="74" t="inlineStr">
        <is>
          <t>revisto — mínimo júnior localizado</t>
        </is>
      </c>
      <c r="BY18" s="74" t="inlineStr">
        <is>
          <t>FundosNet/B3; documento 791513; referência 2024-11-28; p. 19</t>
        </is>
      </c>
      <c r="BZ18" s="74" t="inlineStr">
        <is>
          <t>Mínimo júnior calculado: subordinadas = 10,0% do PL e júnior = 10,0% das subordinadas.</t>
        </is>
      </c>
      <c r="CA18" s="74" t="inlineStr">
        <is>
          <t>originador; sacado/devedor</t>
        </is>
      </c>
      <c r="CB18" s="74" t="inlineStr">
        <is>
          <t>estrutura_incomparavel</t>
        </is>
      </c>
    </row>
    <row r="19" ht="31.5" customHeight="1">
      <c r="A19" s="75" t="n">
        <v>15</v>
      </c>
      <c r="B19" s="142" t="n">
        <v>54252144000164</v>
      </c>
      <c r="C19" s="75" t="inlineStr">
        <is>
          <t>54.252.144/0001-64</t>
        </is>
      </c>
      <c r="D19" s="75" t="inlineStr">
        <is>
          <t>J17 FGTS FUNDO DE INVESTIMENTO EM DIREITOS CREDITÓRIOS FINANCEIRO - RESPONSABILIDADE LIMITADA</t>
        </is>
      </c>
      <c r="E19" s="75" t="inlineStr">
        <is>
          <t>J17 FGTS FUNDO DE INVESTIMENTO</t>
        </is>
      </c>
      <c r="F19" s="75" t="inlineStr">
        <is>
          <t>Carteira 101</t>
        </is>
      </c>
      <c r="G19" s="75" t="inlineStr">
        <is>
          <t>2026-08</t>
        </is>
      </c>
      <c r="H19" s="75" t="inlineStr">
        <is>
          <t>localizado</t>
        </is>
      </c>
      <c r="I19" s="143" t="n">
        <v>203278751.81</v>
      </c>
      <c r="J19" s="143" t="n">
        <v>203278751.8102072</v>
      </c>
      <c r="K19" s="143" t="n">
        <v>30845877.30995766</v>
      </c>
      <c r="L19" s="144" t="n">
        <v>0.1517417685582239</v>
      </c>
      <c r="M19" s="75" t="inlineStr">
        <is>
          <t>Calculado com classes reportadas e PL oficial reconciliado</t>
        </is>
      </c>
      <c r="N19" s="144" t="n">
        <v>0.05</v>
      </c>
      <c r="O19" s="144" t="inlineStr">
        <is>
          <t>N/D</t>
        </is>
      </c>
      <c r="P19" s="144" t="inlineStr">
        <is>
          <t>N/D</t>
        </is>
      </c>
      <c r="Q19" s="144" t="inlineStr">
        <is>
          <t>N/D</t>
        </is>
      </c>
      <c r="R19" s="144" t="inlineStr">
        <is>
          <t>N/D</t>
        </is>
      </c>
      <c r="S19" s="144" t="n">
        <v>0.05</v>
      </c>
      <c r="T19" s="75" t="inlineStr">
        <is>
          <t>N/D</t>
        </is>
      </c>
      <c r="U19" s="75" t="inlineStr">
        <is>
          <t>junior_pl</t>
        </is>
      </c>
      <c r="V19" s="75" t="inlineStr">
        <is>
          <t>direto no regulamento</t>
        </is>
      </c>
      <c r="W19" s="75" t="b">
        <v>0</v>
      </c>
      <c r="X19" s="75" t="inlineStr">
        <is>
          <t>Mínimo júnior isolado; a subordinação atual disponível agrega todas as classes subordinadas.</t>
        </is>
      </c>
      <c r="Y19" s="75" t="b">
        <v>0</v>
      </c>
      <c r="Z19" s="144" t="inlineStr">
        <is>
          <t>N/D</t>
        </is>
      </c>
      <c r="AA19" s="144" t="inlineStr">
        <is>
          <t>N/D</t>
        </is>
      </c>
      <c r="AB19" s="75" t="inlineStr">
        <is>
          <t>não medido</t>
        </is>
      </c>
      <c r="AC19" s="75" t="inlineStr">
        <is>
          <t>Financeiro</t>
        </is>
      </c>
      <c r="AD19" s="75" t="inlineStr">
        <is>
          <t>Crédito Pessoal</t>
        </is>
      </c>
      <c r="AE19" s="75" t="inlineStr">
        <is>
          <t>Consignado FGTS</t>
        </is>
      </c>
      <c r="AF19" s="75" t="inlineStr">
        <is>
          <t>Consignado FGTS</t>
        </is>
      </c>
      <c r="AG19" s="75" t="inlineStr">
        <is>
          <t>Consignado INSS e FGTS</t>
        </is>
      </c>
      <c r="AH19" s="75" t="inlineStr">
        <is>
          <t>Consignado INSS e FGTS</t>
        </is>
      </c>
      <c r="AI19" s="75" t="inlineStr">
        <is>
          <t>N/D</t>
        </is>
      </c>
      <c r="AJ19" s="75" t="b">
        <v>0</v>
      </c>
      <c r="AK19" s="75" t="inlineStr">
        <is>
          <t>fora da revisão Financeiro/Agro</t>
        </is>
      </c>
      <c r="AL19" s="75" t="inlineStr">
        <is>
          <t>N/D</t>
        </is>
      </c>
      <c r="AM19" s="75" t="inlineStr">
        <is>
          <t>N/D</t>
        </is>
      </c>
      <c r="AN19" s="75" t="inlineStr">
        <is>
          <t>N/D</t>
        </is>
      </c>
      <c r="AO19" s="75" t="inlineStr">
        <is>
          <t>N/D</t>
        </is>
      </c>
      <c r="AP19" s="75" t="inlineStr">
        <is>
          <t>N/D</t>
        </is>
      </c>
      <c r="AQ19" s="75" t="inlineStr">
        <is>
          <t>Consignado INSS e FGTS</t>
        </is>
      </c>
      <c r="AR19" s="75" t="inlineStr">
        <is>
          <t>Consignado INSS e FGTS</t>
        </is>
      </c>
      <c r="AS19" s="75" t="b">
        <v>0</v>
      </c>
      <c r="AT19" s="75" t="inlineStr">
        <is>
          <t>N/D</t>
        </is>
      </c>
      <c r="AU19" s="75" t="inlineStr">
        <is>
          <t>N/D</t>
        </is>
      </c>
      <c r="AV19" s="75" t="inlineStr">
        <is>
          <t>15%–20%</t>
        </is>
      </c>
      <c r="AW19" s="75" t="b">
        <v>1</v>
      </c>
      <c r="AX19" s="75" t="inlineStr">
        <is>
          <t>incomparável</t>
        </is>
      </c>
      <c r="AY19" s="75" t="inlineStr">
        <is>
          <t>abaixo do mercado</t>
        </is>
      </c>
      <c r="AZ19" s="144" t="n">
        <v>-0.03103767260126652</v>
      </c>
      <c r="BA19" s="75" t="b">
        <v>1</v>
      </c>
      <c r="BB19" s="145" t="n">
        <v>5</v>
      </c>
      <c r="BC19" s="143" t="n">
        <v>1000</v>
      </c>
      <c r="BD19" s="75" t="inlineStr">
        <is>
          <t>Cotas Seniores: R$ 1.000,00 | Cotas Subordinadas Júnior: R$ 1.000,00 | Cotas Subordinadas Mezanino: R$1.000,00</t>
        </is>
      </c>
      <c r="BE19" s="75" t="inlineStr">
        <is>
          <t>preço/valor unitário de emissão</t>
        </is>
      </c>
      <c r="BF19" s="75" t="inlineStr">
        <is>
          <t>Cotas Seniores | Cotas Subordinadas Júnior | Cotas Subordinadas Mezanino</t>
        </is>
      </c>
      <c r="BG19" s="75" t="inlineStr">
        <is>
          <t>2025-12-29</t>
        </is>
      </c>
      <c r="BH19" s="75" t="inlineStr">
        <is>
          <t>1072289</t>
        </is>
      </c>
      <c r="BI19" s="75" t="inlineStr">
        <is>
          <t>https://fnet.bmfbovespa.com.br/fnet/publico/downloadDocumento?id=1072289</t>
        </is>
      </c>
      <c r="BJ19" s="75" t="inlineStr">
        <is>
          <t>localizado documentalmente — múltiplos valores/classes</t>
        </is>
      </c>
      <c r="BK19" s="75" t="b">
        <v>1</v>
      </c>
      <c r="BL19" s="75" t="inlineStr">
        <is>
          <t>J17</t>
        </is>
      </c>
      <c r="BM19" s="75" t="inlineStr">
        <is>
          <t>cedente</t>
        </is>
      </c>
      <c r="BN19" s="75" t="inlineStr">
        <is>
          <t>GRANDINO LTDA.</t>
        </is>
      </c>
      <c r="BO19" s="75" t="inlineStr">
        <is>
          <t>a J17 e, apenas para a s Aquisições Iniciais, o Metropolitana FIDC-NP</t>
        </is>
      </c>
      <c r="BP19"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BQ19" s="75" t="inlineStr">
        <is>
          <t>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t>
        </is>
      </c>
      <c r="BR19" s="75" t="inlineStr">
        <is>
          <t>originador: https://fnet.bmfbovespa.com.br/fnet/publico/downloadDocumento?id=990257 | cedente: https://fnet.bmfbovespa.com.br/fnet/publico/downloadDocumento?id=1072289 | sacado_devedor: https://fnet.bmfbovespa.com.br/fnet/publico/downloadDocumento?id=1072289 | tipo_recebivel: https://fnet.bmfbovespa.com.br/fnet/publico/downloadDocumento?id=1072289</t>
        </is>
      </c>
      <c r="BS19" s="75" t="inlineStr">
        <is>
          <t>manual_aplicado</t>
        </is>
      </c>
      <c r="BT19" s="75" t="inlineStr">
        <is>
          <t>Denominação cortada pela largura da coluna na foto.</t>
        </is>
      </c>
      <c r="BU19" s="75" t="inlineStr">
        <is>
          <t>1223382</t>
        </is>
      </c>
      <c r="BV19" s="75" t="inlineStr">
        <is>
          <t>2026-06-08</t>
        </is>
      </c>
      <c r="BW19" s="75" t="inlineStr">
        <is>
          <t>109</t>
        </is>
      </c>
      <c r="BX19" s="75" t="inlineStr">
        <is>
          <t>revisto — mínimo júnior localizado</t>
        </is>
      </c>
      <c r="BY19" s="75" t="inlineStr">
        <is>
          <t>FundosNet/B3; documento 1223382; referência 2026-06-08; p. 109</t>
        </is>
      </c>
      <c r="BZ19" s="75" t="inlineStr">
        <is>
          <t>Índice de Subordinação Mezanino: cotas júnior / PL, mínimo de 5,0%.</t>
        </is>
      </c>
      <c r="CA19" s="75" t="inlineStr">
        <is>
          <t>Nenhum</t>
        </is>
      </c>
      <c r="CB19" s="75" t="inlineStr">
        <is>
          <t>estrutura_incomparavel</t>
        </is>
      </c>
    </row>
    <row r="20" ht="31.5" customHeight="1">
      <c r="A20" s="74" t="n">
        <v>16</v>
      </c>
      <c r="B20" s="138" t="n">
        <v>48313595000161</v>
      </c>
      <c r="C20" s="74" t="inlineStr">
        <is>
          <t>48.313.595/0001-61</t>
        </is>
      </c>
      <c r="D20" s="74" t="inlineStr">
        <is>
          <t>IBBA AGRO BR FUNDO DE INVESTIMENTO EM DIREITOS CREDITÓRIOS</t>
        </is>
      </c>
      <c r="E20" s="74" t="inlineStr">
        <is>
          <t>IBBA AGRO BR FUNDO DE INVESTIMENTO EM DIREITOS CRE</t>
        </is>
      </c>
      <c r="F20" s="74" t="inlineStr">
        <is>
          <t>Carteira 101</t>
        </is>
      </c>
      <c r="G20" s="74" t="inlineStr">
        <is>
          <t>2026-08</t>
        </is>
      </c>
      <c r="H20" s="74" t="inlineStr">
        <is>
          <t>localizado</t>
        </is>
      </c>
      <c r="I20" s="139" t="n">
        <v>0</v>
      </c>
      <c r="J20" s="139" t="n">
        <v>0</v>
      </c>
      <c r="K20" s="139" t="n">
        <v>0</v>
      </c>
      <c r="L20" s="140" t="inlineStr">
        <is>
          <t>N/D</t>
        </is>
      </c>
      <c r="M20" s="74" t="inlineStr">
        <is>
          <t>N/D — PL oficial reportado zero em 2026-08; razão não calculável</t>
        </is>
      </c>
      <c r="N20" s="140" t="inlineStr">
        <is>
          <t>N/D</t>
        </is>
      </c>
      <c r="O20" s="140" t="inlineStr">
        <is>
          <t>N/D</t>
        </is>
      </c>
      <c r="P20" s="140" t="inlineStr">
        <is>
          <t>N/D</t>
        </is>
      </c>
      <c r="Q20" s="140" t="inlineStr">
        <is>
          <t>N/D</t>
        </is>
      </c>
      <c r="R20" s="140" t="inlineStr">
        <is>
          <t>N/D</t>
        </is>
      </c>
      <c r="S20" s="140" t="inlineStr">
        <is>
          <t>N/D</t>
        </is>
      </c>
      <c r="T20" s="74" t="inlineStr">
        <is>
          <t>N/D</t>
        </is>
      </c>
      <c r="U20" s="74" t="inlineStr">
        <is>
          <t>sem_indice</t>
        </is>
      </c>
      <c r="V20" s="74" t="inlineStr">
        <is>
          <t>N/D</t>
        </is>
      </c>
      <c r="W20" s="74" t="b">
        <v>0</v>
      </c>
      <c r="X20" s="74" t="inlineStr">
        <is>
          <t>Regulamento revisado sem índice percentual isolável.</t>
        </is>
      </c>
      <c r="Y20" s="74" t="b">
        <v>1</v>
      </c>
      <c r="Z20" s="140" t="inlineStr">
        <is>
          <t>N/D</t>
        </is>
      </c>
      <c r="AA20" s="140" t="inlineStr">
        <is>
          <t>N/D</t>
        </is>
      </c>
      <c r="AB20" s="74" t="inlineStr">
        <is>
          <t>não medido</t>
        </is>
      </c>
      <c r="AC20" s="74" t="inlineStr">
        <is>
          <t>Agro, Indústria e Comércio</t>
        </is>
      </c>
      <c r="AD20" s="74" t="inlineStr">
        <is>
          <t>Agronegócio</t>
        </is>
      </c>
      <c r="AE20" s="74" t="inlineStr">
        <is>
          <t>Agro / Revenda</t>
        </is>
      </c>
      <c r="AF20" s="74" t="inlineStr">
        <is>
          <t>Agro / Revenda</t>
        </is>
      </c>
      <c r="AG20" s="74" t="inlineStr">
        <is>
          <t>Agro / Revenda</t>
        </is>
      </c>
      <c r="AH20" s="74" t="inlineStr">
        <is>
          <t>Agro / Revenda</t>
        </is>
      </c>
      <c r="AI20" s="74" t="inlineStr">
        <is>
          <t>Multicedente agro, lastro específico pendente</t>
        </is>
      </c>
      <c r="AJ20" s="74" t="b">
        <v>0</v>
      </c>
      <c r="AK20" s="74" t="inlineStr">
        <is>
          <t>PENDENTE_DOCUMENTAL</t>
        </is>
      </c>
      <c r="AL20" s="74" t="inlineStr">
        <is>
          <t>Cedentes genéricos, sem devedor ou recebível identificado</t>
        </is>
      </c>
      <c r="AM20" s="74" t="inlineStr">
        <is>
          <t>regulamento da curadoria</t>
        </is>
      </c>
      <c r="AN20" s="74" t="inlineStr">
        <is>
          <t>Pendente</t>
        </is>
      </c>
      <c r="AO20" s="74" t="inlineStr">
        <is>
          <t>regulamento da curadoria</t>
        </is>
      </c>
      <c r="AP20" s="74" t="inlineStr">
        <is>
          <t>N/D</t>
        </is>
      </c>
      <c r="AQ20" s="74" t="inlineStr">
        <is>
          <t>Agro / Revenda</t>
        </is>
      </c>
      <c r="AR20" s="74" t="inlineStr">
        <is>
          <t>Agro / Revenda</t>
        </is>
      </c>
      <c r="AS20" s="74" t="b">
        <v>0</v>
      </c>
      <c r="AT20" s="74" t="inlineStr">
        <is>
          <t>N/D</t>
        </is>
      </c>
      <c r="AU20" s="74" t="inlineStr">
        <is>
          <t>N/D</t>
        </is>
      </c>
      <c r="AV20" s="74" t="inlineStr">
        <is>
          <t>N/D</t>
        </is>
      </c>
      <c r="AW20" s="74" t="b">
        <v>0</v>
      </c>
      <c r="AX20" s="74" t="inlineStr">
        <is>
          <t>N/D</t>
        </is>
      </c>
      <c r="AY20" s="74" t="inlineStr">
        <is>
          <t>sem benchmark confiável</t>
        </is>
      </c>
      <c r="AZ20" s="140" t="inlineStr">
        <is>
          <t>N/D</t>
        </is>
      </c>
      <c r="BA20" s="74" t="b">
        <v>0</v>
      </c>
      <c r="BB20" s="141" t="n">
        <v>0</v>
      </c>
      <c r="BC20" s="139" t="n">
        <v>1000</v>
      </c>
      <c r="BD20" s="74" t="inlineStr">
        <is>
          <t>Cotas Seniores: R$1.000,00 | Cotas Subordinadas Mezanino: R$1.000,00</t>
        </is>
      </c>
      <c r="BE20" s="74" t="inlineStr">
        <is>
          <t>valor nominal unitário (VNU)</t>
        </is>
      </c>
      <c r="BF20" s="74" t="inlineStr">
        <is>
          <t>Cotas Seniores | Cotas Subordinadas Mezanino</t>
        </is>
      </c>
      <c r="BG20" s="74" t="inlineStr">
        <is>
          <t>22/08/2025</t>
        </is>
      </c>
      <c r="BH20" s="74" t="inlineStr">
        <is>
          <t>976737</t>
        </is>
      </c>
      <c r="BI20" s="74" t="inlineStr">
        <is>
          <t>https://fnet.bmfbovespa.com.br/fnet/publico/downloadDocumento?id=976737</t>
        </is>
      </c>
      <c r="BJ20" s="74" t="inlineStr">
        <is>
          <t>localizado documentalmente — múltiplos valores/classes</t>
        </is>
      </c>
      <c r="BK20" s="74" t="b">
        <v>1</v>
      </c>
      <c r="BL20" s="74" t="inlineStr">
        <is>
          <t>Multicedentes</t>
        </is>
      </c>
      <c r="BM20" s="74" t="inlineStr">
        <is>
          <t>cedente</t>
        </is>
      </c>
      <c r="BN20" s="74" t="inlineStr">
        <is>
          <t>N/D</t>
        </is>
      </c>
      <c r="BO20" s="74" t="inlineStr">
        <is>
          <t>as sociedades, identificadas nos respectivos Contratos de Cessão, que cedem, em caráter irrevogável e irretratável, os Direitos Creditórios Adquiridos listados nos respectivos Contratos de Cessão e Termos de Cessão, conforme aplicável, observados os requisitos da Política de Concessão de Créditos</t>
        </is>
      </c>
      <c r="BP20" s="74" t="inlineStr">
        <is>
          <t>N/D</t>
        </is>
      </c>
      <c r="BQ20" s="74" t="inlineStr">
        <is>
          <t>N/D</t>
        </is>
      </c>
      <c r="BR20" s="74" t="inlineStr">
        <is>
          <t>cedente: https://fnet.bmfbovespa.com.br/fnet/publico/downloadDocumento?id=976737</t>
        </is>
      </c>
      <c r="BS20" s="74" t="inlineStr">
        <is>
          <t>manual_aplicado</t>
        </is>
      </c>
      <c r="BT20" s="74" t="inlineStr">
        <is>
          <t>OBS da foto: Cota Jr 100% consumida; revisão de rating em out/25; fomos 100% resgatados na SR. Denominação cortada.</t>
        </is>
      </c>
      <c r="BU20" s="74" t="inlineStr">
        <is>
          <t>976737</t>
        </is>
      </c>
      <c r="BV20" s="74" t="inlineStr">
        <is>
          <t>2025-08-22</t>
        </is>
      </c>
      <c r="BW20" s="74" t="inlineStr">
        <is>
          <t>42</t>
        </is>
      </c>
      <c r="BX20" s="74" t="inlineStr">
        <is>
          <t>revisto — regulamento sem índice percentual isolável</t>
        </is>
      </c>
      <c r="BY20" s="74" t="inlineStr">
        <is>
          <t>FundosNet/B3; documento 976737; referência 2025-08-22; p. 42</t>
        </is>
      </c>
      <c r="BZ20" s="74" t="inlineStr">
        <is>
          <t>N/D</t>
        </is>
      </c>
      <c r="CA20" s="74" t="inlineStr">
        <is>
          <t>Sub/PL atual; mínimo estrutural comparável; originador; sacado/devedor; tipo de recebível</t>
        </is>
      </c>
      <c r="CB20" s="74" t="inlineStr">
        <is>
          <t>sub_pl_atual_ausente</t>
        </is>
      </c>
    </row>
    <row r="21" ht="31.5" customHeight="1">
      <c r="A21" s="75" t="n">
        <v>17</v>
      </c>
      <c r="B21" s="142" t="n">
        <v>32526025000110</v>
      </c>
      <c r="C21" s="75" t="inlineStr">
        <is>
          <t>32.526.025/0001-10</t>
        </is>
      </c>
      <c r="D21" s="75" t="inlineStr">
        <is>
          <t>COBUCCIO FUNDO DE INVESTIMENTO EM DIREITOS CREDITÓRIOS DE CLASSE ÚNICA FECHADA DE RESPONS LIMITADA</t>
        </is>
      </c>
      <c r="E21" s="75" t="inlineStr">
        <is>
          <t>COBUCCIO FUNDO I F D C NAO P</t>
        </is>
      </c>
      <c r="F21" s="75" t="inlineStr">
        <is>
          <t>Carteira 101</t>
        </is>
      </c>
      <c r="G21" s="75" t="inlineStr">
        <is>
          <t>2026-08</t>
        </is>
      </c>
      <c r="H21" s="75" t="inlineStr">
        <is>
          <t>localizado</t>
        </is>
      </c>
      <c r="I21" s="143" t="n">
        <v>1695951362.31</v>
      </c>
      <c r="J21" s="143" t="n">
        <v>1695951362.309823</v>
      </c>
      <c r="K21" s="143" t="n">
        <v>1286045934.589909</v>
      </c>
      <c r="L21" s="144" t="n">
        <v>0.7583035475959804</v>
      </c>
      <c r="M21" s="75" t="inlineStr">
        <is>
          <t>Calculado com classes reportadas e PL oficial reconciliado</t>
        </is>
      </c>
      <c r="N21" s="144" t="n">
        <v>0.75</v>
      </c>
      <c r="O21" s="144" t="inlineStr">
        <is>
          <t>N/D</t>
        </is>
      </c>
      <c r="P21" s="144" t="inlineStr">
        <is>
          <t>N/D</t>
        </is>
      </c>
      <c r="Q21" s="144" t="inlineStr">
        <is>
          <t>N/D</t>
        </is>
      </c>
      <c r="R21" s="144" t="inlineStr">
        <is>
          <t>N/D</t>
        </is>
      </c>
      <c r="S21" s="144" t="n">
        <v>0.75</v>
      </c>
      <c r="T21" s="75" t="inlineStr">
        <is>
          <t>N/D</t>
        </is>
      </c>
      <c r="U21" s="75" t="inlineStr">
        <is>
          <t>junior_pl</t>
        </is>
      </c>
      <c r="V21" s="75" t="inlineStr">
        <is>
          <t>direto no regulamento</t>
        </is>
      </c>
      <c r="W21" s="75" t="b">
        <v>0</v>
      </c>
      <c r="X21" s="75" t="inlineStr">
        <is>
          <t>Mínimo júnior isolado; a subordinação atual disponível agrega todas as classes subordinadas.</t>
        </is>
      </c>
      <c r="Y21" s="75" t="b">
        <v>0</v>
      </c>
      <c r="Z21" s="144" t="inlineStr">
        <is>
          <t>N/D</t>
        </is>
      </c>
      <c r="AA21" s="144" t="inlineStr">
        <is>
          <t>N/D</t>
        </is>
      </c>
      <c r="AB21" s="75" t="inlineStr">
        <is>
          <t>não medido</t>
        </is>
      </c>
      <c r="AC21" s="75" t="inlineStr">
        <is>
          <t>Financeiro</t>
        </is>
      </c>
      <c r="AD21" s="75" t="inlineStr">
        <is>
          <t>Multicarteira Financeiro</t>
        </is>
      </c>
      <c r="AE21" s="75" t="inlineStr">
        <is>
          <t>Financeiro</t>
        </is>
      </c>
      <c r="AF21" s="75" t="inlineStr">
        <is>
          <t>Financeiro</t>
        </is>
      </c>
      <c r="AG21" s="75" t="inlineStr">
        <is>
          <t>Financeiro</t>
        </is>
      </c>
      <c r="AH21" s="75" t="inlineStr">
        <is>
          <t>Financeiro</t>
        </is>
      </c>
      <c r="AI21" s="75" t="inlineStr">
        <is>
          <t>Cartão e CCB PF, recebíveis de pagamento</t>
        </is>
      </c>
      <c r="AJ21" s="75" t="b">
        <v>0</v>
      </c>
      <c r="AK21" s="75" t="inlineStr">
        <is>
          <t>MANTER_ALTA</t>
        </is>
      </c>
      <c r="AL21" s="75" t="inlineStr">
        <is>
          <t>Combina financiamento Brasil Card e recebíveis Bolt Card</t>
        </is>
      </c>
      <c r="AM21" s="75" t="inlineStr">
        <is>
          <t>regulamento 1186789, 96 páginas</t>
        </is>
      </c>
      <c r="AN21" s="75" t="inlineStr">
        <is>
          <t>Não</t>
        </is>
      </c>
      <c r="AO21" s="75" t="inlineStr">
        <is>
          <t>regulamento 1186789, 96 páginas</t>
        </is>
      </c>
      <c r="AP21" s="75" t="b">
        <v>0</v>
      </c>
      <c r="AQ21" s="75" t="inlineStr">
        <is>
          <t>Financeiro</t>
        </is>
      </c>
      <c r="AR21" s="75" t="inlineStr">
        <is>
          <t>Financeiro</t>
        </is>
      </c>
      <c r="AS21" s="75" t="b">
        <v>0</v>
      </c>
      <c r="AT21" s="75" t="inlineStr">
        <is>
          <t>N/D</t>
        </is>
      </c>
      <c r="AU21" s="75" t="inlineStr">
        <is>
          <t>N/D</t>
        </is>
      </c>
      <c r="AV21" s="75" t="inlineStr">
        <is>
          <t>≥ 60%</t>
        </is>
      </c>
      <c r="AW21" s="75" t="b">
        <v>1</v>
      </c>
      <c r="AX21" s="75" t="inlineStr">
        <is>
          <t>incomparável</t>
        </is>
      </c>
      <c r="AY21" s="75" t="inlineStr">
        <is>
          <t>acima do mercado</t>
        </is>
      </c>
      <c r="AZ21" s="144" t="n">
        <v>0.4521097668994962</v>
      </c>
      <c r="BA21" s="75" t="b">
        <v>1</v>
      </c>
      <c r="BB21" s="145" t="n">
        <v>12</v>
      </c>
      <c r="BC21" s="143" t="n">
        <v>1000</v>
      </c>
      <c r="BD21" s="75" t="inlineStr">
        <is>
          <t>8ª Série de Cotas Seniores: R$1.000,00 | Cotas Seniores: R$1.000,00</t>
        </is>
      </c>
      <c r="BE21" s="75" t="inlineStr">
        <is>
          <t>valor nominal unitário (VNU)</t>
        </is>
      </c>
      <c r="BF21" s="75" t="inlineStr">
        <is>
          <t>8ª Série de Cotas Seniores | Cotas Seniores</t>
        </is>
      </c>
      <c r="BG21" s="75" t="inlineStr">
        <is>
          <t>12/03/2026</t>
        </is>
      </c>
      <c r="BH21" s="75" t="inlineStr">
        <is>
          <t>1134299</t>
        </is>
      </c>
      <c r="BI21" s="75" t="inlineStr">
        <is>
          <t>https://fnet.bmfbovespa.com.br/fnet/publico/downloadDocumento?id=1134299</t>
        </is>
      </c>
      <c r="BJ21" s="75" t="inlineStr">
        <is>
          <t>localizado documentalmente — múltiplos valores/classes</t>
        </is>
      </c>
      <c r="BK21" s="75" t="b">
        <v>1</v>
      </c>
      <c r="BL21" s="75" t="inlineStr">
        <is>
          <t>N/D</t>
        </is>
      </c>
      <c r="BM21" s="75" t="inlineStr">
        <is>
          <t>N/D</t>
        </is>
      </c>
      <c r="BN21" s="75" t="inlineStr">
        <is>
          <t>N/D</t>
        </is>
      </c>
      <c r="BO21" s="75" t="inlineStr">
        <is>
          <t>N/D</t>
        </is>
      </c>
      <c r="BP21" s="75" t="inlineStr">
        <is>
          <t>N/D</t>
        </is>
      </c>
      <c r="BQ21" s="75" t="inlineStr">
        <is>
          <t>N/D</t>
        </is>
      </c>
      <c r="BR21" s="75" t="inlineStr">
        <is>
          <t>N/D</t>
        </is>
      </c>
      <c r="BS21" s="75" t="inlineStr">
        <is>
          <t>sem_overlay</t>
        </is>
      </c>
      <c r="BT21" s="75" t="inlineStr">
        <is>
          <t>N/D</t>
        </is>
      </c>
      <c r="BU21" s="75" t="inlineStr">
        <is>
          <t>1186789</t>
        </is>
      </c>
      <c r="BV21" s="75" t="inlineStr">
        <is>
          <t>2026-05-12</t>
        </is>
      </c>
      <c r="BW21" s="75" t="inlineStr">
        <is>
          <t>57</t>
        </is>
      </c>
      <c r="BX21" s="75" t="inlineStr">
        <is>
          <t>revisto — mínimo júnior localizado</t>
        </is>
      </c>
      <c r="BY21" s="75" t="inlineStr">
        <is>
          <t>FundosNet/B3; documento 1186789; referência 2026-05-12; p. 57</t>
        </is>
      </c>
      <c r="BZ21" s="75" t="inlineStr">
        <is>
          <t>Enquanto não houver cota mezanino, cotas júnior / PL, mínimo de 75,0%.</t>
        </is>
      </c>
      <c r="CA21" s="75" t="inlineStr">
        <is>
          <t>originador; cedente; sacado/devedor; tipo de recebível</t>
        </is>
      </c>
      <c r="CB21" s="75" t="inlineStr">
        <is>
          <t>estrutura_incomparavel</t>
        </is>
      </c>
    </row>
    <row r="22" ht="31.5" customHeight="1">
      <c r="A22" s="74" t="n">
        <v>18</v>
      </c>
      <c r="B22" s="138" t="n">
        <v>45523699000102</v>
      </c>
      <c r="C22" s="74" t="inlineStr">
        <is>
          <t>45.523.699/0001-02</t>
        </is>
      </c>
      <c r="D22" s="74" t="inlineStr">
        <is>
          <t>VIXTRA FUNDO DE INVESTIMENTO EM DIREITOS CREDITÓRIOS RESPONSABILIDADE LIMITADA</t>
        </is>
      </c>
      <c r="E22" s="74" t="inlineStr">
        <is>
          <t>VIXTRA FUNDO DE INVE E D C RL</t>
        </is>
      </c>
      <c r="F22" s="74" t="inlineStr">
        <is>
          <t>Carteira 101</t>
        </is>
      </c>
      <c r="G22" s="74" t="inlineStr">
        <is>
          <t>2026-08</t>
        </is>
      </c>
      <c r="H22" s="74" t="inlineStr">
        <is>
          <t>localizado</t>
        </is>
      </c>
      <c r="I22" s="139" t="n">
        <v>249320835.66</v>
      </c>
      <c r="J22" s="139" t="n">
        <v>249320835.6550394</v>
      </c>
      <c r="K22" s="139" t="n">
        <v>89160661.37900165</v>
      </c>
      <c r="L22" s="140" t="n">
        <v>0.3576141606575973</v>
      </c>
      <c r="M22" s="74" t="inlineStr">
        <is>
          <t>Calculado com classes reportadas e PL oficial reconciliado</t>
        </is>
      </c>
      <c r="N22" s="140" t="n">
        <v>0.1</v>
      </c>
      <c r="O22" s="140" t="inlineStr">
        <is>
          <t>N/D</t>
        </is>
      </c>
      <c r="P22" s="140" t="inlineStr">
        <is>
          <t>N/D</t>
        </is>
      </c>
      <c r="Q22" s="140" t="inlineStr">
        <is>
          <t>N/D</t>
        </is>
      </c>
      <c r="R22" s="140" t="inlineStr">
        <is>
          <t>N/D</t>
        </is>
      </c>
      <c r="S22" s="140" t="n">
        <v>0.1</v>
      </c>
      <c r="T22" s="74" t="inlineStr">
        <is>
          <t>N/D</t>
        </is>
      </c>
      <c r="U22" s="74" t="inlineStr">
        <is>
          <t>junior_pl</t>
        </is>
      </c>
      <c r="V22" s="74" t="inlineStr">
        <is>
          <t>direto no regulamento</t>
        </is>
      </c>
      <c r="W22" s="74" t="b">
        <v>0</v>
      </c>
      <c r="X22" s="74" t="inlineStr">
        <is>
          <t>Mínimo júnior isolado; a subordinação atual disponível agrega todas as classes subordinadas.</t>
        </is>
      </c>
      <c r="Y22" s="74" t="b">
        <v>0</v>
      </c>
      <c r="Z22" s="140" t="inlineStr">
        <is>
          <t>N/D</t>
        </is>
      </c>
      <c r="AA22" s="140" t="inlineStr">
        <is>
          <t>N/D</t>
        </is>
      </c>
      <c r="AB22" s="74" t="inlineStr">
        <is>
          <t>não medido</t>
        </is>
      </c>
      <c r="AC22" s="74" t="inlineStr">
        <is>
          <t>Agro, Indústria e Comércio</t>
        </is>
      </c>
      <c r="AD22" s="74" t="inlineStr">
        <is>
          <t>Recebíveis Comerciais</t>
        </is>
      </c>
      <c r="AE22" s="74" t="inlineStr">
        <is>
          <t>Agro / Revenda</t>
        </is>
      </c>
      <c r="AF22" s="74" t="inlineStr">
        <is>
          <t>Agro / Revenda</t>
        </is>
      </c>
      <c r="AG22" s="74" t="inlineStr">
        <is>
          <t>Agro / Revenda</t>
        </is>
      </c>
      <c r="AH22" s="74" t="inlineStr">
        <is>
          <t>Agro / Revenda</t>
        </is>
      </c>
      <c r="AI22" s="74" t="inlineStr">
        <is>
          <t>Trade finance / recebíveis comerciais</t>
        </is>
      </c>
      <c r="AJ22" s="74" t="b">
        <v>0</v>
      </c>
      <c r="AK22" s="74" t="inlineStr">
        <is>
          <t>PENDENTE_FONTE_PRIMARIA</t>
        </is>
      </c>
      <c r="AL22" s="74" t="inlineStr">
        <is>
          <t>Planilha informa FIDC Trading, sem cláusula primária de lastro</t>
        </is>
      </c>
      <c r="AM22" s="74" t="inlineStr">
        <is>
          <t>IMG_8704</t>
        </is>
      </c>
      <c r="AN22" s="74" t="inlineStr">
        <is>
          <t>Candidato</t>
        </is>
      </c>
      <c r="AO22" s="74" t="inlineStr">
        <is>
          <t>IMG_8704</t>
        </is>
      </c>
      <c r="AP22" s="74" t="inlineStr">
        <is>
          <t>N/D</t>
        </is>
      </c>
      <c r="AQ22" s="74" t="inlineStr">
        <is>
          <t>Agro / Revenda</t>
        </is>
      </c>
      <c r="AR22" s="74" t="inlineStr">
        <is>
          <t>Agro / Revenda</t>
        </is>
      </c>
      <c r="AS22" s="74" t="b">
        <v>0</v>
      </c>
      <c r="AT22" s="74" t="inlineStr">
        <is>
          <t>N/D</t>
        </is>
      </c>
      <c r="AU22" s="74" t="inlineStr">
        <is>
          <t>N/D</t>
        </is>
      </c>
      <c r="AV22" s="74" t="inlineStr">
        <is>
          <t>35%–60%</t>
        </is>
      </c>
      <c r="AW22" s="74" t="b">
        <v>1</v>
      </c>
      <c r="AX22" s="74" t="inlineStr">
        <is>
          <t>incomparável</t>
        </is>
      </c>
      <c r="AY22" s="74" t="inlineStr">
        <is>
          <t>sem benchmark confiável</t>
        </is>
      </c>
      <c r="AZ22" s="140" t="inlineStr">
        <is>
          <t>N/D</t>
        </is>
      </c>
      <c r="BA22" s="74" t="b">
        <v>0</v>
      </c>
      <c r="BB22" s="141" t="n">
        <v>0</v>
      </c>
      <c r="BC22" s="139" t="n">
        <v>1000</v>
      </c>
      <c r="BD22" s="74" t="inlineStr">
        <is>
          <t>R$ 1.000,00</t>
        </is>
      </c>
      <c r="BE22" s="74" t="inlineStr">
        <is>
          <t>preço/valor unitário de emissão</t>
        </is>
      </c>
      <c r="BF22" s="74" t="inlineStr">
        <is>
          <t>N/D</t>
        </is>
      </c>
      <c r="BG22" s="74" t="inlineStr">
        <is>
          <t>2025-10-30</t>
        </is>
      </c>
      <c r="BH22" s="74" t="inlineStr">
        <is>
          <t>1024756</t>
        </is>
      </c>
      <c r="BI22" s="74" t="inlineStr">
        <is>
          <t>https://fnet.bmfbovespa.com.br/fnet/publico/downloadDocumento?id=1024756</t>
        </is>
      </c>
      <c r="BJ22" s="74" t="inlineStr">
        <is>
          <t>localizado documentalmente</t>
        </is>
      </c>
      <c r="BK22" s="74" t="b">
        <v>1</v>
      </c>
      <c r="BL22" s="74" t="inlineStr">
        <is>
          <t>Vixtra Tecnologia e Serviços Financeiros</t>
        </is>
      </c>
      <c r="BM22" s="74" t="inlineStr">
        <is>
          <t>cedente</t>
        </is>
      </c>
      <c r="BN22" s="74" t="inlineStr">
        <is>
          <t>N/D</t>
        </is>
      </c>
      <c r="BO22" s="74" t="inlineStr">
        <is>
          <t>Vixtra Tecnologia e Serviços Financeiros</t>
        </is>
      </c>
      <c r="BP22" s="74" t="inlineStr">
        <is>
          <t>N/D</t>
        </is>
      </c>
      <c r="BQ22" s="74" t="inlineStr">
        <is>
          <t>FIDC Trading</t>
        </is>
      </c>
      <c r="BR22" s="74" t="inlineStr">
        <is>
          <t>cedente: IMG_8704.JPG | tipo_recebivel: IMG_8704.JPG</t>
        </is>
      </c>
      <c r="BS22" s="74" t="inlineStr">
        <is>
          <t>manual_aplicado</t>
        </is>
      </c>
      <c r="BT22" s="74" t="inlineStr">
        <is>
          <t>N/D</t>
        </is>
      </c>
      <c r="BU22" s="74" t="inlineStr">
        <is>
          <t>1024756</t>
        </is>
      </c>
      <c r="BV22" s="74" t="inlineStr">
        <is>
          <t>2025-10-30</t>
        </is>
      </c>
      <c r="BW22" s="74" t="inlineStr">
        <is>
          <t>26</t>
        </is>
      </c>
      <c r="BX22" s="74" t="inlineStr">
        <is>
          <t>revisto — mínimo júnior localizado</t>
        </is>
      </c>
      <c r="BY22" s="74" t="inlineStr">
        <is>
          <t>FundosNet/B3; documento 1024756; referência 2025-10-30; p. 26</t>
        </is>
      </c>
      <c r="BZ22" s="74" t="inlineStr">
        <is>
          <t>Cotas subordinadas júnior / PL, mínimo de 10,0%.</t>
        </is>
      </c>
      <c r="CA22" s="74" t="inlineStr">
        <is>
          <t>originador; sacado/devedor</t>
        </is>
      </c>
      <c r="CB22" s="74" t="inlineStr">
        <is>
          <t>estrutura_incomparavel</t>
        </is>
      </c>
    </row>
    <row r="23" ht="31.5" customHeight="1">
      <c r="A23" s="75" t="n">
        <v>19</v>
      </c>
      <c r="B23" s="142" t="n">
        <v>54083697000130</v>
      </c>
      <c r="C23" s="75" t="inlineStr">
        <is>
          <t>54.083.697/0001-30</t>
        </is>
      </c>
      <c r="D23" s="75" t="inlineStr">
        <is>
          <t>PERNAMBUCANAS FIDC DE RESPONSABILIDADE LIMITADA</t>
        </is>
      </c>
      <c r="E23" s="75" t="inlineStr">
        <is>
          <t>PERNAMBUCANAS FIDC DE RESPONSABILIDADE LIMITADA</t>
        </is>
      </c>
      <c r="F23" s="75" t="inlineStr">
        <is>
          <t>Carteira 101</t>
        </is>
      </c>
      <c r="G23" s="75" t="inlineStr">
        <is>
          <t>2026-08</t>
        </is>
      </c>
      <c r="H23" s="75" t="inlineStr">
        <is>
          <t>localizado</t>
        </is>
      </c>
      <c r="I23" s="143" t="n">
        <v>228990981.18</v>
      </c>
      <c r="J23" s="143" t="n">
        <v>228990981.1799838</v>
      </c>
      <c r="K23" s="143" t="n">
        <v>24439726.82998375</v>
      </c>
      <c r="L23" s="144" t="n">
        <v>0.1067279012651277</v>
      </c>
      <c r="M23" s="75" t="inlineStr">
        <is>
          <t>Calculado com classes reportadas e PL oficial reconciliado</t>
        </is>
      </c>
      <c r="N23" s="144" t="n">
        <v>0.1</v>
      </c>
      <c r="O23" s="144" t="inlineStr">
        <is>
          <t>N/D</t>
        </is>
      </c>
      <c r="P23" s="144" t="inlineStr">
        <is>
          <t>N/D</t>
        </is>
      </c>
      <c r="Q23" s="144" t="n">
        <v>0.1</v>
      </c>
      <c r="R23" s="144" t="inlineStr">
        <is>
          <t>N/D</t>
        </is>
      </c>
      <c r="S23" s="144" t="n">
        <v>0.1</v>
      </c>
      <c r="T23" s="75" t="inlineStr">
        <is>
          <t>10,0%</t>
        </is>
      </c>
      <c r="U23" s="75" t="inlineStr">
        <is>
          <t>junior_pl</t>
        </is>
      </c>
      <c r="V23" s="75" t="inlineStr">
        <is>
          <t>direto no regulamento</t>
        </is>
      </c>
      <c r="W23" s="75" t="b">
        <v>1</v>
      </c>
      <c r="X23" s="75" t="inlineStr">
        <is>
          <t>Estrutura com uma única classe subordinada; métrica atual e piso usam o total subordinado sobre o PL.</t>
        </is>
      </c>
      <c r="Y23" s="75" t="b">
        <v>0</v>
      </c>
      <c r="Z23" s="144" t="n">
        <v>0.006727901265127664</v>
      </c>
      <c r="AA23" s="144" t="n">
        <v>0.007475445850141849</v>
      </c>
      <c r="AB23" s="75" t="inlineStr">
        <is>
          <t>folga estreita</t>
        </is>
      </c>
      <c r="AC23" s="75" t="inlineStr">
        <is>
          <t>Agro, Indústria e Comércio</t>
        </is>
      </c>
      <c r="AD23" s="75" t="inlineStr">
        <is>
          <t>Multicarteira Agro, Indústria e Comércio</t>
        </is>
      </c>
      <c r="AE23" s="75" t="inlineStr">
        <is>
          <t>Agro / Revenda</t>
        </is>
      </c>
      <c r="AF23" s="75" t="inlineStr">
        <is>
          <t>Agro / Revenda</t>
        </is>
      </c>
      <c r="AG23" s="75" t="inlineStr">
        <is>
          <t>Agro / Revenda</t>
        </is>
      </c>
      <c r="AH23" s="75" t="inlineStr">
        <is>
          <t>Adquirência</t>
        </is>
      </c>
      <c r="AI23" s="75" t="inlineStr">
        <is>
          <t>Recebíveis de transações de pagamento Pernambucanas</t>
        </is>
      </c>
      <c r="AJ23" s="75" t="b">
        <v>1</v>
      </c>
      <c r="AK23" s="75" t="inlineStr">
        <is>
          <t>APLICAR_ALTA</t>
        </is>
      </c>
      <c r="AL23" s="75" t="inlineStr">
        <is>
          <t>Contratos de adquirência, bandeiras, emissores e transações de pagamento</t>
        </is>
      </c>
      <c r="AM23" s="75" t="inlineStr">
        <is>
          <t>regulamento 640301, 119 páginas</t>
        </is>
      </c>
      <c r="AN23" s="75" t="inlineStr">
        <is>
          <t>Não</t>
        </is>
      </c>
      <c r="AO23" s="75" t="inlineStr">
        <is>
          <t>regulamento 640301, 119 páginas</t>
        </is>
      </c>
      <c r="AP23" s="75" t="b">
        <v>0</v>
      </c>
      <c r="AQ23" s="75" t="inlineStr">
        <is>
          <t>Adquirência</t>
        </is>
      </c>
      <c r="AR23" s="75" t="inlineStr">
        <is>
          <t>Agro / Revenda</t>
        </is>
      </c>
      <c r="AS23" s="75" t="b">
        <v>1</v>
      </c>
      <c r="AT23" s="75" t="inlineStr">
        <is>
          <t>regulamento 640301, 119 páginas</t>
        </is>
      </c>
      <c r="AU23" s="75" t="inlineStr">
        <is>
          <t>Contratos de adquirência, bandeiras, emissores e transações de pagamento</t>
        </is>
      </c>
      <c r="AV23" s="75" t="inlineStr">
        <is>
          <t>10%–15%</t>
        </is>
      </c>
      <c r="AW23" s="75" t="b">
        <v>1</v>
      </c>
      <c r="AX23" s="75" t="inlineStr">
        <is>
          <t>até 2 p.p. acima</t>
        </is>
      </c>
      <c r="AY23" s="75" t="inlineStr">
        <is>
          <t>sem benchmark confiável</t>
        </is>
      </c>
      <c r="AZ23" s="144" t="inlineStr">
        <is>
          <t>N/D</t>
        </is>
      </c>
      <c r="BA23" s="75" t="b">
        <v>0</v>
      </c>
      <c r="BB23" s="145" t="n">
        <v>0</v>
      </c>
      <c r="BC23" s="143" t="inlineStr">
        <is>
          <t>N/D</t>
        </is>
      </c>
      <c r="BD23" s="75" t="inlineStr">
        <is>
          <t>N/D</t>
        </is>
      </c>
      <c r="BE23" s="75" t="inlineStr">
        <is>
          <t>N/D</t>
        </is>
      </c>
      <c r="BF23" s="75" t="inlineStr">
        <is>
          <t>N/D</t>
        </is>
      </c>
      <c r="BG23" s="75" t="inlineStr">
        <is>
          <t>N/D</t>
        </is>
      </c>
      <c r="BH23" s="75" t="inlineStr">
        <is>
          <t>N/D</t>
        </is>
      </c>
      <c r="BI23" s="75" t="inlineStr">
        <is>
          <t>N/D</t>
        </is>
      </c>
      <c r="BJ23" s="75" t="inlineStr">
        <is>
          <t>não localizado</t>
        </is>
      </c>
      <c r="BK23" s="75" t="b">
        <v>0</v>
      </c>
      <c r="BL23" s="75" t="inlineStr">
        <is>
          <t>Pernambucanas</t>
        </is>
      </c>
      <c r="BM23" s="75" t="inlineStr">
        <is>
          <t>cedente</t>
        </is>
      </c>
      <c r="BN23" s="75" t="inlineStr">
        <is>
          <t>N/D</t>
        </is>
      </c>
      <c r="BO23" s="75" t="inlineStr">
        <is>
          <t>a ARTHUR LUNDGREN TECIDOS S.A CASAS PERNAMBUCANAS, sociedade anônima, sem registro de companhia aberta perante à CVM, com sede na Cidade de São Paulo, Estado de São Paulo, na Rua da Consolação, 2.411, 2387, Consolação, CEP 01301-100, inscrita no CNPJ sob o nº 61.09 9.834/0001-90, sendo certo que transações realizadas sob o CNPJ de quaisquer filiais estão abrangidas nesta definição</t>
        </is>
      </c>
      <c r="BP23" s="75" t="inlineStr">
        <is>
          <t>N/D</t>
        </is>
      </c>
      <c r="BQ23" s="75" t="inlineStr">
        <is>
          <t>N/D</t>
        </is>
      </c>
      <c r="BR23" s="75" t="inlineStr">
        <is>
          <t>cedente: https://fnet.bmfbovespa.com.br/fnet/publico/downloadDocumento?id=628851</t>
        </is>
      </c>
      <c r="BS23" s="75" t="inlineStr">
        <is>
          <t>manual_aplicado</t>
        </is>
      </c>
      <c r="BT23" s="75" t="inlineStr">
        <is>
          <t>N/D</t>
        </is>
      </c>
      <c r="BU23" s="75" t="inlineStr">
        <is>
          <t>640301</t>
        </is>
      </c>
      <c r="BV23" s="75" t="inlineStr">
        <is>
          <t>2024-04-12</t>
        </is>
      </c>
      <c r="BW23" s="75" t="inlineStr">
        <is>
          <t>84</t>
        </is>
      </c>
      <c r="BX23" s="75" t="inlineStr">
        <is>
          <t>revisto — mínimo júnior localizado</t>
        </is>
      </c>
      <c r="BY23" s="75" t="inlineStr">
        <is>
          <t>FundosNet/B3; documento 640301; referência 2024-04-12; p. 84</t>
        </is>
      </c>
      <c r="BZ23" s="75" t="inlineStr">
        <is>
          <t>Cotas subordinadas júnior / PL, mínimo de 10,0%.</t>
        </is>
      </c>
      <c r="CA23" s="75" t="inlineStr">
        <is>
          <t>preço unitário da cota; originador; sacado/devedor; tipo de recebível</t>
        </is>
      </c>
      <c r="CB23" s="75" t="inlineStr">
        <is>
          <t>completo_para_folga</t>
        </is>
      </c>
    </row>
    <row r="24" ht="31.5" customHeight="1">
      <c r="A24" s="74" t="n">
        <v>20</v>
      </c>
      <c r="B24" s="138" t="n">
        <v>56936116000191</v>
      </c>
      <c r="C24" s="74" t="inlineStr">
        <is>
          <t>56.936.116/0001-91</t>
        </is>
      </c>
      <c r="D24" s="74" t="inlineStr">
        <is>
          <t>FATOR TARKEN FIAGRO</t>
        </is>
      </c>
      <c r="E24" s="74" t="inlineStr">
        <is>
          <t>FATOR TARKEN FUNDO DE INVESTIMENTO EM DIREITOS CRE</t>
        </is>
      </c>
      <c r="F24" s="74" t="inlineStr">
        <is>
          <t>Carteira 101</t>
        </is>
      </c>
      <c r="G24" s="74" t="inlineStr">
        <is>
          <t>2026-08</t>
        </is>
      </c>
      <c r="H24" s="74" t="inlineStr">
        <is>
          <t>localizado</t>
        </is>
      </c>
      <c r="I24" s="139" t="inlineStr">
        <is>
          <t>N/D</t>
        </is>
      </c>
      <c r="J24" s="139" t="inlineStr">
        <is>
          <t>N/D</t>
        </is>
      </c>
      <c r="K24" s="139" t="inlineStr">
        <is>
          <t>N/D</t>
        </is>
      </c>
      <c r="L24" s="140" t="inlineStr">
        <is>
          <t>N/D</t>
        </is>
      </c>
      <c r="M24" s="74" t="inlineStr">
        <is>
          <t>PL oficial ausente em 2026-08</t>
        </is>
      </c>
      <c r="N24" s="140" t="n">
        <v>0.03</v>
      </c>
      <c r="O24" s="140" t="inlineStr">
        <is>
          <t>N/D</t>
        </is>
      </c>
      <c r="P24" s="140" t="inlineStr">
        <is>
          <t>N/D</t>
        </is>
      </c>
      <c r="Q24" s="140" t="inlineStr">
        <is>
          <t>N/D</t>
        </is>
      </c>
      <c r="R24" s="140" t="inlineStr">
        <is>
          <t>N/D</t>
        </is>
      </c>
      <c r="S24" s="140" t="n">
        <v>0.03</v>
      </c>
      <c r="T24" s="74" t="inlineStr">
        <is>
          <t>N/D</t>
        </is>
      </c>
      <c r="U24" s="74" t="inlineStr">
        <is>
          <t>junior_pl</t>
        </is>
      </c>
      <c r="V24" s="74" t="inlineStr">
        <is>
          <t>direto no regulamento</t>
        </is>
      </c>
      <c r="W24" s="74" t="b">
        <v>0</v>
      </c>
      <c r="X24" s="74" t="inlineStr">
        <is>
          <t>Mínimo júnior isolado; a subordinação atual disponível agrega todas as classes subordinadas.</t>
        </is>
      </c>
      <c r="Y24" s="74" t="b">
        <v>0</v>
      </c>
      <c r="Z24" s="140" t="inlineStr">
        <is>
          <t>N/D</t>
        </is>
      </c>
      <c r="AA24" s="140" t="inlineStr">
        <is>
          <t>N/D</t>
        </is>
      </c>
      <c r="AB24" s="74" t="inlineStr">
        <is>
          <t>não medido</t>
        </is>
      </c>
      <c r="AC24" s="74" t="inlineStr">
        <is>
          <t>Agro, Indústria e Comércio</t>
        </is>
      </c>
      <c r="AD24" s="74" t="inlineStr">
        <is>
          <t>Recebíveis Comerciais</t>
        </is>
      </c>
      <c r="AE24" s="74" t="inlineStr">
        <is>
          <t>Agro / Revenda</t>
        </is>
      </c>
      <c r="AF24" s="74" t="inlineStr">
        <is>
          <t>Agro / Revenda</t>
        </is>
      </c>
      <c r="AG24" s="74" t="inlineStr">
        <is>
          <t>Agro / Revenda</t>
        </is>
      </c>
      <c r="AH24" s="74" t="inlineStr">
        <is>
          <t>Agro / Revenda</t>
        </is>
      </c>
      <c r="AI24" s="74" t="inlineStr">
        <is>
          <t>Multicedente/multisacado, recebível comercial a confirmar</t>
        </is>
      </c>
      <c r="AJ24" s="74" t="b">
        <v>0</v>
      </c>
      <c r="AK24" s="74" t="inlineStr">
        <is>
          <t>PENDENTE_TIPO_LASTRO</t>
        </is>
      </c>
      <c r="AL24" s="74" t="inlineStr">
        <is>
          <t>Cedentes e devedores genéricos, sem natureza contratual isolada</t>
        </is>
      </c>
      <c r="AM24" s="74" t="inlineStr">
        <is>
          <t>documento 950915 + regulamento 1023213</t>
        </is>
      </c>
      <c r="AN24" s="74" t="inlineStr">
        <is>
          <t>Candidato</t>
        </is>
      </c>
      <c r="AO24" s="74" t="inlineStr">
        <is>
          <t>documento 950915 + regulamento 1023213</t>
        </is>
      </c>
      <c r="AP24" s="74" t="inlineStr">
        <is>
          <t>N/D</t>
        </is>
      </c>
      <c r="AQ24" s="74" t="inlineStr">
        <is>
          <t>Agro / Revenda</t>
        </is>
      </c>
      <c r="AR24" s="74" t="inlineStr">
        <is>
          <t>Agro / Revenda</t>
        </is>
      </c>
      <c r="AS24" s="74" t="b">
        <v>0</v>
      </c>
      <c r="AT24" s="74" t="inlineStr">
        <is>
          <t>N/D</t>
        </is>
      </c>
      <c r="AU24" s="74" t="inlineStr">
        <is>
          <t>N/D</t>
        </is>
      </c>
      <c r="AV24" s="74" t="inlineStr">
        <is>
          <t>N/D</t>
        </is>
      </c>
      <c r="AW24" s="74" t="b">
        <v>0</v>
      </c>
      <c r="AX24" s="74" t="inlineStr">
        <is>
          <t>N/D</t>
        </is>
      </c>
      <c r="AY24" s="74" t="inlineStr">
        <is>
          <t>sem benchmark confiável</t>
        </is>
      </c>
      <c r="AZ24" s="140" t="inlineStr">
        <is>
          <t>N/D</t>
        </is>
      </c>
      <c r="BA24" s="74" t="b">
        <v>0</v>
      </c>
      <c r="BB24" s="141" t="n">
        <v>0</v>
      </c>
      <c r="BC24" s="139" t="inlineStr">
        <is>
          <t>N/D</t>
        </is>
      </c>
      <c r="BD24" s="74" t="inlineStr">
        <is>
          <t>Cotas Subordinadas Júnior: R$ 658,96 | Cotas Subordinadas Mezanino: R$ 1.000,00</t>
        </is>
      </c>
      <c r="BE24" s="74" t="inlineStr">
        <is>
          <t>valor nominal unitário (VNU)</t>
        </is>
      </c>
      <c r="BF24" s="74" t="inlineStr">
        <is>
          <t>Cotas Subordinadas Júnior | Cotas Subordinadas Mezanino</t>
        </is>
      </c>
      <c r="BG24" s="74" t="inlineStr">
        <is>
          <t>06/11/2025</t>
        </is>
      </c>
      <c r="BH24" s="74" t="inlineStr">
        <is>
          <t>1030090</t>
        </is>
      </c>
      <c r="BI24" s="74" t="inlineStr">
        <is>
          <t>https://fnet.bmfbovespa.com.br/fnet/publico/downloadDocumento?id=1030090</t>
        </is>
      </c>
      <c r="BJ24" s="74" t="inlineStr">
        <is>
          <t>localizado documentalmente — múltiplos valores/classes</t>
        </is>
      </c>
      <c r="BK24" s="74" t="b">
        <v>1</v>
      </c>
      <c r="BL24" s="74" t="inlineStr">
        <is>
          <t>Multicedente</t>
        </is>
      </c>
      <c r="BM24" s="74" t="inlineStr">
        <is>
          <t>cedente</t>
        </is>
      </c>
      <c r="BN24" s="74" t="inlineStr">
        <is>
          <t>N/D</t>
        </is>
      </c>
      <c r="BO24" s="74" t="inlineStr">
        <is>
          <t>um titular de Direitos Creditórios , que realiza transferência do referido Direito Creditório ao Fundo</t>
        </is>
      </c>
      <c r="BP24" s="74" t="inlineStr">
        <is>
          <t>os devedores dos Direitos Creditórios</t>
        </is>
      </c>
      <c r="BQ24" s="74" t="inlineStr">
        <is>
          <t>N/D</t>
        </is>
      </c>
      <c r="BR24" s="74" t="inlineStr">
        <is>
          <t>cedente: https://fnet.bmfbovespa.com.br/fnet/publico/downloadDocumento?id=950915 | sacado_devedor: https://fnet.bmfbovespa.com.br/fnet/publico/downloadDocumento?id=950915</t>
        </is>
      </c>
      <c r="BS24" s="74" t="inlineStr">
        <is>
          <t>manual_aplicado</t>
        </is>
      </c>
      <c r="BT24" s="74" t="inlineStr">
        <is>
          <t>OBS da foto: conta com seguro de crédito. Denominação cortada.</t>
        </is>
      </c>
      <c r="BU24" s="74" t="inlineStr">
        <is>
          <t>1023213</t>
        </is>
      </c>
      <c r="BV24" s="74" t="inlineStr">
        <is>
          <t>2025-10-27</t>
        </is>
      </c>
      <c r="BW24" s="74" t="inlineStr">
        <is>
          <t>61</t>
        </is>
      </c>
      <c r="BX24" s="74" t="inlineStr">
        <is>
          <t>revisto — mínimo júnior localizado</t>
        </is>
      </c>
      <c r="BY24" s="74" t="inlineStr">
        <is>
          <t>FundosNet/B3; documento 1023213; referência 2025-10-27; p. 61</t>
        </is>
      </c>
      <c r="BZ24" s="74" t="inlineStr">
        <is>
          <t>Índice de Subordinação Mezanino: cotas júnior / PL, mínimo de 3,0%.</t>
        </is>
      </c>
      <c r="CA24" s="74" t="inlineStr">
        <is>
          <t>PL atual; Sub/PL atual; originador; tipo de recebível</t>
        </is>
      </c>
      <c r="CB24" s="74" t="inlineStr">
        <is>
          <t>sub_pl_atual_ausente</t>
        </is>
      </c>
    </row>
    <row r="25" ht="31.5" customHeight="1">
      <c r="A25" s="75" t="n">
        <v>21</v>
      </c>
      <c r="B25" s="142" t="n">
        <v>50089559000108</v>
      </c>
      <c r="C25" s="75" t="inlineStr">
        <is>
          <t>50.089.559/0001-08</t>
        </is>
      </c>
      <c r="D25" s="75" t="inlineStr">
        <is>
          <t>AGRICONNECTION FIAGRO</t>
        </is>
      </c>
      <c r="E25" s="75" t="inlineStr">
        <is>
          <t>AGRICONNECTION FIAGRO DIREITOS CREDITORIOS</t>
        </is>
      </c>
      <c r="F25" s="75" t="inlineStr">
        <is>
          <t>Carteira 101</t>
        </is>
      </c>
      <c r="G25" s="75" t="inlineStr">
        <is>
          <t>2026-08</t>
        </is>
      </c>
      <c r="H25" s="75" t="inlineStr">
        <is>
          <t>localizado</t>
        </is>
      </c>
      <c r="I25" s="143" t="inlineStr">
        <is>
          <t>N/D</t>
        </is>
      </c>
      <c r="J25" s="143" t="inlineStr">
        <is>
          <t>N/D</t>
        </is>
      </c>
      <c r="K25" s="143" t="inlineStr">
        <is>
          <t>N/D</t>
        </is>
      </c>
      <c r="L25" s="144" t="inlineStr">
        <is>
          <t>N/D</t>
        </is>
      </c>
      <c r="M25" s="75" t="inlineStr">
        <is>
          <t>PL oficial ausente em 2026-08</t>
        </is>
      </c>
      <c r="N25" s="144" t="n">
        <v>0.15</v>
      </c>
      <c r="O25" s="144" t="inlineStr">
        <is>
          <t>N/D</t>
        </is>
      </c>
      <c r="P25" s="144" t="inlineStr">
        <is>
          <t>N/D</t>
        </is>
      </c>
      <c r="Q25" s="144" t="inlineStr">
        <is>
          <t>N/D</t>
        </is>
      </c>
      <c r="R25" s="144" t="inlineStr">
        <is>
          <t>N/D</t>
        </is>
      </c>
      <c r="S25" s="144" t="n">
        <v>0.15</v>
      </c>
      <c r="T25" s="75" t="inlineStr">
        <is>
          <t>N/D</t>
        </is>
      </c>
      <c r="U25" s="75" t="inlineStr">
        <is>
          <t>junior_pl</t>
        </is>
      </c>
      <c r="V25" s="75" t="inlineStr">
        <is>
          <t>direto no regulamento</t>
        </is>
      </c>
      <c r="W25" s="75" t="b">
        <v>0</v>
      </c>
      <c r="X25" s="75" t="inlineStr">
        <is>
          <t>Mínimo júnior isolado; a subordinação atual disponível agrega todas as classes subordinadas.</t>
        </is>
      </c>
      <c r="Y25" s="75" t="b">
        <v>0</v>
      </c>
      <c r="Z25" s="144" t="inlineStr">
        <is>
          <t>N/D</t>
        </is>
      </c>
      <c r="AA25" s="144" t="inlineStr">
        <is>
          <t>N/D</t>
        </is>
      </c>
      <c r="AB25" s="75" t="inlineStr">
        <is>
          <t>não medido</t>
        </is>
      </c>
      <c r="AC25" s="75" t="inlineStr">
        <is>
          <t>Agro, Indústria e Comércio</t>
        </is>
      </c>
      <c r="AD25" s="75" t="inlineStr">
        <is>
          <t>Agronegócio</t>
        </is>
      </c>
      <c r="AE25" s="75" t="inlineStr">
        <is>
          <t>Agro / Revenda</t>
        </is>
      </c>
      <c r="AF25" s="75" t="inlineStr">
        <is>
          <t>Agro / Revenda</t>
        </is>
      </c>
      <c r="AG25" s="75" t="inlineStr">
        <is>
          <t>Agro / Revenda</t>
        </is>
      </c>
      <c r="AH25" s="75" t="inlineStr">
        <is>
          <t>Agro / Revenda</t>
        </is>
      </c>
      <c r="AI25" s="75" t="inlineStr">
        <is>
          <t>Insumos agrícolas, prazo safra</t>
        </is>
      </c>
      <c r="AJ25" s="75" t="b">
        <v>0</v>
      </c>
      <c r="AK25" s="75" t="inlineStr">
        <is>
          <t>MANTER_ALTA</t>
        </is>
      </c>
      <c r="AL25" s="75" t="inlineStr">
        <is>
          <t>Agriconnection e parceiros cedem créditos da cadeia agro</t>
        </is>
      </c>
      <c r="AM25" s="75" t="inlineStr">
        <is>
          <t>regulamento + IMG_8704</t>
        </is>
      </c>
      <c r="AN25" s="75" t="inlineStr">
        <is>
          <t>Não</t>
        </is>
      </c>
      <c r="AO25" s="75" t="inlineStr">
        <is>
          <t>regulamento + IMG_8704</t>
        </is>
      </c>
      <c r="AP25" s="75" t="b">
        <v>0</v>
      </c>
      <c r="AQ25" s="75" t="inlineStr">
        <is>
          <t>Agro / Revenda</t>
        </is>
      </c>
      <c r="AR25" s="75" t="inlineStr">
        <is>
          <t>Agro / Revenda</t>
        </is>
      </c>
      <c r="AS25" s="75" t="b">
        <v>0</v>
      </c>
      <c r="AT25" s="75" t="inlineStr">
        <is>
          <t>N/D</t>
        </is>
      </c>
      <c r="AU25" s="75" t="inlineStr">
        <is>
          <t>N/D</t>
        </is>
      </c>
      <c r="AV25" s="75" t="inlineStr">
        <is>
          <t>N/D</t>
        </is>
      </c>
      <c r="AW25" s="75" t="b">
        <v>0</v>
      </c>
      <c r="AX25" s="75" t="inlineStr">
        <is>
          <t>N/D</t>
        </is>
      </c>
      <c r="AY25" s="75" t="inlineStr">
        <is>
          <t>sem benchmark confiável</t>
        </is>
      </c>
      <c r="AZ25" s="144" t="inlineStr">
        <is>
          <t>N/D</t>
        </is>
      </c>
      <c r="BA25" s="75" t="b">
        <v>0</v>
      </c>
      <c r="BB25" s="145" t="n">
        <v>0</v>
      </c>
      <c r="BC25" s="143" t="n">
        <v>1000</v>
      </c>
      <c r="BD25" s="75" t="inlineStr">
        <is>
          <t>Cotas Subordinadas Júnior: R$1.000,00</t>
        </is>
      </c>
      <c r="BE25" s="75" t="inlineStr">
        <is>
          <t>valor nominal unitário (VNU)</t>
        </is>
      </c>
      <c r="BF25" s="75" t="inlineStr">
        <is>
          <t>Cotas Subordinadas Júnior</t>
        </is>
      </c>
      <c r="BG25" s="75" t="inlineStr">
        <is>
          <t>27/11/2024 11:00</t>
        </is>
      </c>
      <c r="BH25" s="75" t="inlineStr">
        <is>
          <t>789349</t>
        </is>
      </c>
      <c r="BI25" s="75" t="inlineStr">
        <is>
          <t>https://fnet.bmfbovespa.com.br/fnet/publico/downloadDocumento?id=789349</t>
        </is>
      </c>
      <c r="BJ25" s="75" t="inlineStr">
        <is>
          <t>localizado documentalmente</t>
        </is>
      </c>
      <c r="BK25" s="75" t="b">
        <v>0</v>
      </c>
      <c r="BL25" s="75" t="inlineStr">
        <is>
          <t>Agriconnection</t>
        </is>
      </c>
      <c r="BM25" s="75" t="inlineStr">
        <is>
          <t>cedente</t>
        </is>
      </c>
      <c r="BN25" s="75" t="inlineStr">
        <is>
          <t>N/D</t>
        </is>
      </c>
      <c r="BO25" s="75" t="inlineStr">
        <is>
          <t>a Agriconnection e, as Empresas do Grupo Econômico da Agriconnection, os Cedentes Parceiros A e os Cedentes Parceiros B quando mencionados em conjunto</t>
        </is>
      </c>
      <c r="BP25" s="75" t="inlineStr">
        <is>
          <t>os devedores dos Direitos Creditórios, os quais são clientes de uma das Cedentes</t>
        </is>
      </c>
      <c r="BQ25" s="75" t="inlineStr">
        <is>
          <t>Insumos Agrícolas - prazo Safra</t>
        </is>
      </c>
      <c r="BR25" s="75" t="inlineStr">
        <is>
          <t>cedente: https://fnet.bmfbovespa.com.br/fnet/publico/downloadDocumento?id=882388 | sacado_devedor: https://fnet.bmfbovespa.com.br/fnet/publico/downloadDocumento?id=999633 | tipo_recebivel: IMG_8704.JPG</t>
        </is>
      </c>
      <c r="BS25" s="75" t="inlineStr">
        <is>
          <t>manual_aplicado</t>
        </is>
      </c>
      <c r="BT25" s="75" t="inlineStr">
        <is>
          <t>N/D</t>
        </is>
      </c>
      <c r="BU25" s="75" t="inlineStr">
        <is>
          <t>999633</t>
        </is>
      </c>
      <c r="BV25" s="75" t="inlineStr">
        <is>
          <t>2025-09-26</t>
        </is>
      </c>
      <c r="BW25" s="75" t="inlineStr">
        <is>
          <t>52</t>
        </is>
      </c>
      <c r="BX25" s="75" t="inlineStr">
        <is>
          <t>revisto — mínimo júnior localizado</t>
        </is>
      </c>
      <c r="BY25" s="75" t="inlineStr">
        <is>
          <t>FundosNet/B3; documento 999633; referência 2025-09-26; p. 52</t>
        </is>
      </c>
      <c r="BZ25" s="75" t="inlineStr">
        <is>
          <t>Índice de Subordinação Júnior: cotas júnior / PL, mínimo de 15,0%.</t>
        </is>
      </c>
      <c r="CA25" s="75" t="inlineStr">
        <is>
          <t>PL atual; Sub/PL atual; originador</t>
        </is>
      </c>
      <c r="CB25" s="75" t="inlineStr">
        <is>
          <t>sub_pl_atual_ausente</t>
        </is>
      </c>
    </row>
    <row r="26" ht="31.5" customHeight="1">
      <c r="A26" s="74" t="n">
        <v>22</v>
      </c>
      <c r="B26" s="138" t="n">
        <v>57131490000182</v>
      </c>
      <c r="C26" s="74" t="inlineStr">
        <is>
          <t>57.131.490/0001-82</t>
        </is>
      </c>
      <c r="D26" s="74" t="inlineStr">
        <is>
          <t>PONTO RURAL FIAGRO RESPONSABILIDADE LIMITADA</t>
        </is>
      </c>
      <c r="E26" s="74" t="inlineStr">
        <is>
          <t>PONTO RURAL FIAGRO FIDC LTDA</t>
        </is>
      </c>
      <c r="F26" s="74" t="inlineStr">
        <is>
          <t>Carteira 101</t>
        </is>
      </c>
      <c r="G26" s="74" t="inlineStr">
        <is>
          <t>2026-08</t>
        </is>
      </c>
      <c r="H26" s="74" t="inlineStr">
        <is>
          <t>localizado</t>
        </is>
      </c>
      <c r="I26" s="139" t="inlineStr">
        <is>
          <t>N/D</t>
        </is>
      </c>
      <c r="J26" s="139" t="inlineStr">
        <is>
          <t>N/D</t>
        </is>
      </c>
      <c r="K26" s="139" t="inlineStr">
        <is>
          <t>N/D</t>
        </is>
      </c>
      <c r="L26" s="140" t="inlineStr">
        <is>
          <t>N/D</t>
        </is>
      </c>
      <c r="M26" s="74" t="inlineStr">
        <is>
          <t>PL oficial ausente em 2026-08</t>
        </is>
      </c>
      <c r="N26" s="140" t="inlineStr">
        <is>
          <t>N/D</t>
        </is>
      </c>
      <c r="O26" s="140" t="inlineStr">
        <is>
          <t>N/D</t>
        </is>
      </c>
      <c r="P26" s="140" t="inlineStr">
        <is>
          <t>N/D</t>
        </is>
      </c>
      <c r="Q26" s="140" t="n">
        <v>0.5</v>
      </c>
      <c r="R26" s="140" t="inlineStr">
        <is>
          <t>N/D</t>
        </is>
      </c>
      <c r="S26" s="140" t="n">
        <v>0.5</v>
      </c>
      <c r="T26" s="74" t="inlineStr">
        <is>
          <t>50,0%*</t>
        </is>
      </c>
      <c r="U26" s="74" t="inlineStr">
        <is>
          <t>suporte_total_pl</t>
        </is>
      </c>
      <c r="V26" s="74" t="inlineStr">
        <is>
          <t>direto no regulamento</t>
        </is>
      </c>
      <c r="W26" s="74" t="b">
        <v>1</v>
      </c>
      <c r="X26" s="74" t="inlineStr">
        <is>
          <t>Suporte total ou combinado; não representa mínimo júnior isolado.</t>
        </is>
      </c>
      <c r="Y26" s="74" t="b">
        <v>1</v>
      </c>
      <c r="Z26" s="140" t="inlineStr">
        <is>
          <t>N/D</t>
        </is>
      </c>
      <c r="AA26" s="140" t="inlineStr">
        <is>
          <t>N/D</t>
        </is>
      </c>
      <c r="AB26" s="74" t="inlineStr">
        <is>
          <t>não medido</t>
        </is>
      </c>
      <c r="AC26" s="74" t="inlineStr">
        <is>
          <t>Agro, Indústria e Comércio</t>
        </is>
      </c>
      <c r="AD26" s="74" t="inlineStr">
        <is>
          <t>Recebíveis Comerciais</t>
        </is>
      </c>
      <c r="AE26" s="74" t="inlineStr">
        <is>
          <t>Agro / Revenda</t>
        </is>
      </c>
      <c r="AF26" s="74" t="inlineStr">
        <is>
          <t>Agro / Revenda</t>
        </is>
      </c>
      <c r="AG26" s="74" t="inlineStr">
        <is>
          <t>Agro / Revenda</t>
        </is>
      </c>
      <c r="AH26" s="74" t="inlineStr">
        <is>
          <t>Agro / Revenda</t>
        </is>
      </c>
      <c r="AI26" s="74" t="inlineStr">
        <is>
          <t>Insumos agrícolas, prazo safra</t>
        </is>
      </c>
      <c r="AJ26" s="74" t="b">
        <v>0</v>
      </c>
      <c r="AK26" s="74" t="inlineStr">
        <is>
          <t>MANTER_ALTA</t>
        </is>
      </c>
      <c r="AL26" s="74" t="inlineStr">
        <is>
          <t>Ponto Rural e grupo cedem créditos de clientes agro</t>
        </is>
      </c>
      <c r="AM26" s="74" t="inlineStr">
        <is>
          <t>regulamento + IMG_8704</t>
        </is>
      </c>
      <c r="AN26" s="74" t="inlineStr">
        <is>
          <t>Não</t>
        </is>
      </c>
      <c r="AO26" s="74" t="inlineStr">
        <is>
          <t>regulamento + IMG_8704</t>
        </is>
      </c>
      <c r="AP26" s="74" t="b">
        <v>0</v>
      </c>
      <c r="AQ26" s="74" t="inlineStr">
        <is>
          <t>Agro / Revenda</t>
        </is>
      </c>
      <c r="AR26" s="74" t="inlineStr">
        <is>
          <t>Agro / Revenda</t>
        </is>
      </c>
      <c r="AS26" s="74" t="b">
        <v>0</v>
      </c>
      <c r="AT26" s="74" t="inlineStr">
        <is>
          <t>N/D</t>
        </is>
      </c>
      <c r="AU26" s="74" t="inlineStr">
        <is>
          <t>N/D</t>
        </is>
      </c>
      <c r="AV26" s="74" t="inlineStr">
        <is>
          <t>N/D</t>
        </is>
      </c>
      <c r="AW26" s="74" t="b">
        <v>0</v>
      </c>
      <c r="AX26" s="74" t="inlineStr">
        <is>
          <t>N/D</t>
        </is>
      </c>
      <c r="AY26" s="74" t="inlineStr">
        <is>
          <t>sem benchmark confiável</t>
        </is>
      </c>
      <c r="AZ26" s="140" t="inlineStr">
        <is>
          <t>N/D</t>
        </is>
      </c>
      <c r="BA26" s="74" t="b">
        <v>0</v>
      </c>
      <c r="BB26" s="141" t="n">
        <v>0</v>
      </c>
      <c r="BC26" s="139" t="inlineStr">
        <is>
          <t>N/D</t>
        </is>
      </c>
      <c r="BD26" s="74" t="inlineStr">
        <is>
          <t>N/D</t>
        </is>
      </c>
      <c r="BE26" s="74" t="inlineStr">
        <is>
          <t>N/D</t>
        </is>
      </c>
      <c r="BF26" s="74" t="inlineStr">
        <is>
          <t>N/D</t>
        </is>
      </c>
      <c r="BG26" s="74" t="inlineStr">
        <is>
          <t>N/D</t>
        </is>
      </c>
      <c r="BH26" s="74" t="inlineStr">
        <is>
          <t>N/D</t>
        </is>
      </c>
      <c r="BI26" s="74" t="inlineStr">
        <is>
          <t>N/D</t>
        </is>
      </c>
      <c r="BJ26" s="74" t="inlineStr">
        <is>
          <t>não localizado</t>
        </is>
      </c>
      <c r="BK26" s="74" t="b">
        <v>0</v>
      </c>
      <c r="BL26" s="74" t="inlineStr">
        <is>
          <t>PONTO RURAL</t>
        </is>
      </c>
      <c r="BM26" s="74" t="inlineStr">
        <is>
          <t>cedente</t>
        </is>
      </c>
      <c r="BN26" s="74" t="inlineStr">
        <is>
          <t>N/D</t>
        </is>
      </c>
      <c r="BO26" s="74" t="inlineStr">
        <is>
          <t>a Ponto Rural e as Empresas do Grupo Econômico da Ponto Rural, quando mencionadas em conjunto</t>
        </is>
      </c>
      <c r="BP26" s="74" t="inlineStr">
        <is>
          <t>os devedores dos Direitos Creditórios , os quais são clientes de uma das Cedentes</t>
        </is>
      </c>
      <c r="BQ26" s="74" t="inlineStr">
        <is>
          <t>Insumos Agrícolas - prazo Safra</t>
        </is>
      </c>
      <c r="BR26" s="74" t="inlineStr">
        <is>
          <t>cedente: https://fnet.bmfbovespa.com.br/fnet/publico/downloadDocumento?id=995970 | sacado_devedor: https://fnet.bmfbovespa.com.br/fnet/publico/downloadDocumento?id=995970 | tipo_recebivel: IMG_8704.JPG</t>
        </is>
      </c>
      <c r="BS26" s="74" t="inlineStr">
        <is>
          <t>manual_aplicado</t>
        </is>
      </c>
      <c r="BT26" s="74" t="inlineStr">
        <is>
          <t>N/D</t>
        </is>
      </c>
      <c r="BU26" s="74" t="inlineStr">
        <is>
          <t>995970</t>
        </is>
      </c>
      <c r="BV26" s="74" t="inlineStr">
        <is>
          <t>2025-09-23</t>
        </is>
      </c>
      <c r="BW26" s="74" t="inlineStr">
        <is>
          <t>39</t>
        </is>
      </c>
      <c r="BX26" s="74" t="inlineStr">
        <is>
          <t>revisto — suporte estrutural total localizado</t>
        </is>
      </c>
      <c r="BY26" s="74" t="inlineStr">
        <is>
          <t>FundosNet/B3; documento 995970; referência 2025-09-23; p. 39</t>
        </is>
      </c>
      <c r="BZ26" s="74" t="inlineStr">
        <is>
          <t>N/D</t>
        </is>
      </c>
      <c r="CA26" s="74" t="inlineStr">
        <is>
          <t>PL atual; Sub/PL atual; preço unitário da cota; originador</t>
        </is>
      </c>
      <c r="CB26" s="74" t="inlineStr">
        <is>
          <t>sub_pl_atual_ausente</t>
        </is>
      </c>
    </row>
    <row r="27" ht="31.5" customHeight="1">
      <c r="A27" s="75" t="n">
        <v>23</v>
      </c>
      <c r="B27" s="142" t="n">
        <v>47151680000108</v>
      </c>
      <c r="C27" s="75" t="inlineStr">
        <is>
          <t>47.151.680/0001-08</t>
        </is>
      </c>
      <c r="D27" s="75" t="inlineStr">
        <is>
          <t>FARM TECH IBBA I FUNDO DE INVESTIMENTO EM DIREITOS CREDITÓRIOS RESPONSABILIDADE LIMITADA</t>
        </is>
      </c>
      <c r="E27" s="75" t="inlineStr">
        <is>
          <t>FARM TECH IBBA I FUNDO DE INVESTIMENTO EM DIREITOS</t>
        </is>
      </c>
      <c r="F27" s="75" t="inlineStr">
        <is>
          <t>Carteira 101</t>
        </is>
      </c>
      <c r="G27" s="75" t="inlineStr">
        <is>
          <t>2026-08</t>
        </is>
      </c>
      <c r="H27" s="75" t="inlineStr">
        <is>
          <t>localizado</t>
        </is>
      </c>
      <c r="I27" s="143" t="n">
        <v>4700128.59</v>
      </c>
      <c r="J27" s="143" t="n">
        <v>4709628.59115</v>
      </c>
      <c r="K27" s="143" t="n">
        <v>4709628.59115</v>
      </c>
      <c r="L27" s="144" t="n">
        <v>1.002021221540664</v>
      </c>
      <c r="M27" s="75" t="inlineStr">
        <is>
          <t>Calculado com classes reportadas e PL oficial reconciliado</t>
        </is>
      </c>
      <c r="N27" s="144" t="inlineStr">
        <is>
          <t>N/D</t>
        </is>
      </c>
      <c r="O27" s="144" t="inlineStr">
        <is>
          <t>N/D</t>
        </is>
      </c>
      <c r="P27" s="144" t="inlineStr">
        <is>
          <t>N/D</t>
        </is>
      </c>
      <c r="Q27" s="144" t="n">
        <v>0.2</v>
      </c>
      <c r="R27" s="144" t="inlineStr">
        <is>
          <t>N/D</t>
        </is>
      </c>
      <c r="S27" s="144" t="n">
        <v>0.2</v>
      </c>
      <c r="T27" s="75" t="inlineStr">
        <is>
          <t>20,0%*</t>
        </is>
      </c>
      <c r="U27" s="75" t="inlineStr">
        <is>
          <t>suporte_total_pl</t>
        </is>
      </c>
      <c r="V27" s="75" t="inlineStr">
        <is>
          <t>calculado: 1 − 1/1,25</t>
        </is>
      </c>
      <c r="W27" s="75" t="b">
        <v>1</v>
      </c>
      <c r="X27" s="75" t="inlineStr">
        <is>
          <t>Suporte total ou combinado; não representa mínimo júnior isolado.</t>
        </is>
      </c>
      <c r="Y27" s="75" t="b">
        <v>1</v>
      </c>
      <c r="Z27" s="144" t="n">
        <v>0.8020212215406644</v>
      </c>
      <c r="AA27" s="144" t="n">
        <v>1.00252652692583</v>
      </c>
      <c r="AB27" s="75" t="inlineStr">
        <is>
          <t>acima do mínimo</t>
        </is>
      </c>
      <c r="AC27" s="75" t="inlineStr">
        <is>
          <t>Agro, Indústria e Comércio</t>
        </is>
      </c>
      <c r="AD27" s="75" t="inlineStr">
        <is>
          <t>Recebíveis Comerciais</t>
        </is>
      </c>
      <c r="AE27" s="75" t="inlineStr">
        <is>
          <t>Agro / Revenda</t>
        </is>
      </c>
      <c r="AF27" s="75" t="inlineStr">
        <is>
          <t>Agro / Revenda</t>
        </is>
      </c>
      <c r="AG27" s="75" t="inlineStr">
        <is>
          <t>Agro / Revenda</t>
        </is>
      </c>
      <c r="AH27" s="75" t="inlineStr">
        <is>
          <t>Agro / Revenda</t>
        </is>
      </c>
      <c r="AI27" s="75" t="inlineStr">
        <is>
          <t>Multicedente agro, lastro específico pendente</t>
        </is>
      </c>
      <c r="AJ27" s="75" t="b">
        <v>0</v>
      </c>
      <c r="AK27" s="75" t="inlineStr">
        <is>
          <t>PENDENTE_DOCUMENTAL</t>
        </is>
      </c>
      <c r="AL27" s="75" t="inlineStr">
        <is>
          <t>Tipo e devedor não localizados</t>
        </is>
      </c>
      <c r="AM27" s="75" t="inlineStr">
        <is>
          <t>IMG_8704 + regulamento 993922, timeout online</t>
        </is>
      </c>
      <c r="AN27" s="75" t="inlineStr">
        <is>
          <t>Pendente</t>
        </is>
      </c>
      <c r="AO27" s="75" t="inlineStr">
        <is>
          <t>IMG_8704 + regulamento 993922, timeout online</t>
        </is>
      </c>
      <c r="AP27" s="75" t="inlineStr">
        <is>
          <t>N/D</t>
        </is>
      </c>
      <c r="AQ27" s="75" t="inlineStr">
        <is>
          <t>Agro / Revenda</t>
        </is>
      </c>
      <c r="AR27" s="75" t="inlineStr">
        <is>
          <t>Agro / Revenda</t>
        </is>
      </c>
      <c r="AS27" s="75" t="b">
        <v>0</v>
      </c>
      <c r="AT27" s="75" t="inlineStr">
        <is>
          <t>N/D</t>
        </is>
      </c>
      <c r="AU27" s="75" t="inlineStr">
        <is>
          <t>N/D</t>
        </is>
      </c>
      <c r="AV27" s="75" t="inlineStr">
        <is>
          <t>≥ 60%</t>
        </is>
      </c>
      <c r="AW27" s="75" t="b">
        <v>1</v>
      </c>
      <c r="AX27" s="75" t="inlineStr">
        <is>
          <t>acima do piso</t>
        </is>
      </c>
      <c r="AY27" s="75" t="inlineStr">
        <is>
          <t>sem benchmark confiável</t>
        </is>
      </c>
      <c r="AZ27" s="144" t="inlineStr">
        <is>
          <t>N/D</t>
        </is>
      </c>
      <c r="BA27" s="75" t="b">
        <v>0</v>
      </c>
      <c r="BB27" s="145" t="n">
        <v>0</v>
      </c>
      <c r="BC27" s="143" t="inlineStr">
        <is>
          <t>N/D</t>
        </is>
      </c>
      <c r="BD27" s="75" t="inlineStr">
        <is>
          <t>N/D</t>
        </is>
      </c>
      <c r="BE27" s="75" t="inlineStr">
        <is>
          <t>N/D</t>
        </is>
      </c>
      <c r="BF27" s="75" t="inlineStr">
        <is>
          <t>N/D</t>
        </is>
      </c>
      <c r="BG27" s="75" t="inlineStr">
        <is>
          <t>N/D</t>
        </is>
      </c>
      <c r="BH27" s="75" t="inlineStr">
        <is>
          <t>N/D</t>
        </is>
      </c>
      <c r="BI27" s="75" t="inlineStr">
        <is>
          <t>N/D</t>
        </is>
      </c>
      <c r="BJ27" s="75" t="inlineStr">
        <is>
          <t>não localizado</t>
        </is>
      </c>
      <c r="BK27" s="75" t="b">
        <v>0</v>
      </c>
      <c r="BL27" s="75" t="inlineStr">
        <is>
          <t>Multicedentes</t>
        </is>
      </c>
      <c r="BM27" s="75" t="inlineStr">
        <is>
          <t>cedente</t>
        </is>
      </c>
      <c r="BN27" s="75" t="inlineStr">
        <is>
          <t>N/D</t>
        </is>
      </c>
      <c r="BO27" s="75" t="inlineStr">
        <is>
          <t>Multicedentes</t>
        </is>
      </c>
      <c r="BP27" s="75" t="inlineStr">
        <is>
          <t>N/D</t>
        </is>
      </c>
      <c r="BQ27" s="75" t="inlineStr">
        <is>
          <t>N/D</t>
        </is>
      </c>
      <c r="BR27" s="75" t="inlineStr">
        <is>
          <t>cedente: IMG_8704.JPG</t>
        </is>
      </c>
      <c r="BS27" s="75" t="inlineStr">
        <is>
          <t>manual_aplicado</t>
        </is>
      </c>
      <c r="BT27" s="75" t="inlineStr">
        <is>
          <t>OBS da foto: Multicedente análise FARM; fomos 100% resgatados em out/25. Denominação cortada.</t>
        </is>
      </c>
      <c r="BU27" s="75" t="inlineStr">
        <is>
          <t>993922</t>
        </is>
      </c>
      <c r="BV27" s="75" t="inlineStr">
        <is>
          <t>2025-07-22</t>
        </is>
      </c>
      <c r="BW27" s="75" t="inlineStr">
        <is>
          <t>6</t>
        </is>
      </c>
      <c r="BX27" s="75" t="inlineStr">
        <is>
          <t>revisto — suporte estrutural total localizado</t>
        </is>
      </c>
      <c r="BY27" s="75" t="inlineStr">
        <is>
          <t>FundosNet/B3; documento 993922; referência 2025-07-22; p. 6</t>
        </is>
      </c>
      <c r="BZ27" s="75" t="inlineStr">
        <is>
          <t>N/D</t>
        </is>
      </c>
      <c r="CA27" s="75" t="inlineStr">
        <is>
          <t>preço unitário da cota; originador; sacado/devedor; tipo de recebível</t>
        </is>
      </c>
      <c r="CB27" s="75" t="inlineStr">
        <is>
          <t>completo_para_folga</t>
        </is>
      </c>
    </row>
    <row r="28" ht="31.5" customHeight="1">
      <c r="A28" s="74" t="n">
        <v>24</v>
      </c>
      <c r="B28" s="138" t="n">
        <v>43309233000183</v>
      </c>
      <c r="C28" s="74" t="inlineStr">
        <is>
          <t>43.309.233/0001-83</t>
        </is>
      </c>
      <c r="D28" s="74" t="inlineStr">
        <is>
          <t>FUNDO DE INVESTIMENTO EM DIREITOS CREDITÓRIOS LIVERPOOL RESPONSABILIDADE LIMITADA</t>
        </is>
      </c>
      <c r="E28" s="74" t="inlineStr">
        <is>
          <t>FUNDO DE INVESTIMENTO EM DIREITOS CREDITORIOS LIVERPOOL</t>
        </is>
      </c>
      <c r="F28" s="74" t="inlineStr">
        <is>
          <t>Carteira 101</t>
        </is>
      </c>
      <c r="G28" s="74" t="inlineStr">
        <is>
          <t>2026-08</t>
        </is>
      </c>
      <c r="H28" s="74" t="inlineStr">
        <is>
          <t>localizado</t>
        </is>
      </c>
      <c r="I28" s="139" t="inlineStr">
        <is>
          <t>N/D</t>
        </is>
      </c>
      <c r="J28" s="139" t="inlineStr">
        <is>
          <t>N/D</t>
        </is>
      </c>
      <c r="K28" s="139" t="inlineStr">
        <is>
          <t>N/D</t>
        </is>
      </c>
      <c r="L28" s="140" t="inlineStr">
        <is>
          <t>N/D</t>
        </is>
      </c>
      <c r="M28" s="74" t="inlineStr">
        <is>
          <t>PL oficial ausente em 2026-08</t>
        </is>
      </c>
      <c r="N28" s="140" t="inlineStr">
        <is>
          <t>N/D</t>
        </is>
      </c>
      <c r="O28" s="140" t="inlineStr">
        <is>
          <t>N/D</t>
        </is>
      </c>
      <c r="P28" s="140" t="inlineStr">
        <is>
          <t>N/D</t>
        </is>
      </c>
      <c r="Q28" s="140" t="n">
        <v>0.15</v>
      </c>
      <c r="R28" s="140" t="inlineStr">
        <is>
          <t>N/D</t>
        </is>
      </c>
      <c r="S28" s="140" t="n">
        <v>0.15</v>
      </c>
      <c r="T28" s="74" t="inlineStr">
        <is>
          <t>15,0%*</t>
        </is>
      </c>
      <c r="U28" s="74" t="inlineStr">
        <is>
          <t>suporte_total_pl</t>
        </is>
      </c>
      <c r="V28" s="74" t="inlineStr">
        <is>
          <t>calculado: 1 − 1/1,1764</t>
        </is>
      </c>
      <c r="W28" s="74" t="b">
        <v>1</v>
      </c>
      <c r="X28" s="74" t="inlineStr">
        <is>
          <t>Suporte total ou combinado; não representa mínimo júnior isolado.</t>
        </is>
      </c>
      <c r="Y28" s="74" t="b">
        <v>1</v>
      </c>
      <c r="Z28" s="140" t="inlineStr">
        <is>
          <t>N/D</t>
        </is>
      </c>
      <c r="AA28" s="140" t="inlineStr">
        <is>
          <t>N/D</t>
        </is>
      </c>
      <c r="AB28" s="74" t="inlineStr">
        <is>
          <t>não medido</t>
        </is>
      </c>
      <c r="AC28" s="74" t="inlineStr">
        <is>
          <t>Agro, Indústria e Comércio</t>
        </is>
      </c>
      <c r="AD28" s="74" t="inlineStr">
        <is>
          <t>Agronegócio</t>
        </is>
      </c>
      <c r="AE28" s="74" t="inlineStr">
        <is>
          <t>Agro / Revenda</t>
        </is>
      </c>
      <c r="AF28" s="74" t="inlineStr">
        <is>
          <t>Agro / Revenda</t>
        </is>
      </c>
      <c r="AG28" s="74" t="inlineStr">
        <is>
          <t>Agro / Revenda</t>
        </is>
      </c>
      <c r="AH28" s="74" t="inlineStr">
        <is>
          <t>Agro / Revenda</t>
        </is>
      </c>
      <c r="AI28" s="74" t="inlineStr">
        <is>
          <t>CPR-F, CDCA e recebíveis de distribuidores Adama</t>
        </is>
      </c>
      <c r="AJ28" s="74" t="b">
        <v>0</v>
      </c>
      <c r="AK28" s="74" t="inlineStr">
        <is>
          <t>MANTER_ALTA</t>
        </is>
      </c>
      <c r="AL28" s="74" t="inlineStr">
        <is>
          <t>Instrumentos e devedores agro explícitos</t>
        </is>
      </c>
      <c r="AM28" s="74" t="inlineStr">
        <is>
          <t>regulamento 943032</t>
        </is>
      </c>
      <c r="AN28" s="74" t="inlineStr">
        <is>
          <t>Não</t>
        </is>
      </c>
      <c r="AO28" s="74" t="inlineStr">
        <is>
          <t>regulamento 943032</t>
        </is>
      </c>
      <c r="AP28" s="74" t="b">
        <v>0</v>
      </c>
      <c r="AQ28" s="74" t="inlineStr">
        <is>
          <t>Agro / Revenda</t>
        </is>
      </c>
      <c r="AR28" s="74" t="inlineStr">
        <is>
          <t>Agro / Revenda</t>
        </is>
      </c>
      <c r="AS28" s="74" t="b">
        <v>0</v>
      </c>
      <c r="AT28" s="74" t="inlineStr">
        <is>
          <t>N/D</t>
        </is>
      </c>
      <c r="AU28" s="74" t="inlineStr">
        <is>
          <t>N/D</t>
        </is>
      </c>
      <c r="AV28" s="74" t="inlineStr">
        <is>
          <t>N/D</t>
        </is>
      </c>
      <c r="AW28" s="74" t="b">
        <v>0</v>
      </c>
      <c r="AX28" s="74" t="inlineStr">
        <is>
          <t>N/D</t>
        </is>
      </c>
      <c r="AY28" s="74" t="inlineStr">
        <is>
          <t>sem benchmark confiável</t>
        </is>
      </c>
      <c r="AZ28" s="140" t="inlineStr">
        <is>
          <t>N/D</t>
        </is>
      </c>
      <c r="BA28" s="74" t="b">
        <v>0</v>
      </c>
      <c r="BB28" s="141" t="n">
        <v>0</v>
      </c>
      <c r="BC28" s="139" t="n">
        <v>1000</v>
      </c>
      <c r="BD28" s="74" t="inlineStr">
        <is>
          <t>Cotas Subordinadas: R$ 1.000,00</t>
        </is>
      </c>
      <c r="BE28" s="74" t="inlineStr">
        <is>
          <t>preço/valor unitário de emissão</t>
        </is>
      </c>
      <c r="BF28" s="74" t="inlineStr">
        <is>
          <t>Cotas Subordinadas</t>
        </is>
      </c>
      <c r="BG28" s="74" t="inlineStr">
        <is>
          <t>09/07/2025</t>
        </is>
      </c>
      <c r="BH28" s="74" t="inlineStr">
        <is>
          <t>943032</t>
        </is>
      </c>
      <c r="BI28" s="74" t="inlineStr">
        <is>
          <t>https://fnet.bmfbovespa.com.br/fnet/publico/downloadDocumento?id=943032</t>
        </is>
      </c>
      <c r="BJ28" s="74" t="inlineStr">
        <is>
          <t>localizado documentalmente</t>
        </is>
      </c>
      <c r="BK28" s="74" t="b">
        <v>0</v>
      </c>
      <c r="BL28" s="74" t="inlineStr">
        <is>
          <t>Adama</t>
        </is>
      </c>
      <c r="BM28" s="74" t="inlineStr">
        <is>
          <t>cedente</t>
        </is>
      </c>
      <c r="BN28" s="74" t="inlineStr">
        <is>
          <t>a Adama e/ou qualquer outro originador indicado pelo Gestor e aprovado pela Assembleia de Cotistas na forma do presente Regulamento</t>
        </is>
      </c>
      <c r="BO28" s="74" t="inlineStr">
        <is>
          <t>(i) a Adama, cujas cessões não contarão com coobrigação</t>
        </is>
      </c>
      <c r="BP28" s="74" t="inlineStr">
        <is>
          <t>(i) no caso das CPR -F, os produtores rurais, pessoas físicas e/ou jurídicas, cooperativas de produtores rurais e a associação de produtores rurais que tenha por objeto a produção, comercialização e a industrialização dos produtos rurais, indicados pelo Origina dor ou por um Distribuidor de Produtos, nos termos dos Contratos de Cessão, e que sejam, em ambos os casos, previamente aprovados pelo Gestor; (ii) no caso de CDCA, os Emissores que são os Distribuidores de Produtos, indicados pelo Origin</t>
        </is>
      </c>
      <c r="BQ28" s="74" t="inlineStr">
        <is>
          <t>os CDCA, as CPR -F, os Direitos Creditórios Distribuidores e os Direitos Creditórios Adama, incluindo todos os valores devidos a título de contraprestação, reajustes monetários, indexações à moeda estrangeira (somente caso permitido na forma da legislação e regulamentação aplicáveis), juros, encargos e quaisquer multas ou penalidades de qualquer natureza devidos pelos Devedores, bem como todos e quaisquer direitos, eventuais garantias que sejam soli citadas pelo Gestor, nos termos previstos neste Regulamento, nos Contratos de Cessão, na CPR-F ou CDCA, conforme o caso, privilégios, preferências, prerrogativas e ações relacionados aos Direitos Creditórios, sem prejuízo dos procedimentos de cob</t>
        </is>
      </c>
      <c r="BR28" s="74" t="inlineStr">
        <is>
          <t>originador: https://fnet.bmfbovespa.com.br/fnet/publico/downloadDocumento?id=943032 | cedente: https://fnet.bmfbovespa.com.br/fnet/publico/downloadDocumento?id=943032 | sacado_devedor: https://fnet.bmfbovespa.com.br/fnet/publico/downloadDocumento?id=943032 | tipo_recebivel: https://fnet.bmfbovespa.com.br/fnet/publico/downloadDocumento?id=943032</t>
        </is>
      </c>
      <c r="BS28" s="74" t="inlineStr">
        <is>
          <t>manual_aplicado</t>
        </is>
      </c>
      <c r="BT28" s="74" t="inlineStr">
        <is>
          <t>OBS da foto: fomos 100% resgatados em out/25.</t>
        </is>
      </c>
      <c r="BU28" s="74" t="inlineStr">
        <is>
          <t>943032</t>
        </is>
      </c>
      <c r="BV28" s="74" t="inlineStr">
        <is>
          <t>2025-07-09</t>
        </is>
      </c>
      <c r="BW28" s="74" t="inlineStr">
        <is>
          <t>30</t>
        </is>
      </c>
      <c r="BX28" s="74" t="inlineStr">
        <is>
          <t>revisto — suporte estrutural total localizado</t>
        </is>
      </c>
      <c r="BY28" s="74" t="inlineStr">
        <is>
          <t>FundosNet/B3; documento 943032; referência 2025-07-09; p. 30</t>
        </is>
      </c>
      <c r="BZ28" s="74" t="inlineStr">
        <is>
          <t>N/D</t>
        </is>
      </c>
      <c r="CA28" s="74" t="inlineStr">
        <is>
          <t>PL atual; Sub/PL atual</t>
        </is>
      </c>
      <c r="CB28" s="74" t="inlineStr">
        <is>
          <t>sub_pl_atual_ausente</t>
        </is>
      </c>
    </row>
    <row r="29" ht="31.5" customHeight="1">
      <c r="A29" s="75" t="n">
        <v>25</v>
      </c>
      <c r="B29" s="142" t="n">
        <v>43616659000180</v>
      </c>
      <c r="C29" s="75" t="inlineStr">
        <is>
          <t>43.616.659/0001-80</t>
        </is>
      </c>
      <c r="D29" s="75" t="inlineStr">
        <is>
          <t>TALÓ 1 FUNDO DE INVESTIMENTO EM DIREITOS CREDITÓRIOS RESPONSABILIDADE LIMITADA</t>
        </is>
      </c>
      <c r="E29" s="75" t="inlineStr">
        <is>
          <t>TALO 1 FUNDO DE INVESTIMENTO EM DIREITOS CREDITORIOS</t>
        </is>
      </c>
      <c r="F29" s="75" t="inlineStr">
        <is>
          <t>Carteira 101</t>
        </is>
      </c>
      <c r="G29" s="75" t="inlineStr">
        <is>
          <t>2026-08</t>
        </is>
      </c>
      <c r="H29" s="75" t="inlineStr">
        <is>
          <t>localizado</t>
        </is>
      </c>
      <c r="I29" s="143" t="n">
        <v>4084678.08</v>
      </c>
      <c r="J29" s="143" t="n">
        <v>4084678.080040646</v>
      </c>
      <c r="K29" s="143" t="n">
        <v>4084678.080040646</v>
      </c>
      <c r="L29" s="144" t="n">
        <v>1.000000000009951</v>
      </c>
      <c r="M29" s="75" t="inlineStr">
        <is>
          <t>Calculado com classes reportadas e PL oficial reconciliado</t>
        </is>
      </c>
      <c r="N29" s="144" t="inlineStr">
        <is>
          <t>N/D</t>
        </is>
      </c>
      <c r="O29" s="144" t="inlineStr">
        <is>
          <t>N/D</t>
        </is>
      </c>
      <c r="P29" s="144" t="inlineStr">
        <is>
          <t>N/D</t>
        </is>
      </c>
      <c r="Q29" s="144" t="n">
        <v>0.25</v>
      </c>
      <c r="R29" s="144" t="inlineStr">
        <is>
          <t>N/D</t>
        </is>
      </c>
      <c r="S29" s="144" t="n">
        <v>0.25</v>
      </c>
      <c r="T29" s="75" t="inlineStr">
        <is>
          <t>25,0%*</t>
        </is>
      </c>
      <c r="U29" s="75" t="inlineStr">
        <is>
          <t>suporte_total_pl</t>
        </is>
      </c>
      <c r="V29" s="75" t="inlineStr">
        <is>
          <t>calculado: 1 − 1/1,3333</t>
        </is>
      </c>
      <c r="W29" s="75" t="b">
        <v>1</v>
      </c>
      <c r="X29" s="75" t="inlineStr">
        <is>
          <t>Suporte total ou combinado; não representa mínimo júnior isolado.</t>
        </is>
      </c>
      <c r="Y29" s="75" t="b">
        <v>1</v>
      </c>
      <c r="Z29" s="144" t="n">
        <v>0.7500000000099507</v>
      </c>
      <c r="AA29" s="144" t="n">
        <v>1.000000000013268</v>
      </c>
      <c r="AB29" s="75" t="inlineStr">
        <is>
          <t>acima do mínimo</t>
        </is>
      </c>
      <c r="AC29" s="75" t="inlineStr">
        <is>
          <t>Agro, Indústria e Comércio</t>
        </is>
      </c>
      <c r="AD29" s="75" t="inlineStr">
        <is>
          <t>Agronegócio</t>
        </is>
      </c>
      <c r="AE29" s="75" t="inlineStr">
        <is>
          <t>Agro / Revenda</t>
        </is>
      </c>
      <c r="AF29" s="75" t="inlineStr">
        <is>
          <t>Agro / Revenda</t>
        </is>
      </c>
      <c r="AG29" s="75" t="inlineStr">
        <is>
          <t>Agro / Revenda</t>
        </is>
      </c>
      <c r="AH29" s="75" t="inlineStr">
        <is>
          <t>Agro / Revenda</t>
        </is>
      </c>
      <c r="AI29" s="75" t="inlineStr">
        <is>
          <t>Recebíveis de insumos Yara</t>
        </is>
      </c>
      <c r="AJ29" s="75" t="b">
        <v>0</v>
      </c>
      <c r="AK29" s="75" t="inlineStr">
        <is>
          <t>MANTER_ALTA</t>
        </is>
      </c>
      <c r="AL29" s="75" t="inlineStr">
        <is>
          <t>Yara é originadora/cedente de fertilizantes</t>
        </is>
      </c>
      <c r="AM29" s="75" t="inlineStr">
        <is>
          <t>regulamento</t>
        </is>
      </c>
      <c r="AN29" s="75" t="inlineStr">
        <is>
          <t>Não</t>
        </is>
      </c>
      <c r="AO29" s="75" t="inlineStr">
        <is>
          <t>regulamento</t>
        </is>
      </c>
      <c r="AP29" s="75" t="b">
        <v>0</v>
      </c>
      <c r="AQ29" s="75" t="inlineStr">
        <is>
          <t>Agro / Revenda</t>
        </is>
      </c>
      <c r="AR29" s="75" t="inlineStr">
        <is>
          <t>Agro / Revenda</t>
        </is>
      </c>
      <c r="AS29" s="75" t="b">
        <v>0</v>
      </c>
      <c r="AT29" s="75" t="inlineStr">
        <is>
          <t>N/D</t>
        </is>
      </c>
      <c r="AU29" s="75" t="inlineStr">
        <is>
          <t>N/D</t>
        </is>
      </c>
      <c r="AV29" s="75" t="inlineStr">
        <is>
          <t>≥ 60%</t>
        </is>
      </c>
      <c r="AW29" s="75" t="b">
        <v>1</v>
      </c>
      <c r="AX29" s="75" t="inlineStr">
        <is>
          <t>acima do piso</t>
        </is>
      </c>
      <c r="AY29" s="75" t="inlineStr">
        <is>
          <t>sem benchmark confiável</t>
        </is>
      </c>
      <c r="AZ29" s="144" t="inlineStr">
        <is>
          <t>N/D</t>
        </is>
      </c>
      <c r="BA29" s="75" t="b">
        <v>0</v>
      </c>
      <c r="BB29" s="145" t="n">
        <v>0</v>
      </c>
      <c r="BC29" s="143" t="n">
        <v>1000</v>
      </c>
      <c r="BD29" s="75" t="inlineStr">
        <is>
          <t>Cotas Subordinadas: R$ 1.000,00</t>
        </is>
      </c>
      <c r="BE29" s="75" t="inlineStr">
        <is>
          <t>preço/valor unitário de emissão</t>
        </is>
      </c>
      <c r="BF29" s="75" t="inlineStr">
        <is>
          <t>Cotas Subordinadas</t>
        </is>
      </c>
      <c r="BG29" s="75" t="inlineStr">
        <is>
          <t>28/11/2024</t>
        </is>
      </c>
      <c r="BH29" s="75" t="inlineStr">
        <is>
          <t>791844</t>
        </is>
      </c>
      <c r="BI29" s="75" t="inlineStr">
        <is>
          <t>https://fnet.bmfbovespa.com.br/fnet/publico/downloadDocumento?id=791844</t>
        </is>
      </c>
      <c r="BJ29" s="75" t="inlineStr">
        <is>
          <t>localizado documentalmente</t>
        </is>
      </c>
      <c r="BK29" s="75" t="b">
        <v>0</v>
      </c>
      <c r="BL29" s="75" t="inlineStr">
        <is>
          <t>Yara</t>
        </is>
      </c>
      <c r="BM29" s="75" t="inlineStr">
        <is>
          <t>cedente</t>
        </is>
      </c>
      <c r="BN29" s="75" t="inlineStr">
        <is>
          <t>Yara Fertilizantes/Yara</t>
        </is>
      </c>
      <c r="BO29" s="75" t="inlineStr">
        <is>
          <t>(i) a Yara, cujas cessões não contarão com coobrigação</t>
        </is>
      </c>
      <c r="BP29" s="75" t="inlineStr">
        <is>
          <t>N/D</t>
        </is>
      </c>
      <c r="BQ29" s="75" t="inlineStr">
        <is>
          <t>N/D</t>
        </is>
      </c>
      <c r="BR29" s="75" t="inlineStr">
        <is>
          <t>originador: https://fnet.bmfbovespa.com.br/fnet/publico/downloadDocumento?id=851085 | cedente: https://fnet.bmfbovespa.com.br/fnet/publico/downloadDocumento?id=400836</t>
        </is>
      </c>
      <c r="BS29" s="75" t="inlineStr">
        <is>
          <t>manual_aplicado</t>
        </is>
      </c>
      <c r="BT29" s="75" t="inlineStr">
        <is>
          <t>OBS da foto: subordinação mínima próxima ao limiar (atual Baa3). Denominação cortada.</t>
        </is>
      </c>
      <c r="BU29" s="75" t="inlineStr">
        <is>
          <t>791844</t>
        </is>
      </c>
      <c r="BV29" s="75" t="inlineStr">
        <is>
          <t>2024-11-28</t>
        </is>
      </c>
      <c r="BW29" s="75" t="inlineStr">
        <is>
          <t>7</t>
        </is>
      </c>
      <c r="BX29" s="75" t="inlineStr">
        <is>
          <t>revisto — suporte estrutural total localizado</t>
        </is>
      </c>
      <c r="BY29" s="75" t="inlineStr">
        <is>
          <t>FundosNet/B3; documento 791844; referência 2024-11-28; p. 7</t>
        </is>
      </c>
      <c r="BZ29" s="75" t="inlineStr">
        <is>
          <t>N/D</t>
        </is>
      </c>
      <c r="CA29" s="75" t="inlineStr">
        <is>
          <t>sacado/devedor; tipo de recebível</t>
        </is>
      </c>
      <c r="CB29" s="75" t="inlineStr">
        <is>
          <t>completo_para_folga</t>
        </is>
      </c>
    </row>
    <row r="30" ht="31.5" customHeight="1">
      <c r="A30" s="74" t="n">
        <v>26</v>
      </c>
      <c r="B30" s="138" t="n">
        <v>52343195000176</v>
      </c>
      <c r="C30" s="74" t="inlineStr">
        <is>
          <t>52.343.195/0001-76</t>
        </is>
      </c>
      <c r="D30" s="74" t="inlineStr">
        <is>
          <t>FARMTECH SYNGENTA FUNDO DE INVESTIMENTO EM DIREITOS CREDITÓRIOS RESPONSABILIDADE LIMITADA</t>
        </is>
      </c>
      <c r="E30" s="74" t="inlineStr">
        <is>
          <t>FARMTECH SYNGENTA FUNDO DE INVESTIMENTO EM DIREITO</t>
        </is>
      </c>
      <c r="F30" s="74" t="inlineStr">
        <is>
          <t>Carteira 101</t>
        </is>
      </c>
      <c r="G30" s="74" t="inlineStr">
        <is>
          <t>2026-08</t>
        </is>
      </c>
      <c r="H30" s="74" t="inlineStr">
        <is>
          <t>localizado</t>
        </is>
      </c>
      <c r="I30" s="139" t="inlineStr">
        <is>
          <t>N/D</t>
        </is>
      </c>
      <c r="J30" s="139" t="inlineStr">
        <is>
          <t>N/D</t>
        </is>
      </c>
      <c r="K30" s="139" t="inlineStr">
        <is>
          <t>N/D</t>
        </is>
      </c>
      <c r="L30" s="140" t="inlineStr">
        <is>
          <t>N/D</t>
        </is>
      </c>
      <c r="M30" s="74" t="inlineStr">
        <is>
          <t>PL oficial ausente em 2026-08</t>
        </is>
      </c>
      <c r="N30" s="140" t="inlineStr">
        <is>
          <t>N/D</t>
        </is>
      </c>
      <c r="O30" s="140" t="inlineStr">
        <is>
          <t>N/D</t>
        </is>
      </c>
      <c r="P30" s="140" t="inlineStr">
        <is>
          <t>N/D</t>
        </is>
      </c>
      <c r="Q30" s="140" t="n">
        <v>0.15</v>
      </c>
      <c r="R30" s="140" t="inlineStr">
        <is>
          <t>N/D</t>
        </is>
      </c>
      <c r="S30" s="140" t="n">
        <v>0.15</v>
      </c>
      <c r="T30" s="74" t="inlineStr">
        <is>
          <t>15,0%*</t>
        </is>
      </c>
      <c r="U30" s="74" t="inlineStr">
        <is>
          <t>suporte_total_pl</t>
        </is>
      </c>
      <c r="V30" s="74" t="inlineStr">
        <is>
          <t>calculado: 1 − 1/1,1765</t>
        </is>
      </c>
      <c r="W30" s="74" t="b">
        <v>1</v>
      </c>
      <c r="X30" s="74" t="inlineStr">
        <is>
          <t>Suporte total ou combinado; não representa mínimo júnior isolado.</t>
        </is>
      </c>
      <c r="Y30" s="74" t="b">
        <v>1</v>
      </c>
      <c r="Z30" s="140" t="inlineStr">
        <is>
          <t>N/D</t>
        </is>
      </c>
      <c r="AA30" s="140" t="inlineStr">
        <is>
          <t>N/D</t>
        </is>
      </c>
      <c r="AB30" s="74" t="inlineStr">
        <is>
          <t>não medido</t>
        </is>
      </c>
      <c r="AC30" s="74" t="inlineStr">
        <is>
          <t>Agro, Indústria e Comércio</t>
        </is>
      </c>
      <c r="AD30" s="74" t="inlineStr">
        <is>
          <t>N/D</t>
        </is>
      </c>
      <c r="AE30" s="74" t="inlineStr">
        <is>
          <t>Agro / Revenda</t>
        </is>
      </c>
      <c r="AF30" s="74" t="inlineStr">
        <is>
          <t>Agro / Revenda</t>
        </is>
      </c>
      <c r="AG30" s="74" t="inlineStr">
        <is>
          <t>Agro / Revenda</t>
        </is>
      </c>
      <c r="AH30" s="74" t="inlineStr">
        <is>
          <t>Agro / Revenda</t>
        </is>
      </c>
      <c r="AI30" s="74" t="inlineStr">
        <is>
          <t>Multicedente Syngenta, lastro específico pendente</t>
        </is>
      </c>
      <c r="AJ30" s="74" t="b">
        <v>0</v>
      </c>
      <c r="AK30" s="74" t="inlineStr">
        <is>
          <t>PENDENTE_DOCUMENTAL</t>
        </is>
      </c>
      <c r="AL30" s="74" t="inlineStr">
        <is>
          <t>Devedor e tipo literal não isolados</t>
        </is>
      </c>
      <c r="AM30" s="74" t="inlineStr">
        <is>
          <t>IMG_8704 + regulamento 791944</t>
        </is>
      </c>
      <c r="AN30" s="74" t="inlineStr">
        <is>
          <t>Pendente</t>
        </is>
      </c>
      <c r="AO30" s="74" t="inlineStr">
        <is>
          <t>IMG_8704 + regulamento 791944</t>
        </is>
      </c>
      <c r="AP30" s="74" t="inlineStr">
        <is>
          <t>N/D</t>
        </is>
      </c>
      <c r="AQ30" s="74" t="inlineStr">
        <is>
          <t>Agro / Revenda</t>
        </is>
      </c>
      <c r="AR30" s="74" t="inlineStr">
        <is>
          <t>Agro / Revenda</t>
        </is>
      </c>
      <c r="AS30" s="74" t="b">
        <v>0</v>
      </c>
      <c r="AT30" s="74" t="inlineStr">
        <is>
          <t>N/D</t>
        </is>
      </c>
      <c r="AU30" s="74" t="inlineStr">
        <is>
          <t>N/D</t>
        </is>
      </c>
      <c r="AV30" s="74" t="inlineStr">
        <is>
          <t>N/D</t>
        </is>
      </c>
      <c r="AW30" s="74" t="b">
        <v>0</v>
      </c>
      <c r="AX30" s="74" t="inlineStr">
        <is>
          <t>N/D</t>
        </is>
      </c>
      <c r="AY30" s="74" t="inlineStr">
        <is>
          <t>sem benchmark confiável</t>
        </is>
      </c>
      <c r="AZ30" s="140" t="inlineStr">
        <is>
          <t>N/D</t>
        </is>
      </c>
      <c r="BA30" s="74" t="b">
        <v>0</v>
      </c>
      <c r="BB30" s="141" t="n">
        <v>0</v>
      </c>
      <c r="BC30" s="139" t="n">
        <v>1000</v>
      </c>
      <c r="BD30" s="74" t="inlineStr">
        <is>
          <t>Cotas Subordinadas: R$ 1.000,00</t>
        </is>
      </c>
      <c r="BE30" s="74" t="inlineStr">
        <is>
          <t>preço/valor unitário de emissão</t>
        </is>
      </c>
      <c r="BF30" s="74" t="inlineStr">
        <is>
          <t>Cotas Subordinadas</t>
        </is>
      </c>
      <c r="BG30" s="74" t="inlineStr">
        <is>
          <t>27/11/2024</t>
        </is>
      </c>
      <c r="BH30" s="74" t="inlineStr">
        <is>
          <t>791944</t>
        </is>
      </c>
      <c r="BI30" s="74" t="inlineStr">
        <is>
          <t>https://fnet.bmfbovespa.com.br/fnet/publico/downloadDocumento?id=791944</t>
        </is>
      </c>
      <c r="BJ30" s="74" t="inlineStr">
        <is>
          <t>localizado documentalmente</t>
        </is>
      </c>
      <c r="BK30" s="74" t="b">
        <v>0</v>
      </c>
      <c r="BL30" s="74" t="inlineStr">
        <is>
          <t>Multicedentes</t>
        </is>
      </c>
      <c r="BM30" s="74" t="inlineStr">
        <is>
          <t>cedente</t>
        </is>
      </c>
      <c r="BN30" s="74" t="inlineStr">
        <is>
          <t>N/D</t>
        </is>
      </c>
      <c r="BO30" s="74" t="inlineStr">
        <is>
          <t>Multicedentes</t>
        </is>
      </c>
      <c r="BP30" s="74" t="inlineStr">
        <is>
          <t>N/D</t>
        </is>
      </c>
      <c r="BQ30" s="74" t="inlineStr">
        <is>
          <t>N/D</t>
        </is>
      </c>
      <c r="BR30" s="74" t="inlineStr">
        <is>
          <t>cedente: IMG_8704.JPG</t>
        </is>
      </c>
      <c r="BS30" s="74" t="inlineStr">
        <is>
          <t>manual_aplicado</t>
        </is>
      </c>
      <c r="BT30" s="74" t="inlineStr">
        <is>
          <t>OBS da foto: Multicedente análise FARM. Denominação cortada.</t>
        </is>
      </c>
      <c r="BU30" s="74" t="inlineStr">
        <is>
          <t>791944</t>
        </is>
      </c>
      <c r="BV30" s="74" t="inlineStr">
        <is>
          <t>2024-11-27</t>
        </is>
      </c>
      <c r="BW30" s="74" t="inlineStr">
        <is>
          <t>7</t>
        </is>
      </c>
      <c r="BX30" s="74" t="inlineStr">
        <is>
          <t>revisto — suporte estrutural total localizado</t>
        </is>
      </c>
      <c r="BY30" s="74" t="inlineStr">
        <is>
          <t>FundosNet/B3; documento 791944; referência 2024-11-27; p. 7</t>
        </is>
      </c>
      <c r="BZ30" s="74" t="inlineStr">
        <is>
          <t>N/D</t>
        </is>
      </c>
      <c r="CA30" s="74" t="inlineStr">
        <is>
          <t>PL atual; Sub/PL atual; originador; sacado/devedor; tipo de recebível</t>
        </is>
      </c>
      <c r="CB30" s="74" t="inlineStr">
        <is>
          <t>sub_pl_atual_ausente</t>
        </is>
      </c>
    </row>
    <row r="31" ht="31.5" customHeight="1">
      <c r="A31" s="75" t="n">
        <v>27</v>
      </c>
      <c r="B31" s="142" t="n">
        <v>44574361000117</v>
      </c>
      <c r="C31" s="75" t="inlineStr">
        <is>
          <t>44.574.361/0001-17</t>
        </is>
      </c>
      <c r="D31" s="75" t="inlineStr">
        <is>
          <t>FUNDO DE INVESTIMENTO EM DIREITOS CREDITORIOS UPL 02 - RESPONSABILIDADE LIMITADA</t>
        </is>
      </c>
      <c r="E31" s="75" t="inlineStr">
        <is>
          <t>FUNDO DE INVESTIMENTO EM DIREITOS CREDITORIOS UPL</t>
        </is>
      </c>
      <c r="F31" s="75" t="inlineStr">
        <is>
          <t>Carteira 101</t>
        </is>
      </c>
      <c r="G31" s="75" t="inlineStr">
        <is>
          <t>2026-08</t>
        </is>
      </c>
      <c r="H31" s="75" t="inlineStr">
        <is>
          <t>localizado</t>
        </is>
      </c>
      <c r="I31" s="143" t="n">
        <v>481931001.55</v>
      </c>
      <c r="J31" s="143" t="n">
        <v>463543552.307551</v>
      </c>
      <c r="K31" s="143" t="n">
        <v>57077990.72535096</v>
      </c>
      <c r="L31" s="144" t="inlineStr">
        <is>
          <t>N/D</t>
        </is>
      </c>
      <c r="M31" s="75" t="inlineStr">
        <is>
          <t>N/D — PL oficial diverge das classes acima de 0,5%</t>
        </is>
      </c>
      <c r="N31" s="144" t="inlineStr">
        <is>
          <t>N/D</t>
        </is>
      </c>
      <c r="O31" s="144" t="inlineStr">
        <is>
          <t>N/D</t>
        </is>
      </c>
      <c r="P31" s="144" t="inlineStr">
        <is>
          <t>N/D</t>
        </is>
      </c>
      <c r="Q31" s="144" t="n">
        <v>0.15</v>
      </c>
      <c r="R31" s="144" t="inlineStr">
        <is>
          <t>N/D</t>
        </is>
      </c>
      <c r="S31" s="144" t="n">
        <v>0.15</v>
      </c>
      <c r="T31" s="75" t="inlineStr">
        <is>
          <t>15,0%*</t>
        </is>
      </c>
      <c r="U31" s="75" t="inlineStr">
        <is>
          <t>suporte_total_pl</t>
        </is>
      </c>
      <c r="V31" s="75" t="inlineStr">
        <is>
          <t>calculado: 1 − 1/1,1764</t>
        </is>
      </c>
      <c r="W31" s="75" t="b">
        <v>1</v>
      </c>
      <c r="X31" s="75" t="inlineStr">
        <is>
          <t>Suporte total ou combinado; não representa mínimo júnior isolado.</t>
        </is>
      </c>
      <c r="Y31" s="75" t="b">
        <v>1</v>
      </c>
      <c r="Z31" s="144" t="inlineStr">
        <is>
          <t>N/D</t>
        </is>
      </c>
      <c r="AA31" s="144" t="inlineStr">
        <is>
          <t>N/D</t>
        </is>
      </c>
      <c r="AB31" s="75" t="inlineStr">
        <is>
          <t>não medido</t>
        </is>
      </c>
      <c r="AC31" s="75" t="inlineStr">
        <is>
          <t>Agro, Indústria e Comércio</t>
        </is>
      </c>
      <c r="AD31" s="75" t="inlineStr">
        <is>
          <t>Multicarteira Agro, Indústria e Comércio</t>
        </is>
      </c>
      <c r="AE31" s="75" t="inlineStr">
        <is>
          <t>Agro / Revenda</t>
        </is>
      </c>
      <c r="AF31" s="75" t="inlineStr">
        <is>
          <t>Agro / Revenda</t>
        </is>
      </c>
      <c r="AG31" s="75" t="inlineStr">
        <is>
          <t>Agro / Revenda</t>
        </is>
      </c>
      <c r="AH31" s="75" t="inlineStr">
        <is>
          <t>Agro / Revenda</t>
        </is>
      </c>
      <c r="AI31" s="75" t="inlineStr">
        <is>
          <t>Insumos agrícolas, prazo safra</t>
        </is>
      </c>
      <c r="AJ31" s="75" t="b">
        <v>0</v>
      </c>
      <c r="AK31" s="75" t="inlineStr">
        <is>
          <t>MANTER_ALTA</t>
        </is>
      </c>
      <c r="AL31" s="75" t="inlineStr">
        <is>
          <t>UPL e insumos agrícolas</t>
        </is>
      </c>
      <c r="AM31" s="75" t="inlineStr">
        <is>
          <t>IMG_8704</t>
        </is>
      </c>
      <c r="AN31" s="75" t="inlineStr">
        <is>
          <t>Não</t>
        </is>
      </c>
      <c r="AO31" s="75" t="inlineStr">
        <is>
          <t>IMG_8704</t>
        </is>
      </c>
      <c r="AP31" s="75" t="b">
        <v>0</v>
      </c>
      <c r="AQ31" s="75" t="inlineStr">
        <is>
          <t>Agro / Revenda</t>
        </is>
      </c>
      <c r="AR31" s="75" t="inlineStr">
        <is>
          <t>Agro / Revenda</t>
        </is>
      </c>
      <c r="AS31" s="75" t="b">
        <v>0</v>
      </c>
      <c r="AT31" s="75" t="inlineStr">
        <is>
          <t>N/D</t>
        </is>
      </c>
      <c r="AU31" s="75" t="inlineStr">
        <is>
          <t>N/D</t>
        </is>
      </c>
      <c r="AV31" s="75" t="inlineStr">
        <is>
          <t>N/D</t>
        </is>
      </c>
      <c r="AW31" s="75" t="b">
        <v>0</v>
      </c>
      <c r="AX31" s="75" t="inlineStr">
        <is>
          <t>N/D</t>
        </is>
      </c>
      <c r="AY31" s="75" t="inlineStr">
        <is>
          <t>sem benchmark confiável</t>
        </is>
      </c>
      <c r="AZ31" s="144" t="inlineStr">
        <is>
          <t>N/D</t>
        </is>
      </c>
      <c r="BA31" s="75" t="b">
        <v>0</v>
      </c>
      <c r="BB31" s="145" t="n">
        <v>0</v>
      </c>
      <c r="BC31" s="143" t="n">
        <v>1000</v>
      </c>
      <c r="BD31" s="75" t="inlineStr">
        <is>
          <t>Cotas Subordinadas: R$ 1.000,00</t>
        </is>
      </c>
      <c r="BE31" s="75" t="inlineStr">
        <is>
          <t>preço/valor unitário de emissão</t>
        </is>
      </c>
      <c r="BF31" s="75" t="inlineStr">
        <is>
          <t>Cotas Subordinadas</t>
        </is>
      </c>
      <c r="BG31" s="75" t="inlineStr">
        <is>
          <t>16/04/2025</t>
        </is>
      </c>
      <c r="BH31" s="75" t="inlineStr">
        <is>
          <t>883109</t>
        </is>
      </c>
      <c r="BI31" s="75" t="inlineStr">
        <is>
          <t>https://fnet.bmfbovespa.com.br/fnet/publico/downloadDocumento?id=883109</t>
        </is>
      </c>
      <c r="BJ31" s="75" t="inlineStr">
        <is>
          <t>localizado documentalmente</t>
        </is>
      </c>
      <c r="BK31" s="75" t="b">
        <v>0</v>
      </c>
      <c r="BL31" s="75" t="inlineStr">
        <is>
          <t>UPL</t>
        </is>
      </c>
      <c r="BM31" s="75" t="inlineStr">
        <is>
          <t>cedente</t>
        </is>
      </c>
      <c r="BN31" s="75" t="inlineStr">
        <is>
          <t>UPL Brasil/UPL</t>
        </is>
      </c>
      <c r="BO31" s="75" t="inlineStr">
        <is>
          <t>UPL</t>
        </is>
      </c>
      <c r="BP31" s="75" t="inlineStr">
        <is>
          <t>N/D</t>
        </is>
      </c>
      <c r="BQ31" s="75" t="inlineStr">
        <is>
          <t>Insumos Agrícolas - prazo Safra</t>
        </is>
      </c>
      <c r="BR31" s="75" t="inlineStr">
        <is>
          <t>originador: https://fnet.bmfbovespa.com.br/fnet/publico/downloadDocumento?id=1126517 | cedente: IMG_8704.JPG | tipo_recebivel: IMG_8704.JPG</t>
        </is>
      </c>
      <c r="BS31" s="75" t="inlineStr">
        <is>
          <t>manual_aplicado</t>
        </is>
      </c>
      <c r="BT31" s="75" t="inlineStr">
        <is>
          <t>N/D</t>
        </is>
      </c>
      <c r="BU31" s="75" t="inlineStr">
        <is>
          <t>928360</t>
        </is>
      </c>
      <c r="BV31" s="75" t="inlineStr">
        <is>
          <t>2025-06-12</t>
        </is>
      </c>
      <c r="BW31" s="75" t="inlineStr">
        <is>
          <t>133</t>
        </is>
      </c>
      <c r="BX31" s="75" t="inlineStr">
        <is>
          <t>revisto — suporte estrutural total localizado</t>
        </is>
      </c>
      <c r="BY31" s="75" t="inlineStr">
        <is>
          <t>FundosNet/B3; documento 928360; referência 2025-06-12; p. 133</t>
        </is>
      </c>
      <c r="BZ31" s="75" t="inlineStr">
        <is>
          <t>N/D</t>
        </is>
      </c>
      <c r="CA31" s="75" t="inlineStr">
        <is>
          <t>Sub/PL atual; sacado/devedor</t>
        </is>
      </c>
      <c r="CB31" s="75" t="inlineStr">
        <is>
          <t>sub_pl_atual_ausente</t>
        </is>
      </c>
    </row>
    <row r="32" ht="31.5" customHeight="1">
      <c r="A32" s="74" t="n">
        <v>28</v>
      </c>
      <c r="B32" s="138" t="n">
        <v>45123558000100</v>
      </c>
      <c r="C32" s="74" t="inlineStr">
        <is>
          <t>45.123.558/0001-00</t>
        </is>
      </c>
      <c r="D32" s="74" t="inlineStr">
        <is>
          <t>N/D</t>
        </is>
      </c>
      <c r="E32" s="74" t="inlineStr">
        <is>
          <t>CLASSE I DO CANAA FUNDO DE INVESTIMENTO NAS CADEIAS USINA COCAL</t>
        </is>
      </c>
      <c r="F32" s="74" t="inlineStr">
        <is>
          <t>Carteira 101</t>
        </is>
      </c>
      <c r="G32" s="74" t="inlineStr">
        <is>
          <t>2026-08</t>
        </is>
      </c>
      <c r="H32" s="74" t="inlineStr">
        <is>
          <t>fora_base_fidc</t>
        </is>
      </c>
      <c r="I32" s="139" t="inlineStr">
        <is>
          <t>N/D</t>
        </is>
      </c>
      <c r="J32" s="139" t="inlineStr">
        <is>
          <t>N/D</t>
        </is>
      </c>
      <c r="K32" s="139" t="inlineStr">
        <is>
          <t>N/D</t>
        </is>
      </c>
      <c r="L32" s="140" t="inlineStr">
        <is>
          <t>N/D</t>
        </is>
      </c>
      <c r="M32" s="74" t="inlineStr">
        <is>
          <t>PL oficial ausente em 2026-08</t>
        </is>
      </c>
      <c r="N32" s="140" t="inlineStr">
        <is>
          <t>N/D</t>
        </is>
      </c>
      <c r="O32" s="140" t="inlineStr">
        <is>
          <t>N/D</t>
        </is>
      </c>
      <c r="P32" s="140" t="inlineStr">
        <is>
          <t>N/D</t>
        </is>
      </c>
      <c r="Q32" s="140" t="inlineStr">
        <is>
          <t>N/D</t>
        </is>
      </c>
      <c r="R32" s="140" t="inlineStr">
        <is>
          <t>N/D</t>
        </is>
      </c>
      <c r="S32" s="140" t="inlineStr">
        <is>
          <t>N/D</t>
        </is>
      </c>
      <c r="T32" s="74" t="inlineStr">
        <is>
          <t>N/D</t>
        </is>
      </c>
      <c r="U32" s="74" t="inlineStr">
        <is>
          <t>fora_perimetro</t>
        </is>
      </c>
      <c r="V32" s="74" t="inlineStr">
        <is>
          <t>N/D</t>
        </is>
      </c>
      <c r="W32" s="74" t="b">
        <v>0</v>
      </c>
      <c r="X32" s="74" t="inlineStr">
        <is>
          <t>Veículo fora do endpoint documental FIDC consultado.</t>
        </is>
      </c>
      <c r="Y32" s="74" t="b">
        <v>1</v>
      </c>
      <c r="Z32" s="140" t="inlineStr">
        <is>
          <t>N/D</t>
        </is>
      </c>
      <c r="AA32" s="140" t="inlineStr">
        <is>
          <t>N/D</t>
        </is>
      </c>
      <c r="AB32" s="74" t="inlineStr">
        <is>
          <t>não medido</t>
        </is>
      </c>
      <c r="AC32" s="74" t="inlineStr">
        <is>
          <t>N/D</t>
        </is>
      </c>
      <c r="AD32" s="74" t="inlineStr">
        <is>
          <t>N/D</t>
        </is>
      </c>
      <c r="AE32" s="74" t="inlineStr">
        <is>
          <t>N/D</t>
        </is>
      </c>
      <c r="AF32" s="74" t="inlineStr">
        <is>
          <t>N/D</t>
        </is>
      </c>
      <c r="AG32" s="74" t="inlineStr">
        <is>
          <t>N/D</t>
        </is>
      </c>
      <c r="AH32" s="74" t="inlineStr">
        <is>
          <t>N/D</t>
        </is>
      </c>
      <c r="AI32" s="74" t="inlineStr">
        <is>
          <t>N/D</t>
        </is>
      </c>
      <c r="AJ32" s="74" t="b">
        <v>0</v>
      </c>
      <c r="AK32" s="74" t="inlineStr">
        <is>
          <t>fora da revisão Financeiro/Agro</t>
        </is>
      </c>
      <c r="AL32" s="74" t="inlineStr">
        <is>
          <t>N/D</t>
        </is>
      </c>
      <c r="AM32" s="74" t="inlineStr">
        <is>
          <t>N/D</t>
        </is>
      </c>
      <c r="AN32" s="74" t="inlineStr">
        <is>
          <t>N/D</t>
        </is>
      </c>
      <c r="AO32" s="74" t="inlineStr">
        <is>
          <t>N/D</t>
        </is>
      </c>
      <c r="AP32" s="74" t="inlineStr">
        <is>
          <t>N/D</t>
        </is>
      </c>
      <c r="AQ32" s="74" t="inlineStr">
        <is>
          <t>N/D</t>
        </is>
      </c>
      <c r="AR32" s="74" t="inlineStr">
        <is>
          <t>N/D</t>
        </is>
      </c>
      <c r="AS32" s="74" t="b">
        <v>0</v>
      </c>
      <c r="AT32" s="74" t="inlineStr">
        <is>
          <t>N/D</t>
        </is>
      </c>
      <c r="AU32" s="74" t="inlineStr">
        <is>
          <t>N/D</t>
        </is>
      </c>
      <c r="AV32" s="74" t="inlineStr">
        <is>
          <t>N/D</t>
        </is>
      </c>
      <c r="AW32" s="74" t="b">
        <v>0</v>
      </c>
      <c r="AX32" s="74" t="inlineStr">
        <is>
          <t>N/D</t>
        </is>
      </c>
      <c r="AY32" s="74" t="inlineStr">
        <is>
          <t>sem benchmark confiável</t>
        </is>
      </c>
      <c r="AZ32" s="140" t="inlineStr">
        <is>
          <t>N/D</t>
        </is>
      </c>
      <c r="BA32" s="74" t="b">
        <v>0</v>
      </c>
      <c r="BB32" s="141" t="inlineStr">
        <is>
          <t>N/D</t>
        </is>
      </c>
      <c r="BC32" s="139" t="inlineStr">
        <is>
          <t>N/D</t>
        </is>
      </c>
      <c r="BD32" s="74" t="inlineStr">
        <is>
          <t>N/D</t>
        </is>
      </c>
      <c r="BE32" s="74" t="inlineStr">
        <is>
          <t>N/D</t>
        </is>
      </c>
      <c r="BF32" s="74" t="inlineStr">
        <is>
          <t>N/D</t>
        </is>
      </c>
      <c r="BG32" s="74" t="inlineStr">
        <is>
          <t>N/D</t>
        </is>
      </c>
      <c r="BH32" s="74" t="inlineStr">
        <is>
          <t>N/D</t>
        </is>
      </c>
      <c r="BI32" s="74" t="inlineStr">
        <is>
          <t>N/D</t>
        </is>
      </c>
      <c r="BJ32" s="74" t="inlineStr">
        <is>
          <t>não localizado</t>
        </is>
      </c>
      <c r="BK32" s="74" t="b">
        <v>0</v>
      </c>
      <c r="BL32" s="74" t="inlineStr">
        <is>
          <t>N/D</t>
        </is>
      </c>
      <c r="BM32" s="74" t="inlineStr">
        <is>
          <t>N/D</t>
        </is>
      </c>
      <c r="BN32" s="74" t="inlineStr">
        <is>
          <t>N/D</t>
        </is>
      </c>
      <c r="BO32" s="74" t="inlineStr">
        <is>
          <t>N/D</t>
        </is>
      </c>
      <c r="BP32" s="74" t="inlineStr">
        <is>
          <t>N/D</t>
        </is>
      </c>
      <c r="BQ32" s="74" t="inlineStr">
        <is>
          <t>N/D</t>
        </is>
      </c>
      <c r="BR32" s="74" t="inlineStr">
        <is>
          <t>N/D</t>
        </is>
      </c>
      <c r="BS32" s="74" t="inlineStr">
        <is>
          <t>sem_overlay</t>
        </is>
      </c>
      <c r="BT32" s="74" t="inlineStr">
        <is>
          <t>N/D</t>
        </is>
      </c>
      <c r="BU32" s="74" t="inlineStr">
        <is>
          <t>N/D</t>
        </is>
      </c>
      <c r="BV32" s="74" t="inlineStr">
        <is>
          <t>N/D</t>
        </is>
      </c>
      <c r="BW32" s="74" t="inlineStr">
        <is>
          <t>N/D</t>
        </is>
      </c>
      <c r="BX32" s="74" t="inlineStr">
        <is>
          <t>fora do perímetro FIDC — regulamento não localizado</t>
        </is>
      </c>
      <c r="BY32" s="74" t="inlineStr">
        <is>
          <t>N/D</t>
        </is>
      </c>
      <c r="BZ32" s="74" t="inlineStr">
        <is>
          <t>N/D</t>
        </is>
      </c>
      <c r="CA32" s="74" t="inlineStr">
        <is>
          <t>nome oficial CVM; PL atual; Sub/PL atual; mínimo estrutural comparável; grupo de comparação; preço unitário da cota; originador; cedente; sacado/devedor; tipo de recebível</t>
        </is>
      </c>
      <c r="CB32" s="74" t="inlineStr">
        <is>
          <t>fora_perimetro</t>
        </is>
      </c>
    </row>
    <row r="33" ht="31.5" customHeight="1">
      <c r="A33" s="75" t="n">
        <v>29</v>
      </c>
      <c r="B33" s="142" t="n">
        <v>50857998000113</v>
      </c>
      <c r="C33" s="75" t="inlineStr">
        <is>
          <t>50.857.998/0001-13</t>
        </is>
      </c>
      <c r="D33" s="75" t="inlineStr">
        <is>
          <t>LEO MADEIRAS FIDC SEGMENTO MEIOS DE PAGAMENTO DE RESPONSABILIDADE LIMITADA</t>
        </is>
      </c>
      <c r="E33" s="75" t="inlineStr">
        <is>
          <t>LEO I FUNDO INV DIR CREDITORIOS</t>
        </is>
      </c>
      <c r="F33" s="75" t="inlineStr">
        <is>
          <t>Carteira 101</t>
        </is>
      </c>
      <c r="G33" s="75" t="inlineStr">
        <is>
          <t>2026-08</t>
        </is>
      </c>
      <c r="H33" s="75" t="inlineStr">
        <is>
          <t>localizado</t>
        </is>
      </c>
      <c r="I33" s="143" t="n">
        <v>166222508.55</v>
      </c>
      <c r="J33" s="143" t="n">
        <v>166222508.5494739</v>
      </c>
      <c r="K33" s="143" t="n">
        <v>23377228.35976638</v>
      </c>
      <c r="L33" s="144" t="n">
        <v>0.1406381636499877</v>
      </c>
      <c r="M33" s="75" t="inlineStr">
        <is>
          <t>Calculado com classes reportadas e PL oficial reconciliado</t>
        </is>
      </c>
      <c r="N33" s="144" t="n">
        <v>0.05</v>
      </c>
      <c r="O33" s="144" t="inlineStr">
        <is>
          <t>N/D</t>
        </is>
      </c>
      <c r="P33" s="144" t="inlineStr">
        <is>
          <t>N/D</t>
        </is>
      </c>
      <c r="Q33" s="144" t="inlineStr">
        <is>
          <t>N/D</t>
        </is>
      </c>
      <c r="R33" s="144" t="inlineStr">
        <is>
          <t>N/D</t>
        </is>
      </c>
      <c r="S33" s="144" t="n">
        <v>0.05</v>
      </c>
      <c r="T33" s="75" t="inlineStr">
        <is>
          <t>N/D</t>
        </is>
      </c>
      <c r="U33" s="75" t="inlineStr">
        <is>
          <t>junior_pl</t>
        </is>
      </c>
      <c r="V33" s="75" t="inlineStr">
        <is>
          <t>direto no regulamento</t>
        </is>
      </c>
      <c r="W33" s="75" t="b">
        <v>0</v>
      </c>
      <c r="X33" s="75" t="inlineStr">
        <is>
          <t>Mínimo júnior isolado; a subordinação atual disponível agrega todas as classes subordinadas.</t>
        </is>
      </c>
      <c r="Y33" s="75" t="b">
        <v>0</v>
      </c>
      <c r="Z33" s="144" t="inlineStr">
        <is>
          <t>N/D</t>
        </is>
      </c>
      <c r="AA33" s="144" t="inlineStr">
        <is>
          <t>N/D</t>
        </is>
      </c>
      <c r="AB33" s="75" t="inlineStr">
        <is>
          <t>não medido</t>
        </is>
      </c>
      <c r="AC33" s="75" t="inlineStr">
        <is>
          <t>Agro, Indústria e Comércio</t>
        </is>
      </c>
      <c r="AD33" s="75" t="inlineStr">
        <is>
          <t>Recebíveis Comerciais</t>
        </is>
      </c>
      <c r="AE33" s="75" t="inlineStr">
        <is>
          <t>Agro / Revenda</t>
        </is>
      </c>
      <c r="AF33" s="75" t="inlineStr">
        <is>
          <t>Agro / Revenda</t>
        </is>
      </c>
      <c r="AG33" s="75" t="inlineStr">
        <is>
          <t>Agro / Revenda</t>
        </is>
      </c>
      <c r="AH33" s="75" t="inlineStr">
        <is>
          <t>Adquirência</t>
        </is>
      </c>
      <c r="AI33" s="75" t="inlineStr">
        <is>
          <t>Recebíveis de pagamento, subcredenciadora como devedora</t>
        </is>
      </c>
      <c r="AJ33" s="75" t="b">
        <v>1</v>
      </c>
      <c r="AK33" s="75" t="inlineStr">
        <is>
          <t>APLICAR_ALTA</t>
        </is>
      </c>
      <c r="AL33" s="75" t="inlineStr">
        <is>
          <t>Devedora é a subcredenciadora da Rede Leo</t>
        </is>
      </c>
      <c r="AM33" s="75" t="inlineStr">
        <is>
          <t>regulamento e auditoria documental</t>
        </is>
      </c>
      <c r="AN33" s="75" t="inlineStr">
        <is>
          <t>Não</t>
        </is>
      </c>
      <c r="AO33" s="75" t="inlineStr">
        <is>
          <t>regulamento e auditoria documental</t>
        </is>
      </c>
      <c r="AP33" s="75" t="b">
        <v>0</v>
      </c>
      <c r="AQ33" s="75" t="inlineStr">
        <is>
          <t>Adquirência</t>
        </is>
      </c>
      <c r="AR33" s="75" t="inlineStr">
        <is>
          <t>Agro / Revenda</t>
        </is>
      </c>
      <c r="AS33" s="75" t="b">
        <v>1</v>
      </c>
      <c r="AT33" s="75" t="inlineStr">
        <is>
          <t>regulamento e auditoria documental</t>
        </is>
      </c>
      <c r="AU33" s="75" t="inlineStr">
        <is>
          <t>Devedora é a subcredenciadora da Rede Leo</t>
        </is>
      </c>
      <c r="AV33" s="75" t="inlineStr">
        <is>
          <t>10%–15%</t>
        </is>
      </c>
      <c r="AW33" s="75" t="b">
        <v>1</v>
      </c>
      <c r="AX33" s="75" t="inlineStr">
        <is>
          <t>incomparável</t>
        </is>
      </c>
      <c r="AY33" s="75" t="inlineStr">
        <is>
          <t>sem benchmark confiável</t>
        </is>
      </c>
      <c r="AZ33" s="144" t="inlineStr">
        <is>
          <t>N/D</t>
        </is>
      </c>
      <c r="BA33" s="75" t="b">
        <v>0</v>
      </c>
      <c r="BB33" s="145" t="n">
        <v>0</v>
      </c>
      <c r="BC33" s="143" t="n">
        <v>1000</v>
      </c>
      <c r="BD33" s="75" t="inlineStr">
        <is>
          <t>Cotas Seniores: R$1.000,00</t>
        </is>
      </c>
      <c r="BE33" s="75" t="inlineStr">
        <is>
          <t>valor nominal unitário (VNU)</t>
        </is>
      </c>
      <c r="BF33" s="75" t="inlineStr">
        <is>
          <t>Cotas Seniores</t>
        </is>
      </c>
      <c r="BG33" s="75" t="inlineStr">
        <is>
          <t>22/05/2025</t>
        </is>
      </c>
      <c r="BH33" s="75" t="inlineStr">
        <is>
          <t>910444</t>
        </is>
      </c>
      <c r="BI33" s="75" t="inlineStr">
        <is>
          <t>https://fnet.bmfbovespa.com.br/fnet/publico/downloadDocumento?id=910444</t>
        </is>
      </c>
      <c r="BJ33" s="75" t="inlineStr">
        <is>
          <t>localizado documentalmente</t>
        </is>
      </c>
      <c r="BK33" s="75" t="b">
        <v>0</v>
      </c>
      <c r="BL33" s="75" t="inlineStr">
        <is>
          <t>N/D</t>
        </is>
      </c>
      <c r="BM33" s="75" t="inlineStr">
        <is>
          <t>N/D</t>
        </is>
      </c>
      <c r="BN33" s="75" t="inlineStr">
        <is>
          <t>N/D</t>
        </is>
      </c>
      <c r="BO33" s="75" t="inlineStr">
        <is>
          <t>os Marceneiros e as Entidades da Rede Leo, que, a seu exclusivo critério, cedem a totalidade ou parte de seus respectivos Direitos Creditórios Elegíveis à Classe e, para tanto, tenham realizado e/ou venham a realizar Formalização(ões) Eletrônica(s) de Cessão com a Classe, sendo os Marceneiros e as Entidades da Rede Leo (que não a Leo Madeiras) representados pelo Agente de Formalização, na qualidade de sua mandatária, nos termos dos Termos do Sistema Leo</t>
        </is>
      </c>
      <c r="BP33" s="75" t="inlineStr">
        <is>
          <t>a Subcredenciadora, na qualidade de devedora dos Direitos Creditórios</t>
        </is>
      </c>
      <c r="BQ33" s="75" t="inlineStr">
        <is>
          <t>N/D</t>
        </is>
      </c>
      <c r="BR33" s="75" t="inlineStr">
        <is>
          <t>cedente: https://fnet.bmfbovespa.com.br/fnet/publico/downloadDocumento?id=910444 | sacado_devedor: https://fnet.bmfbovespa.com.br/fnet/publico/downloadDocumento?id=910444</t>
        </is>
      </c>
      <c r="BS33" s="75" t="inlineStr">
        <is>
          <t>sem_overlay</t>
        </is>
      </c>
      <c r="BT33" s="75" t="inlineStr">
        <is>
          <t>N/D</t>
        </is>
      </c>
      <c r="BU33" s="75" t="inlineStr">
        <is>
          <t>1017825</t>
        </is>
      </c>
      <c r="BV33" s="75" t="inlineStr">
        <is>
          <t>2025-10-06</t>
        </is>
      </c>
      <c r="BW33" s="75" t="inlineStr">
        <is>
          <t>62</t>
        </is>
      </c>
      <c r="BX33" s="75" t="inlineStr">
        <is>
          <t>revisto — mínimo júnior localizado</t>
        </is>
      </c>
      <c r="BY33" s="75" t="inlineStr">
        <is>
          <t>FundosNet/B3; documento 1017825; referência 2025-10-06; p. 62</t>
        </is>
      </c>
      <c r="BZ33" s="75" t="inlineStr">
        <is>
          <t>Índice de Subordinação Mezanino: cotas júnior / PL, mínimo de 5,0%.</t>
        </is>
      </c>
      <c r="CA33" s="75" t="inlineStr">
        <is>
          <t>originador; tipo de recebível</t>
        </is>
      </c>
      <c r="CB33" s="75" t="inlineStr">
        <is>
          <t>estrutura_incomparavel</t>
        </is>
      </c>
    </row>
    <row r="34" ht="31.5" customHeight="1">
      <c r="A34" s="74" t="n">
        <v>30</v>
      </c>
      <c r="B34" s="138" t="n">
        <v>38376526000143</v>
      </c>
      <c r="C34" s="74" t="inlineStr">
        <is>
          <t>38.376.526/0001-43</t>
        </is>
      </c>
      <c r="D34" s="74" t="inlineStr">
        <is>
          <t>HOTFUND FUNDO DE INVESTIMENTO EM DIREITOS CREDITÓRIOS SEGMENTO MEIOS DE PAGAMENTO DE RESPONSABILIDAD</t>
        </is>
      </c>
      <c r="E34" s="74" t="inlineStr">
        <is>
          <t>HOTFUND FIDC</t>
        </is>
      </c>
      <c r="F34" s="74" t="inlineStr">
        <is>
          <t>Carteira 101</t>
        </is>
      </c>
      <c r="G34" s="74" t="inlineStr">
        <is>
          <t>2026-08</t>
        </is>
      </c>
      <c r="H34" s="74" t="inlineStr">
        <is>
          <t>localizado</t>
        </is>
      </c>
      <c r="I34" s="139" t="n">
        <v>1596122150.92</v>
      </c>
      <c r="J34" s="139" t="n">
        <v>1596122150.917644</v>
      </c>
      <c r="K34" s="139" t="n">
        <v>1195893429.068644</v>
      </c>
      <c r="L34" s="140" t="n">
        <v>0.7492493155234607</v>
      </c>
      <c r="M34" s="74" t="inlineStr">
        <is>
          <t>Calculado com classes reportadas e PL oficial reconciliado</t>
        </is>
      </c>
      <c r="N34" s="140" t="n">
        <v>0.21</v>
      </c>
      <c r="O34" s="140" t="inlineStr">
        <is>
          <t>N/D</t>
        </is>
      </c>
      <c r="P34" s="140" t="inlineStr">
        <is>
          <t>N/D</t>
        </is>
      </c>
      <c r="Q34" s="140" t="inlineStr">
        <is>
          <t>N/D</t>
        </is>
      </c>
      <c r="R34" s="140" t="inlineStr">
        <is>
          <t>N/D</t>
        </is>
      </c>
      <c r="S34" s="140" t="n">
        <v>0.21</v>
      </c>
      <c r="T34" s="74" t="inlineStr">
        <is>
          <t>N/D</t>
        </is>
      </c>
      <c r="U34" s="74" t="inlineStr">
        <is>
          <t>junior_pl</t>
        </is>
      </c>
      <c r="V34" s="74" t="inlineStr">
        <is>
          <t>direto no regulamento</t>
        </is>
      </c>
      <c r="W34" s="74" t="b">
        <v>0</v>
      </c>
      <c r="X34" s="74" t="inlineStr">
        <is>
          <t>Mínimo júnior isolado; a subordinação atual disponível agrega todas as classes subordinadas.</t>
        </is>
      </c>
      <c r="Y34" s="74" t="b">
        <v>0</v>
      </c>
      <c r="Z34" s="140" t="inlineStr">
        <is>
          <t>N/D</t>
        </is>
      </c>
      <c r="AA34" s="140" t="inlineStr">
        <is>
          <t>N/D</t>
        </is>
      </c>
      <c r="AB34" s="74" t="inlineStr">
        <is>
          <t>não medido</t>
        </is>
      </c>
      <c r="AC34" s="74" t="inlineStr">
        <is>
          <t>Financeiro</t>
        </is>
      </c>
      <c r="AD34" s="74" t="inlineStr">
        <is>
          <t>Adquirência</t>
        </is>
      </c>
      <c r="AE34" s="74" t="inlineStr">
        <is>
          <t>Financeiro</t>
        </is>
      </c>
      <c r="AF34" s="74" t="inlineStr">
        <is>
          <t>Financeiro</t>
        </is>
      </c>
      <c r="AG34" s="74" t="inlineStr">
        <is>
          <t>Financeiro</t>
        </is>
      </c>
      <c r="AH34" s="74" t="inlineStr">
        <is>
          <t>Adquirência</t>
        </is>
      </c>
      <c r="AI34" s="74" t="inlineStr">
        <is>
          <t>Recebíveis de cartão / Hotmart</t>
        </is>
      </c>
      <c r="AJ34" s="74" t="b">
        <v>1</v>
      </c>
      <c r="AK34" s="74" t="inlineStr">
        <is>
          <t>APLICAR_ALTA</t>
        </is>
      </c>
      <c r="AL34" s="74" t="inlineStr">
        <is>
          <t>Hotmart é devedora dos direitos de cartões</t>
        </is>
      </c>
      <c r="AM34" s="74" t="inlineStr">
        <is>
          <t>regulamento 948252</t>
        </is>
      </c>
      <c r="AN34" s="74" t="inlineStr">
        <is>
          <t>Não</t>
        </is>
      </c>
      <c r="AO34" s="74" t="inlineStr">
        <is>
          <t>regulamento 948252</t>
        </is>
      </c>
      <c r="AP34" s="74" t="b">
        <v>0</v>
      </c>
      <c r="AQ34" s="74" t="inlineStr">
        <is>
          <t>Adquirência</t>
        </is>
      </c>
      <c r="AR34" s="74" t="inlineStr">
        <is>
          <t>Financeiro</t>
        </is>
      </c>
      <c r="AS34" s="74" t="b">
        <v>1</v>
      </c>
      <c r="AT34" s="74" t="inlineStr">
        <is>
          <t>regulamento 948252</t>
        </is>
      </c>
      <c r="AU34" s="74" t="inlineStr">
        <is>
          <t>Hotmart é devedora dos direitos de cartões</t>
        </is>
      </c>
      <c r="AV34" s="74" t="inlineStr">
        <is>
          <t>≥ 60%</t>
        </is>
      </c>
      <c r="AW34" s="74" t="b">
        <v>1</v>
      </c>
      <c r="AX34" s="74" t="inlineStr">
        <is>
          <t>incomparável</t>
        </is>
      </c>
      <c r="AY34" s="74" t="inlineStr">
        <is>
          <t>acima do mercado</t>
        </is>
      </c>
      <c r="AZ34" s="140" t="n">
        <v>0.4430555348269766</v>
      </c>
      <c r="BA34" s="74" t="b">
        <v>1</v>
      </c>
      <c r="BB34" s="141" t="n">
        <v>12</v>
      </c>
      <c r="BC34" s="139" t="n">
        <v>1000</v>
      </c>
      <c r="BD34" s="74" t="inlineStr">
        <is>
          <t>Cotas Subordinadas Júnior: R$ 1.000,00</t>
        </is>
      </c>
      <c r="BE34" s="74" t="inlineStr">
        <is>
          <t>valor nominal unitário (VNU)</t>
        </is>
      </c>
      <c r="BF34" s="74" t="inlineStr">
        <is>
          <t>Cotas Subordinadas Júnior</t>
        </is>
      </c>
      <c r="BG34" s="74" t="inlineStr">
        <is>
          <t>02/07/2025</t>
        </is>
      </c>
      <c r="BH34" s="74" t="inlineStr">
        <is>
          <t>948252</t>
        </is>
      </c>
      <c r="BI34" s="74" t="inlineStr">
        <is>
          <t>https://fnet.bmfbovespa.com.br/fnet/publico/downloadDocumento?id=948252</t>
        </is>
      </c>
      <c r="BJ34" s="74" t="inlineStr">
        <is>
          <t>localizado documentalmente</t>
        </is>
      </c>
      <c r="BK34" s="74" t="b">
        <v>0</v>
      </c>
      <c r="BL34" s="74" t="inlineStr">
        <is>
          <t>Hotmart</t>
        </is>
      </c>
      <c r="BM34" s="74" t="inlineStr">
        <is>
          <t>cedente</t>
        </is>
      </c>
      <c r="BN34" s="74" t="inlineStr">
        <is>
          <t>N/D</t>
        </is>
      </c>
      <c r="BO34" s="74" t="inlineStr">
        <is>
          <t>os Produtores, que, a seu exclusivo critério, cedem a totalidade ou parte de seus respectivos Direitos Creditórios Elegíveis à Classe e, para tanto, tenham realizado e/ou venham a realizar Formalização(ões) Eletrônica(s) de Cessão com a Classe, representados pela Hotmart, na qualidade de sua mandatária, nos termos dos Termos de Uso Hotmart</t>
        </is>
      </c>
      <c r="BP34" s="74" t="inlineStr">
        <is>
          <t>a Hotmart, na qualidade de devedora dos Direitos Creditórios Cartões</t>
        </is>
      </c>
      <c r="BQ34" s="74" t="inlineStr">
        <is>
          <t>os Direitos Creditórios Cartões e os Direitos Creditórios Recebíveis a Prazo, quando referidos em conjunto ou indistintamente</t>
        </is>
      </c>
      <c r="BR34" s="74" t="inlineStr">
        <is>
          <t>cedente: https://fnet.bmfbovespa.com.br/fnet/publico/downloadDocumento?id=948252 | sacado_devedor: https://fnet.bmfbovespa.com.br/fnet/publico/downloadDocumento?id=948252 | tipo_recebivel: https://fnet.bmfbovespa.com.br/fnet/publico/downloadDocumento?id=948252</t>
        </is>
      </c>
      <c r="BS34" s="74" t="inlineStr">
        <is>
          <t>manual_aplicado</t>
        </is>
      </c>
      <c r="BT34" s="74" t="inlineStr">
        <is>
          <t>OBS parcialmente legível: FIDC antecipa recebíveis de funding para a Hotmart antecipar parcelas aos criadores de conteúdo; final cortado pela foto.</t>
        </is>
      </c>
      <c r="BU34" s="74" t="inlineStr">
        <is>
          <t>948252</t>
        </is>
      </c>
      <c r="BV34" s="74" t="inlineStr">
        <is>
          <t>2025-07-02</t>
        </is>
      </c>
      <c r="BW34" s="74" t="inlineStr">
        <is>
          <t>68</t>
        </is>
      </c>
      <c r="BX34" s="74" t="inlineStr">
        <is>
          <t>revisto — mínimo júnior localizado</t>
        </is>
      </c>
      <c r="BY34" s="74" t="inlineStr">
        <is>
          <t>FundosNet/B3; documento 948252; referência 2025-07-02; p. 68</t>
        </is>
      </c>
      <c r="BZ34" s="74" t="inlineStr">
        <is>
          <t>Cotas subordinadas júnior / PL, mínimo de 21,0%.</t>
        </is>
      </c>
      <c r="CA34" s="74" t="inlineStr">
        <is>
          <t>originador</t>
        </is>
      </c>
      <c r="CB34" s="74" t="inlineStr">
        <is>
          <t>estrutura_incomparavel</t>
        </is>
      </c>
    </row>
    <row r="35" ht="31.5" customHeight="1">
      <c r="A35" s="75" t="n">
        <v>31</v>
      </c>
      <c r="B35" s="142" t="n">
        <v>45598747000121</v>
      </c>
      <c r="C35" s="75" t="inlineStr">
        <is>
          <t>45.598.747/0001-21</t>
        </is>
      </c>
      <c r="D35" s="75" t="inlineStr">
        <is>
          <t>SUMUP SOLO FUNDO DE INVESTIMENTO EM DIREITOS CREDITÓRIOS SEGMENTO MEIOS DE PAGAMENTO DE RESPONSABILI</t>
        </is>
      </c>
      <c r="E35" s="75" t="inlineStr">
        <is>
          <t>FIDC SUMUP</t>
        </is>
      </c>
      <c r="F35" s="75" t="inlineStr">
        <is>
          <t>Carteira 101</t>
        </is>
      </c>
      <c r="G35" s="75" t="inlineStr">
        <is>
          <t>2026-08</t>
        </is>
      </c>
      <c r="H35" s="75" t="inlineStr">
        <is>
          <t>localizado</t>
        </is>
      </c>
      <c r="I35" s="143" t="n">
        <v>377416791.58</v>
      </c>
      <c r="J35" s="143" t="n">
        <v>377416791.6480582</v>
      </c>
      <c r="K35" s="143" t="n">
        <v>29513451.74995815</v>
      </c>
      <c r="L35" s="144" t="n">
        <v>0.07819856563987103</v>
      </c>
      <c r="M35" s="75" t="inlineStr">
        <is>
          <t>Calculado com classes reportadas e PL oficial reconciliado</t>
        </is>
      </c>
      <c r="N35" s="144" t="inlineStr">
        <is>
          <t>N/D</t>
        </is>
      </c>
      <c r="O35" s="144" t="n">
        <v>0.047619047619</v>
      </c>
      <c r="P35" s="144" t="inlineStr">
        <is>
          <t>N/D</t>
        </is>
      </c>
      <c r="Q35" s="144" t="n">
        <v>0.047619047619</v>
      </c>
      <c r="R35" s="144" t="inlineStr">
        <is>
          <t>N/D</t>
        </is>
      </c>
      <c r="S35" s="144" t="n">
        <v>0.047619047619</v>
      </c>
      <c r="T35" s="75" t="inlineStr">
        <is>
          <t>4,76%*</t>
        </is>
      </c>
      <c r="U35" s="75" t="inlineStr">
        <is>
          <t>junior_pl_calculado</t>
        </is>
      </c>
      <c r="V35" s="75" t="inlineStr">
        <is>
          <t>calculado: 1 − 1/1,05</t>
        </is>
      </c>
      <c r="W35" s="75" t="b">
        <v>1</v>
      </c>
      <c r="X35" s="75" t="inlineStr">
        <is>
          <t>Estrutura com uma única classe subordinada; métrica atual e piso usam o total subordinado sobre o PL.</t>
        </is>
      </c>
      <c r="Y35" s="75" t="b">
        <v>1</v>
      </c>
      <c r="Z35" s="144" t="n">
        <v>0.03057951802087103</v>
      </c>
      <c r="AA35" s="144" t="n">
        <v>0.03210849392191297</v>
      </c>
      <c r="AB35" s="75" t="inlineStr">
        <is>
          <t>acima do mínimo</t>
        </is>
      </c>
      <c r="AC35" s="75" t="inlineStr">
        <is>
          <t>Agro, Indústria e Comércio</t>
        </is>
      </c>
      <c r="AD35" s="75" t="inlineStr">
        <is>
          <t>Recebíveis Comerciais</t>
        </is>
      </c>
      <c r="AE35" s="75" t="inlineStr">
        <is>
          <t>Agro / Revenda</t>
        </is>
      </c>
      <c r="AF35" s="75" t="inlineStr">
        <is>
          <t>Agro / Revenda</t>
        </is>
      </c>
      <c r="AG35" s="75" t="inlineStr">
        <is>
          <t>Adquirência</t>
        </is>
      </c>
      <c r="AH35" s="75" t="inlineStr">
        <is>
          <t>Adquirência</t>
        </is>
      </c>
      <c r="AI35" s="75" t="inlineStr">
        <is>
          <t>N/D</t>
        </is>
      </c>
      <c r="AJ35" s="75" t="b">
        <v>0</v>
      </c>
      <c r="AK35" s="75" t="inlineStr">
        <is>
          <t>fora da revisão Financeiro/Agro</t>
        </is>
      </c>
      <c r="AL35" s="75" t="inlineStr">
        <is>
          <t>N/D</t>
        </is>
      </c>
      <c r="AM35" s="75" t="inlineStr">
        <is>
          <t>N/D</t>
        </is>
      </c>
      <c r="AN35" s="75" t="inlineStr">
        <is>
          <t>N/D</t>
        </is>
      </c>
      <c r="AO35" s="75" t="inlineStr">
        <is>
          <t>N/D</t>
        </is>
      </c>
      <c r="AP35" s="75" t="inlineStr">
        <is>
          <t>N/D</t>
        </is>
      </c>
      <c r="AQ35" s="75" t="inlineStr">
        <is>
          <t>Adquirência</t>
        </is>
      </c>
      <c r="AR35" s="75" t="inlineStr">
        <is>
          <t>Agro / Revenda</t>
        </is>
      </c>
      <c r="AS35" s="75" t="b">
        <v>1</v>
      </c>
      <c r="AT35" s="75" t="inlineStr">
        <is>
          <t>FundosNet/B3 doc. 883977; IMG_8705.JPG</t>
        </is>
      </c>
      <c r="AU35" s="75" t="inlineStr">
        <is>
          <t>Créditos contra emissores derivados de transações de pagamento processadas pelo Sistema SumUp.</t>
        </is>
      </c>
      <c r="AV35" s="75" t="inlineStr">
        <is>
          <t>&lt; 10%</t>
        </is>
      </c>
      <c r="AW35" s="75" t="b">
        <v>1</v>
      </c>
      <c r="AX35" s="75" t="inlineStr">
        <is>
          <t>acima do piso</t>
        </is>
      </c>
      <c r="AY35" s="75" t="inlineStr">
        <is>
          <t>sem benchmark confiável</t>
        </is>
      </c>
      <c r="AZ35" s="144" t="inlineStr">
        <is>
          <t>N/D</t>
        </is>
      </c>
      <c r="BA35" s="75" t="b">
        <v>0</v>
      </c>
      <c r="BB35" s="145" t="n">
        <v>0</v>
      </c>
      <c r="BC35" s="143" t="n">
        <v>1</v>
      </c>
      <c r="BD35" s="75" t="inlineStr">
        <is>
          <t>Cotas Subordinadas Junior: R$1</t>
        </is>
      </c>
      <c r="BE35" s="75" t="inlineStr">
        <is>
          <t>preço/valor unitário de emissão</t>
        </is>
      </c>
      <c r="BF35" s="75" t="inlineStr">
        <is>
          <t>Cotas Subordinadas Junior</t>
        </is>
      </c>
      <c r="BG35" s="75" t="inlineStr">
        <is>
          <t>2025-04-22</t>
        </is>
      </c>
      <c r="BH35" s="75" t="inlineStr">
        <is>
          <t>883977</t>
        </is>
      </c>
      <c r="BI35" s="75" t="inlineStr">
        <is>
          <t>https://fnet.bmfbovespa.com.br/fnet/publico/downloadDocumento?id=883977</t>
        </is>
      </c>
      <c r="BJ35" s="75" t="inlineStr">
        <is>
          <t>localizado documentalmente</t>
        </is>
      </c>
      <c r="BK35" s="75" t="b">
        <v>0</v>
      </c>
      <c r="BL35" s="75" t="inlineStr">
        <is>
          <t>Sumup IP</t>
        </is>
      </c>
      <c r="BM35" s="75" t="inlineStr">
        <is>
          <t>cedente</t>
        </is>
      </c>
      <c r="BN35" s="75" t="inlineStr">
        <is>
          <t>N/D</t>
        </is>
      </c>
      <c r="BO35" s="75" t="inlineStr">
        <is>
          <t>a SUMUP INSTITUIÇÃO DE PAGAMENTO BRASIL LTDA., sociedade limitada com sede na Cidade e Estado de São Paulo, na Rua Gilberto Sabino, nº 215, 10º andar, Pinheiros, CEP: 05425-020, inscrita no CNPJ/MF sob o nº 16.668.076/0001-20</t>
        </is>
      </c>
      <c r="BP35" s="75" t="inlineStr">
        <is>
          <t>os Emissores</t>
        </is>
      </c>
      <c r="BQ35" s="75"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BR35" s="75" t="inlineStr">
        <is>
          <t>cedente: https://fnet.bmfbovespa.com.br/fnet/publico/downloadDocumento?id=883977 | sacado_devedor: https://fnet.bmfbovespa.com.br/fnet/publico/downloadDocumento?id=883977 | tipo_recebivel: https://fnet.bmfbovespa.com.br/fnet/publico/downloadDocumento?id=883977</t>
        </is>
      </c>
      <c r="BS35" s="75" t="inlineStr">
        <is>
          <t>manual_aplicado</t>
        </is>
      </c>
      <c r="BT35" s="75" t="inlineStr">
        <is>
          <t>OBS da foto: Risco Banco Emissor Itaú.</t>
        </is>
      </c>
      <c r="BU35" s="75" t="inlineStr">
        <is>
          <t>883977</t>
        </is>
      </c>
      <c r="BV35" s="75" t="inlineStr">
        <is>
          <t>2025-04-22</t>
        </is>
      </c>
      <c r="BW35" s="75" t="inlineStr">
        <is>
          <t>95</t>
        </is>
      </c>
      <c r="BX35" s="75" t="inlineStr">
        <is>
          <t>revisto — mínimo júnior localizado</t>
        </is>
      </c>
      <c r="BY35" s="75" t="inlineStr">
        <is>
          <t>FundosNet/B3; documento 883977; referência 2025-04-22; p. 95</t>
        </is>
      </c>
      <c r="BZ35" s="75" t="inlineStr">
        <is>
          <t>Mínimo júnior implícito na relação PL / cotas seniores de 105,0%.</t>
        </is>
      </c>
      <c r="CA35" s="75" t="inlineStr">
        <is>
          <t>originador</t>
        </is>
      </c>
      <c r="CB35" s="75" t="inlineStr">
        <is>
          <t>completo_para_folga</t>
        </is>
      </c>
    </row>
    <row r="36" ht="31.5" customHeight="1">
      <c r="A36" s="74" t="n">
        <v>32</v>
      </c>
      <c r="B36" s="138" t="n">
        <v>41197066000109</v>
      </c>
      <c r="C36" s="74" t="inlineStr">
        <is>
          <t>41.197.066/0001-09</t>
        </is>
      </c>
      <c r="D36" s="74" t="inlineStr">
        <is>
          <t>IFOOD PAGO CRÉDITO I FUNDO DE INVESTIMENTO EM DIREITOS CREDITÓRIOS FINANCEIRO DE RESP LIMITADA</t>
        </is>
      </c>
      <c r="E36" s="74" t="inlineStr">
        <is>
          <t>MOVILEPAY CREDITO I FIDC SEGMENTO FINANCEIRO DE RE</t>
        </is>
      </c>
      <c r="F36" s="74" t="inlineStr">
        <is>
          <t>Carteira 101</t>
        </is>
      </c>
      <c r="G36" s="74" t="inlineStr">
        <is>
          <t>2026-08</t>
        </is>
      </c>
      <c r="H36" s="74" t="inlineStr">
        <is>
          <t>localizado</t>
        </is>
      </c>
      <c r="I36" s="139" t="n">
        <v>599497792.78</v>
      </c>
      <c r="J36" s="139" t="n">
        <v>599497792.7802087</v>
      </c>
      <c r="K36" s="139" t="n">
        <v>224665403.4904837</v>
      </c>
      <c r="L36" s="140" t="n">
        <v>0.3747560144444602</v>
      </c>
      <c r="M36" s="74" t="inlineStr">
        <is>
          <t>Calculado com classes reportadas e PL oficial reconciliado</t>
        </is>
      </c>
      <c r="N36" s="140" t="n">
        <v>0.1</v>
      </c>
      <c r="O36" s="140" t="inlineStr">
        <is>
          <t>N/D</t>
        </is>
      </c>
      <c r="P36" s="140" t="inlineStr">
        <is>
          <t>N/D</t>
        </is>
      </c>
      <c r="Q36" s="140" t="inlineStr">
        <is>
          <t>N/D</t>
        </is>
      </c>
      <c r="R36" s="140" t="inlineStr">
        <is>
          <t>N/D</t>
        </is>
      </c>
      <c r="S36" s="140" t="n">
        <v>0.1</v>
      </c>
      <c r="T36" s="74" t="inlineStr">
        <is>
          <t>N/D</t>
        </is>
      </c>
      <c r="U36" s="74" t="inlineStr">
        <is>
          <t>junior_pl</t>
        </is>
      </c>
      <c r="V36" s="74" t="inlineStr">
        <is>
          <t>direto no regulamento</t>
        </is>
      </c>
      <c r="W36" s="74" t="b">
        <v>0</v>
      </c>
      <c r="X36" s="74" t="inlineStr">
        <is>
          <t>Mínimo júnior isolado; a subordinação atual disponível agrega todas as classes subordinadas.</t>
        </is>
      </c>
      <c r="Y36" s="74" t="b">
        <v>0</v>
      </c>
      <c r="Z36" s="140" t="inlineStr">
        <is>
          <t>N/D</t>
        </is>
      </c>
      <c r="AA36" s="140" t="inlineStr">
        <is>
          <t>N/D</t>
        </is>
      </c>
      <c r="AB36" s="74" t="inlineStr">
        <is>
          <t>não medido</t>
        </is>
      </c>
      <c r="AC36" s="74" t="inlineStr">
        <is>
          <t>Financeiro</t>
        </is>
      </c>
      <c r="AD36" s="74" t="inlineStr">
        <is>
          <t>Crédito Pessoal</t>
        </is>
      </c>
      <c r="AE36" s="74" t="inlineStr">
        <is>
          <t>Financeiro</t>
        </is>
      </c>
      <c r="AF36" s="74" t="inlineStr">
        <is>
          <t>Financeiro</t>
        </is>
      </c>
      <c r="AG36" s="74" t="inlineStr">
        <is>
          <t>Financeiro</t>
        </is>
      </c>
      <c r="AH36" s="74" t="inlineStr">
        <is>
          <t>Financeiro</t>
        </is>
      </c>
      <c r="AI36" s="74" t="inlineStr">
        <is>
          <t>Crédito embedded PF/PJ, CCBs no ecossistema iFood</t>
        </is>
      </c>
      <c r="AJ36" s="74" t="b">
        <v>0</v>
      </c>
      <c r="AK36" s="74" t="inlineStr">
        <is>
          <t>MANTER_ALTA</t>
        </is>
      </c>
      <c r="AL36" s="74" t="inlineStr">
        <is>
          <t>Operações de crédito formalizadas por CCB</t>
        </is>
      </c>
      <c r="AM36" s="74" t="inlineStr">
        <is>
          <t>regulamento 1076481</t>
        </is>
      </c>
      <c r="AN36" s="74" t="inlineStr">
        <is>
          <t>Não</t>
        </is>
      </c>
      <c r="AO36" s="74" t="inlineStr">
        <is>
          <t>regulamento 1076481</t>
        </is>
      </c>
      <c r="AP36" s="74" t="b">
        <v>0</v>
      </c>
      <c r="AQ36" s="74" t="inlineStr">
        <is>
          <t>Financeiro</t>
        </is>
      </c>
      <c r="AR36" s="74" t="inlineStr">
        <is>
          <t>Financeiro</t>
        </is>
      </c>
      <c r="AS36" s="74" t="b">
        <v>0</v>
      </c>
      <c r="AT36" s="74" t="inlineStr">
        <is>
          <t>N/D</t>
        </is>
      </c>
      <c r="AU36" s="74" t="inlineStr">
        <is>
          <t>N/D</t>
        </is>
      </c>
      <c r="AV36" s="74" t="inlineStr">
        <is>
          <t>35%–60%</t>
        </is>
      </c>
      <c r="AW36" s="74" t="b">
        <v>1</v>
      </c>
      <c r="AX36" s="74" t="inlineStr">
        <is>
          <t>incomparável</t>
        </is>
      </c>
      <c r="AY36" s="74" t="inlineStr">
        <is>
          <t>acima do mercado</t>
        </is>
      </c>
      <c r="AZ36" s="140" t="n">
        <v>0.06856223374797604</v>
      </c>
      <c r="BA36" s="74" t="b">
        <v>1</v>
      </c>
      <c r="BB36" s="141" t="n">
        <v>12</v>
      </c>
      <c r="BC36" s="139" t="inlineStr">
        <is>
          <t>N/D</t>
        </is>
      </c>
      <c r="BD36" s="74" t="inlineStr">
        <is>
          <t>N/D</t>
        </is>
      </c>
      <c r="BE36" s="74" t="inlineStr">
        <is>
          <t>N/D</t>
        </is>
      </c>
      <c r="BF36" s="74" t="inlineStr">
        <is>
          <t>N/D</t>
        </is>
      </c>
      <c r="BG36" s="74" t="inlineStr">
        <is>
          <t>N/D</t>
        </is>
      </c>
      <c r="BH36" s="74" t="inlineStr">
        <is>
          <t>N/D</t>
        </is>
      </c>
      <c r="BI36" s="74" t="inlineStr">
        <is>
          <t>N/D</t>
        </is>
      </c>
      <c r="BJ36" s="74" t="inlineStr">
        <is>
          <t>não localizado</t>
        </is>
      </c>
      <c r="BK36" s="74" t="b">
        <v>0</v>
      </c>
      <c r="BL36" s="74" t="inlineStr">
        <is>
          <t>MovilePay / iFood</t>
        </is>
      </c>
      <c r="BM36" s="74" t="inlineStr">
        <is>
          <t>cedente</t>
        </is>
      </c>
      <c r="BN36" s="74" t="inlineStr">
        <is>
          <t>N/D</t>
        </is>
      </c>
      <c r="BO36" s="74" t="inlineStr">
        <is>
          <t>MovilePay / iFood</t>
        </is>
      </c>
      <c r="BP36" s="74" t="inlineStr">
        <is>
          <t>a pessoa que assume a responsabilidade solidária pelo cumprimento de quaisquer das obrigações principais, acessórias e/ou moratórias, presentes e/ou futuras, no seu vencimento original ou antecipado, assumidas ou que venham a ser assumidas Docusign Envelope ID: 68026EB4-05F6-4277-97D7-D8C28DC37303</t>
        </is>
      </c>
      <c r="BQ36" s="74" t="inlineStr">
        <is>
          <t>todos os direitos creditórios originários de operações de crédito contratadas pelos Devedores Elegíveis, na qualidade de Devedores, com as Instituições Financeiras Parceiras, formalizadas por meio da emissão de CCBs pelos respectivos Devedores Elegíveis em favor das Instituições Financeiras Parceiras</t>
        </is>
      </c>
      <c r="BR36" s="74" t="inlineStr">
        <is>
          <t>cedente: IMG_8705.JPG | sacado_devedor: https://fnet.bmfbovespa.com.br/fnet/publico/downloadDocumento?id=1076481 | tipo_recebivel: https://fnet.bmfbovespa.com.br/fnet/publico/downloadDocumento?id=1076481</t>
        </is>
      </c>
      <c r="BS36" s="74" t="inlineStr">
        <is>
          <t>manual_aplicado</t>
        </is>
      </c>
      <c r="BT36" s="74" t="inlineStr">
        <is>
          <t>Denominação cortada pela largura da coluna na foto.</t>
        </is>
      </c>
      <c r="BU36" s="74" t="inlineStr">
        <is>
          <t>1076481</t>
        </is>
      </c>
      <c r="BV36" s="74" t="inlineStr">
        <is>
          <t>2025-12-30</t>
        </is>
      </c>
      <c r="BW36" s="74" t="inlineStr">
        <is>
          <t>89</t>
        </is>
      </c>
      <c r="BX36" s="74" t="inlineStr">
        <is>
          <t>revisto — mínimo júnior localizado</t>
        </is>
      </c>
      <c r="BY36" s="74" t="inlineStr">
        <is>
          <t>FundosNet/B3; documento 1076481; referência 2025-12-30; p. 89</t>
        </is>
      </c>
      <c r="BZ36" s="74" t="inlineStr">
        <is>
          <t>Cotas júnior / PL: 10,0% até o gatilho contratual e 20,0% depois de atingido o novo patamar.</t>
        </is>
      </c>
      <c r="CA36" s="74" t="inlineStr">
        <is>
          <t>preço unitário da cota; originador</t>
        </is>
      </c>
      <c r="CB36" s="74" t="inlineStr">
        <is>
          <t>estrutura_incomparavel</t>
        </is>
      </c>
    </row>
    <row r="37" ht="31.5" customHeight="1">
      <c r="A37" s="75" t="n">
        <v>33</v>
      </c>
      <c r="B37" s="142" t="n">
        <v>44124617000194</v>
      </c>
      <c r="C37" s="75" t="inlineStr">
        <is>
          <t>44.124.617/0001-94</t>
        </is>
      </c>
      <c r="D37" s="75" t="inlineStr">
        <is>
          <t>CLOUDWALK AKIRA II FIDC SEGMENTO MEIOS DE PAGAMENTO</t>
        </is>
      </c>
      <c r="E37" s="75" t="inlineStr">
        <is>
          <t>CLOUDWALK AKIRA II FUNDO DE INVESTIMENTO EM DIREITO</t>
        </is>
      </c>
      <c r="F37" s="75" t="inlineStr">
        <is>
          <t>Carteira 101</t>
        </is>
      </c>
      <c r="G37" s="75" t="inlineStr">
        <is>
          <t>2026-08</t>
        </is>
      </c>
      <c r="H37" s="75" t="inlineStr">
        <is>
          <t>localizado</t>
        </is>
      </c>
      <c r="I37" s="143" t="inlineStr">
        <is>
          <t>N/D</t>
        </is>
      </c>
      <c r="J37" s="143" t="inlineStr">
        <is>
          <t>N/D</t>
        </is>
      </c>
      <c r="K37" s="143" t="inlineStr">
        <is>
          <t>N/D</t>
        </is>
      </c>
      <c r="L37" s="144" t="inlineStr">
        <is>
          <t>N/D</t>
        </is>
      </c>
      <c r="M37" s="75" t="inlineStr">
        <is>
          <t>PL oficial ausente em 2026-08</t>
        </is>
      </c>
      <c r="N37" s="144" t="n">
        <v>0.05</v>
      </c>
      <c r="O37" s="144" t="inlineStr">
        <is>
          <t>N/D</t>
        </is>
      </c>
      <c r="P37" s="144" t="inlineStr">
        <is>
          <t>N/D</t>
        </is>
      </c>
      <c r="Q37" s="144" t="n">
        <v>0.05</v>
      </c>
      <c r="R37" s="144" t="inlineStr">
        <is>
          <t>N/D</t>
        </is>
      </c>
      <c r="S37" s="144" t="n">
        <v>0.05</v>
      </c>
      <c r="T37" s="75" t="inlineStr">
        <is>
          <t>5,0%</t>
        </is>
      </c>
      <c r="U37" s="75" t="inlineStr">
        <is>
          <t>junior_pl</t>
        </is>
      </c>
      <c r="V37" s="75" t="inlineStr">
        <is>
          <t>direto no regulamento</t>
        </is>
      </c>
      <c r="W37" s="75" t="b">
        <v>1</v>
      </c>
      <c r="X37" s="75" t="inlineStr">
        <is>
          <t>Estrutura com uma única classe subordinada; métrica atual e piso usam o total subordinado sobre o PL.</t>
        </is>
      </c>
      <c r="Y37" s="75" t="b">
        <v>0</v>
      </c>
      <c r="Z37" s="144" t="inlineStr">
        <is>
          <t>N/D</t>
        </is>
      </c>
      <c r="AA37" s="144" t="inlineStr">
        <is>
          <t>N/D</t>
        </is>
      </c>
      <c r="AB37" s="75" t="inlineStr">
        <is>
          <t>não medido</t>
        </is>
      </c>
      <c r="AC37" s="75" t="inlineStr">
        <is>
          <t>Financeiro</t>
        </is>
      </c>
      <c r="AD37" s="75" t="inlineStr">
        <is>
          <t>Adquirência</t>
        </is>
      </c>
      <c r="AE37" s="75" t="inlineStr">
        <is>
          <t>Adquirência</t>
        </is>
      </c>
      <c r="AF37" s="75" t="inlineStr">
        <is>
          <t>Adquirência</t>
        </is>
      </c>
      <c r="AG37" s="75" t="inlineStr">
        <is>
          <t>Adquirência</t>
        </is>
      </c>
      <c r="AH37" s="75" t="inlineStr">
        <is>
          <t>Adquirência</t>
        </is>
      </c>
      <c r="AI37" s="75" t="inlineStr">
        <is>
          <t>N/D</t>
        </is>
      </c>
      <c r="AJ37" s="75" t="b">
        <v>0</v>
      </c>
      <c r="AK37" s="75" t="inlineStr">
        <is>
          <t>fora da revisão Financeiro/Agro</t>
        </is>
      </c>
      <c r="AL37" s="75" t="inlineStr">
        <is>
          <t>N/D</t>
        </is>
      </c>
      <c r="AM37" s="75" t="inlineStr">
        <is>
          <t>N/D</t>
        </is>
      </c>
      <c r="AN37" s="75" t="inlineStr">
        <is>
          <t>N/D</t>
        </is>
      </c>
      <c r="AO37" s="75" t="inlineStr">
        <is>
          <t>N/D</t>
        </is>
      </c>
      <c r="AP37" s="75" t="inlineStr">
        <is>
          <t>N/D</t>
        </is>
      </c>
      <c r="AQ37" s="75" t="inlineStr">
        <is>
          <t>Adquirência</t>
        </is>
      </c>
      <c r="AR37" s="75" t="inlineStr">
        <is>
          <t>Adquirência</t>
        </is>
      </c>
      <c r="AS37" s="75" t="b">
        <v>0</v>
      </c>
      <c r="AT37" s="75" t="inlineStr">
        <is>
          <t>N/D</t>
        </is>
      </c>
      <c r="AU37" s="75" t="inlineStr">
        <is>
          <t>N/D</t>
        </is>
      </c>
      <c r="AV37" s="75" t="inlineStr">
        <is>
          <t>N/D</t>
        </is>
      </c>
      <c r="AW37" s="75" t="b">
        <v>0</v>
      </c>
      <c r="AX37" s="75" t="inlineStr">
        <is>
          <t>N/D</t>
        </is>
      </c>
      <c r="AY37" s="75" t="inlineStr">
        <is>
          <t>sem benchmark confiável</t>
        </is>
      </c>
      <c r="AZ37" s="144" t="inlineStr">
        <is>
          <t>N/D</t>
        </is>
      </c>
      <c r="BA37" s="75" t="b">
        <v>1</v>
      </c>
      <c r="BB37" s="145" t="n">
        <v>14</v>
      </c>
      <c r="BC37" s="143" t="n">
        <v>1000</v>
      </c>
      <c r="BD37" s="75" t="inlineStr">
        <is>
          <t>Cotas Seniores: R$1.000</t>
        </is>
      </c>
      <c r="BE37" s="75" t="inlineStr">
        <is>
          <t>valor nominal unitário (VNU)</t>
        </is>
      </c>
      <c r="BF37" s="75" t="inlineStr">
        <is>
          <t>Cotas Seniores</t>
        </is>
      </c>
      <c r="BG37" s="75" t="inlineStr">
        <is>
          <t>2025-02-28</t>
        </is>
      </c>
      <c r="BH37" s="75" t="inlineStr">
        <is>
          <t>851798</t>
        </is>
      </c>
      <c r="BI37" s="75" t="inlineStr">
        <is>
          <t>https://fnet.bmfbovespa.com.br/fnet/publico/downloadDocumento?id=851798</t>
        </is>
      </c>
      <c r="BJ37" s="75" t="inlineStr">
        <is>
          <t>localizado documentalmente</t>
        </is>
      </c>
      <c r="BK37" s="75" t="b">
        <v>0</v>
      </c>
      <c r="BL37" s="75" t="inlineStr">
        <is>
          <t>Cloudwalk</t>
        </is>
      </c>
      <c r="BM37" s="75" t="inlineStr">
        <is>
          <t>cedente</t>
        </is>
      </c>
      <c r="BN37" s="75" t="inlineStr">
        <is>
          <t>N/D</t>
        </is>
      </c>
      <c r="BO37" s="75" t="inlineStr">
        <is>
          <t>a CloudWalk que, de tempos em tempos, nos termos do Contrato de Cessão, cede seus respectivos Direitos Creditórios Elegíveis ao Fundo</t>
        </is>
      </c>
      <c r="BP37" s="75" t="inlineStr">
        <is>
          <t>cada Devedor de Direitos Creditórios Cedidos que represente 5% ( cinco por cento) ou mais do Patrimônio Líquido do Fundo</t>
        </is>
      </c>
      <c r="BQ37" s="75" t="inlineStr">
        <is>
          <t>os direitos creditórios de tempos em tempos detidos pela Cedente em face dos Devedores, conforme as regras dos Arranjos de Pagamentos, decorrentes de Transações de Pagamento realizadas por Usuários-Finais com a utilização de Instrumentos de Pagamento, operacionalizadas pelo Sistema CloudWalk , para a aquisição de bens ou serviços no s Estabelecimentos Credenciados, equivalentes ao valor remanescente das Transações de Pagamento após o desconto das Taxas Aplicáveis</t>
        </is>
      </c>
      <c r="BR37" s="75" t="inlineStr">
        <is>
          <t>cedente: https://fnet.bmfbovespa.com.br/fnet/publico/downloadDocumento?id=851798 | sacado_devedor: https://fnet.bmfbovespa.com.br/fnet/publico/downloadDocumento?id=851798 | tipo_recebivel: https://fnet.bmfbovespa.com.br/fnet/publico/downloadDocumento?id=851798</t>
        </is>
      </c>
      <c r="BS37" s="75" t="inlineStr">
        <is>
          <t>manual_aplicado</t>
        </is>
      </c>
      <c r="BT37" s="75" t="inlineStr">
        <is>
          <t>OBS da foto: Alongamento discutido recentemente (mas com run-off). Denominação cortada.</t>
        </is>
      </c>
      <c r="BU37" s="75" t="inlineStr">
        <is>
          <t>851798</t>
        </is>
      </c>
      <c r="BV37" s="75" t="inlineStr">
        <is>
          <t>2025-02-28</t>
        </is>
      </c>
      <c r="BW37" s="75" t="inlineStr">
        <is>
          <t>101–102</t>
        </is>
      </c>
      <c r="BX37" s="75" t="inlineStr">
        <is>
          <t>revisto — mínimo júnior localizado</t>
        </is>
      </c>
      <c r="BY37" s="75" t="inlineStr">
        <is>
          <t>FundosNet/B3; documento 851798; referência 2025-02-28; p. 101–102</t>
        </is>
      </c>
      <c r="BZ37" s="75" t="inlineStr">
        <is>
          <t>Cotas subordinadas / PL, mínimo de 5,0%; estrutura com uma única classe residual.</t>
        </is>
      </c>
      <c r="CA37" s="75" t="inlineStr">
        <is>
          <t>PL atual; Sub/PL atual; originador</t>
        </is>
      </c>
      <c r="CB37" s="75" t="inlineStr">
        <is>
          <t>sub_pl_atual_ausente</t>
        </is>
      </c>
    </row>
    <row r="38" ht="31.5" customHeight="1">
      <c r="A38" s="74" t="n">
        <v>34</v>
      </c>
      <c r="B38" s="138" t="n">
        <v>42085816000105</v>
      </c>
      <c r="C38" s="74" t="inlineStr">
        <is>
          <t>42.085.816/0001-05</t>
        </is>
      </c>
      <c r="D38" s="74" t="inlineStr">
        <is>
          <t>CLOUDWALK KICK ASS I FUNDO DE INVESTIMENTO EM DIREITOS CREDITÓRIOS SEGMENTO MEIOS DE PAGAMENTO</t>
        </is>
      </c>
      <c r="E38" s="74" t="inlineStr">
        <is>
          <t>CLOUDWALK KICK ASS I FUNDO DE INVESTIMENTO EM DIRE</t>
        </is>
      </c>
      <c r="F38" s="74" t="inlineStr">
        <is>
          <t>Carteira 101</t>
        </is>
      </c>
      <c r="G38" s="74" t="inlineStr">
        <is>
          <t>2026-08</t>
        </is>
      </c>
      <c r="H38" s="74" t="inlineStr">
        <is>
          <t>localizado</t>
        </is>
      </c>
      <c r="I38" s="139" t="inlineStr">
        <is>
          <t>N/D</t>
        </is>
      </c>
      <c r="J38" s="139" t="inlineStr">
        <is>
          <t>N/D</t>
        </is>
      </c>
      <c r="K38" s="139" t="inlineStr">
        <is>
          <t>N/D</t>
        </is>
      </c>
      <c r="L38" s="140" t="inlineStr">
        <is>
          <t>N/D</t>
        </is>
      </c>
      <c r="M38" s="74" t="inlineStr">
        <is>
          <t>PL oficial ausente em 2026-08</t>
        </is>
      </c>
      <c r="N38" s="140" t="n">
        <v>0.048</v>
      </c>
      <c r="O38" s="140" t="inlineStr">
        <is>
          <t>N/D</t>
        </is>
      </c>
      <c r="P38" s="140" t="inlineStr">
        <is>
          <t>N/D</t>
        </is>
      </c>
      <c r="Q38" s="140" t="n">
        <v>0.048</v>
      </c>
      <c r="R38" s="140" t="inlineStr">
        <is>
          <t>N/D</t>
        </is>
      </c>
      <c r="S38" s="140" t="n">
        <v>0.048</v>
      </c>
      <c r="T38" s="74" t="inlineStr">
        <is>
          <t>4,8%</t>
        </is>
      </c>
      <c r="U38" s="74" t="inlineStr">
        <is>
          <t>junior_pl</t>
        </is>
      </c>
      <c r="V38" s="74" t="inlineStr">
        <is>
          <t>direto no regulamento</t>
        </is>
      </c>
      <c r="W38" s="74" t="b">
        <v>1</v>
      </c>
      <c r="X38" s="74" t="inlineStr">
        <is>
          <t>Estrutura com uma única classe subordinada; métrica atual e piso usam o total subordinado sobre o PL.</t>
        </is>
      </c>
      <c r="Y38" s="74" t="b">
        <v>0</v>
      </c>
      <c r="Z38" s="140" t="inlineStr">
        <is>
          <t>N/D</t>
        </is>
      </c>
      <c r="AA38" s="140" t="inlineStr">
        <is>
          <t>N/D</t>
        </is>
      </c>
      <c r="AB38" s="74" t="inlineStr">
        <is>
          <t>não medido</t>
        </is>
      </c>
      <c r="AC38" s="74" t="inlineStr">
        <is>
          <t>Financeiro</t>
        </is>
      </c>
      <c r="AD38" s="74" t="inlineStr">
        <is>
          <t>Adquirência</t>
        </is>
      </c>
      <c r="AE38" s="74" t="inlineStr">
        <is>
          <t>Adquirência</t>
        </is>
      </c>
      <c r="AF38" s="74" t="inlineStr">
        <is>
          <t>Adquirência</t>
        </is>
      </c>
      <c r="AG38" s="74" t="inlineStr">
        <is>
          <t>Adquirência</t>
        </is>
      </c>
      <c r="AH38" s="74" t="inlineStr">
        <is>
          <t>Adquirência</t>
        </is>
      </c>
      <c r="AI38" s="74" t="inlineStr">
        <is>
          <t>N/D</t>
        </is>
      </c>
      <c r="AJ38" s="74" t="b">
        <v>0</v>
      </c>
      <c r="AK38" s="74" t="inlineStr">
        <is>
          <t>fora da revisão Financeiro/Agro</t>
        </is>
      </c>
      <c r="AL38" s="74" t="inlineStr">
        <is>
          <t>N/D</t>
        </is>
      </c>
      <c r="AM38" s="74" t="inlineStr">
        <is>
          <t>N/D</t>
        </is>
      </c>
      <c r="AN38" s="74" t="inlineStr">
        <is>
          <t>N/D</t>
        </is>
      </c>
      <c r="AO38" s="74" t="inlineStr">
        <is>
          <t>N/D</t>
        </is>
      </c>
      <c r="AP38" s="74" t="inlineStr">
        <is>
          <t>N/D</t>
        </is>
      </c>
      <c r="AQ38" s="74" t="inlineStr">
        <is>
          <t>Adquirência</t>
        </is>
      </c>
      <c r="AR38" s="74" t="inlineStr">
        <is>
          <t>Adquirência</t>
        </is>
      </c>
      <c r="AS38" s="74" t="b">
        <v>0</v>
      </c>
      <c r="AT38" s="74" t="inlineStr">
        <is>
          <t>N/D</t>
        </is>
      </c>
      <c r="AU38" s="74" t="inlineStr">
        <is>
          <t>N/D</t>
        </is>
      </c>
      <c r="AV38" s="74" t="inlineStr">
        <is>
          <t>N/D</t>
        </is>
      </c>
      <c r="AW38" s="74" t="b">
        <v>0</v>
      </c>
      <c r="AX38" s="74" t="inlineStr">
        <is>
          <t>N/D</t>
        </is>
      </c>
      <c r="AY38" s="74" t="inlineStr">
        <is>
          <t>sem benchmark confiável</t>
        </is>
      </c>
      <c r="AZ38" s="140" t="inlineStr">
        <is>
          <t>N/D</t>
        </is>
      </c>
      <c r="BA38" s="74" t="b">
        <v>1</v>
      </c>
      <c r="BB38" s="141" t="n">
        <v>14</v>
      </c>
      <c r="BC38" s="139" t="n">
        <v>1000</v>
      </c>
      <c r="BD38" s="74" t="inlineStr">
        <is>
          <t>Cotas Subordinadas: R$ 1.000,00</t>
        </is>
      </c>
      <c r="BE38" s="74" t="inlineStr">
        <is>
          <t>valor nominal unitário (VNU)</t>
        </is>
      </c>
      <c r="BF38" s="74" t="inlineStr">
        <is>
          <t>Cotas Subordinadas</t>
        </is>
      </c>
      <c r="BG38" s="74" t="inlineStr">
        <is>
          <t>2021-09-01</t>
        </is>
      </c>
      <c r="BH38" s="74" t="inlineStr">
        <is>
          <t>211003</t>
        </is>
      </c>
      <c r="BI38" s="74" t="inlineStr">
        <is>
          <t>https://fnet.bmfbovespa.com.br/fnet/publico/downloadDocumento?id=211003</t>
        </is>
      </c>
      <c r="BJ38" s="74" t="inlineStr">
        <is>
          <t>localizado documentalmente</t>
        </is>
      </c>
      <c r="BK38" s="74" t="b">
        <v>0</v>
      </c>
      <c r="BL38" s="74" t="inlineStr">
        <is>
          <t>Cloudwalk IP</t>
        </is>
      </c>
      <c r="BM38" s="74" t="inlineStr">
        <is>
          <t>cedente</t>
        </is>
      </c>
      <c r="BN38" s="74" t="inlineStr">
        <is>
          <t>N/D</t>
        </is>
      </c>
      <c r="BO38" s="74" t="inlineStr">
        <is>
          <t>a CloudWalk que, de tempos em tempos, nos termos do Contrato de Cessão, cede seus respectivos Direitos Creditórios Elegíveis ao Fundo</t>
        </is>
      </c>
      <c r="BP38" s="74" t="inlineStr">
        <is>
          <t>os Emissores Qualificados</t>
        </is>
      </c>
      <c r="BQ38" s="74" t="inlineStr">
        <is>
          <t>os direitos creditórios de tempos em tempos detidos pela Cedente em face dos Devedores, conforme as regras dos Arranjos de Pagamentos, decorrentes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Aplicáveis</t>
        </is>
      </c>
      <c r="BR38" s="74" t="inlineStr">
        <is>
          <t>cedente: https://fnet.bmfbovespa.com.br/fnet/publico/downloadDocumento?id=513540 | sacado_devedor: https://fnet.bmfbovespa.com.br/fnet/publico/downloadDocumento?id=513540 | tipo_recebivel: https://fnet.bmfbovespa.com.br/fnet/publico/downloadDocumento?id=513540</t>
        </is>
      </c>
      <c r="BS38" s="74" t="inlineStr">
        <is>
          <t>manual_aplicado</t>
        </is>
      </c>
      <c r="BT38" s="74" t="inlineStr">
        <is>
          <t>OBS da foto: Risco Banco Emissor Itaú. Denominação cortada.</t>
        </is>
      </c>
      <c r="BU38" s="74" t="inlineStr">
        <is>
          <t>733165</t>
        </is>
      </c>
      <c r="BV38" s="74" t="inlineStr">
        <is>
          <t>2024-09-05</t>
        </is>
      </c>
      <c r="BW38" s="74" t="inlineStr">
        <is>
          <t>98</t>
        </is>
      </c>
      <c r="BX38" s="74" t="inlineStr">
        <is>
          <t>revisto — mínimo júnior localizado</t>
        </is>
      </c>
      <c r="BY38" s="74" t="inlineStr">
        <is>
          <t>FundosNet/B3; documento 733165; referência 2024-09-05; p. 98</t>
        </is>
      </c>
      <c r="BZ38" s="74" t="inlineStr">
        <is>
          <t>Cotas subordinadas / PL, mínimo de 4,8%; estrutura com uma única classe residual.</t>
        </is>
      </c>
      <c r="CA38" s="74" t="inlineStr">
        <is>
          <t>PL atual; Sub/PL atual; originador</t>
        </is>
      </c>
      <c r="CB38" s="74" t="inlineStr">
        <is>
          <t>sub_pl_atual_ausente</t>
        </is>
      </c>
    </row>
    <row r="39" ht="31.5" customHeight="1">
      <c r="A39" s="75" t="n">
        <v>35</v>
      </c>
      <c r="B39" s="142" t="n">
        <v>38385876000176</v>
      </c>
      <c r="C39" s="75" t="inlineStr">
        <is>
          <t>38.385.876/0001-76</t>
        </is>
      </c>
      <c r="D39" s="75" t="inlineStr">
        <is>
          <t>ESTRATÉGIA EDUCACIONAL FUNDO DE INVESTIMENTO EM DIREITOS CREDITÓRIOS</t>
        </is>
      </c>
      <c r="E39" s="75" t="inlineStr">
        <is>
          <t>ESTRATEGIA EDUCACIONAL FIDC</t>
        </is>
      </c>
      <c r="F39" s="75" t="inlineStr">
        <is>
          <t>Carteira 101</t>
        </is>
      </c>
      <c r="G39" s="75" t="inlineStr">
        <is>
          <t>2026-08</t>
        </is>
      </c>
      <c r="H39" s="75" t="inlineStr">
        <is>
          <t>localizado</t>
        </is>
      </c>
      <c r="I39" s="143" t="inlineStr">
        <is>
          <t>N/D</t>
        </is>
      </c>
      <c r="J39" s="143" t="inlineStr">
        <is>
          <t>N/D</t>
        </is>
      </c>
      <c r="K39" s="143" t="inlineStr">
        <is>
          <t>N/D</t>
        </is>
      </c>
      <c r="L39" s="144" t="inlineStr">
        <is>
          <t>N/D</t>
        </is>
      </c>
      <c r="M39" s="75" t="inlineStr">
        <is>
          <t>PL oficial ausente em 2026-08</t>
        </is>
      </c>
      <c r="N39" s="144" t="n">
        <v>0.1</v>
      </c>
      <c r="O39" s="144" t="inlineStr">
        <is>
          <t>N/D</t>
        </is>
      </c>
      <c r="P39" s="144" t="inlineStr">
        <is>
          <t>N/D</t>
        </is>
      </c>
      <c r="Q39" s="144" t="inlineStr">
        <is>
          <t>N/D</t>
        </is>
      </c>
      <c r="R39" s="144" t="inlineStr">
        <is>
          <t>N/D</t>
        </is>
      </c>
      <c r="S39" s="144" t="n">
        <v>0.1</v>
      </c>
      <c r="T39" s="75" t="inlineStr">
        <is>
          <t>N/D</t>
        </is>
      </c>
      <c r="U39" s="75" t="inlineStr">
        <is>
          <t>junior_pl</t>
        </is>
      </c>
      <c r="V39" s="75" t="inlineStr">
        <is>
          <t>direto no regulamento</t>
        </is>
      </c>
      <c r="W39" s="75" t="b">
        <v>0</v>
      </c>
      <c r="X39" s="75" t="inlineStr">
        <is>
          <t>Mínimo júnior isolado; a subordinação atual disponível agrega todas as classes subordinadas.</t>
        </is>
      </c>
      <c r="Y39" s="75" t="b">
        <v>0</v>
      </c>
      <c r="Z39" s="144" t="inlineStr">
        <is>
          <t>N/D</t>
        </is>
      </c>
      <c r="AA39" s="144" t="inlineStr">
        <is>
          <t>N/D</t>
        </is>
      </c>
      <c r="AB39" s="75" t="inlineStr">
        <is>
          <t>não medido</t>
        </is>
      </c>
      <c r="AC39" s="75" t="inlineStr">
        <is>
          <t>Agro, Indústria e Comércio</t>
        </is>
      </c>
      <c r="AD39" s="75" t="inlineStr">
        <is>
          <t>Recebíveis Comerciais</t>
        </is>
      </c>
      <c r="AE39" s="75" t="inlineStr">
        <is>
          <t>Agro / Revenda</t>
        </is>
      </c>
      <c r="AF39" s="75" t="inlineStr">
        <is>
          <t>Agro / Revenda</t>
        </is>
      </c>
      <c r="AG39" s="75" t="inlineStr">
        <is>
          <t>Agro / Revenda</t>
        </is>
      </c>
      <c r="AH39" s="75" t="inlineStr">
        <is>
          <t>Adquirência</t>
        </is>
      </c>
      <c r="AI39" s="75" t="inlineStr">
        <is>
          <t>Agenda de recebíveis de transações de pagamento</t>
        </is>
      </c>
      <c r="AJ39" s="75" t="b">
        <v>1</v>
      </c>
      <c r="AK39" s="75" t="inlineStr">
        <is>
          <t>APLICAR_ALTA</t>
        </is>
      </c>
      <c r="AL39" s="75" t="inlineStr">
        <is>
          <t>Direitos constam da agenda de recebíveis do arranjo</t>
        </is>
      </c>
      <c r="AM39" s="75" t="inlineStr">
        <is>
          <t>regulamento 719764</t>
        </is>
      </c>
      <c r="AN39" s="75" t="inlineStr">
        <is>
          <t>Não</t>
        </is>
      </c>
      <c r="AO39" s="75" t="inlineStr">
        <is>
          <t>regulamento 719764</t>
        </is>
      </c>
      <c r="AP39" s="75" t="b">
        <v>0</v>
      </c>
      <c r="AQ39" s="75" t="inlineStr">
        <is>
          <t>Adquirência</t>
        </is>
      </c>
      <c r="AR39" s="75" t="inlineStr">
        <is>
          <t>Agro / Revenda</t>
        </is>
      </c>
      <c r="AS39" s="75" t="b">
        <v>1</v>
      </c>
      <c r="AT39" s="75" t="inlineStr">
        <is>
          <t>regulamento 719764</t>
        </is>
      </c>
      <c r="AU39" s="75" t="inlineStr">
        <is>
          <t>Direitos constam da agenda de recebíveis do arranjo</t>
        </is>
      </c>
      <c r="AV39" s="75" t="inlineStr">
        <is>
          <t>N/D</t>
        </is>
      </c>
      <c r="AW39" s="75" t="b">
        <v>0</v>
      </c>
      <c r="AX39" s="75" t="inlineStr">
        <is>
          <t>N/D</t>
        </is>
      </c>
      <c r="AY39" s="75" t="inlineStr">
        <is>
          <t>sem benchmark confiável</t>
        </is>
      </c>
      <c r="AZ39" s="144" t="inlineStr">
        <is>
          <t>N/D</t>
        </is>
      </c>
      <c r="BA39" s="75" t="b">
        <v>0</v>
      </c>
      <c r="BB39" s="145" t="n">
        <v>0</v>
      </c>
      <c r="BC39" s="143" t="n">
        <v>1000</v>
      </c>
      <c r="BD39" s="75" t="inlineStr">
        <is>
          <t>R$1.000,00</t>
        </is>
      </c>
      <c r="BE39" s="75" t="inlineStr">
        <is>
          <t>preço/valor unitário de emissão</t>
        </is>
      </c>
      <c r="BF39" s="75" t="inlineStr">
        <is>
          <t>N/D</t>
        </is>
      </c>
      <c r="BG39" s="75" t="inlineStr">
        <is>
          <t>14/08/2024</t>
        </is>
      </c>
      <c r="BH39" s="75" t="inlineStr">
        <is>
          <t>719764</t>
        </is>
      </c>
      <c r="BI39" s="75" t="inlineStr">
        <is>
          <t>https://fnet.bmfbovespa.com.br/fnet/publico/downloadDocumento?id=719764</t>
        </is>
      </c>
      <c r="BJ39" s="75" t="inlineStr">
        <is>
          <t>localizado documentalmente</t>
        </is>
      </c>
      <c r="BK39" s="75" t="b">
        <v>1</v>
      </c>
      <c r="BL39" s="75" t="inlineStr">
        <is>
          <t>Estratégia Concursos</t>
        </is>
      </c>
      <c r="BM39" s="75" t="inlineStr">
        <is>
          <t>cedente</t>
        </is>
      </c>
      <c r="BN39" s="75" t="inlineStr">
        <is>
          <t>N/D</t>
        </is>
      </c>
      <c r="BO39" s="75" t="inlineStr">
        <is>
          <t>Estratégia Concursos</t>
        </is>
      </c>
      <c r="BP39" s="75" t="inlineStr">
        <is>
          <t>N/D</t>
        </is>
      </c>
      <c r="BQ39" s="75" t="inlineStr">
        <is>
          <t>os direitos creditórios constantes da Agenda de Recebíveis que, d e tempos em tempos, o Cedente detém em face das Devedoras em decorrência das Transações de Pagamento, no âmbito dos Arranjos de Pagamento em que as Devedoras e o Cedente sejam participantes, os quais serão identificados pelo seguinte conjunto de informaçõe s, conforme registrados nos Sistemas de Registro: (i) CNPJ do Cedente; (ii) Devedora; (iii) Bandeira; (iv) data de liquidação (vencimento)</t>
        </is>
      </c>
      <c r="BR39" s="75" t="inlineStr">
        <is>
          <t>cedente: IMG_8705.JPG | tipo_recebivel: https://fnet.bmfbovespa.com.br/fnet/publico/downloadDocumento?id=719764</t>
        </is>
      </c>
      <c r="BS39" s="75" t="inlineStr">
        <is>
          <t>manual_aplicado</t>
        </is>
      </c>
      <c r="BT39" s="75" t="inlineStr">
        <is>
          <t>N/D</t>
        </is>
      </c>
      <c r="BU39" s="75" t="inlineStr">
        <is>
          <t>719764</t>
        </is>
      </c>
      <c r="BV39" s="75" t="inlineStr">
        <is>
          <t>2024-08-14</t>
        </is>
      </c>
      <c r="BW39" s="75" t="inlineStr">
        <is>
          <t>11</t>
        </is>
      </c>
      <c r="BX39" s="75" t="inlineStr">
        <is>
          <t>revisto — mínimo júnior localizado</t>
        </is>
      </c>
      <c r="BY39" s="75" t="inlineStr">
        <is>
          <t>FundosNet/B3; documento 719764; referência 2024-08-14; p. 11</t>
        </is>
      </c>
      <c r="BZ39" s="75" t="inlineStr">
        <is>
          <t>Relação Mínima Subordinada: cotas júnior / PL, mínimo de 10,0%.</t>
        </is>
      </c>
      <c r="CA39" s="75" t="inlineStr">
        <is>
          <t>PL atual; Sub/PL atual; originador; sacado/devedor</t>
        </is>
      </c>
      <c r="CB39" s="75" t="inlineStr">
        <is>
          <t>sub_pl_atual_ausente</t>
        </is>
      </c>
    </row>
    <row r="40" ht="31.5" customHeight="1">
      <c r="A40" s="74" t="n">
        <v>36</v>
      </c>
      <c r="B40" s="138" t="n">
        <v>40919667000107</v>
      </c>
      <c r="C40" s="74" t="inlineStr">
        <is>
          <t>40.919.667/0001-07</t>
        </is>
      </c>
      <c r="D40" s="74" t="inlineStr">
        <is>
          <t>RECARGAPAY I FUNDO DE INVESTIMENTO EM DIREITOS CREDITÓRIOS</t>
        </is>
      </c>
      <c r="E40" s="74" t="inlineStr">
        <is>
          <t>RECARGAPAY I FUNDO DE INVESTIMENTO EM DIREITOS CRE</t>
        </is>
      </c>
      <c r="F40" s="74" t="inlineStr">
        <is>
          <t>Carteira 101</t>
        </is>
      </c>
      <c r="G40" s="74" t="inlineStr">
        <is>
          <t>2026-08</t>
        </is>
      </c>
      <c r="H40" s="74" t="inlineStr">
        <is>
          <t>localizado</t>
        </is>
      </c>
      <c r="I40" s="139" t="n">
        <v>284521283.5</v>
      </c>
      <c r="J40" s="139" t="n">
        <v>284521283.4896019</v>
      </c>
      <c r="K40" s="139" t="n">
        <v>278711263.8796542</v>
      </c>
      <c r="L40" s="140" t="n">
        <v>0.9795796660661916</v>
      </c>
      <c r="M40" s="74" t="inlineStr">
        <is>
          <t>Calculado com classes reportadas e PL oficial reconciliado</t>
        </is>
      </c>
      <c r="N40" s="140" t="n">
        <v>0.5</v>
      </c>
      <c r="O40" s="140" t="inlineStr">
        <is>
          <t>N/D</t>
        </is>
      </c>
      <c r="P40" s="140" t="inlineStr">
        <is>
          <t>N/D</t>
        </is>
      </c>
      <c r="Q40" s="140" t="n">
        <v>0.5</v>
      </c>
      <c r="R40" s="140" t="inlineStr">
        <is>
          <t>N/D</t>
        </is>
      </c>
      <c r="S40" s="140" t="n">
        <v>0.5</v>
      </c>
      <c r="T40" s="74" t="inlineStr">
        <is>
          <t>50,0%</t>
        </is>
      </c>
      <c r="U40" s="74" t="inlineStr">
        <is>
          <t>junior_pl</t>
        </is>
      </c>
      <c r="V40" s="74" t="inlineStr">
        <is>
          <t>direto no regulamento</t>
        </is>
      </c>
      <c r="W40" s="74" t="b">
        <v>1</v>
      </c>
      <c r="X40" s="74" t="inlineStr">
        <is>
          <t>Estrutura com uma única classe subordinada; métrica atual e piso usam o total subordinado sobre o PL.</t>
        </is>
      </c>
      <c r="Y40" s="74" t="b">
        <v>0</v>
      </c>
      <c r="Z40" s="140" t="n">
        <v>0.4795796660661916</v>
      </c>
      <c r="AA40" s="140" t="n">
        <v>0.9591593321323832</v>
      </c>
      <c r="AB40" s="74" t="inlineStr">
        <is>
          <t>acima do mínimo</t>
        </is>
      </c>
      <c r="AC40" s="74" t="inlineStr">
        <is>
          <t>Agro, Indústria e Comércio</t>
        </is>
      </c>
      <c r="AD40" s="74" t="inlineStr">
        <is>
          <t>Recebíveis Comerciais</t>
        </is>
      </c>
      <c r="AE40" s="74" t="inlineStr">
        <is>
          <t>Agro / Revenda</t>
        </is>
      </c>
      <c r="AF40" s="74" t="inlineStr">
        <is>
          <t>Agro / Revenda</t>
        </is>
      </c>
      <c r="AG40" s="74" t="inlineStr">
        <is>
          <t>Adquirência</t>
        </is>
      </c>
      <c r="AH40" s="74" t="inlineStr">
        <is>
          <t>Adquirência</t>
        </is>
      </c>
      <c r="AI40" s="74" t="inlineStr">
        <is>
          <t>N/D</t>
        </is>
      </c>
      <c r="AJ40" s="74" t="b">
        <v>0</v>
      </c>
      <c r="AK40" s="74" t="inlineStr">
        <is>
          <t>fora da revisão Financeiro/Agro</t>
        </is>
      </c>
      <c r="AL40" s="74" t="inlineStr">
        <is>
          <t>N/D</t>
        </is>
      </c>
      <c r="AM40" s="74" t="inlineStr">
        <is>
          <t>N/D</t>
        </is>
      </c>
      <c r="AN40" s="74" t="inlineStr">
        <is>
          <t>N/D</t>
        </is>
      </c>
      <c r="AO40" s="74" t="inlineStr">
        <is>
          <t>N/D</t>
        </is>
      </c>
      <c r="AP40" s="74" t="inlineStr">
        <is>
          <t>N/D</t>
        </is>
      </c>
      <c r="AQ40" s="74" t="inlineStr">
        <is>
          <t>Adquirência</t>
        </is>
      </c>
      <c r="AR40" s="74" t="inlineStr">
        <is>
          <t>Agro / Revenda</t>
        </is>
      </c>
      <c r="AS40" s="74" t="b">
        <v>1</v>
      </c>
      <c r="AT40" s="74" t="inlineStr">
        <is>
          <t>FundosNet/B3 doc. 1118056, p. 24 e 36–38; IMG_8705.JPG e IMG_8707.jpg</t>
        </is>
      </c>
      <c r="AU40" s="74" t="inlineStr">
        <is>
          <t>Direitos de clientes e estabelecimentos contra RecargaPay por transações de pagamento; RecargaPay atua como subcredenciadora.</t>
        </is>
      </c>
      <c r="AV40" s="74" t="inlineStr">
        <is>
          <t>≥ 60%</t>
        </is>
      </c>
      <c r="AW40" s="74" t="b">
        <v>1</v>
      </c>
      <c r="AX40" s="74" t="inlineStr">
        <is>
          <t>acima do piso</t>
        </is>
      </c>
      <c r="AY40" s="74" t="inlineStr">
        <is>
          <t>sem benchmark confiável</t>
        </is>
      </c>
      <c r="AZ40" s="140" t="inlineStr">
        <is>
          <t>N/D</t>
        </is>
      </c>
      <c r="BA40" s="74" t="b">
        <v>0</v>
      </c>
      <c r="BB40" s="141" t="n">
        <v>0</v>
      </c>
      <c r="BC40" s="139" t="n">
        <v>1000</v>
      </c>
      <c r="BD40" s="74" t="inlineStr">
        <is>
          <t>Cotas Seniores: R$1.000,00</t>
        </is>
      </c>
      <c r="BE40" s="74" t="inlineStr">
        <is>
          <t>valor nominal unitário (VNU)</t>
        </is>
      </c>
      <c r="BF40" s="74" t="inlineStr">
        <is>
          <t>Cotas Seniores</t>
        </is>
      </c>
      <c r="BG40" s="74" t="inlineStr">
        <is>
          <t>22/12/2023</t>
        </is>
      </c>
      <c r="BH40" s="74" t="inlineStr">
        <is>
          <t>574657</t>
        </is>
      </c>
      <c r="BI40" s="74" t="inlineStr">
        <is>
          <t>https://fnet.bmfbovespa.com.br/fnet/publico/downloadDocumento?id=574657</t>
        </is>
      </c>
      <c r="BJ40" s="74" t="inlineStr">
        <is>
          <t>localizado documentalmente</t>
        </is>
      </c>
      <c r="BK40" s="74" t="b">
        <v>0</v>
      </c>
      <c r="BL40" s="74" t="inlineStr">
        <is>
          <t>RecargaPay</t>
        </is>
      </c>
      <c r="BM40" s="74" t="inlineStr">
        <is>
          <t>cedente</t>
        </is>
      </c>
      <c r="BN40" s="74" t="inlineStr">
        <is>
          <t>N/D</t>
        </is>
      </c>
      <c r="BO40" s="74" t="inlineStr">
        <is>
          <t>RecargaPay</t>
        </is>
      </c>
      <c r="BP40" s="74" t="inlineStr">
        <is>
          <t>N/D</t>
        </is>
      </c>
      <c r="BQ40" s="74" t="inlineStr">
        <is>
          <t>recebíveis de cartão</t>
        </is>
      </c>
      <c r="BR40" s="74" t="inlineStr">
        <is>
          <t>cedente: IMG_8705.JPG | tipo_recebivel: IMG_8705.JPG</t>
        </is>
      </c>
      <c r="BS40" s="74" t="inlineStr">
        <is>
          <t>manual_aplicado</t>
        </is>
      </c>
      <c r="BT40" s="74" t="inlineStr">
        <is>
          <t>OBS da foto: FIDC "Bolso próprio", onde a Recarga fez aportes iniciais e utiliza o veículo para antecipar os recebíveis de cartão. Denominação cortada.</t>
        </is>
      </c>
      <c r="BU40" s="74" t="inlineStr">
        <is>
          <t>1118056</t>
        </is>
      </c>
      <c r="BV40" s="74" t="inlineStr">
        <is>
          <t>2026-02-12</t>
        </is>
      </c>
      <c r="BW40" s="74" t="inlineStr">
        <is>
          <t>31</t>
        </is>
      </c>
      <c r="BX40" s="74" t="inlineStr">
        <is>
          <t>revisto — mínimo júnior localizado</t>
        </is>
      </c>
      <c r="BY40" s="74" t="inlineStr">
        <is>
          <t>FundosNet/B3; documento 1118056; referência 2026-02-12; p. 31</t>
        </is>
      </c>
      <c r="BZ40" s="74" t="inlineStr">
        <is>
          <t>Cotas subordinadas / PL, mínimo de 50,0%; estrutura com uma única classe residual.</t>
        </is>
      </c>
      <c r="CA40" s="74" t="inlineStr">
        <is>
          <t>originador; sacado/devedor</t>
        </is>
      </c>
      <c r="CB40" s="74" t="inlineStr">
        <is>
          <t>completo_para_folga</t>
        </is>
      </c>
    </row>
    <row r="41" ht="31.5" customHeight="1">
      <c r="A41" s="75" t="n">
        <v>37</v>
      </c>
      <c r="B41" s="142" t="n">
        <v>42102603000144</v>
      </c>
      <c r="C41" s="75" t="inlineStr">
        <is>
          <t>42.102.603/0001-44</t>
        </is>
      </c>
      <c r="D41" s="75" t="inlineStr">
        <is>
          <t>CLOUDWALK KICK ASS II FUNDO DE INVESTIMENTO EM DIREITOS CREDITÓRIOS SEGMENTO MEIOS DE PAGAMENTO</t>
        </is>
      </c>
      <c r="E41" s="75" t="inlineStr">
        <is>
          <t>CLOUDWALK KICK ASS II FUNDO DE INVESTIMENTO EM DIR</t>
        </is>
      </c>
      <c r="F41" s="75" t="inlineStr">
        <is>
          <t>Carteira 101</t>
        </is>
      </c>
      <c r="G41" s="75" t="inlineStr">
        <is>
          <t>2026-08</t>
        </is>
      </c>
      <c r="H41" s="75" t="inlineStr">
        <is>
          <t>localizado</t>
        </is>
      </c>
      <c r="I41" s="143" t="inlineStr">
        <is>
          <t>N/D</t>
        </is>
      </c>
      <c r="J41" s="143" t="inlineStr">
        <is>
          <t>N/D</t>
        </is>
      </c>
      <c r="K41" s="143" t="inlineStr">
        <is>
          <t>N/D</t>
        </is>
      </c>
      <c r="L41" s="144" t="inlineStr">
        <is>
          <t>N/D</t>
        </is>
      </c>
      <c r="M41" s="75" t="inlineStr">
        <is>
          <t>PL oficial ausente em 2026-08</t>
        </is>
      </c>
      <c r="N41" s="144" t="n">
        <v>0.068</v>
      </c>
      <c r="O41" s="144" t="inlineStr">
        <is>
          <t>N/D</t>
        </is>
      </c>
      <c r="P41" s="144" t="inlineStr">
        <is>
          <t>N/D</t>
        </is>
      </c>
      <c r="Q41" s="144" t="n">
        <v>0.068</v>
      </c>
      <c r="R41" s="144" t="inlineStr">
        <is>
          <t>N/D</t>
        </is>
      </c>
      <c r="S41" s="144" t="n">
        <v>0.068</v>
      </c>
      <c r="T41" s="75" t="inlineStr">
        <is>
          <t>6,8%</t>
        </is>
      </c>
      <c r="U41" s="75" t="inlineStr">
        <is>
          <t>junior_pl</t>
        </is>
      </c>
      <c r="V41" s="75" t="inlineStr">
        <is>
          <t>direto no regulamento</t>
        </is>
      </c>
      <c r="W41" s="75" t="b">
        <v>1</v>
      </c>
      <c r="X41" s="75" t="inlineStr">
        <is>
          <t>Estrutura com uma única classe subordinada; métrica atual e piso usam o total subordinado sobre o PL.</t>
        </is>
      </c>
      <c r="Y41" s="75" t="b">
        <v>0</v>
      </c>
      <c r="Z41" s="144" t="inlineStr">
        <is>
          <t>N/D</t>
        </is>
      </c>
      <c r="AA41" s="144" t="inlineStr">
        <is>
          <t>N/D</t>
        </is>
      </c>
      <c r="AB41" s="75" t="inlineStr">
        <is>
          <t>não medido</t>
        </is>
      </c>
      <c r="AC41" s="75" t="inlineStr">
        <is>
          <t>Financeiro</t>
        </is>
      </c>
      <c r="AD41" s="75" t="inlineStr">
        <is>
          <t>Adquirência</t>
        </is>
      </c>
      <c r="AE41" s="75" t="inlineStr">
        <is>
          <t>Adquirência</t>
        </is>
      </c>
      <c r="AF41" s="75" t="inlineStr">
        <is>
          <t>Adquirência</t>
        </is>
      </c>
      <c r="AG41" s="75" t="inlineStr">
        <is>
          <t>Adquirência</t>
        </is>
      </c>
      <c r="AH41" s="75" t="inlineStr">
        <is>
          <t>Adquirência</t>
        </is>
      </c>
      <c r="AI41" s="75" t="inlineStr">
        <is>
          <t>N/D</t>
        </is>
      </c>
      <c r="AJ41" s="75" t="b">
        <v>0</v>
      </c>
      <c r="AK41" s="75" t="inlineStr">
        <is>
          <t>fora da revisão Financeiro/Agro</t>
        </is>
      </c>
      <c r="AL41" s="75" t="inlineStr">
        <is>
          <t>N/D</t>
        </is>
      </c>
      <c r="AM41" s="75" t="inlineStr">
        <is>
          <t>N/D</t>
        </is>
      </c>
      <c r="AN41" s="75" t="inlineStr">
        <is>
          <t>N/D</t>
        </is>
      </c>
      <c r="AO41" s="75" t="inlineStr">
        <is>
          <t>N/D</t>
        </is>
      </c>
      <c r="AP41" s="75" t="inlineStr">
        <is>
          <t>N/D</t>
        </is>
      </c>
      <c r="AQ41" s="75" t="inlineStr">
        <is>
          <t>Adquirência</t>
        </is>
      </c>
      <c r="AR41" s="75" t="inlineStr">
        <is>
          <t>Adquirência</t>
        </is>
      </c>
      <c r="AS41" s="75" t="b">
        <v>0</v>
      </c>
      <c r="AT41" s="75" t="inlineStr">
        <is>
          <t>N/D</t>
        </is>
      </c>
      <c r="AU41" s="75" t="inlineStr">
        <is>
          <t>N/D</t>
        </is>
      </c>
      <c r="AV41" s="75" t="inlineStr">
        <is>
          <t>N/D</t>
        </is>
      </c>
      <c r="AW41" s="75" t="b">
        <v>0</v>
      </c>
      <c r="AX41" s="75" t="inlineStr">
        <is>
          <t>N/D</t>
        </is>
      </c>
      <c r="AY41" s="75" t="inlineStr">
        <is>
          <t>sem benchmark confiável</t>
        </is>
      </c>
      <c r="AZ41" s="144" t="inlineStr">
        <is>
          <t>N/D</t>
        </is>
      </c>
      <c r="BA41" s="75" t="b">
        <v>1</v>
      </c>
      <c r="BB41" s="145" t="n">
        <v>14</v>
      </c>
      <c r="BC41" s="143" t="n">
        <v>1000</v>
      </c>
      <c r="BD41" s="75" t="inlineStr">
        <is>
          <t>Cotas Seniores: R$1.000,00 | Cotas Subordinadas: R$1.000,00</t>
        </is>
      </c>
      <c r="BE41" s="75" t="inlineStr">
        <is>
          <t>valor nominal unitário (VNU)</t>
        </is>
      </c>
      <c r="BF41" s="75" t="inlineStr">
        <is>
          <t>Cotas Seniores | Cotas Subordinadas</t>
        </is>
      </c>
      <c r="BG41" s="75" t="inlineStr">
        <is>
          <t>2024-09-05</t>
        </is>
      </c>
      <c r="BH41" s="75" t="inlineStr">
        <is>
          <t>733239</t>
        </is>
      </c>
      <c r="BI41" s="75" t="inlineStr">
        <is>
          <t>https://fnet.bmfbovespa.com.br/fnet/publico/downloadDocumento?id=733239</t>
        </is>
      </c>
      <c r="BJ41" s="75" t="inlineStr">
        <is>
          <t>localizado documentalmente — múltiplos valores/classes</t>
        </is>
      </c>
      <c r="BK41" s="75" t="b">
        <v>1</v>
      </c>
      <c r="BL41" s="75" t="inlineStr">
        <is>
          <t>Cloudwalk</t>
        </is>
      </c>
      <c r="BM41" s="75" t="inlineStr">
        <is>
          <t>cedente</t>
        </is>
      </c>
      <c r="BN41" s="75" t="inlineStr">
        <is>
          <t>N/D</t>
        </is>
      </c>
      <c r="BO41" s="75" t="inlineStr">
        <is>
          <t>a CloudWalk que, de tempos em tempos, nos termos do Contrato de Cessão, cede seus respectivos Direitos Creditórios Elegíveis ao Fundo</t>
        </is>
      </c>
      <c r="BP41" s="75" t="inlineStr">
        <is>
          <t>cada Devedor de Direitos Creditórios Cedidos que represente 6,8% (seis inteiros e oito décimos por cento) ou mais do Patrimônio Líquido do Fundo</t>
        </is>
      </c>
      <c r="BQ41" s="75" t="inlineStr">
        <is>
          <t>os direitos creditórios de tempos em tempos detidos pela Cedente em face dos Devedores , conforme as regras dos Arranjos de Pagamentos, decorrentes de Docusign Envelope ID: C7A68EEF-E1CC-4C50-9460-07F207F1899B</t>
        </is>
      </c>
      <c r="BR41" s="75" t="inlineStr">
        <is>
          <t>cedente: https://fnet.bmfbovespa.com.br/fnet/publico/downloadDocumento?id=733239 | sacado_devedor: https://fnet.bmfbovespa.com.br/fnet/publico/downloadDocumento?id=733239 | tipo_recebivel: https://fnet.bmfbovespa.com.br/fnet/publico/downloadDocumento?id=733239</t>
        </is>
      </c>
      <c r="BS41" s="75" t="inlineStr">
        <is>
          <t>manual_aplicado</t>
        </is>
      </c>
      <c r="BT41" s="75" t="inlineStr">
        <is>
          <t>OBS da foto: Alongamento discutido recentemente (mas com run-off). Denominação cortada.</t>
        </is>
      </c>
      <c r="BU41" s="75" t="inlineStr">
        <is>
          <t>733239</t>
        </is>
      </c>
      <c r="BV41" s="75" t="inlineStr">
        <is>
          <t>2024-09-05</t>
        </is>
      </c>
      <c r="BW41" s="75" t="inlineStr">
        <is>
          <t>99</t>
        </is>
      </c>
      <c r="BX41" s="75" t="inlineStr">
        <is>
          <t>revisto — mínimo júnior localizado</t>
        </is>
      </c>
      <c r="BY41" s="75" t="inlineStr">
        <is>
          <t>FundosNet/B3; documento 733239; referência 2024-09-05; p. 99</t>
        </is>
      </c>
      <c r="BZ41" s="75" t="inlineStr">
        <is>
          <t>Cotas subordinadas / PL, mínimo de 6,8%; estrutura com uma única classe residual.</t>
        </is>
      </c>
      <c r="CA41" s="75" t="inlineStr">
        <is>
          <t>PL atual; Sub/PL atual; originador</t>
        </is>
      </c>
      <c r="CB41" s="75" t="inlineStr">
        <is>
          <t>sub_pl_atual_ausente</t>
        </is>
      </c>
    </row>
    <row r="42" ht="31.5" customHeight="1">
      <c r="A42" s="74" t="n">
        <v>38</v>
      </c>
      <c r="B42" s="138" t="n">
        <v>28169275000172</v>
      </c>
      <c r="C42" s="74" t="inlineStr">
        <is>
          <t>28.169.275/0001-72</t>
        </is>
      </c>
      <c r="D42" s="74" t="inlineStr">
        <is>
          <t>FUNDO DE INVESTIMENTO EM DIREITOS CREDITÓRIOS PAGSEGURO I</t>
        </is>
      </c>
      <c r="E42" s="74" t="inlineStr">
        <is>
          <t>FUNDO DE INVESTIMENTO EM DIREITOS CREDITORIOS PAGSEGURO I</t>
        </is>
      </c>
      <c r="F42" s="74" t="inlineStr">
        <is>
          <t>Carteira 101</t>
        </is>
      </c>
      <c r="G42" s="74" t="inlineStr">
        <is>
          <t>2026-08</t>
        </is>
      </c>
      <c r="H42" s="74" t="inlineStr">
        <is>
          <t>localizado</t>
        </is>
      </c>
      <c r="I42" s="139" t="n">
        <v>7174237038.23</v>
      </c>
      <c r="J42" s="139" t="n">
        <v>6553850400.463037</v>
      </c>
      <c r="K42" s="139" t="n">
        <v>4826682362.183037</v>
      </c>
      <c r="L42" s="140" t="inlineStr">
        <is>
          <t>N/D</t>
        </is>
      </c>
      <c r="M42" s="74" t="inlineStr">
        <is>
          <t>N/D — PL oficial diverge das classes acima de 0,5%</t>
        </is>
      </c>
      <c r="N42" s="140" t="n">
        <v>0.5</v>
      </c>
      <c r="O42" s="140" t="inlineStr">
        <is>
          <t>N/D</t>
        </is>
      </c>
      <c r="P42" s="140" t="inlineStr">
        <is>
          <t>N/D</t>
        </is>
      </c>
      <c r="Q42" s="140" t="inlineStr">
        <is>
          <t>N/D</t>
        </is>
      </c>
      <c r="R42" s="140" t="inlineStr">
        <is>
          <t>N/D</t>
        </is>
      </c>
      <c r="S42" s="140" t="n">
        <v>0.5</v>
      </c>
      <c r="T42" s="74" t="inlineStr">
        <is>
          <t>N/D</t>
        </is>
      </c>
      <c r="U42" s="74" t="inlineStr">
        <is>
          <t>junior_pl</t>
        </is>
      </c>
      <c r="V42" s="74" t="inlineStr">
        <is>
          <t>direto no regulamento</t>
        </is>
      </c>
      <c r="W42" s="74" t="b">
        <v>0</v>
      </c>
      <c r="X42" s="74" t="inlineStr">
        <is>
          <t>Mínimo júnior isolado; a subordinação atual disponível agrega mais de uma classe subordinada ou usa denominador distinto.</t>
        </is>
      </c>
      <c r="Y42" s="74" t="b">
        <v>0</v>
      </c>
      <c r="Z42" s="140" t="inlineStr">
        <is>
          <t>N/D</t>
        </is>
      </c>
      <c r="AA42" s="140" t="inlineStr">
        <is>
          <t>N/D</t>
        </is>
      </c>
      <c r="AB42" s="74" t="inlineStr">
        <is>
          <t>não medido</t>
        </is>
      </c>
      <c r="AC42" s="74" t="inlineStr">
        <is>
          <t>Financeiro</t>
        </is>
      </c>
      <c r="AD42" s="74" t="inlineStr">
        <is>
          <t>Adquirência</t>
        </is>
      </c>
      <c r="AE42" s="74" t="inlineStr">
        <is>
          <t>Adquirência</t>
        </is>
      </c>
      <c r="AF42" s="74" t="inlineStr">
        <is>
          <t>Adquirência</t>
        </is>
      </c>
      <c r="AG42" s="74" t="inlineStr">
        <is>
          <t>Adquirência</t>
        </is>
      </c>
      <c r="AH42" s="74" t="inlineStr">
        <is>
          <t>Adquirência</t>
        </is>
      </c>
      <c r="AI42" s="74" t="inlineStr">
        <is>
          <t>N/D</t>
        </is>
      </c>
      <c r="AJ42" s="74" t="b">
        <v>0</v>
      </c>
      <c r="AK42" s="74" t="inlineStr">
        <is>
          <t>fora da revisão Financeiro/Agro</t>
        </is>
      </c>
      <c r="AL42" s="74" t="inlineStr">
        <is>
          <t>N/D</t>
        </is>
      </c>
      <c r="AM42" s="74" t="inlineStr">
        <is>
          <t>N/D</t>
        </is>
      </c>
      <c r="AN42" s="74" t="inlineStr">
        <is>
          <t>N/D</t>
        </is>
      </c>
      <c r="AO42" s="74" t="inlineStr">
        <is>
          <t>N/D</t>
        </is>
      </c>
      <c r="AP42" s="74" t="inlineStr">
        <is>
          <t>N/D</t>
        </is>
      </c>
      <c r="AQ42" s="74" t="inlineStr">
        <is>
          <t>Adquirência</t>
        </is>
      </c>
      <c r="AR42" s="74" t="inlineStr">
        <is>
          <t>Adquirência</t>
        </is>
      </c>
      <c r="AS42" s="74" t="b">
        <v>0</v>
      </c>
      <c r="AT42" s="74" t="inlineStr">
        <is>
          <t>N/D</t>
        </is>
      </c>
      <c r="AU42" s="74" t="inlineStr">
        <is>
          <t>N/D</t>
        </is>
      </c>
      <c r="AV42" s="74" t="inlineStr">
        <is>
          <t>N/D</t>
        </is>
      </c>
      <c r="AW42" s="74" t="b">
        <v>0</v>
      </c>
      <c r="AX42" s="74" t="inlineStr">
        <is>
          <t>N/D</t>
        </is>
      </c>
      <c r="AY42" s="74" t="inlineStr">
        <is>
          <t>sem benchmark confiável</t>
        </is>
      </c>
      <c r="AZ42" s="140" t="inlineStr">
        <is>
          <t>N/D</t>
        </is>
      </c>
      <c r="BA42" s="74" t="b">
        <v>1</v>
      </c>
      <c r="BB42" s="141" t="n">
        <v>14</v>
      </c>
      <c r="BC42" s="139" t="n">
        <v>1000</v>
      </c>
      <c r="BD42" s="74" t="inlineStr">
        <is>
          <t>Cotas Seniores: R$ 1.000,00 | Cotas Subordinadas: R$ 1.000,00 | R$ 1.000,00</t>
        </is>
      </c>
      <c r="BE42" s="74" t="inlineStr">
        <is>
          <t>valor nominal unitário (VNU)</t>
        </is>
      </c>
      <c r="BF42" s="74" t="inlineStr">
        <is>
          <t>Cotas Seniores | Cotas Subordinadas</t>
        </is>
      </c>
      <c r="BG42" s="74" t="inlineStr">
        <is>
          <t>2026-03-25</t>
        </is>
      </c>
      <c r="BH42" s="74" t="inlineStr">
        <is>
          <t>1149521</t>
        </is>
      </c>
      <c r="BI42" s="74" t="inlineStr">
        <is>
          <t>https://fnet.bmfbovespa.com.br/fnet/publico/downloadDocumento?id=1149521</t>
        </is>
      </c>
      <c r="BJ42" s="74" t="inlineStr">
        <is>
          <t>localizado documentalmente — múltiplos valores/classes</t>
        </is>
      </c>
      <c r="BK42" s="74" t="b">
        <v>1</v>
      </c>
      <c r="BL42" s="74" t="inlineStr">
        <is>
          <t>PagBank (originador) | PagSeguro (cedente)</t>
        </is>
      </c>
      <c r="BM42" s="74" t="inlineStr">
        <is>
          <t>originador | cedente</t>
        </is>
      </c>
      <c r="BN42" s="74" t="inlineStr">
        <is>
          <t>PagBank</t>
        </is>
      </c>
      <c r="BO42" s="74" t="inlineStr">
        <is>
          <t>PagSeguro</t>
        </is>
      </c>
      <c r="BP42" s="74" t="inlineStr">
        <is>
          <t>N/D</t>
        </is>
      </c>
      <c r="BQ42" s="74" t="inlineStr">
        <is>
          <t>as U.R.s compostas por direitos creditórios detidos pelo Estabelecimento Credenciado em face do Devedor em decorrência de Transações de Pagamento, na modalidade de crédito pós -pago à vista, e/ou crédito pós -pago parcelado sem juros, e débito, realizad as pelos Usuários Finais com a utilização de Instrumentos de Pagamento para a aquisição de bens, produtos, mercadorias ou serviços nos Estabelecimentos Credenciados e devidos pelo Devedor, conforme aplicável, após o desconto das taxas que constituem a remuneração dos Arranjos de Pagamento, dos Emissores e das Credenciadoras, bem como de outras eventuais retenções previstas nas regras do Arranjo de Pagamento, as quais serão Docusign Envelope I</t>
        </is>
      </c>
      <c r="BR42" s="74" t="inlineStr">
        <is>
          <t>cedente: IMG_8705.JPG | tipo_recebivel: https://fnet.bmfbovespa.com.br/fnet/publico/downloadDocumento?id=1147067</t>
        </is>
      </c>
      <c r="BS42" s="74" t="inlineStr">
        <is>
          <t>manual_aplicado</t>
        </is>
      </c>
      <c r="BT42" s="74" t="inlineStr">
        <is>
          <t>IMG_8698 identifica PagBank como originador; IMG_8705 identifica PagSeguro como cedente e recebíveis dos ECs.</t>
        </is>
      </c>
      <c r="BU42" s="74" t="inlineStr">
        <is>
          <t>1149521</t>
        </is>
      </c>
      <c r="BV42" s="74" t="inlineStr">
        <is>
          <t>2026-03-25</t>
        </is>
      </c>
      <c r="BW42" s="74" t="inlineStr">
        <is>
          <t>44</t>
        </is>
      </c>
      <c r="BX42" s="74" t="inlineStr">
        <is>
          <t>revisto — mínimo júnior localizado</t>
        </is>
      </c>
      <c r="BY42" s="74" t="inlineStr">
        <is>
          <t>FundosNet/B3; documento 1149521; referência 2026-03-25; p. 44</t>
        </is>
      </c>
      <c r="BZ42" s="74" t="inlineStr">
        <is>
          <t>Cotas subordinadas júnior / PL, mínimo de 50,0%; há classe mezanino.</t>
        </is>
      </c>
      <c r="CA42" s="74" t="inlineStr">
        <is>
          <t>Sub/PL atual; sacado/devedor</t>
        </is>
      </c>
      <c r="CB42" s="74" t="inlineStr">
        <is>
          <t>sub_pl_atual_ausente</t>
        </is>
      </c>
    </row>
    <row r="43" ht="31.5" customHeight="1">
      <c r="A43" s="75" t="n">
        <v>39</v>
      </c>
      <c r="B43" s="142" t="n">
        <v>38658727000133</v>
      </c>
      <c r="C43" s="75" t="inlineStr">
        <is>
          <t>38.658.727/0001-33</t>
        </is>
      </c>
      <c r="D43" s="75" t="inlineStr">
        <is>
          <t>FUNDO DE INVESTIMENTO EM DIREITOS CREDITÓRIOS FORNECEDORES MADEIRA MADEIRA I</t>
        </is>
      </c>
      <c r="E43" s="75" t="inlineStr">
        <is>
          <t>FIDC FORNEC MADEIRA MADEIRA I</t>
        </is>
      </c>
      <c r="F43" s="75" t="inlineStr">
        <is>
          <t>Carteira 101</t>
        </is>
      </c>
      <c r="G43" s="75" t="inlineStr">
        <is>
          <t>2026-08</t>
        </is>
      </c>
      <c r="H43" s="75" t="inlineStr">
        <is>
          <t>localizado</t>
        </is>
      </c>
      <c r="I43" s="143" t="n">
        <v>199697311.69</v>
      </c>
      <c r="J43" s="143" t="n">
        <v>199697311.6968063</v>
      </c>
      <c r="K43" s="143" t="n">
        <v>95331322.13009876</v>
      </c>
      <c r="L43" s="144" t="n">
        <v>0.477379096009496</v>
      </c>
      <c r="M43" s="75" t="inlineStr">
        <is>
          <t>Calculado com classes reportadas e PL oficial reconciliado</t>
        </is>
      </c>
      <c r="N43" s="144" t="inlineStr">
        <is>
          <t>N/D</t>
        </is>
      </c>
      <c r="O43" s="144" t="n">
        <v>0.26665</v>
      </c>
      <c r="P43" s="144" t="inlineStr">
        <is>
          <t>N/D</t>
        </is>
      </c>
      <c r="Q43" s="144" t="n">
        <v>0.26665</v>
      </c>
      <c r="R43" s="144" t="inlineStr">
        <is>
          <t>N/D</t>
        </is>
      </c>
      <c r="S43" s="144" t="n">
        <v>0.26665</v>
      </c>
      <c r="T43" s="75" t="inlineStr">
        <is>
          <t>26,67%*</t>
        </is>
      </c>
      <c r="U43" s="75" t="inlineStr">
        <is>
          <t>junior_pl_calculado</t>
        </is>
      </c>
      <c r="V43" s="75" t="inlineStr">
        <is>
          <t>calculado: 1 − 1/1,3636</t>
        </is>
      </c>
      <c r="W43" s="75" t="b">
        <v>1</v>
      </c>
      <c r="X43" s="75" t="inlineStr">
        <is>
          <t>Estrutura com uma única classe subordinada; métrica atual e piso usam o total subordinado sobre o PL.</t>
        </is>
      </c>
      <c r="Y43" s="75" t="b">
        <v>1</v>
      </c>
      <c r="Z43" s="144" t="n">
        <v>0.210729096009496</v>
      </c>
      <c r="AA43" s="144" t="n">
        <v>0.2873513274827791</v>
      </c>
      <c r="AB43" s="75" t="inlineStr">
        <is>
          <t>acima do mínimo</t>
        </is>
      </c>
      <c r="AC43" s="75" t="inlineStr">
        <is>
          <t>Agro, Indústria e Comércio</t>
        </is>
      </c>
      <c r="AD43" s="75" t="inlineStr">
        <is>
          <t>Recebíveis Comerciais</t>
        </is>
      </c>
      <c r="AE43" s="75" t="inlineStr">
        <is>
          <t>Agro / Revenda</t>
        </is>
      </c>
      <c r="AF43" s="75" t="inlineStr">
        <is>
          <t>Agro / Revenda</t>
        </is>
      </c>
      <c r="AG43" s="75" t="inlineStr">
        <is>
          <t>Agro / Revenda</t>
        </is>
      </c>
      <c r="AH43" s="75" t="inlineStr">
        <is>
          <t>Risco Corporativo</t>
        </is>
      </c>
      <c r="AI43" s="75" t="inlineStr">
        <is>
          <t>Supplier finance, MadeiraMadeira como devedora</t>
        </is>
      </c>
      <c r="AJ43" s="75" t="b">
        <v>1</v>
      </c>
      <c r="AK43" s="75" t="inlineStr">
        <is>
          <t>APLICAR_ALTA</t>
        </is>
      </c>
      <c r="AL43" s="75" t="inlineStr">
        <is>
          <t>Fornecedores cedem créditos comerciais contra MadeiraMadeira</t>
        </is>
      </c>
      <c r="AM43" s="75" t="inlineStr">
        <is>
          <t>regulamento 691063</t>
        </is>
      </c>
      <c r="AN43" s="75" t="inlineStr">
        <is>
          <t>Não</t>
        </is>
      </c>
      <c r="AO43" s="75" t="inlineStr">
        <is>
          <t>regulamento 691063</t>
        </is>
      </c>
      <c r="AP43" s="75" t="b">
        <v>0</v>
      </c>
      <c r="AQ43" s="75" t="inlineStr">
        <is>
          <t>Risco Corporativo</t>
        </is>
      </c>
      <c r="AR43" s="75" t="inlineStr">
        <is>
          <t>Agro / Revenda</t>
        </is>
      </c>
      <c r="AS43" s="75" t="b">
        <v>1</v>
      </c>
      <c r="AT43" s="75" t="inlineStr">
        <is>
          <t>regulamento 691063</t>
        </is>
      </c>
      <c r="AU43" s="75" t="inlineStr">
        <is>
          <t>Fornecedores cedem créditos comerciais contra MadeiraMadeira</t>
        </is>
      </c>
      <c r="AV43" s="75" t="inlineStr">
        <is>
          <t>35%–60%</t>
        </is>
      </c>
      <c r="AW43" s="75" t="b">
        <v>1</v>
      </c>
      <c r="AX43" s="75" t="inlineStr">
        <is>
          <t>acima do piso</t>
        </is>
      </c>
      <c r="AY43" s="75" t="inlineStr">
        <is>
          <t>sem benchmark confiável</t>
        </is>
      </c>
      <c r="AZ43" s="144" t="inlineStr">
        <is>
          <t>N/D</t>
        </is>
      </c>
      <c r="BA43" s="75" t="b">
        <v>0</v>
      </c>
      <c r="BB43" s="145" t="n">
        <v>0</v>
      </c>
      <c r="BC43" s="143" t="n">
        <v>1000</v>
      </c>
      <c r="BD43" s="75" t="inlineStr">
        <is>
          <t>Cotas Seniores: R$ 1.000,00</t>
        </is>
      </c>
      <c r="BE43" s="75" t="inlineStr">
        <is>
          <t>preço/valor unitário de emissão</t>
        </is>
      </c>
      <c r="BF43" s="75" t="inlineStr">
        <is>
          <t>Cotas Seniores</t>
        </is>
      </c>
      <c r="BG43" s="75" t="inlineStr">
        <is>
          <t>2024-06-13</t>
        </is>
      </c>
      <c r="BH43" s="75" t="inlineStr">
        <is>
          <t>691063</t>
        </is>
      </c>
      <c r="BI43" s="75" t="inlineStr">
        <is>
          <t>https://fnet.bmfbovespa.com.br/fnet/publico/downloadDocumento?id=691063</t>
        </is>
      </c>
      <c r="BJ43" s="75" t="inlineStr">
        <is>
          <t>localizado documentalmente</t>
        </is>
      </c>
      <c r="BK43" s="75" t="b">
        <v>0</v>
      </c>
      <c r="BL43" s="75" t="inlineStr">
        <is>
          <t>Fornecedores: Madeira/Madeira</t>
        </is>
      </c>
      <c r="BM43" s="75" t="inlineStr">
        <is>
          <t>cedente</t>
        </is>
      </c>
      <c r="BN43" s="75" t="inlineStr">
        <is>
          <t>N/D</t>
        </is>
      </c>
      <c r="BO43" s="75" t="inlineStr">
        <is>
          <t>Fornecedores: Madeira/Madeira</t>
        </is>
      </c>
      <c r="BP43" s="75" t="inlineStr">
        <is>
          <t>Madeira/Madeira</t>
        </is>
      </c>
      <c r="BQ43" s="75" t="inlineStr">
        <is>
          <t>os direitos creditórios, representados pelos Contratos Comerciais, incluindo a totalidade dos respectivos acessórios, tais como atualização monetária, juros remuneratórios, encargos moratórios, multas, penalidades, seguros, indenizações, despesa s, custas, honorários, garantias e demais encargos contratuais e legais previstos nos Contratos Comerciais</t>
        </is>
      </c>
      <c r="BR43" s="75" t="inlineStr">
        <is>
          <t>cedente: IMG_8705.JPG | sacado_devedor: IMG_8705.JPG | tipo_recebivel: https://fnet.bmfbovespa.com.br/fnet/publico/downloadDocumento?id=691063</t>
        </is>
      </c>
      <c r="BS43" s="75" t="inlineStr">
        <is>
          <t>manual_aplicado</t>
        </is>
      </c>
      <c r="BT43" s="75" t="inlineStr">
        <is>
          <t>OBS da foto: FIDC Multicedente (Fornecedores) &amp; Monosacado (Madeira/Madeira). O sacado foi desmembrado somente porque a função Monosacado está escrita na fonte.</t>
        </is>
      </c>
      <c r="BU43" s="75" t="inlineStr">
        <is>
          <t>1216296</t>
        </is>
      </c>
      <c r="BV43" s="75" t="inlineStr">
        <is>
          <t>2026-06-05</t>
        </is>
      </c>
      <c r="BW43" s="75" t="inlineStr">
        <is>
          <t>62</t>
        </is>
      </c>
      <c r="BX43" s="75" t="inlineStr">
        <is>
          <t>revisto — mínimo júnior localizado</t>
        </is>
      </c>
      <c r="BY43" s="75" t="inlineStr">
        <is>
          <t>FundosNet/B3; documento 1216296; referência 2026-06-05; p. 62</t>
        </is>
      </c>
      <c r="BZ43" s="75" t="inlineStr">
        <is>
          <t>Mínimo júnior implícito na relação PL / cotas seniores de 136,36%.</t>
        </is>
      </c>
      <c r="CA43" s="75" t="inlineStr">
        <is>
          <t>originador</t>
        </is>
      </c>
      <c r="CB43" s="75" t="inlineStr">
        <is>
          <t>completo_para_folga</t>
        </is>
      </c>
    </row>
    <row r="44" ht="31.5" customHeight="1">
      <c r="A44" s="74" t="n">
        <v>40</v>
      </c>
      <c r="B44" s="138" t="n">
        <v>52271464000136</v>
      </c>
      <c r="C44" s="74" t="inlineStr">
        <is>
          <t>52.271.464/0001-36</t>
        </is>
      </c>
      <c r="D44" s="74" t="inlineStr">
        <is>
          <t>KIWIFY FUNDO DE INVESTIMENTO EM DIREITOS CREDITÓRIOS SEGMENTO MEIOS DE PAGAMENTO DE RESPONSABILIDADE</t>
        </is>
      </c>
      <c r="E44" s="74" t="inlineStr">
        <is>
          <t>KIWIFY FUNDO DE INVESTIMENTO E</t>
        </is>
      </c>
      <c r="F44" s="74" t="inlineStr">
        <is>
          <t>Carteira 101</t>
        </is>
      </c>
      <c r="G44" s="74" t="inlineStr">
        <is>
          <t>2026-08</t>
        </is>
      </c>
      <c r="H44" s="74" t="inlineStr">
        <is>
          <t>localizado</t>
        </is>
      </c>
      <c r="I44" s="139" t="n">
        <v>332038628.56</v>
      </c>
      <c r="J44" s="139" t="n">
        <v>332038628.5201547</v>
      </c>
      <c r="K44" s="139" t="n">
        <v>54891043.43965475</v>
      </c>
      <c r="L44" s="140" t="n">
        <v>0.1653152335850461</v>
      </c>
      <c r="M44" s="74" t="inlineStr">
        <is>
          <t>Calculado com classes reportadas e PL oficial reconciliado</t>
        </is>
      </c>
      <c r="N44" s="140" t="n">
        <v>0.06</v>
      </c>
      <c r="O44" s="140" t="inlineStr">
        <is>
          <t>N/D</t>
        </is>
      </c>
      <c r="P44" s="140" t="inlineStr">
        <is>
          <t>N/D</t>
        </is>
      </c>
      <c r="Q44" s="140" t="inlineStr">
        <is>
          <t>N/D</t>
        </is>
      </c>
      <c r="R44" s="140" t="inlineStr">
        <is>
          <t>N/D</t>
        </is>
      </c>
      <c r="S44" s="140" t="n">
        <v>0.06</v>
      </c>
      <c r="T44" s="74" t="inlineStr">
        <is>
          <t>N/D</t>
        </is>
      </c>
      <c r="U44" s="74" t="inlineStr">
        <is>
          <t>junior_pl</t>
        </is>
      </c>
      <c r="V44" s="74" t="inlineStr">
        <is>
          <t>direto no regulamento</t>
        </is>
      </c>
      <c r="W44" s="74" t="b">
        <v>0</v>
      </c>
      <c r="X44" s="74" t="inlineStr">
        <is>
          <t>Mínimo júnior isolado; a subordinação atual disponível agrega todas as classes subordinadas.</t>
        </is>
      </c>
      <c r="Y44" s="74" t="b">
        <v>0</v>
      </c>
      <c r="Z44" s="140" t="inlineStr">
        <is>
          <t>N/D</t>
        </is>
      </c>
      <c r="AA44" s="140" t="inlineStr">
        <is>
          <t>N/D</t>
        </is>
      </c>
      <c r="AB44" s="74" t="inlineStr">
        <is>
          <t>não medido</t>
        </is>
      </c>
      <c r="AC44" s="74" t="inlineStr">
        <is>
          <t>Agro, Indústria e Comércio</t>
        </is>
      </c>
      <c r="AD44" s="74" t="inlineStr">
        <is>
          <t>Recebíveis Comerciais</t>
        </is>
      </c>
      <c r="AE44" s="74" t="inlineStr">
        <is>
          <t>Agro / Revenda</t>
        </is>
      </c>
      <c r="AF44" s="74" t="inlineStr">
        <is>
          <t>Agro / Revenda</t>
        </is>
      </c>
      <c r="AG44" s="74" t="inlineStr">
        <is>
          <t>Adquirência</t>
        </is>
      </c>
      <c r="AH44" s="74" t="inlineStr">
        <is>
          <t>Adquirência</t>
        </is>
      </c>
      <c r="AI44" s="74" t="inlineStr">
        <is>
          <t>N/D</t>
        </is>
      </c>
      <c r="AJ44" s="74" t="b">
        <v>0</v>
      </c>
      <c r="AK44" s="74" t="inlineStr">
        <is>
          <t>fora da revisão Financeiro/Agro</t>
        </is>
      </c>
      <c r="AL44" s="74" t="inlineStr">
        <is>
          <t>N/D</t>
        </is>
      </c>
      <c r="AM44" s="74" t="inlineStr">
        <is>
          <t>N/D</t>
        </is>
      </c>
      <c r="AN44" s="74" t="inlineStr">
        <is>
          <t>N/D</t>
        </is>
      </c>
      <c r="AO44" s="74" t="inlineStr">
        <is>
          <t>N/D</t>
        </is>
      </c>
      <c r="AP44" s="74" t="inlineStr">
        <is>
          <t>N/D</t>
        </is>
      </c>
      <c r="AQ44" s="74" t="inlineStr">
        <is>
          <t>Adquirência</t>
        </is>
      </c>
      <c r="AR44" s="74" t="inlineStr">
        <is>
          <t>Agro / Revenda</t>
        </is>
      </c>
      <c r="AS44" s="74" t="b">
        <v>1</v>
      </c>
      <c r="AT44" s="74" t="inlineStr">
        <is>
          <t>FundosNet/B3 doc. 1155755, p. 13; IMG_8705.JPG e IMG_8707.jpg</t>
        </is>
      </c>
      <c r="AU44" s="74" t="inlineStr">
        <is>
          <t>Direitos da Kiwify, na condição de subcredenciadora, contra credenciadoras de transações de pagamento.</t>
        </is>
      </c>
      <c r="AV44" s="74" t="inlineStr">
        <is>
          <t>15%–20%</t>
        </is>
      </c>
      <c r="AW44" s="74" t="b">
        <v>1</v>
      </c>
      <c r="AX44" s="74" t="inlineStr">
        <is>
          <t>incomparável</t>
        </is>
      </c>
      <c r="AY44" s="74" t="inlineStr">
        <is>
          <t>sem benchmark confiável</t>
        </is>
      </c>
      <c r="AZ44" s="140" t="inlineStr">
        <is>
          <t>N/D</t>
        </is>
      </c>
      <c r="BA44" s="74" t="b">
        <v>0</v>
      </c>
      <c r="BB44" s="141" t="n">
        <v>0</v>
      </c>
      <c r="BC44" s="139" t="n">
        <v>1000</v>
      </c>
      <c r="BD44" s="74" t="inlineStr">
        <is>
          <t>Cotas Seniores: R$1.000,00</t>
        </is>
      </c>
      <c r="BE44" s="74" t="inlineStr">
        <is>
          <t>valor nominal unitário (VNU)</t>
        </is>
      </c>
      <c r="BF44" s="74" t="inlineStr">
        <is>
          <t>Cotas Seniores</t>
        </is>
      </c>
      <c r="BG44" s="74" t="inlineStr">
        <is>
          <t>29/12/2025</t>
        </is>
      </c>
      <c r="BH44" s="74" t="inlineStr">
        <is>
          <t>1072777</t>
        </is>
      </c>
      <c r="BI44" s="74" t="inlineStr">
        <is>
          <t>https://fnet.bmfbovespa.com.br/fnet/publico/downloadDocumento?id=1072777</t>
        </is>
      </c>
      <c r="BJ44" s="74" t="inlineStr">
        <is>
          <t>localizado documentalmente</t>
        </is>
      </c>
      <c r="BK44" s="74" t="b">
        <v>0</v>
      </c>
      <c r="BL44" s="74" t="inlineStr">
        <is>
          <t>N/D</t>
        </is>
      </c>
      <c r="BM44" s="74" t="inlineStr">
        <is>
          <t>N/D</t>
        </is>
      </c>
      <c r="BN44" s="74" t="inlineStr">
        <is>
          <t>N/D</t>
        </is>
      </c>
      <c r="BO44" s="74" t="inlineStr">
        <is>
          <t>a Subcredenciadora</t>
        </is>
      </c>
      <c r="BP44" s="74" t="inlineStr">
        <is>
          <t>a Credenciadora, na qualidade de devedora dos Direitos Creditórios</t>
        </is>
      </c>
      <c r="BQ44" s="74" t="inlineStr">
        <is>
          <t>os direitos creditórios performados, de tempos em tempos detidos pela Subcredenciadora em face da Credenciadora, originários de Transações de Pagamento realizadas pelos Compradores dos Infoprodutores com a utilização de Instrumentos de Pagamento, à vista ou parceladas, para a aquisição de cursos e/ou outros conteúdos oferecidos pelo Infoprodutores na Plataforma Kiwify aos Compradores dos Infoprodutores, conforme aplicável, após o descont o das taxas que constituem a remuneração das Bandeiras, dos Emissores e da Credenciadora, conforme o caso, bem como de outras eventuais retenções previstas nas regras do Arranjo de Pagamento e/ou no respectivo contrato de credenciamento e adesão, conforme ap</t>
        </is>
      </c>
      <c r="BR44" s="74" t="inlineStr">
        <is>
          <t>cedente: https://fnet.bmfbovespa.com.br/fnet/publico/downloadDocumento?id=1155755 | sacado_devedor: https://fnet.bmfbovespa.com.br/fnet/publico/downloadDocumento?id=1155755 | tipo_recebivel: https://fnet.bmfbovespa.com.br/fnet/publico/downloadDocumento?id=1155755</t>
        </is>
      </c>
      <c r="BS44" s="74" t="inlineStr">
        <is>
          <t>sem_overlay</t>
        </is>
      </c>
      <c r="BT44" s="74" t="inlineStr">
        <is>
          <t>N/D</t>
        </is>
      </c>
      <c r="BU44" s="74" t="inlineStr">
        <is>
          <t>1155755</t>
        </is>
      </c>
      <c r="BV44" s="74" t="inlineStr">
        <is>
          <t>2026-03-18</t>
        </is>
      </c>
      <c r="BW44" s="74" t="inlineStr">
        <is>
          <t>18</t>
        </is>
      </c>
      <c r="BX44" s="74" t="inlineStr">
        <is>
          <t>revisto — mínimo júnior localizado</t>
        </is>
      </c>
      <c r="BY44" s="74" t="inlineStr">
        <is>
          <t>FundosNet/B3; documento 1155755; referência 2026-03-18; p. 18</t>
        </is>
      </c>
      <c r="BZ44" s="74" t="inlineStr">
        <is>
          <t>Cotas subordinadas júnior / PL, mínimo de 6,0%.</t>
        </is>
      </c>
      <c r="CA44" s="74" t="inlineStr">
        <is>
          <t>originador</t>
        </is>
      </c>
      <c r="CB44" s="74" t="inlineStr">
        <is>
          <t>estrutura_incomparavel</t>
        </is>
      </c>
    </row>
    <row r="45" ht="31.5" customHeight="1">
      <c r="A45" s="75" t="n">
        <v>41</v>
      </c>
      <c r="B45" s="142" t="n">
        <v>29226654000110</v>
      </c>
      <c r="C45" s="75" t="inlineStr">
        <is>
          <t>29.226.654/0001-10</t>
        </is>
      </c>
      <c r="D45" s="75" t="inlineStr">
        <is>
          <t>INVESTCRED FUNDO DE INVESTIMENTO EM DIREITOS CREDITÓRIOS</t>
        </is>
      </c>
      <c r="E45" s="75" t="inlineStr">
        <is>
          <t>INVESTCRED FUNDO DE INVESTIMENTO EM DIREITOS CREDI</t>
        </is>
      </c>
      <c r="F45" s="75" t="inlineStr">
        <is>
          <t>Carteira 101</t>
        </is>
      </c>
      <c r="G45" s="75" t="inlineStr">
        <is>
          <t>2026-08</t>
        </is>
      </c>
      <c r="H45" s="75" t="inlineStr">
        <is>
          <t>localizado</t>
        </is>
      </c>
      <c r="I45" s="143" t="n">
        <v>1189908647.59</v>
      </c>
      <c r="J45" s="143" t="n">
        <v>1189908647.592394</v>
      </c>
      <c r="K45" s="143" t="n">
        <v>946783254.0534936</v>
      </c>
      <c r="L45" s="144" t="n">
        <v>0.7956772614192492</v>
      </c>
      <c r="M45" s="75" t="inlineStr">
        <is>
          <t>Calculado com classes reportadas e PL oficial reconciliado</t>
        </is>
      </c>
      <c r="N45" s="144" t="inlineStr">
        <is>
          <t>N/D</t>
        </is>
      </c>
      <c r="O45" s="144" t="n">
        <v>0.6742671009769999</v>
      </c>
      <c r="P45" s="144" t="inlineStr">
        <is>
          <t>N/D</t>
        </is>
      </c>
      <c r="Q45" s="144" t="n">
        <v>0.6742671009769999</v>
      </c>
      <c r="R45" s="144" t="inlineStr">
        <is>
          <t>N/D</t>
        </is>
      </c>
      <c r="S45" s="144" t="n">
        <v>0.6742671009769999</v>
      </c>
      <c r="T45" s="75" t="inlineStr">
        <is>
          <t>67,43%*</t>
        </is>
      </c>
      <c r="U45" s="75" t="inlineStr">
        <is>
          <t>junior_pl_calculado</t>
        </is>
      </c>
      <c r="V45" s="75" t="inlineStr">
        <is>
          <t>calculado: 1 − 1/3,07</t>
        </is>
      </c>
      <c r="W45" s="75" t="b">
        <v>1</v>
      </c>
      <c r="X45" s="75" t="inlineStr">
        <is>
          <t>Estrutura com uma única classe subordinada; métrica atual e piso usam o total subordinado sobre o PL.</t>
        </is>
      </c>
      <c r="Y45" s="75" t="b">
        <v>1</v>
      </c>
      <c r="Z45" s="144" t="n">
        <v>0.1214101604422493</v>
      </c>
      <c r="AA45" s="144" t="n">
        <v>0.3727291925574778</v>
      </c>
      <c r="AB45" s="75" t="inlineStr">
        <is>
          <t>acima do mínimo</t>
        </is>
      </c>
      <c r="AC45" s="75" t="inlineStr">
        <is>
          <t>Agro, Indústria e Comércio</t>
        </is>
      </c>
      <c r="AD45" s="75" t="inlineStr">
        <is>
          <t>Recebíveis Comerciais</t>
        </is>
      </c>
      <c r="AE45" s="75" t="inlineStr">
        <is>
          <t>Agro / Revenda</t>
        </is>
      </c>
      <c r="AF45" s="75" t="inlineStr">
        <is>
          <t>Agro / Revenda</t>
        </is>
      </c>
      <c r="AG45" s="75" t="inlineStr">
        <is>
          <t>Agro / Revenda</t>
        </is>
      </c>
      <c r="AH45" s="75" t="inlineStr">
        <is>
          <t>Agro / Revenda</t>
        </is>
      </c>
      <c r="AI45" s="75" t="inlineStr">
        <is>
          <t>Cartão/CCB, ecossistema Credsystem</t>
        </is>
      </c>
      <c r="AJ45" s="75" t="b">
        <v>0</v>
      </c>
      <c r="AK45" s="75" t="inlineStr">
        <is>
          <t>PENDENTE_FONTE_PRIMARIA</t>
        </is>
      </c>
      <c r="AL45" s="75" t="inlineStr">
        <is>
          <t>Risco informado como cartão/consumidor, sem cláusula primária registrada</t>
        </is>
      </c>
      <c r="AM45" s="75" t="inlineStr">
        <is>
          <t>IMG_8705</t>
        </is>
      </c>
      <c r="AN45" s="75" t="inlineStr">
        <is>
          <t>Não</t>
        </is>
      </c>
      <c r="AO45" s="75" t="inlineStr">
        <is>
          <t>IMG_8705</t>
        </is>
      </c>
      <c r="AP45" s="75" t="b">
        <v>0</v>
      </c>
      <c r="AQ45" s="75" t="inlineStr">
        <is>
          <t>Agro / Revenda</t>
        </is>
      </c>
      <c r="AR45" s="75" t="inlineStr">
        <is>
          <t>Agro / Revenda</t>
        </is>
      </c>
      <c r="AS45" s="75" t="b">
        <v>0</v>
      </c>
      <c r="AT45" s="75" t="inlineStr">
        <is>
          <t>N/D</t>
        </is>
      </c>
      <c r="AU45" s="75" t="inlineStr">
        <is>
          <t>N/D</t>
        </is>
      </c>
      <c r="AV45" s="75" t="inlineStr">
        <is>
          <t>≥ 60%</t>
        </is>
      </c>
      <c r="AW45" s="75" t="b">
        <v>1</v>
      </c>
      <c r="AX45" s="75" t="inlineStr">
        <is>
          <t>acima do piso</t>
        </is>
      </c>
      <c r="AY45" s="75" t="inlineStr">
        <is>
          <t>sem benchmark confiável</t>
        </is>
      </c>
      <c r="AZ45" s="144" t="inlineStr">
        <is>
          <t>N/D</t>
        </is>
      </c>
      <c r="BA45" s="75" t="b">
        <v>0</v>
      </c>
      <c r="BB45" s="145" t="n">
        <v>0</v>
      </c>
      <c r="BC45" s="143" t="n">
        <v>1000</v>
      </c>
      <c r="BD45" s="75" t="inlineStr">
        <is>
          <t>R$ 1.000,00</t>
        </is>
      </c>
      <c r="BE45" s="75" t="inlineStr">
        <is>
          <t>valor nominal unitário (VNU)</t>
        </is>
      </c>
      <c r="BF45" s="75" t="inlineStr">
        <is>
          <t>N/D</t>
        </is>
      </c>
      <c r="BG45" s="75" t="inlineStr">
        <is>
          <t>2025-10-28</t>
        </is>
      </c>
      <c r="BH45" s="75" t="inlineStr">
        <is>
          <t>1023320</t>
        </is>
      </c>
      <c r="BI45" s="75" t="inlineStr">
        <is>
          <t>https://fnet.bmfbovespa.com.br/fnet/publico/downloadDocumento?id=1023320</t>
        </is>
      </c>
      <c r="BJ45" s="75" t="inlineStr">
        <is>
          <t>localizado documentalmente</t>
        </is>
      </c>
      <c r="BK45" s="75" t="b">
        <v>1</v>
      </c>
      <c r="BL45" s="75" t="inlineStr">
        <is>
          <t>CredSystem</t>
        </is>
      </c>
      <c r="BM45" s="75" t="inlineStr">
        <is>
          <t>cedente</t>
        </is>
      </c>
      <c r="BN45" s="75" t="inlineStr">
        <is>
          <t>N/D</t>
        </is>
      </c>
      <c r="BO45" s="75" t="inlineStr">
        <is>
          <t>CredSystem</t>
        </is>
      </c>
      <c r="BP45" s="75" t="inlineStr">
        <is>
          <t>N/D</t>
        </is>
      </c>
      <c r="BQ45" s="75" t="inlineStr">
        <is>
          <t>Cartão de Crédito - ecossistema Credsystem</t>
        </is>
      </c>
      <c r="BR45" s="75" t="inlineStr">
        <is>
          <t>cedente: IMG_8705.JPG | tipo_recebivel: IMG_8705.JPG</t>
        </is>
      </c>
      <c r="BS45" s="75" t="inlineStr">
        <is>
          <t>manual_aplicado</t>
        </is>
      </c>
      <c r="BT45" s="75" t="inlineStr">
        <is>
          <t>Denominação cortada pela largura da coluna na foto.</t>
        </is>
      </c>
      <c r="BU45" s="75" t="inlineStr">
        <is>
          <t>1023848</t>
        </is>
      </c>
      <c r="BV45" s="75" t="inlineStr">
        <is>
          <t>2025-10-28</t>
        </is>
      </c>
      <c r="BW45" s="75" t="inlineStr">
        <is>
          <t>3–4; 9–10</t>
        </is>
      </c>
      <c r="BX45" s="75" t="inlineStr">
        <is>
          <t>revisto — mínimo júnior localizado</t>
        </is>
      </c>
      <c r="BY45" s="75" t="inlineStr">
        <is>
          <t>FundosNet/B3; documento 1023848; referência 2025-10-28; p. 3–4; 9–10</t>
        </is>
      </c>
      <c r="BZ45" s="75" t="inlineStr">
        <is>
          <t>Mínimo júnior implícito na relação PL / cotas seniores de 307,0%.</t>
        </is>
      </c>
      <c r="CA45" s="75" t="inlineStr">
        <is>
          <t>originador; sacado/devedor</t>
        </is>
      </c>
      <c r="CB45" s="75" t="inlineStr">
        <is>
          <t>completo_para_folga</t>
        </is>
      </c>
    </row>
    <row r="46" ht="31.5" customHeight="1">
      <c r="A46" s="74" t="n">
        <v>42</v>
      </c>
      <c r="B46" s="138" t="n">
        <v>54857414000160</v>
      </c>
      <c r="C46" s="74" t="inlineStr">
        <is>
          <t>54.857.414/0001-60</t>
        </is>
      </c>
      <c r="D46" s="74" t="inlineStr">
        <is>
          <t>INDIE MERX RAIZ I CRÉDITO AGRO FIDC DO AGRONEGÓCIO - RESPONSABILIDADE LIMITADA</t>
        </is>
      </c>
      <c r="E46" s="74" t="inlineStr">
        <is>
          <t>INDIE MERX RAIZ I CREDITO AGRO FUNDO DE INVESTIMEN</t>
        </is>
      </c>
      <c r="F46" s="74" t="inlineStr">
        <is>
          <t>Carteira 101</t>
        </is>
      </c>
      <c r="G46" s="74" t="inlineStr">
        <is>
          <t>2026-08</t>
        </is>
      </c>
      <c r="H46" s="74" t="inlineStr">
        <is>
          <t>localizado</t>
        </is>
      </c>
      <c r="I46" s="139" t="n">
        <v>107657359.22</v>
      </c>
      <c r="J46" s="139" t="n">
        <v>107657359.2198222</v>
      </c>
      <c r="K46" s="139" t="n">
        <v>30924560.88000778</v>
      </c>
      <c r="L46" s="140" t="n">
        <v>0.2872498555051198</v>
      </c>
      <c r="M46" s="74" t="inlineStr">
        <is>
          <t>Calculado com classes reportadas e PL oficial reconciliado</t>
        </is>
      </c>
      <c r="N46" s="140" t="n">
        <v>0.15</v>
      </c>
      <c r="O46" s="140" t="inlineStr">
        <is>
          <t>N/D</t>
        </is>
      </c>
      <c r="P46" s="140" t="inlineStr">
        <is>
          <t>N/D</t>
        </is>
      </c>
      <c r="Q46" s="140" t="inlineStr">
        <is>
          <t>N/D</t>
        </is>
      </c>
      <c r="R46" s="140" t="inlineStr">
        <is>
          <t>N/D</t>
        </is>
      </c>
      <c r="S46" s="140" t="n">
        <v>0.15</v>
      </c>
      <c r="T46" s="74" t="inlineStr">
        <is>
          <t>N/D</t>
        </is>
      </c>
      <c r="U46" s="74" t="inlineStr">
        <is>
          <t>junior_pl</t>
        </is>
      </c>
      <c r="V46" s="74" t="inlineStr">
        <is>
          <t>direto no regulamento</t>
        </is>
      </c>
      <c r="W46" s="74" t="b">
        <v>0</v>
      </c>
      <c r="X46" s="74" t="inlineStr">
        <is>
          <t>Mínimo júnior isolado; a subordinação atual disponível agrega todas as classes subordinadas.</t>
        </is>
      </c>
      <c r="Y46" s="74" t="b">
        <v>0</v>
      </c>
      <c r="Z46" s="140" t="inlineStr">
        <is>
          <t>N/D</t>
        </is>
      </c>
      <c r="AA46" s="140" t="inlineStr">
        <is>
          <t>N/D</t>
        </is>
      </c>
      <c r="AB46" s="74" t="inlineStr">
        <is>
          <t>não medido</t>
        </is>
      </c>
      <c r="AC46" s="74" t="inlineStr">
        <is>
          <t>Agro, Indústria e Comércio</t>
        </is>
      </c>
      <c r="AD46" s="74" t="inlineStr">
        <is>
          <t>Agronegócio</t>
        </is>
      </c>
      <c r="AE46" s="74" t="inlineStr">
        <is>
          <t>Agro / Revenda</t>
        </is>
      </c>
      <c r="AF46" s="74" t="inlineStr">
        <is>
          <t>Agro / Revenda</t>
        </is>
      </c>
      <c r="AG46" s="74" t="inlineStr">
        <is>
          <t>Agro / Revenda</t>
        </is>
      </c>
      <c r="AH46" s="74" t="inlineStr">
        <is>
          <t>Agro / Revenda</t>
        </is>
      </c>
      <c r="AI46" s="74" t="inlineStr">
        <is>
          <t>CPR-F de produtores rurais</t>
        </is>
      </c>
      <c r="AJ46" s="74" t="b">
        <v>0</v>
      </c>
      <c r="AK46" s="74" t="inlineStr">
        <is>
          <t>MANTER_ALTA</t>
        </is>
      </c>
      <c r="AL46" s="74" t="inlineStr">
        <is>
          <t>Devedores são produtores e cooperativas</t>
        </is>
      </c>
      <c r="AM46" s="74" t="inlineStr">
        <is>
          <t>regulamento + IMG_8705</t>
        </is>
      </c>
      <c r="AN46" s="74" t="inlineStr">
        <is>
          <t>Não</t>
        </is>
      </c>
      <c r="AO46" s="74" t="inlineStr">
        <is>
          <t>regulamento + IMG_8705</t>
        </is>
      </c>
      <c r="AP46" s="74" t="b">
        <v>0</v>
      </c>
      <c r="AQ46" s="74" t="inlineStr">
        <is>
          <t>Agro / Revenda</t>
        </is>
      </c>
      <c r="AR46" s="74" t="inlineStr">
        <is>
          <t>Agro / Revenda</t>
        </is>
      </c>
      <c r="AS46" s="74" t="b">
        <v>0</v>
      </c>
      <c r="AT46" s="74" t="inlineStr">
        <is>
          <t>N/D</t>
        </is>
      </c>
      <c r="AU46" s="74" t="inlineStr">
        <is>
          <t>N/D</t>
        </is>
      </c>
      <c r="AV46" s="74" t="inlineStr">
        <is>
          <t>20%–35%</t>
        </is>
      </c>
      <c r="AW46" s="74" t="b">
        <v>1</v>
      </c>
      <c r="AX46" s="74" t="inlineStr">
        <is>
          <t>incomparável</t>
        </is>
      </c>
      <c r="AY46" s="74" t="inlineStr">
        <is>
          <t>sem benchmark confiável</t>
        </is>
      </c>
      <c r="AZ46" s="140" t="inlineStr">
        <is>
          <t>N/D</t>
        </is>
      </c>
      <c r="BA46" s="74" t="b">
        <v>0</v>
      </c>
      <c r="BB46" s="141" t="n">
        <v>0</v>
      </c>
      <c r="BC46" s="139" t="n">
        <v>1000</v>
      </c>
      <c r="BD46" s="74" t="inlineStr">
        <is>
          <t>Cotas Subordinadas: R$1.000,00 | Cotas Subordinadas Júnior: R$1.000,00 | R$1.000,00</t>
        </is>
      </c>
      <c r="BE46" s="74" t="inlineStr">
        <is>
          <t>preço/valor unitário de emissão</t>
        </is>
      </c>
      <c r="BF46" s="74" t="inlineStr">
        <is>
          <t>Cotas Subordinadas | Cotas Subordinadas Júnior</t>
        </is>
      </c>
      <c r="BG46" s="74" t="inlineStr">
        <is>
          <t>20/08/2025</t>
        </is>
      </c>
      <c r="BH46" s="74" t="inlineStr">
        <is>
          <t>975459</t>
        </is>
      </c>
      <c r="BI46" s="74" t="inlineStr">
        <is>
          <t>https://fnet.bmfbovespa.com.br/fnet/publico/downloadDocumento?id=975459</t>
        </is>
      </c>
      <c r="BJ46" s="74" t="inlineStr">
        <is>
          <t>localizado documentalmente — múltiplos valores/classes</t>
        </is>
      </c>
      <c r="BK46" s="74" t="b">
        <v>1</v>
      </c>
      <c r="BL46" s="74" t="inlineStr">
        <is>
          <t>Emissão direta de produtor rural</t>
        </is>
      </c>
      <c r="BM46" s="74" t="inlineStr">
        <is>
          <t>cedente</t>
        </is>
      </c>
      <c r="BN46" s="74" t="inlineStr">
        <is>
          <t>N/D</t>
        </is>
      </c>
      <c r="BO46" s="74" t="inlineStr">
        <is>
          <t>Emissão direta de produtor rural</t>
        </is>
      </c>
      <c r="BP46" s="74" t="inlineStr">
        <is>
          <t>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t>
        </is>
      </c>
      <c r="BQ46" s="74" t="inlineStr">
        <is>
          <t>risco produtor rural com passagem SIPAL e Fazendão</t>
        </is>
      </c>
      <c r="BR46" s="74" t="inlineStr">
        <is>
          <t>cedente: IMG_8705.JPG | sacado_devedor: https://fnet.bmfbovespa.com.br/fnet/publico/downloadDocumento?id=975459 | tipo_recebivel: IMG_8705.JPG</t>
        </is>
      </c>
      <c r="BS46" s="74" t="inlineStr">
        <is>
          <t>manual_aplicado</t>
        </is>
      </c>
      <c r="BT46" s="74" t="inlineStr">
        <is>
          <t>Literal preservado da coluna Cedente do Direito Creditório; OBS continua fora da foto. Denominação cortada.</t>
        </is>
      </c>
      <c r="BU46" s="74" t="inlineStr">
        <is>
          <t>1263627</t>
        </is>
      </c>
      <c r="BV46" s="74" t="inlineStr">
        <is>
          <t>2026-06-01</t>
        </is>
      </c>
      <c r="BW46" s="74" t="inlineStr">
        <is>
          <t>74</t>
        </is>
      </c>
      <c r="BX46" s="74" t="inlineStr">
        <is>
          <t>revisto — mínimo júnior localizado</t>
        </is>
      </c>
      <c r="BY46" s="74" t="inlineStr">
        <is>
          <t>FundosNet/B3; documento 1263627; referência 2026-06-01; p. 74</t>
        </is>
      </c>
      <c r="BZ46" s="74" t="inlineStr">
        <is>
          <t>Índice de Subordinação Mezanino: cotas júnior / PL, mínimo de 15,0%.</t>
        </is>
      </c>
      <c r="CA46" s="74" t="inlineStr">
        <is>
          <t>originador</t>
        </is>
      </c>
      <c r="CB46" s="74" t="inlineStr">
        <is>
          <t>estrutura_incomparavel</t>
        </is>
      </c>
    </row>
    <row r="47" ht="31.5" customHeight="1">
      <c r="A47" s="75" t="n">
        <v>43</v>
      </c>
      <c r="B47" s="142" t="n">
        <v>44124465000120</v>
      </c>
      <c r="C47" s="75" t="inlineStr">
        <is>
          <t>44.124.465/0001-20</t>
        </is>
      </c>
      <c r="D47" s="75" t="inlineStr">
        <is>
          <t>TMAQ 21 FUNDO DE INVESTIMENTO EM DIREITOS CREDITÓRIOS DE ARRANJOS DE PAGAMENTO DE RESPONSABILIDADE L</t>
        </is>
      </c>
      <c r="E47" s="75" t="inlineStr">
        <is>
          <t>TMAQ21 FUNDO I E D CREDITORIOS</t>
        </is>
      </c>
      <c r="F47" s="75" t="inlineStr">
        <is>
          <t>Carteira 101</t>
        </is>
      </c>
      <c r="G47" s="75" t="inlineStr">
        <is>
          <t>2026-08</t>
        </is>
      </c>
      <c r="H47" s="75" t="inlineStr">
        <is>
          <t>localizado</t>
        </is>
      </c>
      <c r="I47" s="143" t="inlineStr">
        <is>
          <t>N/D</t>
        </is>
      </c>
      <c r="J47" s="143" t="inlineStr">
        <is>
          <t>N/D</t>
        </is>
      </c>
      <c r="K47" s="143" t="inlineStr">
        <is>
          <t>N/D</t>
        </is>
      </c>
      <c r="L47" s="144" t="inlineStr">
        <is>
          <t>N/D</t>
        </is>
      </c>
      <c r="M47" s="75" t="inlineStr">
        <is>
          <t>PL oficial ausente em 2026-08</t>
        </is>
      </c>
      <c r="N47" s="144" t="n">
        <v>0.03</v>
      </c>
      <c r="O47" s="144" t="inlineStr">
        <is>
          <t>N/D</t>
        </is>
      </c>
      <c r="P47" s="144" t="inlineStr">
        <is>
          <t>N/D</t>
        </is>
      </c>
      <c r="Q47" s="144" t="inlineStr">
        <is>
          <t>N/D</t>
        </is>
      </c>
      <c r="R47" s="144" t="inlineStr">
        <is>
          <t>N/D</t>
        </is>
      </c>
      <c r="S47" s="144" t="n">
        <v>0.03</v>
      </c>
      <c r="T47" s="75" t="inlineStr">
        <is>
          <t>N/D</t>
        </is>
      </c>
      <c r="U47" s="75" t="inlineStr">
        <is>
          <t>junior_pl</t>
        </is>
      </c>
      <c r="V47" s="75" t="inlineStr">
        <is>
          <t>direto no regulamento</t>
        </is>
      </c>
      <c r="W47" s="75" t="b">
        <v>0</v>
      </c>
      <c r="X47" s="75" t="inlineStr">
        <is>
          <t>Mínimo júnior isolado; a subordinação atual disponível agrega todas as classes subordinadas.</t>
        </is>
      </c>
      <c r="Y47" s="75" t="b">
        <v>0</v>
      </c>
      <c r="Z47" s="144" t="inlineStr">
        <is>
          <t>N/D</t>
        </is>
      </c>
      <c r="AA47" s="144" t="inlineStr">
        <is>
          <t>N/D</t>
        </is>
      </c>
      <c r="AB47" s="75" t="inlineStr">
        <is>
          <t>não medido</t>
        </is>
      </c>
      <c r="AC47" s="75" t="inlineStr">
        <is>
          <t>Agro, Indústria e Comércio</t>
        </is>
      </c>
      <c r="AD47" s="75" t="inlineStr">
        <is>
          <t>Recebíveis Comerciais</t>
        </is>
      </c>
      <c r="AE47" s="75" t="inlineStr">
        <is>
          <t>Agro / Revenda</t>
        </is>
      </c>
      <c r="AF47" s="75" t="inlineStr">
        <is>
          <t>Agro / Revenda</t>
        </is>
      </c>
      <c r="AG47" s="75" t="inlineStr">
        <is>
          <t>Agro / Revenda</t>
        </is>
      </c>
      <c r="AH47" s="75" t="inlineStr">
        <is>
          <t>Agro / Revenda</t>
        </is>
      </c>
      <c r="AI47" s="75" t="inlineStr">
        <is>
          <t>Risco de emissores de cartão / arranjo ACQIO</t>
        </is>
      </c>
      <c r="AJ47" s="75" t="b">
        <v>0</v>
      </c>
      <c r="AK47" s="75" t="inlineStr">
        <is>
          <t>PENDENTE_FONTE_PRIMARIA</t>
        </is>
      </c>
      <c r="AL47" s="75" t="inlineStr">
        <is>
          <t>ACQIO e bancos emissores estão na planilha manual</t>
        </is>
      </c>
      <c r="AM47" s="75" t="inlineStr">
        <is>
          <t>IMG_8705</t>
        </is>
      </c>
      <c r="AN47" s="75" t="inlineStr">
        <is>
          <t>Não</t>
        </is>
      </c>
      <c r="AO47" s="75" t="inlineStr">
        <is>
          <t>IMG_8705</t>
        </is>
      </c>
      <c r="AP47" s="75" t="b">
        <v>0</v>
      </c>
      <c r="AQ47" s="75" t="inlineStr">
        <is>
          <t>Agro / Revenda</t>
        </is>
      </c>
      <c r="AR47" s="75" t="inlineStr">
        <is>
          <t>Agro / Revenda</t>
        </is>
      </c>
      <c r="AS47" s="75" t="b">
        <v>0</v>
      </c>
      <c r="AT47" s="75" t="inlineStr">
        <is>
          <t>N/D</t>
        </is>
      </c>
      <c r="AU47" s="75" t="inlineStr">
        <is>
          <t>N/D</t>
        </is>
      </c>
      <c r="AV47" s="75" t="inlineStr">
        <is>
          <t>N/D</t>
        </is>
      </c>
      <c r="AW47" s="75" t="b">
        <v>0</v>
      </c>
      <c r="AX47" s="75" t="inlineStr">
        <is>
          <t>N/D</t>
        </is>
      </c>
      <c r="AY47" s="75" t="inlineStr">
        <is>
          <t>sem benchmark confiável</t>
        </is>
      </c>
      <c r="AZ47" s="144" t="inlineStr">
        <is>
          <t>N/D</t>
        </is>
      </c>
      <c r="BA47" s="75" t="b">
        <v>0</v>
      </c>
      <c r="BB47" s="145" t="n">
        <v>0</v>
      </c>
      <c r="BC47" s="143" t="inlineStr">
        <is>
          <t>N/D</t>
        </is>
      </c>
      <c r="BD47" s="75" t="inlineStr">
        <is>
          <t>N/D</t>
        </is>
      </c>
      <c r="BE47" s="75" t="inlineStr">
        <is>
          <t>N/D</t>
        </is>
      </c>
      <c r="BF47" s="75" t="inlineStr">
        <is>
          <t>N/D</t>
        </is>
      </c>
      <c r="BG47" s="75" t="inlineStr">
        <is>
          <t>N/D</t>
        </is>
      </c>
      <c r="BH47" s="75" t="inlineStr">
        <is>
          <t>N/D</t>
        </is>
      </c>
      <c r="BI47" s="75" t="inlineStr">
        <is>
          <t>N/D</t>
        </is>
      </c>
      <c r="BJ47" s="75" t="inlineStr">
        <is>
          <t>não localizado</t>
        </is>
      </c>
      <c r="BK47" s="75" t="b">
        <v>0</v>
      </c>
      <c r="BL47" s="75" t="inlineStr">
        <is>
          <t>Ação</t>
        </is>
      </c>
      <c r="BM47" s="75" t="inlineStr">
        <is>
          <t>cedente</t>
        </is>
      </c>
      <c r="BN47" s="75" t="inlineStr">
        <is>
          <t>ACQIO</t>
        </is>
      </c>
      <c r="BO47" s="75" t="inlineStr">
        <is>
          <t>ACQIO</t>
        </is>
      </c>
      <c r="BP47" s="75" t="inlineStr">
        <is>
          <t>os Devedores I -A, os Devedores I -B e os Devedores II quando mencionados em conjunto e indistintamente</t>
        </is>
      </c>
      <c r="BQ47" s="75" t="inlineStr">
        <is>
          <t>Risco Bancos Emissores Diversos</t>
        </is>
      </c>
      <c r="BR47" s="75" t="inlineStr">
        <is>
          <t>originador: https://fnet.bmfbovespa.com.br/fnet/publico/downloadDocumento?id=1048506 | cedente: https://fnet.bmfbovespa.com.br/fnet/publico/downloadDocumento?id=1048506 | sacado_devedor: https://fnet.bmfbovespa.com.br/fnet/publico/downloadDocumento?id=737326 | tipo_recebivel: IMG_8705.JPG</t>
        </is>
      </c>
      <c r="BS47" s="75" t="inlineStr">
        <is>
          <t>manual_aplicado</t>
        </is>
      </c>
      <c r="BT47" s="75" t="inlineStr">
        <is>
          <t>OBS da foto: lista de concentração pré-aprovada.</t>
        </is>
      </c>
      <c r="BU47" s="75" t="inlineStr">
        <is>
          <t>951239</t>
        </is>
      </c>
      <c r="BV47" s="75" t="inlineStr">
        <is>
          <t>2025-07-08</t>
        </is>
      </c>
      <c r="BW47" s="75" t="inlineStr">
        <is>
          <t>85</t>
        </is>
      </c>
      <c r="BX47" s="75" t="inlineStr">
        <is>
          <t>revisto — mínimo júnior localizado</t>
        </is>
      </c>
      <c r="BY47" s="75" t="inlineStr">
        <is>
          <t>FundosNet/B3; documento 951239; referência 2025-07-08; p. 85</t>
        </is>
      </c>
      <c r="BZ47" s="75" t="inlineStr">
        <is>
          <t>Índice de Subordinação Mezanino: cotas júnior / PL, mínimo de 3,0%.</t>
        </is>
      </c>
      <c r="CA47" s="75" t="inlineStr">
        <is>
          <t>PL atual; Sub/PL atual; preço unitário da cota</t>
        </is>
      </c>
      <c r="CB47" s="75" t="inlineStr">
        <is>
          <t>sub_pl_atual_ausente</t>
        </is>
      </c>
    </row>
    <row r="48" ht="31.5" customHeight="1">
      <c r="A48" s="74" t="n">
        <v>44</v>
      </c>
      <c r="B48" s="138" t="n">
        <v>55401645000128</v>
      </c>
      <c r="C48" s="74" t="inlineStr">
        <is>
          <t>55.401.645/0001-28</t>
        </is>
      </c>
      <c r="D48" s="74" t="inlineStr">
        <is>
          <t>QUATÁ FDC FGTS FUNDO DE INVESTIMENTO EM DIREITOS CREDITÓRIOS</t>
        </is>
      </c>
      <c r="E48" s="74" t="inlineStr">
        <is>
          <t>QUATA FIDC FGTS FUNDO DE INVESTIMENTO EM DIREITOS</t>
        </is>
      </c>
      <c r="F48" s="74" t="inlineStr">
        <is>
          <t>Carteira 101</t>
        </is>
      </c>
      <c r="G48" s="74" t="inlineStr">
        <is>
          <t>2026-08</t>
        </is>
      </c>
      <c r="H48" s="74" t="inlineStr">
        <is>
          <t>localizado</t>
        </is>
      </c>
      <c r="I48" s="139" t="n">
        <v>212149387.33</v>
      </c>
      <c r="J48" s="139" t="n">
        <v>212149387.7113751</v>
      </c>
      <c r="K48" s="139" t="n">
        <v>36939064.84263628</v>
      </c>
      <c r="L48" s="140" t="n">
        <v>0.1741181782683034</v>
      </c>
      <c r="M48" s="74" t="inlineStr">
        <is>
          <t>Calculado com classes reportadas e PL oficial reconciliado</t>
        </is>
      </c>
      <c r="N48" s="140" t="n">
        <v>0.03</v>
      </c>
      <c r="O48" s="140" t="inlineStr">
        <is>
          <t>N/D</t>
        </is>
      </c>
      <c r="P48" s="140" t="inlineStr">
        <is>
          <t>N/D</t>
        </is>
      </c>
      <c r="Q48" s="140" t="inlineStr">
        <is>
          <t>N/D</t>
        </is>
      </c>
      <c r="R48" s="140" t="inlineStr">
        <is>
          <t>N/D</t>
        </is>
      </c>
      <c r="S48" s="140" t="n">
        <v>0.03</v>
      </c>
      <c r="T48" s="74" t="inlineStr">
        <is>
          <t>N/D</t>
        </is>
      </c>
      <c r="U48" s="74" t="inlineStr">
        <is>
          <t>junior_pl</t>
        </is>
      </c>
      <c r="V48" s="74" t="inlineStr">
        <is>
          <t>direto no regulamento</t>
        </is>
      </c>
      <c r="W48" s="74" t="b">
        <v>0</v>
      </c>
      <c r="X48" s="74" t="inlineStr">
        <is>
          <t>Mínimo júnior isolado; a subordinação atual disponível agrega todas as classes subordinadas.</t>
        </is>
      </c>
      <c r="Y48" s="74" t="b">
        <v>0</v>
      </c>
      <c r="Z48" s="140" t="inlineStr">
        <is>
          <t>N/D</t>
        </is>
      </c>
      <c r="AA48" s="140" t="inlineStr">
        <is>
          <t>N/D</t>
        </is>
      </c>
      <c r="AB48" s="74" t="inlineStr">
        <is>
          <t>não medido</t>
        </is>
      </c>
      <c r="AC48" s="74" t="inlineStr">
        <is>
          <t>Financeiro</t>
        </is>
      </c>
      <c r="AD48" s="74" t="inlineStr">
        <is>
          <t>Crédito Pessoal</t>
        </is>
      </c>
      <c r="AE48" s="74" t="inlineStr">
        <is>
          <t>Consignado FGTS</t>
        </is>
      </c>
      <c r="AF48" s="74" t="inlineStr">
        <is>
          <t>Consignado FGTS</t>
        </is>
      </c>
      <c r="AG48" s="74" t="inlineStr">
        <is>
          <t>Consignado INSS e FGTS</t>
        </is>
      </c>
      <c r="AH48" s="74" t="inlineStr">
        <is>
          <t>Consignado INSS e FGTS</t>
        </is>
      </c>
      <c r="AI48" s="74" t="inlineStr">
        <is>
          <t>N/D</t>
        </is>
      </c>
      <c r="AJ48" s="74" t="b">
        <v>0</v>
      </c>
      <c r="AK48" s="74" t="inlineStr">
        <is>
          <t>fora da revisão Financeiro/Agro</t>
        </is>
      </c>
      <c r="AL48" s="74" t="inlineStr">
        <is>
          <t>N/D</t>
        </is>
      </c>
      <c r="AM48" s="74" t="inlineStr">
        <is>
          <t>N/D</t>
        </is>
      </c>
      <c r="AN48" s="74" t="inlineStr">
        <is>
          <t>N/D</t>
        </is>
      </c>
      <c r="AO48" s="74" t="inlineStr">
        <is>
          <t>N/D</t>
        </is>
      </c>
      <c r="AP48" s="74" t="inlineStr">
        <is>
          <t>N/D</t>
        </is>
      </c>
      <c r="AQ48" s="74" t="inlineStr">
        <is>
          <t>Consignado INSS e FGTS</t>
        </is>
      </c>
      <c r="AR48" s="74" t="inlineStr">
        <is>
          <t>Consignado INSS e FGTS</t>
        </is>
      </c>
      <c r="AS48" s="74" t="b">
        <v>0</v>
      </c>
      <c r="AT48" s="74" t="inlineStr">
        <is>
          <t>N/D</t>
        </is>
      </c>
      <c r="AU48" s="74" t="inlineStr">
        <is>
          <t>N/D</t>
        </is>
      </c>
      <c r="AV48" s="74" t="inlineStr">
        <is>
          <t>15%–20%</t>
        </is>
      </c>
      <c r="AW48" s="74" t="b">
        <v>1</v>
      </c>
      <c r="AX48" s="74" t="inlineStr">
        <is>
          <t>incomparável</t>
        </is>
      </c>
      <c r="AY48" s="74" t="inlineStr">
        <is>
          <t>em linha com o mercado</t>
        </is>
      </c>
      <c r="AZ48" s="140" t="n">
        <v>-0.008661262891187071</v>
      </c>
      <c r="BA48" s="74" t="b">
        <v>1</v>
      </c>
      <c r="BB48" s="141" t="n">
        <v>5</v>
      </c>
      <c r="BC48" s="139" t="n">
        <v>1000</v>
      </c>
      <c r="BD48" s="74" t="inlineStr">
        <is>
          <t>Cotas Seniores: R$ 1.000,00 | Cotas Subordinadas Júnior: R$ 1.000,00 | Cotas Subordinadas Mezanino: R$ 1.000,00</t>
        </is>
      </c>
      <c r="BE48" s="74" t="inlineStr">
        <is>
          <t>preço/valor unitário de emissão</t>
        </is>
      </c>
      <c r="BF48" s="74" t="inlineStr">
        <is>
          <t>Cotas Seniores | Cotas Subordinadas Júnior | Cotas Subordinadas Mezanino</t>
        </is>
      </c>
      <c r="BG48" s="74" t="inlineStr">
        <is>
          <t>2025-12-01</t>
        </is>
      </c>
      <c r="BH48" s="74" t="inlineStr">
        <is>
          <t>1051890</t>
        </is>
      </c>
      <c r="BI48" s="74" t="inlineStr">
        <is>
          <t>https://fnet.bmfbovespa.com.br/fnet/publico/downloadDocumento?id=1051890</t>
        </is>
      </c>
      <c r="BJ48" s="74" t="inlineStr">
        <is>
          <t>localizado documentalmente — múltiplos valores/classes</t>
        </is>
      </c>
      <c r="BK48" s="74" t="b">
        <v>1</v>
      </c>
      <c r="BL48" s="74" t="inlineStr">
        <is>
          <t>QI Tech</t>
        </is>
      </c>
      <c r="BM48" s="74" t="inlineStr">
        <is>
          <t>cedente</t>
        </is>
      </c>
      <c r="BN48" s="74" t="inlineStr">
        <is>
          <t>a FINTECH DO CORBAN LTDA., sociedade limitada com sede na cidade de Cássia, estado de Minas Gerais, na Rua Comendador Antenor Machado, nº 295, sala virtual 2, Centro, CEP 37980-000, inscrita no CNPJ sob o nº 48.672.821/0001-09 ou outro parceiro do Endossante Instituição Financeria que acesse uma plataforma eletrônica e Interfaces de Programação de Aplicação (“APIs”) do Endossante Instituição Financeria que permite a criação de estruturas para a concessão de crédito por meio do Endossante Institu</t>
        </is>
      </c>
      <c r="BO48" s="74" t="inlineStr">
        <is>
          <t>QI Tech</t>
        </is>
      </c>
      <c r="BP48" s="74" t="inlineStr">
        <is>
          <t>N/D</t>
        </is>
      </c>
      <c r="BQ48" s="74" t="inlineStr">
        <is>
          <t>Crédito FGTS</t>
        </is>
      </c>
      <c r="BR48" s="74" t="inlineStr">
        <is>
          <t>originador: https://fnet.bmfbovespa.com.br/fnet/publico/downloadDocumento?id=1051890 | cedente: IMG_8705.JPG | tipo_recebivel: IMG_8705.JPG</t>
        </is>
      </c>
      <c r="BS48" s="74" t="inlineStr">
        <is>
          <t>manual_aplicado</t>
        </is>
      </c>
      <c r="BT48" s="74" t="inlineStr">
        <is>
          <t>Denominação cortada pela largura da coluna na foto.</t>
        </is>
      </c>
      <c r="BU48" s="74" t="inlineStr">
        <is>
          <t>1051890</t>
        </is>
      </c>
      <c r="BV48" s="74" t="inlineStr">
        <is>
          <t>2025-12-01</t>
        </is>
      </c>
      <c r="BW48" s="74" t="inlineStr">
        <is>
          <t>17</t>
        </is>
      </c>
      <c r="BX48" s="74" t="inlineStr">
        <is>
          <t>revisto — mínimo júnior localizado</t>
        </is>
      </c>
      <c r="BY48" s="74" t="inlineStr">
        <is>
          <t>FundosNet/B3; documento 1051890; referência 2025-12-01; p. 17</t>
        </is>
      </c>
      <c r="BZ48" s="74" t="inlineStr">
        <is>
          <t>Índice de Subordinação Mezanino: cotas júnior / PL, mínimo de 3,0%.</t>
        </is>
      </c>
      <c r="CA48" s="74" t="inlineStr">
        <is>
          <t>sacado/devedor</t>
        </is>
      </c>
      <c r="CB48" s="74" t="inlineStr">
        <is>
          <t>estrutura_incomparavel</t>
        </is>
      </c>
    </row>
    <row r="49" ht="31.5" customHeight="1">
      <c r="A49" s="75" t="n">
        <v>45</v>
      </c>
      <c r="B49" s="142" t="n">
        <v>63622842000103</v>
      </c>
      <c r="C49" s="75" t="inlineStr">
        <is>
          <t>63.622.842/0001-03</t>
        </is>
      </c>
      <c r="D49" s="75" t="inlineStr">
        <is>
          <t>DESBRAVA UNO ARTIGOS ESPORTIVOS FUNDO DE INVESTIMENTO EM DIREITOS CREDITÓRIOS RESP LIMITADA</t>
        </is>
      </c>
      <c r="E49" s="75" t="inlineStr">
        <is>
          <t>DESBRAVA UNO ART ESP FIDC RL</t>
        </is>
      </c>
      <c r="F49" s="75" t="inlineStr">
        <is>
          <t>Carteira 101</t>
        </is>
      </c>
      <c r="G49" s="75" t="inlineStr">
        <is>
          <t>2026-08</t>
        </is>
      </c>
      <c r="H49" s="75" t="inlineStr">
        <is>
          <t>localizado</t>
        </is>
      </c>
      <c r="I49" s="143" t="n">
        <v>352711743.01</v>
      </c>
      <c r="J49" s="143" t="n">
        <v>352648725.7522035</v>
      </c>
      <c r="K49" s="143" t="n">
        <v>178070446.7461678</v>
      </c>
      <c r="L49" s="144" t="n">
        <v>0.5048611232122181</v>
      </c>
      <c r="M49" s="75" t="inlineStr">
        <is>
          <t>Calculado com classes reportadas e PL oficial reconciliado</t>
        </is>
      </c>
      <c r="N49" s="144" t="n">
        <v>0.5</v>
      </c>
      <c r="O49" s="144" t="inlineStr">
        <is>
          <t>N/D</t>
        </is>
      </c>
      <c r="P49" s="144" t="inlineStr">
        <is>
          <t>N/D</t>
        </is>
      </c>
      <c r="Q49" s="144" t="n">
        <v>0.5</v>
      </c>
      <c r="R49" s="144" t="inlineStr">
        <is>
          <t>N/D</t>
        </is>
      </c>
      <c r="S49" s="144" t="n">
        <v>0.5</v>
      </c>
      <c r="T49" s="75" t="inlineStr">
        <is>
          <t>50,0%</t>
        </is>
      </c>
      <c r="U49" s="75" t="inlineStr">
        <is>
          <t>junior_pl</t>
        </is>
      </c>
      <c r="V49" s="75" t="inlineStr">
        <is>
          <t>direto no regulamento</t>
        </is>
      </c>
      <c r="W49" s="75" t="b">
        <v>1</v>
      </c>
      <c r="X49" s="75" t="inlineStr">
        <is>
          <t>Estrutura com uma única classe subordinada; métrica atual e piso usam o total subordinado sobre o PL.</t>
        </is>
      </c>
      <c r="Y49" s="75" t="b">
        <v>0</v>
      </c>
      <c r="Z49" s="144" t="n">
        <v>0.004861123212218099</v>
      </c>
      <c r="AA49" s="144" t="n">
        <v>0.009722246424436198</v>
      </c>
      <c r="AB49" s="75" t="inlineStr">
        <is>
          <t>folga estreita</t>
        </is>
      </c>
      <c r="AC49" s="75" t="inlineStr">
        <is>
          <t>Agro, Indústria e Comércio</t>
        </is>
      </c>
      <c r="AD49" s="75" t="inlineStr">
        <is>
          <t>Recebíveis Comerciais</t>
        </is>
      </c>
      <c r="AE49" s="75" t="inlineStr">
        <is>
          <t>Agro / Revenda</t>
        </is>
      </c>
      <c r="AF49" s="75" t="inlineStr">
        <is>
          <t>Agro / Revenda</t>
        </is>
      </c>
      <c r="AG49" s="75" t="inlineStr">
        <is>
          <t>Agro / Revenda</t>
        </is>
      </c>
      <c r="AH49" s="75" t="inlineStr">
        <is>
          <t>Risco Corporativo</t>
        </is>
      </c>
      <c r="AI49" s="75" t="inlineStr">
        <is>
          <t>Notas comerciais da Dass, projeto de investimento</t>
        </is>
      </c>
      <c r="AJ49" s="75" t="b">
        <v>1</v>
      </c>
      <c r="AK49" s="75" t="inlineStr">
        <is>
          <t>APLICAR_ALTA</t>
        </is>
      </c>
      <c r="AL49" s="75" t="inlineStr">
        <is>
          <t>Direitos são notas comerciais emitidas pela Dass Nordeste</t>
        </is>
      </c>
      <c r="AM49" s="75" t="inlineStr">
        <is>
          <t>regulamento 1051646, 90 páginas</t>
        </is>
      </c>
      <c r="AN49" s="75" t="inlineStr">
        <is>
          <t>Não</t>
        </is>
      </c>
      <c r="AO49" s="75" t="inlineStr">
        <is>
          <t>regulamento 1051646, 90 páginas</t>
        </is>
      </c>
      <c r="AP49" s="75" t="b">
        <v>0</v>
      </c>
      <c r="AQ49" s="75" t="inlineStr">
        <is>
          <t>Risco Corporativo</t>
        </is>
      </c>
      <c r="AR49" s="75" t="inlineStr">
        <is>
          <t>Agro / Revenda</t>
        </is>
      </c>
      <c r="AS49" s="75" t="b">
        <v>1</v>
      </c>
      <c r="AT49" s="75" t="inlineStr">
        <is>
          <t>regulamento 1051646, 90 páginas</t>
        </is>
      </c>
      <c r="AU49" s="75" t="inlineStr">
        <is>
          <t>Direitos são notas comerciais emitidas pela Dass Nordeste</t>
        </is>
      </c>
      <c r="AV49" s="75" t="inlineStr">
        <is>
          <t>35%–60%</t>
        </is>
      </c>
      <c r="AW49" s="75" t="b">
        <v>1</v>
      </c>
      <c r="AX49" s="75" t="inlineStr">
        <is>
          <t>até 2 p.p. acima</t>
        </is>
      </c>
      <c r="AY49" s="75" t="inlineStr">
        <is>
          <t>sem benchmark confiável</t>
        </is>
      </c>
      <c r="AZ49" s="144" t="inlineStr">
        <is>
          <t>N/D</t>
        </is>
      </c>
      <c r="BA49" s="75" t="b">
        <v>0</v>
      </c>
      <c r="BB49" s="145" t="n">
        <v>0</v>
      </c>
      <c r="BC49" s="143" t="n">
        <v>1000</v>
      </c>
      <c r="BD49" s="75" t="inlineStr">
        <is>
          <t>COTAS SUBORDINADAS: R$ 1.000,00 | R$ 1.000,00</t>
        </is>
      </c>
      <c r="BE49" s="75" t="inlineStr">
        <is>
          <t>preço/valor unitário de emissão</t>
        </is>
      </c>
      <c r="BF49" s="75" t="inlineStr">
        <is>
          <t>COTAS SUBORDINADAS</t>
        </is>
      </c>
      <c r="BG49" s="75" t="inlineStr">
        <is>
          <t>01/12/2025</t>
        </is>
      </c>
      <c r="BH49" s="75" t="inlineStr">
        <is>
          <t>1051646</t>
        </is>
      </c>
      <c r="BI49" s="75" t="inlineStr">
        <is>
          <t>https://fnet.bmfbovespa.com.br/fnet/publico/downloadDocumento?id=1051646</t>
        </is>
      </c>
      <c r="BJ49" s="75" t="inlineStr">
        <is>
          <t>localizado documentalmente — múltiplos valores/classes</t>
        </is>
      </c>
      <c r="BK49" s="75" t="b">
        <v>1</v>
      </c>
      <c r="BL49" s="75" t="inlineStr">
        <is>
          <t>Empresas grupo Dass</t>
        </is>
      </c>
      <c r="BM49" s="75" t="inlineStr">
        <is>
          <t>cedente</t>
        </is>
      </c>
      <c r="BN49" s="75" t="inlineStr">
        <is>
          <t>N/D</t>
        </is>
      </c>
      <c r="BO49" s="75" t="inlineStr">
        <is>
          <t>Empresas grupo Dass</t>
        </is>
      </c>
      <c r="BP49" s="75" t="inlineStr">
        <is>
          <t>N/D</t>
        </is>
      </c>
      <c r="BQ49" s="75" t="inlineStr">
        <is>
          <t>N/D</t>
        </is>
      </c>
      <c r="BR49" s="75" t="inlineStr">
        <is>
          <t>cedente: IMG_8705.JPG</t>
        </is>
      </c>
      <c r="BS49" s="75" t="inlineStr">
        <is>
          <t>manual_aplicado</t>
        </is>
      </c>
      <c r="BT49" s="75" t="inlineStr">
        <is>
          <t>OBS da foto: FIDC 12431, risco Dass (não são recebíveis de clientes).</t>
        </is>
      </c>
      <c r="BU49" s="75" t="inlineStr">
        <is>
          <t>1051646</t>
        </is>
      </c>
      <c r="BV49" s="75" t="inlineStr">
        <is>
          <t>2025-12-01</t>
        </is>
      </c>
      <c r="BW49" s="75" t="inlineStr">
        <is>
          <t>69</t>
        </is>
      </c>
      <c r="BX49" s="75" t="inlineStr">
        <is>
          <t>revisto — mínimo júnior localizado</t>
        </is>
      </c>
      <c r="BY49" s="75" t="inlineStr">
        <is>
          <t>FundosNet/B3; documento 1051646; referência 2025-12-01; p. 69</t>
        </is>
      </c>
      <c r="BZ49" s="75" t="inlineStr">
        <is>
          <t>Cotas subordinadas / PL, mínimo de 50,0%; estrutura com uma única classe residual.</t>
        </is>
      </c>
      <c r="CA49" s="75" t="inlineStr">
        <is>
          <t>originador; sacado/devedor; tipo de recebível</t>
        </is>
      </c>
      <c r="CB49" s="75" t="inlineStr">
        <is>
          <t>completo_para_folga</t>
        </is>
      </c>
    </row>
    <row r="50" ht="31.5" customHeight="1">
      <c r="A50" s="74" t="n">
        <v>46</v>
      </c>
      <c r="B50" s="138" t="n">
        <v>44272584000120</v>
      </c>
      <c r="C50" s="74" t="inlineStr">
        <is>
          <t>44.272.584/0001-20</t>
        </is>
      </c>
      <c r="D50" s="74" t="inlineStr">
        <is>
          <t>LAVORO AGRO FIAGRO - DIREITOS CREDITÓRIOS - RESPONSABILIDADE LIMITADA</t>
        </is>
      </c>
      <c r="E50" s="74" t="inlineStr">
        <is>
          <t>LAVORO AGRO FIDC DAS CADEIAS PRODUTIVAS AGROINDUST</t>
        </is>
      </c>
      <c r="F50" s="74" t="inlineStr">
        <is>
          <t>Carteira 101</t>
        </is>
      </c>
      <c r="G50" s="74" t="inlineStr">
        <is>
          <t>2026-08</t>
        </is>
      </c>
      <c r="H50" s="74" t="inlineStr">
        <is>
          <t>localizado</t>
        </is>
      </c>
      <c r="I50" s="139" t="inlineStr">
        <is>
          <t>N/D</t>
        </is>
      </c>
      <c r="J50" s="139" t="inlineStr">
        <is>
          <t>N/D</t>
        </is>
      </c>
      <c r="K50" s="139" t="inlineStr">
        <is>
          <t>N/D</t>
        </is>
      </c>
      <c r="L50" s="140" t="inlineStr">
        <is>
          <t>N/D</t>
        </is>
      </c>
      <c r="M50" s="74" t="inlineStr">
        <is>
          <t>PL oficial ausente em 2026-08</t>
        </is>
      </c>
      <c r="N50" s="140" t="n">
        <v>0.05</v>
      </c>
      <c r="O50" s="140" t="inlineStr">
        <is>
          <t>N/D</t>
        </is>
      </c>
      <c r="P50" s="140" t="inlineStr">
        <is>
          <t>N/D</t>
        </is>
      </c>
      <c r="Q50" s="140" t="inlineStr">
        <is>
          <t>N/D</t>
        </is>
      </c>
      <c r="R50" s="140" t="inlineStr">
        <is>
          <t>N/D</t>
        </is>
      </c>
      <c r="S50" s="140" t="n">
        <v>0.05</v>
      </c>
      <c r="T50" s="74" t="inlineStr">
        <is>
          <t>N/D</t>
        </is>
      </c>
      <c r="U50" s="74" t="inlineStr">
        <is>
          <t>junior_pl</t>
        </is>
      </c>
      <c r="V50" s="74" t="inlineStr">
        <is>
          <t>direto no regulamento</t>
        </is>
      </c>
      <c r="W50" s="74" t="b">
        <v>0</v>
      </c>
      <c r="X50" s="74" t="inlineStr">
        <is>
          <t>Mínimo júnior isolado; a subordinação atual disponível agrega todas as classes subordinadas.</t>
        </is>
      </c>
      <c r="Y50" s="74" t="b">
        <v>0</v>
      </c>
      <c r="Z50" s="140" t="inlineStr">
        <is>
          <t>N/D</t>
        </is>
      </c>
      <c r="AA50" s="140" t="inlineStr">
        <is>
          <t>N/D</t>
        </is>
      </c>
      <c r="AB50" s="74" t="inlineStr">
        <is>
          <t>não medido</t>
        </is>
      </c>
      <c r="AC50" s="74" t="inlineStr">
        <is>
          <t>Agro, Indústria e Comércio</t>
        </is>
      </c>
      <c r="AD50" s="74" t="inlineStr">
        <is>
          <t>Recebíveis Comerciais</t>
        </is>
      </c>
      <c r="AE50" s="74" t="inlineStr">
        <is>
          <t>Agro / Revenda</t>
        </is>
      </c>
      <c r="AF50" s="74" t="inlineStr">
        <is>
          <t>Agro / Revenda</t>
        </is>
      </c>
      <c r="AG50" s="74" t="inlineStr">
        <is>
          <t>Agro / Revenda</t>
        </is>
      </c>
      <c r="AH50" s="74" t="inlineStr">
        <is>
          <t>Agro / Revenda</t>
        </is>
      </c>
      <c r="AI50" s="74" t="inlineStr">
        <is>
          <t>Recebíveis do Grupo Lavoro</t>
        </is>
      </c>
      <c r="AJ50" s="74" t="b">
        <v>0</v>
      </c>
      <c r="AK50" s="74" t="inlineStr">
        <is>
          <t>MANTER_ALTA</t>
        </is>
      </c>
      <c r="AL50" s="74" t="inlineStr">
        <is>
          <t>Cedentes distribuem produtos agropecuários</t>
        </is>
      </c>
      <c r="AM50" s="74" t="inlineStr">
        <is>
          <t>regulamento</t>
        </is>
      </c>
      <c r="AN50" s="74" t="inlineStr">
        <is>
          <t>Não</t>
        </is>
      </c>
      <c r="AO50" s="74" t="inlineStr">
        <is>
          <t>regulamento</t>
        </is>
      </c>
      <c r="AP50" s="74" t="b">
        <v>0</v>
      </c>
      <c r="AQ50" s="74" t="inlineStr">
        <is>
          <t>Agro / Revenda</t>
        </is>
      </c>
      <c r="AR50" s="74" t="inlineStr">
        <is>
          <t>Agro / Revenda</t>
        </is>
      </c>
      <c r="AS50" s="74" t="b">
        <v>0</v>
      </c>
      <c r="AT50" s="74" t="inlineStr">
        <is>
          <t>N/D</t>
        </is>
      </c>
      <c r="AU50" s="74" t="inlineStr">
        <is>
          <t>N/D</t>
        </is>
      </c>
      <c r="AV50" s="74" t="inlineStr">
        <is>
          <t>N/D</t>
        </is>
      </c>
      <c r="AW50" s="74" t="b">
        <v>0</v>
      </c>
      <c r="AX50" s="74" t="inlineStr">
        <is>
          <t>N/D</t>
        </is>
      </c>
      <c r="AY50" s="74" t="inlineStr">
        <is>
          <t>sem benchmark confiável</t>
        </is>
      </c>
      <c r="AZ50" s="140" t="inlineStr">
        <is>
          <t>N/D</t>
        </is>
      </c>
      <c r="BA50" s="74" t="b">
        <v>0</v>
      </c>
      <c r="BB50" s="141" t="n">
        <v>0</v>
      </c>
      <c r="BC50" s="139" t="n">
        <v>1000</v>
      </c>
      <c r="BD50" s="74" t="inlineStr">
        <is>
          <t>R$1.000,00</t>
        </is>
      </c>
      <c r="BE50" s="74" t="inlineStr">
        <is>
          <t>preço/valor unitário de emissão</t>
        </is>
      </c>
      <c r="BF50" s="74" t="inlineStr">
        <is>
          <t>N/D</t>
        </is>
      </c>
      <c r="BG50" s="74" t="inlineStr">
        <is>
          <t>30/09/2025</t>
        </is>
      </c>
      <c r="BH50" s="74" t="inlineStr">
        <is>
          <t>1003267</t>
        </is>
      </c>
      <c r="BI50" s="74" t="inlineStr">
        <is>
          <t>https://fnet.bmfbovespa.com.br/fnet/publico/downloadDocumento?id=1003267</t>
        </is>
      </c>
      <c r="BJ50" s="74" t="inlineStr">
        <is>
          <t>localizado documentalmente</t>
        </is>
      </c>
      <c r="BK50" s="74" t="b">
        <v>1</v>
      </c>
      <c r="BL50" s="74" t="inlineStr">
        <is>
          <t>Lavoro</t>
        </is>
      </c>
      <c r="BM50" s="74" t="inlineStr">
        <is>
          <t>cedente</t>
        </is>
      </c>
      <c r="BN50" s="74" t="inlineStr">
        <is>
          <t>N/D</t>
        </is>
      </c>
      <c r="BO50" s="74" t="inlineStr">
        <is>
          <t>Lavoro Agrocomercial S.A., Agrocontato Comércio e Representações de Produtos Agropecuários S.A., Agrovenci - Comércio, Importação, Exportação e Agropecuário Ltda. e Distribuidora Pitangueiras de Produtos Agropecuários S.A. (em conjunto, Grupo Lavoro)</t>
        </is>
      </c>
      <c r="BP50" s="74" t="inlineStr">
        <is>
          <t>N/D</t>
        </is>
      </c>
      <c r="BQ50" s="74" t="inlineStr">
        <is>
          <t>N/D</t>
        </is>
      </c>
      <c r="BR50" s="74" t="inlineStr">
        <is>
          <t>cedente: https://fnet.bmfbovespa.com.br/fnet/publico/downloadDocumento?id=798158</t>
        </is>
      </c>
      <c r="BS50" s="74" t="inlineStr">
        <is>
          <t>manual_aplicado</t>
        </is>
      </c>
      <c r="BT50" s="74" t="inlineStr">
        <is>
          <t>OBS da foto: Realizamos ajuste tempestivo para Ba1 - carteira vence em 30/04 - acompanhamento mensal. Denominação cortada.</t>
        </is>
      </c>
      <c r="BU50" s="74" t="inlineStr">
        <is>
          <t>1003378</t>
        </is>
      </c>
      <c r="BV50" s="74" t="inlineStr">
        <is>
          <t>2025-09-30</t>
        </is>
      </c>
      <c r="BW50" s="74" t="inlineStr">
        <is>
          <t>133</t>
        </is>
      </c>
      <c r="BX50" s="74" t="inlineStr">
        <is>
          <t>revisto — mínimo júnior localizado</t>
        </is>
      </c>
      <c r="BY50" s="74" t="inlineStr">
        <is>
          <t>FundosNet/B3; documento 1003378; referência 2025-09-30; p. 133</t>
        </is>
      </c>
      <c r="BZ50" s="74" t="inlineStr">
        <is>
          <t>Proporção de cotas subordinadas júnior / PL, mínimo de 5,0%.</t>
        </is>
      </c>
      <c r="CA50" s="74" t="inlineStr">
        <is>
          <t>PL atual; Sub/PL atual; originador; sacado/devedor; tipo de recebível</t>
        </is>
      </c>
      <c r="CB50" s="74" t="inlineStr">
        <is>
          <t>sub_pl_atual_ausente</t>
        </is>
      </c>
    </row>
    <row r="51" ht="31.5" customHeight="1">
      <c r="A51" s="75" t="n">
        <v>47</v>
      </c>
      <c r="B51" s="142" t="n">
        <v>62838025000116</v>
      </c>
      <c r="C51" s="75" t="inlineStr">
        <is>
          <t>62.838.025/0001-16</t>
        </is>
      </c>
      <c r="D51" s="75" t="inlineStr">
        <is>
          <t>ENDURANCE FUNDO DE INVESTIMENTO EM DIREITOS CREDITÓRIOS RESPONSABILIDADE LIMITADA</t>
        </is>
      </c>
      <c r="E51" s="75" t="inlineStr">
        <is>
          <t>TOP 2025 J FIDC RESP LTDA</t>
        </is>
      </c>
      <c r="F51" s="75" t="inlineStr">
        <is>
          <t>Carteira 101</t>
        </is>
      </c>
      <c r="G51" s="75" t="inlineStr">
        <is>
          <t>2026-08</t>
        </is>
      </c>
      <c r="H51" s="75" t="inlineStr">
        <is>
          <t>localizado</t>
        </is>
      </c>
      <c r="I51" s="143" t="n">
        <v>1999981369.56</v>
      </c>
      <c r="J51" s="143" t="n">
        <v>1999981369.564364</v>
      </c>
      <c r="K51" s="143" t="n">
        <v>186176086.0604384</v>
      </c>
      <c r="L51" s="144" t="n">
        <v>0.09308891017389702</v>
      </c>
      <c r="M51" s="75" t="inlineStr">
        <is>
          <t>Calculado com classes reportadas e PL oficial reconciliado</t>
        </is>
      </c>
      <c r="N51" s="144" t="n">
        <v>0.1</v>
      </c>
      <c r="O51" s="144" t="inlineStr">
        <is>
          <t>N/D</t>
        </is>
      </c>
      <c r="P51" s="144" t="inlineStr">
        <is>
          <t>N/D</t>
        </is>
      </c>
      <c r="Q51" s="144" t="inlineStr">
        <is>
          <t>N/D</t>
        </is>
      </c>
      <c r="R51" s="144" t="inlineStr">
        <is>
          <t>N/D</t>
        </is>
      </c>
      <c r="S51" s="144" t="n">
        <v>0.1</v>
      </c>
      <c r="T51" s="75" t="inlineStr">
        <is>
          <t>N/D</t>
        </is>
      </c>
      <c r="U51" s="75" t="inlineStr">
        <is>
          <t>junior_pl</t>
        </is>
      </c>
      <c r="V51" s="75" t="inlineStr">
        <is>
          <t>direto no regulamento</t>
        </is>
      </c>
      <c r="W51" s="75" t="b">
        <v>0</v>
      </c>
      <c r="X51" s="75" t="inlineStr">
        <is>
          <t>Mínimo júnior isolado; a subordinação atual disponível agrega todas as classes subordinadas.</t>
        </is>
      </c>
      <c r="Y51" s="75" t="b">
        <v>0</v>
      </c>
      <c r="Z51" s="144" t="inlineStr">
        <is>
          <t>N/D</t>
        </is>
      </c>
      <c r="AA51" s="144" t="inlineStr">
        <is>
          <t>N/D</t>
        </is>
      </c>
      <c r="AB51" s="75" t="inlineStr">
        <is>
          <t>não medido</t>
        </is>
      </c>
      <c r="AC51" s="75" t="inlineStr">
        <is>
          <t>Financeiro</t>
        </is>
      </c>
      <c r="AD51" s="75" t="inlineStr">
        <is>
          <t>Adquirência</t>
        </is>
      </c>
      <c r="AE51" s="75" t="inlineStr">
        <is>
          <t>Financeiro</t>
        </is>
      </c>
      <c r="AF51" s="75" t="inlineStr">
        <is>
          <t>Financeiro</t>
        </is>
      </c>
      <c r="AG51" s="75" t="inlineStr">
        <is>
          <t>Financeiro</t>
        </is>
      </c>
      <c r="AH51" s="75" t="inlineStr">
        <is>
          <t>Financeiro</t>
        </is>
      </c>
      <c r="AI51" s="75" t="inlineStr">
        <is>
          <t>Recebíveis de arranjos de pagamento</t>
        </is>
      </c>
      <c r="AJ51" s="75" t="b">
        <v>0</v>
      </c>
      <c r="AK51" s="75" t="inlineStr">
        <is>
          <t>PENDENTE_FONTE_PRIMARIA</t>
        </is>
      </c>
      <c r="AL51" s="75" t="inlineStr">
        <is>
          <t>Rede, Getnet, Cielo e Pag constam apenas na fonte manual</t>
        </is>
      </c>
      <c r="AM51" s="75" t="inlineStr">
        <is>
          <t>IMG_8705</t>
        </is>
      </c>
      <c r="AN51" s="75" t="inlineStr">
        <is>
          <t>Não</t>
        </is>
      </c>
      <c r="AO51" s="75" t="inlineStr">
        <is>
          <t>IMG_8705</t>
        </is>
      </c>
      <c r="AP51" s="75" t="b">
        <v>0</v>
      </c>
      <c r="AQ51" s="75" t="inlineStr">
        <is>
          <t>Financeiro</t>
        </is>
      </c>
      <c r="AR51" s="75" t="inlineStr">
        <is>
          <t>Financeiro</t>
        </is>
      </c>
      <c r="AS51" s="75" t="b">
        <v>0</v>
      </c>
      <c r="AT51" s="75" t="inlineStr">
        <is>
          <t>N/D</t>
        </is>
      </c>
      <c r="AU51" s="75" t="inlineStr">
        <is>
          <t>N/D</t>
        </is>
      </c>
      <c r="AV51" s="75" t="inlineStr">
        <is>
          <t>&lt; 10%</t>
        </is>
      </c>
      <c r="AW51" s="75" t="b">
        <v>1</v>
      </c>
      <c r="AX51" s="75" t="inlineStr">
        <is>
          <t>incomparável</t>
        </is>
      </c>
      <c r="AY51" s="75" t="inlineStr">
        <is>
          <t>abaixo do mercado</t>
        </is>
      </c>
      <c r="AZ51" s="144" t="n">
        <v>-0.2131048705225871</v>
      </c>
      <c r="BA51" s="75" t="b">
        <v>1</v>
      </c>
      <c r="BB51" s="145" t="n">
        <v>12</v>
      </c>
      <c r="BC51" s="143" t="n">
        <v>1000</v>
      </c>
      <c r="BD51" s="75" t="inlineStr">
        <is>
          <t>R$ 1.000,00</t>
        </is>
      </c>
      <c r="BE51" s="75" t="inlineStr">
        <is>
          <t>preço/valor unitário de emissão</t>
        </is>
      </c>
      <c r="BF51" s="75" t="inlineStr">
        <is>
          <t>N/D</t>
        </is>
      </c>
      <c r="BG51" s="75" t="inlineStr">
        <is>
          <t>2025-12-10</t>
        </is>
      </c>
      <c r="BH51" s="75" t="inlineStr">
        <is>
          <t>1058234</t>
        </is>
      </c>
      <c r="BI51" s="75" t="inlineStr">
        <is>
          <t>https://fnet.bmfbovespa.com.br/fnet/publico/downloadDocumento?id=1058234</t>
        </is>
      </c>
      <c r="BJ51" s="75" t="inlineStr">
        <is>
          <t>localizado documentalmente</t>
        </is>
      </c>
      <c r="BK51" s="75" t="b">
        <v>1</v>
      </c>
      <c r="BL51" s="75" t="inlineStr">
        <is>
          <t>Pague Veloz / Serasa</t>
        </is>
      </c>
      <c r="BM51" s="75" t="inlineStr">
        <is>
          <t>cedente</t>
        </is>
      </c>
      <c r="BN51" s="75" t="inlineStr">
        <is>
          <t>N/D</t>
        </is>
      </c>
      <c r="BO51" s="75" t="inlineStr">
        <is>
          <t>Pague Veloz / Serasa</t>
        </is>
      </c>
      <c r="BP51" s="75" t="inlineStr">
        <is>
          <t>os emissores, devedores e/ou garantidores dos Direitos Creditórios, conforme o caso</t>
        </is>
      </c>
      <c r="BQ51" s="75" t="inlineStr">
        <is>
          <t>recebíveis de Rede, GetNet, Cielo e Pag</t>
        </is>
      </c>
      <c r="BR51" s="75" t="inlineStr">
        <is>
          <t>cedente: IMG_8705.JPG | sacado_devedor: https://fnet.bmfbovespa.com.br/fnet/publico/downloadDocumento?id=1058234 | tipo_recebivel: IMG_8705.JPG</t>
        </is>
      </c>
      <c r="BS51" s="75" t="inlineStr">
        <is>
          <t>manual_aplicado</t>
        </is>
      </c>
      <c r="BT51" s="75" t="inlineStr">
        <is>
          <t>N/D</t>
        </is>
      </c>
      <c r="BU51" s="75" t="inlineStr">
        <is>
          <t>1058234</t>
        </is>
      </c>
      <c r="BV51" s="75" t="inlineStr">
        <is>
          <t>2025-12-10</t>
        </is>
      </c>
      <c r="BW51" s="75" t="inlineStr">
        <is>
          <t>39</t>
        </is>
      </c>
      <c r="BX51" s="75" t="inlineStr">
        <is>
          <t>revisto — mínimo júnior localizado</t>
        </is>
      </c>
      <c r="BY51" s="75" t="inlineStr">
        <is>
          <t>FundosNet/B3; documento 1058234; referência 2025-12-10; p. 39</t>
        </is>
      </c>
      <c r="BZ51" s="75" t="inlineStr">
        <is>
          <t>Cotas júnior / PL: 9,0% nos primeiros 30 dias; 10,0% como patamar regular.</t>
        </is>
      </c>
      <c r="CA51" s="75" t="inlineStr">
        <is>
          <t>originador</t>
        </is>
      </c>
      <c r="CB51" s="75" t="inlineStr">
        <is>
          <t>estrutura_incomparavel</t>
        </is>
      </c>
    </row>
    <row r="52" ht="31.5" customHeight="1">
      <c r="A52" s="74" t="n">
        <v>48</v>
      </c>
      <c r="B52" s="138" t="n">
        <v>47280025000150</v>
      </c>
      <c r="C52" s="74" t="inlineStr">
        <is>
          <t>47.280.025/0001-50</t>
        </is>
      </c>
      <c r="D52" s="74" t="inlineStr">
        <is>
          <t>FIDC AGRO CAPITAL FINANCE RESPONSABILIDADE LIMITADA</t>
        </is>
      </c>
      <c r="E52" s="74" t="inlineStr">
        <is>
          <t>FUNDO DE INVESTIMENTO EM DIREITOS CREDITORIOS ALBA</t>
        </is>
      </c>
      <c r="F52" s="74" t="inlineStr">
        <is>
          <t>Carteira 101</t>
        </is>
      </c>
      <c r="G52" s="74" t="inlineStr">
        <is>
          <t>2026-08</t>
        </is>
      </c>
      <c r="H52" s="74" t="inlineStr">
        <is>
          <t>localizado</t>
        </is>
      </c>
      <c r="I52" s="139" t="n">
        <v>482071420.62</v>
      </c>
      <c r="J52" s="139" t="n">
        <v>482071420.6208261</v>
      </c>
      <c r="K52" s="139" t="n">
        <v>154724884.4910434</v>
      </c>
      <c r="L52" s="140" t="n">
        <v>0.3209584262266557</v>
      </c>
      <c r="M52" s="74" t="inlineStr">
        <is>
          <t>Calculado com classes reportadas e PL oficial reconciliado</t>
        </is>
      </c>
      <c r="N52" s="140" t="n">
        <v>0.3</v>
      </c>
      <c r="O52" s="140" t="inlineStr">
        <is>
          <t>N/D</t>
        </is>
      </c>
      <c r="P52" s="140" t="inlineStr">
        <is>
          <t>N/D</t>
        </is>
      </c>
      <c r="Q52" s="140" t="n">
        <v>0.3</v>
      </c>
      <c r="R52" s="140" t="inlineStr">
        <is>
          <t>N/D</t>
        </is>
      </c>
      <c r="S52" s="140" t="n">
        <v>0.3</v>
      </c>
      <c r="T52" s="74" t="inlineStr">
        <is>
          <t>30,0%</t>
        </is>
      </c>
      <c r="U52" s="74" t="inlineStr">
        <is>
          <t>junior_pl</t>
        </is>
      </c>
      <c r="V52" s="74" t="inlineStr">
        <is>
          <t>direto no regulamento</t>
        </is>
      </c>
      <c r="W52" s="74" t="b">
        <v>1</v>
      </c>
      <c r="X52" s="74" t="inlineStr">
        <is>
          <t>Estrutura com uma única classe subordinada; métrica atual e piso usam o total subordinado sobre o PL.</t>
        </is>
      </c>
      <c r="Y52" s="74" t="b">
        <v>0</v>
      </c>
      <c r="Z52" s="140" t="n">
        <v>0.02095842622665567</v>
      </c>
      <c r="AA52" s="140" t="n">
        <v>0.02994060889522239</v>
      </c>
      <c r="AB52" s="74" t="inlineStr">
        <is>
          <t>folga estreita</t>
        </is>
      </c>
      <c r="AC52" s="74" t="inlineStr">
        <is>
          <t>Agro, Indústria e Comércio</t>
        </is>
      </c>
      <c r="AD52" s="74" t="inlineStr">
        <is>
          <t>Recebíveis Comerciais</t>
        </is>
      </c>
      <c r="AE52" s="74" t="inlineStr">
        <is>
          <t>Agro / Revenda</t>
        </is>
      </c>
      <c r="AF52" s="74" t="inlineStr">
        <is>
          <t>Agro / Revenda</t>
        </is>
      </c>
      <c r="AG52" s="74" t="inlineStr">
        <is>
          <t>Agro / Revenda</t>
        </is>
      </c>
      <c r="AH52" s="74" t="inlineStr">
        <is>
          <t>Agro / Revenda</t>
        </is>
      </c>
      <c r="AI52" s="74" t="inlineStr">
        <is>
          <t>Recebíveis Albaugh, insumos agro</t>
        </is>
      </c>
      <c r="AJ52" s="74" t="b">
        <v>0</v>
      </c>
      <c r="AK52" s="74" t="inlineStr">
        <is>
          <t>MANTER_ASTERISCO</t>
        </is>
      </c>
      <c r="AL52" s="74" t="inlineStr">
        <is>
          <t>Cedente Albaugh, com tipo literal não isolado</t>
        </is>
      </c>
      <c r="AM52" s="74" t="inlineStr">
        <is>
          <t>auditoria documental</t>
        </is>
      </c>
      <c r="AN52" s="74" t="inlineStr">
        <is>
          <t>Não</t>
        </is>
      </c>
      <c r="AO52" s="74" t="inlineStr">
        <is>
          <t>auditoria documental</t>
        </is>
      </c>
      <c r="AP52" s="74" t="b">
        <v>0</v>
      </c>
      <c r="AQ52" s="74" t="inlineStr">
        <is>
          <t>Agro / Revenda</t>
        </is>
      </c>
      <c r="AR52" s="74" t="inlineStr">
        <is>
          <t>Agro / Revenda</t>
        </is>
      </c>
      <c r="AS52" s="74" t="b">
        <v>0</v>
      </c>
      <c r="AT52" s="74" t="inlineStr">
        <is>
          <t>N/D</t>
        </is>
      </c>
      <c r="AU52" s="74" t="inlineStr">
        <is>
          <t>N/D</t>
        </is>
      </c>
      <c r="AV52" s="74" t="inlineStr">
        <is>
          <t>20%–35%</t>
        </is>
      </c>
      <c r="AW52" s="74" t="b">
        <v>1</v>
      </c>
      <c r="AX52" s="74" t="inlineStr">
        <is>
          <t>acima do piso</t>
        </is>
      </c>
      <c r="AY52" s="74" t="inlineStr">
        <is>
          <t>sem benchmark confiável</t>
        </is>
      </c>
      <c r="AZ52" s="140" t="inlineStr">
        <is>
          <t>N/D</t>
        </is>
      </c>
      <c r="BA52" s="74" t="b">
        <v>0</v>
      </c>
      <c r="BB52" s="141" t="n">
        <v>0</v>
      </c>
      <c r="BC52" s="139" t="n">
        <v>1000</v>
      </c>
      <c r="BD52" s="74" t="inlineStr">
        <is>
          <t>R$ 1.000,00</t>
        </is>
      </c>
      <c r="BE52" s="74" t="inlineStr">
        <is>
          <t>valor nominal unitário (VNU)</t>
        </is>
      </c>
      <c r="BF52" s="74" t="inlineStr">
        <is>
          <t>N/D</t>
        </is>
      </c>
      <c r="BG52" s="74" t="inlineStr">
        <is>
          <t>04/12/2025</t>
        </is>
      </c>
      <c r="BH52" s="74" t="inlineStr">
        <is>
          <t>1053778</t>
        </is>
      </c>
      <c r="BI52" s="74" t="inlineStr">
        <is>
          <t>https://fnet.bmfbovespa.com.br/fnet/publico/downloadDocumento?id=1053778</t>
        </is>
      </c>
      <c r="BJ52" s="74" t="inlineStr">
        <is>
          <t>localizado documentalmente</t>
        </is>
      </c>
      <c r="BK52" s="74" t="b">
        <v>1</v>
      </c>
      <c r="BL52" s="74" t="inlineStr">
        <is>
          <t>Albaugh</t>
        </is>
      </c>
      <c r="BM52" s="74" t="inlineStr">
        <is>
          <t>cedente</t>
        </is>
      </c>
      <c r="BN52" s="74" t="inlineStr">
        <is>
          <t>N/D</t>
        </is>
      </c>
      <c r="BO52" s="74" t="inlineStr">
        <is>
          <t>Albaugh</t>
        </is>
      </c>
      <c r="BP52" s="74" t="inlineStr">
        <is>
          <t>N/D</t>
        </is>
      </c>
      <c r="BQ52" s="74" t="inlineStr">
        <is>
          <t>N/D</t>
        </is>
      </c>
      <c r="BR52" s="74" t="inlineStr">
        <is>
          <t>cedente: IMG_8705.JPG</t>
        </is>
      </c>
      <c r="BS52" s="74" t="inlineStr">
        <is>
          <t>manual_aplicado</t>
        </is>
      </c>
      <c r="BT52" s="74" t="inlineStr">
        <is>
          <t>OBS da foto: fundo continua sofrendo com inadimplência da carteira antiga.</t>
        </is>
      </c>
      <c r="BU52" s="74" t="inlineStr">
        <is>
          <t>1074880</t>
        </is>
      </c>
      <c r="BV52" s="74" t="inlineStr">
        <is>
          <t>2025-12-23</t>
        </is>
      </c>
      <c r="BW52" s="74" t="inlineStr">
        <is>
          <t>10; 34</t>
        </is>
      </c>
      <c r="BX52" s="74" t="inlineStr">
        <is>
          <t>revisto — mínimo júnior localizado</t>
        </is>
      </c>
      <c r="BY52" s="74" t="inlineStr">
        <is>
          <t>FundosNet/B3; documento 1074880; referência 2025-12-23; p. 10; 34</t>
        </is>
      </c>
      <c r="BZ52" s="74" t="inlineStr">
        <is>
          <t>Cotas subordinadas / PL, mínimo de 30,0%; estrutura com uma única classe residual.</t>
        </is>
      </c>
      <c r="CA52" s="74" t="inlineStr">
        <is>
          <t>originador; sacado/devedor; tipo de recebível</t>
        </is>
      </c>
      <c r="CB52" s="74" t="inlineStr">
        <is>
          <t>completo_para_folga</t>
        </is>
      </c>
    </row>
    <row r="53" ht="31.5" customHeight="1">
      <c r="A53" s="75" t="n">
        <v>49</v>
      </c>
      <c r="B53" s="142" t="n">
        <v>57270666000187</v>
      </c>
      <c r="C53" s="75" t="inlineStr">
        <is>
          <t>57.270.666/0001-87</t>
        </is>
      </c>
      <c r="D53" s="75" t="inlineStr">
        <is>
          <t>MOBILITAS FUNDO DE INVESTIMENTO EM DIREITOS CREDITÓRIOS - RESPONSABILIDADE LIMITADA</t>
        </is>
      </c>
      <c r="E53" s="75" t="inlineStr">
        <is>
          <t>MOBILITAS FIDC RL</t>
        </is>
      </c>
      <c r="F53" s="75" t="inlineStr">
        <is>
          <t>Carteira 101</t>
        </is>
      </c>
      <c r="G53" s="75" t="inlineStr">
        <is>
          <t>2026-08</t>
        </is>
      </c>
      <c r="H53" s="75" t="inlineStr">
        <is>
          <t>localizado</t>
        </is>
      </c>
      <c r="I53" s="143" t="n">
        <v>53539609.79</v>
      </c>
      <c r="J53" s="143" t="n">
        <v>53539609.78999893</v>
      </c>
      <c r="K53" s="143" t="n">
        <v>8539609.78999893</v>
      </c>
      <c r="L53" s="144" t="n">
        <v>0.1595007849981368</v>
      </c>
      <c r="M53" s="75" t="inlineStr">
        <is>
          <t>Calculado com classes reportadas e PL oficial reconciliado</t>
        </is>
      </c>
      <c r="N53" s="144" t="n">
        <v>0.1</v>
      </c>
      <c r="O53" s="144" t="inlineStr">
        <is>
          <t>N/D</t>
        </is>
      </c>
      <c r="P53" s="144" t="inlineStr">
        <is>
          <t>N/D</t>
        </is>
      </c>
      <c r="Q53" s="144" t="inlineStr">
        <is>
          <t>N/D</t>
        </is>
      </c>
      <c r="R53" s="144" t="inlineStr">
        <is>
          <t>N/D</t>
        </is>
      </c>
      <c r="S53" s="144" t="n">
        <v>0.1</v>
      </c>
      <c r="T53" s="75" t="inlineStr">
        <is>
          <t>N/D</t>
        </is>
      </c>
      <c r="U53" s="75" t="inlineStr">
        <is>
          <t>junior_pl</t>
        </is>
      </c>
      <c r="V53" s="75" t="inlineStr">
        <is>
          <t>direto no regulamento</t>
        </is>
      </c>
      <c r="W53" s="75" t="b">
        <v>0</v>
      </c>
      <c r="X53" s="75" t="inlineStr">
        <is>
          <t>Mínimo júnior isolado; a subordinação atual disponível agrega todas as classes subordinadas.</t>
        </is>
      </c>
      <c r="Y53" s="75" t="b">
        <v>0</v>
      </c>
      <c r="Z53" s="144" t="inlineStr">
        <is>
          <t>N/D</t>
        </is>
      </c>
      <c r="AA53" s="144" t="inlineStr">
        <is>
          <t>N/D</t>
        </is>
      </c>
      <c r="AB53" s="75" t="inlineStr">
        <is>
          <t>não medido</t>
        </is>
      </c>
      <c r="AC53" s="75" t="inlineStr">
        <is>
          <t>Agro, Indústria e Comércio</t>
        </is>
      </c>
      <c r="AD53" s="75" t="inlineStr">
        <is>
          <t>Recebíveis Comerciais</t>
        </is>
      </c>
      <c r="AE53" s="75" t="inlineStr">
        <is>
          <t>Agro / Revenda</t>
        </is>
      </c>
      <c r="AF53" s="75" t="inlineStr">
        <is>
          <t>Agro / Revenda</t>
        </is>
      </c>
      <c r="AG53" s="75" t="inlineStr">
        <is>
          <t>Agro / Revenda</t>
        </is>
      </c>
      <c r="AH53" s="75" t="inlineStr">
        <is>
          <t>Agro / Revenda</t>
        </is>
      </c>
      <c r="AI53" s="75" t="inlineStr">
        <is>
          <t>Recebíveis performados, Rede como adquirente</t>
        </is>
      </c>
      <c r="AJ53" s="75" t="b">
        <v>0</v>
      </c>
      <c r="AK53" s="75" t="inlineStr">
        <is>
          <t>PENDENTE_FONTE_PRIMARIA</t>
        </is>
      </c>
      <c r="AL53" s="75" t="inlineStr">
        <is>
          <t>Rede aparece como adquirente somente na planilha</t>
        </is>
      </c>
      <c r="AM53" s="75" t="inlineStr">
        <is>
          <t>IMG_8705</t>
        </is>
      </c>
      <c r="AN53" s="75" t="inlineStr">
        <is>
          <t>Não</t>
        </is>
      </c>
      <c r="AO53" s="75" t="inlineStr">
        <is>
          <t>IMG_8705</t>
        </is>
      </c>
      <c r="AP53" s="75" t="b">
        <v>0</v>
      </c>
      <c r="AQ53" s="75" t="inlineStr">
        <is>
          <t>Agro / Revenda</t>
        </is>
      </c>
      <c r="AR53" s="75" t="inlineStr">
        <is>
          <t>Agro / Revenda</t>
        </is>
      </c>
      <c r="AS53" s="75" t="b">
        <v>0</v>
      </c>
      <c r="AT53" s="75" t="inlineStr">
        <is>
          <t>N/D</t>
        </is>
      </c>
      <c r="AU53" s="75" t="inlineStr">
        <is>
          <t>N/D</t>
        </is>
      </c>
      <c r="AV53" s="75" t="inlineStr">
        <is>
          <t>15%–20%</t>
        </is>
      </c>
      <c r="AW53" s="75" t="b">
        <v>1</v>
      </c>
      <c r="AX53" s="75" t="inlineStr">
        <is>
          <t>incomparável</t>
        </is>
      </c>
      <c r="AY53" s="75" t="inlineStr">
        <is>
          <t>sem benchmark confiável</t>
        </is>
      </c>
      <c r="AZ53" s="144" t="inlineStr">
        <is>
          <t>N/D</t>
        </is>
      </c>
      <c r="BA53" s="75" t="b">
        <v>0</v>
      </c>
      <c r="BB53" s="145" t="n">
        <v>0</v>
      </c>
      <c r="BC53" s="143" t="n">
        <v>1000</v>
      </c>
      <c r="BD53" s="75" t="inlineStr">
        <is>
          <t>Cotas Seniores: R$ 1.000,00</t>
        </is>
      </c>
      <c r="BE53" s="75" t="inlineStr">
        <is>
          <t>preço/valor unitário de emissão</t>
        </is>
      </c>
      <c r="BF53" s="75" t="inlineStr">
        <is>
          <t>Cotas Seniores</t>
        </is>
      </c>
      <c r="BG53" s="75" t="inlineStr">
        <is>
          <t>31/10/2024</t>
        </is>
      </c>
      <c r="BH53" s="75" t="inlineStr">
        <is>
          <t>769275</t>
        </is>
      </c>
      <c r="BI53" s="75" t="inlineStr">
        <is>
          <t>https://fnet.bmfbovespa.com.br/fnet/publico/downloadDocumento?id=769275</t>
        </is>
      </c>
      <c r="BJ53" s="75" t="inlineStr">
        <is>
          <t>localizado documentalmente</t>
        </is>
      </c>
      <c r="BK53" s="75" t="b">
        <v>0</v>
      </c>
      <c r="BL53" s="75" t="inlineStr">
        <is>
          <t>N/D</t>
        </is>
      </c>
      <c r="BM53" s="75" t="inlineStr">
        <is>
          <t>N/D</t>
        </is>
      </c>
      <c r="BN53" s="75" t="inlineStr">
        <is>
          <t>N/D</t>
        </is>
      </c>
      <c r="BO53" s="75" t="inlineStr">
        <is>
          <t>N/D</t>
        </is>
      </c>
      <c r="BP53" s="75" t="inlineStr">
        <is>
          <t>N/D</t>
        </is>
      </c>
      <c r="BQ53" s="75" t="inlineStr">
        <is>
          <t>Direitos Creditórios performados; REDE como adquirente</t>
        </is>
      </c>
      <c r="BR53" s="75" t="inlineStr">
        <is>
          <t>tipo_recebivel: IMG_8705.JPG</t>
        </is>
      </c>
      <c r="BS53" s="75" t="inlineStr">
        <is>
          <t>sem_overlay</t>
        </is>
      </c>
      <c r="BT53" s="75" t="inlineStr">
        <is>
          <t>N/D</t>
        </is>
      </c>
      <c r="BU53" s="75" t="inlineStr">
        <is>
          <t>769277</t>
        </is>
      </c>
      <c r="BV53" s="75" t="inlineStr">
        <is>
          <t>2024-10-31</t>
        </is>
      </c>
      <c r="BW53" s="75" t="inlineStr">
        <is>
          <t>49</t>
        </is>
      </c>
      <c r="BX53" s="75" t="inlineStr">
        <is>
          <t>revisto — mínimo júnior localizado</t>
        </is>
      </c>
      <c r="BY53" s="75" t="inlineStr">
        <is>
          <t>FundosNet/B3; documento 769277; referência 2024-10-31; p. 49</t>
        </is>
      </c>
      <c r="BZ53" s="75" t="inlineStr">
        <is>
          <t>Cotas subordinadas júnior / PL, mínimo de 10,0%.</t>
        </is>
      </c>
      <c r="CA53" s="75" t="inlineStr">
        <is>
          <t>originador; cedente; sacado/devedor</t>
        </is>
      </c>
      <c r="CB53" s="75" t="inlineStr">
        <is>
          <t>estrutura_incomparavel</t>
        </is>
      </c>
    </row>
    <row r="54" ht="31.5" customHeight="1">
      <c r="A54" s="74" t="n">
        <v>50</v>
      </c>
      <c r="B54" s="138" t="n">
        <v>58288437000152</v>
      </c>
      <c r="C54" s="74" t="inlineStr">
        <is>
          <t>58.288.437/0001-52</t>
        </is>
      </c>
      <c r="D54" s="74" t="inlineStr">
        <is>
          <t>ALTOMAX FUNDO DE INVESTIMENTO EM DIREITOS CREDITÓRIOS SEGMENTO RECEBÍVEIS COMERCIAIS DE RESP LTDA</t>
        </is>
      </c>
      <c r="E54" s="74" t="inlineStr">
        <is>
          <t>ALTOMAX FIDC SEG RECEB COM LTD</t>
        </is>
      </c>
      <c r="F54" s="74" t="inlineStr">
        <is>
          <t>Carteira 101</t>
        </is>
      </c>
      <c r="G54" s="74" t="inlineStr">
        <is>
          <t>2026-08</t>
        </is>
      </c>
      <c r="H54" s="74" t="inlineStr">
        <is>
          <t>localizado</t>
        </is>
      </c>
      <c r="I54" s="139" t="n">
        <v>104165558.25</v>
      </c>
      <c r="J54" s="139" t="n">
        <v>104165558.24632</v>
      </c>
      <c r="K54" s="139" t="n">
        <v>63832007.39009536</v>
      </c>
      <c r="L54" s="140" t="n">
        <v>0.6127937915610927</v>
      </c>
      <c r="M54" s="74" t="inlineStr">
        <is>
          <t>Calculado com classes reportadas e PL oficial reconciliado</t>
        </is>
      </c>
      <c r="N54" s="140" t="n">
        <v>0.2</v>
      </c>
      <c r="O54" s="140" t="inlineStr">
        <is>
          <t>N/D</t>
        </is>
      </c>
      <c r="P54" s="140" t="inlineStr">
        <is>
          <t>N/D</t>
        </is>
      </c>
      <c r="Q54" s="140" t="inlineStr">
        <is>
          <t>N/D</t>
        </is>
      </c>
      <c r="R54" s="140" t="inlineStr">
        <is>
          <t>N/D</t>
        </is>
      </c>
      <c r="S54" s="140" t="n">
        <v>0.2</v>
      </c>
      <c r="T54" s="74" t="inlineStr">
        <is>
          <t>N/D</t>
        </is>
      </c>
      <c r="U54" s="74" t="inlineStr">
        <is>
          <t>junior_pl</t>
        </is>
      </c>
      <c r="V54" s="74" t="inlineStr">
        <is>
          <t>direto no regulamento</t>
        </is>
      </c>
      <c r="W54" s="74" t="b">
        <v>0</v>
      </c>
      <c r="X54" s="74" t="inlineStr">
        <is>
          <t>Mínimo júnior isolado; a subordinação atual disponível agrega todas as classes subordinadas.</t>
        </is>
      </c>
      <c r="Y54" s="74" t="b">
        <v>0</v>
      </c>
      <c r="Z54" s="140" t="inlineStr">
        <is>
          <t>N/D</t>
        </is>
      </c>
      <c r="AA54" s="140" t="inlineStr">
        <is>
          <t>N/D</t>
        </is>
      </c>
      <c r="AB54" s="74" t="inlineStr">
        <is>
          <t>não medido</t>
        </is>
      </c>
      <c r="AC54" s="74" t="inlineStr">
        <is>
          <t>Agro, Indústria e Comércio</t>
        </is>
      </c>
      <c r="AD54" s="74" t="inlineStr">
        <is>
          <t>Recebíveis Comerciais</t>
        </is>
      </c>
      <c r="AE54" s="74" t="inlineStr">
        <is>
          <t>Agro / Revenda</t>
        </is>
      </c>
      <c r="AF54" s="74" t="inlineStr">
        <is>
          <t>Agro / Revenda</t>
        </is>
      </c>
      <c r="AG54" s="74" t="inlineStr">
        <is>
          <t>Agro / Revenda</t>
        </is>
      </c>
      <c r="AH54" s="74" t="inlineStr">
        <is>
          <t>Risco Corporativo</t>
        </is>
      </c>
      <c r="AI54" s="74" t="inlineStr">
        <is>
          <t>Recebíveis comerciais Altomax / grupo econômico</t>
        </is>
      </c>
      <c r="AJ54" s="74" t="b">
        <v>1</v>
      </c>
      <c r="AK54" s="74" t="inlineStr">
        <is>
          <t>APLICAR_ALTA</t>
        </is>
      </c>
      <c r="AL54" s="74" t="inlineStr">
        <is>
          <t>Estrutura de recebíveis comerciais com cedente e devedores do grupo</t>
        </is>
      </c>
      <c r="AM54" s="74" t="inlineStr">
        <is>
          <t>regulamento e auditoria documental</t>
        </is>
      </c>
      <c r="AN54" s="74" t="inlineStr">
        <is>
          <t>Não</t>
        </is>
      </c>
      <c r="AO54" s="74" t="inlineStr">
        <is>
          <t>regulamento e auditoria documental</t>
        </is>
      </c>
      <c r="AP54" s="74" t="b">
        <v>0</v>
      </c>
      <c r="AQ54" s="74" t="inlineStr">
        <is>
          <t>Risco Corporativo</t>
        </is>
      </c>
      <c r="AR54" s="74" t="inlineStr">
        <is>
          <t>Agro / Revenda</t>
        </is>
      </c>
      <c r="AS54" s="74" t="b">
        <v>1</v>
      </c>
      <c r="AT54" s="74" t="inlineStr">
        <is>
          <t>regulamento e auditoria documental</t>
        </is>
      </c>
      <c r="AU54" s="74" t="inlineStr">
        <is>
          <t>Estrutura de recebíveis comerciais com cedente e devedores do grupo</t>
        </is>
      </c>
      <c r="AV54" s="74" t="inlineStr">
        <is>
          <t>≥ 60%</t>
        </is>
      </c>
      <c r="AW54" s="74" t="b">
        <v>1</v>
      </c>
      <c r="AX54" s="74" t="inlineStr">
        <is>
          <t>incomparável</t>
        </is>
      </c>
      <c r="AY54" s="74" t="inlineStr">
        <is>
          <t>sem benchmark confiável</t>
        </is>
      </c>
      <c r="AZ54" s="140" t="inlineStr">
        <is>
          <t>N/D</t>
        </is>
      </c>
      <c r="BA54" s="74" t="b">
        <v>0</v>
      </c>
      <c r="BB54" s="141" t="n">
        <v>0</v>
      </c>
      <c r="BC54" s="139" t="n">
        <v>1000</v>
      </c>
      <c r="BD54" s="74" t="inlineStr">
        <is>
          <t>cotas subordinadas júnior: R$ 1.000,00</t>
        </is>
      </c>
      <c r="BE54" s="74" t="inlineStr">
        <is>
          <t>valor nominal unitário (VNU)</t>
        </is>
      </c>
      <c r="BF54" s="74" t="inlineStr">
        <is>
          <t>cotas subordinadas júnior</t>
        </is>
      </c>
      <c r="BG54" s="74" t="inlineStr">
        <is>
          <t>2025-08-26</t>
        </is>
      </c>
      <c r="BH54" s="74" t="inlineStr">
        <is>
          <t>978340</t>
        </is>
      </c>
      <c r="BI54" s="74" t="inlineStr">
        <is>
          <t>https://fnet.bmfbovespa.com.br/fnet/publico/downloadDocumento?id=978340</t>
        </is>
      </c>
      <c r="BJ54" s="74" t="inlineStr">
        <is>
          <t>localizado documentalmente</t>
        </is>
      </c>
      <c r="BK54" s="74" t="b">
        <v>0</v>
      </c>
      <c r="BL54" s="74" t="inlineStr">
        <is>
          <t>N/D</t>
        </is>
      </c>
      <c r="BM54" s="74" t="inlineStr">
        <is>
          <t>N/D</t>
        </is>
      </c>
      <c r="BN54" s="74" t="inlineStr">
        <is>
          <t>N/D</t>
        </is>
      </c>
      <c r="BO54" s="74" t="inlineStr">
        <is>
          <t>a ALTOMAX COMÉRCIO DE MEIAS E COBERTORES, IMPORTAÇÃO E EXPORTAÇÃO LTDA, sociedade limitada, com sede na cidade de Foz do Iguaçu, estado do Paraná, na Av</t>
        </is>
      </c>
      <c r="BP54" s="74" t="inlineStr">
        <is>
          <t>os devedores dos Direitos Creditórios – Adicionais, cedidos ao Fundo pelos Cedentes Adicionais ou emitidos diretamente em face do Fundo, conforme aplicável, os quais serão pessoas fí sicas e jurídicas integrantes do Grupo Econômico da Cedente Altomax.</t>
        </is>
      </c>
      <c r="BQ54" s="74" t="inlineStr">
        <is>
          <t>N/D</t>
        </is>
      </c>
      <c r="BR54" s="74" t="inlineStr">
        <is>
          <t>cedente: https://fnet.bmfbovespa.com.br/fnet/publico/downloadDocumento?id=1240668 | sacado_devedor: https://fnet.bmfbovespa.com.br/fnet/publico/downloadDocumento?id=1240668</t>
        </is>
      </c>
      <c r="BS54" s="74" t="inlineStr">
        <is>
          <t>sem_overlay</t>
        </is>
      </c>
      <c r="BT54" s="74" t="inlineStr">
        <is>
          <t>N/D</t>
        </is>
      </c>
      <c r="BU54" s="74" t="inlineStr">
        <is>
          <t>1240668</t>
        </is>
      </c>
      <c r="BV54" s="74" t="inlineStr">
        <is>
          <t>2026-02-24</t>
        </is>
      </c>
      <c r="BW54" s="74" t="inlineStr">
        <is>
          <t>94</t>
        </is>
      </c>
      <c r="BX54" s="74" t="inlineStr">
        <is>
          <t>revisto — mínimo júnior localizado</t>
        </is>
      </c>
      <c r="BY54" s="74" t="inlineStr">
        <is>
          <t>FundosNet/B3; documento 1240668; referência 2026-02-24; p. 94</t>
        </is>
      </c>
      <c r="BZ54" s="74" t="inlineStr">
        <is>
          <t>Índice de Subordinação Mezanino: cotas júnior / PL, mínimo de 20,0%.</t>
        </is>
      </c>
      <c r="CA54" s="74" t="inlineStr">
        <is>
          <t>originador; tipo de recebível</t>
        </is>
      </c>
      <c r="CB54" s="74" t="inlineStr">
        <is>
          <t>estrutura_incomparavel</t>
        </is>
      </c>
    </row>
    <row r="55" ht="31.5" customHeight="1">
      <c r="A55" s="75" t="n">
        <v>51</v>
      </c>
      <c r="B55" s="142" t="n">
        <v>55476342000174</v>
      </c>
      <c r="C55" s="75" t="inlineStr">
        <is>
          <t>55.476.342/0001-74</t>
        </is>
      </c>
      <c r="D55" s="75" t="inlineStr">
        <is>
          <t>LAVORO AGRO II FIAGRO - DIREITOS CREDITÓRIOS - RESPONSABILIDADE LIMITADA</t>
        </is>
      </c>
      <c r="E55" s="75" t="inlineStr">
        <is>
          <t>LAVORO AGRO II FUNDO DE INVESTIMENTO EM DIREITOS C</t>
        </is>
      </c>
      <c r="F55" s="75" t="inlineStr">
        <is>
          <t>Carteira 101</t>
        </is>
      </c>
      <c r="G55" s="75" t="inlineStr">
        <is>
          <t>2026-08</t>
        </is>
      </c>
      <c r="H55" s="75" t="inlineStr">
        <is>
          <t>localizado</t>
        </is>
      </c>
      <c r="I55" s="143" t="inlineStr">
        <is>
          <t>N/D</t>
        </is>
      </c>
      <c r="J55" s="143" t="inlineStr">
        <is>
          <t>N/D</t>
        </is>
      </c>
      <c r="K55" s="143" t="inlineStr">
        <is>
          <t>N/D</t>
        </is>
      </c>
      <c r="L55" s="144" t="inlineStr">
        <is>
          <t>N/D</t>
        </is>
      </c>
      <c r="M55" s="75" t="inlineStr">
        <is>
          <t>PL oficial ausente em 2026-08</t>
        </is>
      </c>
      <c r="N55" s="144" t="n">
        <v>0.2</v>
      </c>
      <c r="O55" s="144" t="inlineStr">
        <is>
          <t>N/D</t>
        </is>
      </c>
      <c r="P55" s="144" t="inlineStr">
        <is>
          <t>N/D</t>
        </is>
      </c>
      <c r="Q55" s="144" t="n">
        <v>0.2</v>
      </c>
      <c r="R55" s="144" t="inlineStr">
        <is>
          <t>N/D</t>
        </is>
      </c>
      <c r="S55" s="144" t="n">
        <v>0.2</v>
      </c>
      <c r="T55" s="75" t="inlineStr">
        <is>
          <t>20,0%</t>
        </is>
      </c>
      <c r="U55" s="75" t="inlineStr">
        <is>
          <t>junior_pl</t>
        </is>
      </c>
      <c r="V55" s="75" t="inlineStr">
        <is>
          <t>direto no regulamento</t>
        </is>
      </c>
      <c r="W55" s="75" t="b">
        <v>1</v>
      </c>
      <c r="X55" s="75" t="inlineStr">
        <is>
          <t>Estrutura com uma única classe subordinada; métrica atual e piso usam o total subordinado sobre o PL.</t>
        </is>
      </c>
      <c r="Y55" s="75" t="b">
        <v>0</v>
      </c>
      <c r="Z55" s="144" t="inlineStr">
        <is>
          <t>N/D</t>
        </is>
      </c>
      <c r="AA55" s="144" t="inlineStr">
        <is>
          <t>N/D</t>
        </is>
      </c>
      <c r="AB55" s="75" t="inlineStr">
        <is>
          <t>não medido</t>
        </is>
      </c>
      <c r="AC55" s="75" t="inlineStr">
        <is>
          <t>Agro, Indústria e Comércio</t>
        </is>
      </c>
      <c r="AD55" s="75" t="inlineStr">
        <is>
          <t>Recebíveis Comerciais</t>
        </is>
      </c>
      <c r="AE55" s="75" t="inlineStr">
        <is>
          <t>Agro / Revenda</t>
        </is>
      </c>
      <c r="AF55" s="75" t="inlineStr">
        <is>
          <t>Agro / Revenda</t>
        </is>
      </c>
      <c r="AG55" s="75" t="inlineStr">
        <is>
          <t>Agro / Revenda</t>
        </is>
      </c>
      <c r="AH55" s="75" t="inlineStr">
        <is>
          <t>Agro / Revenda</t>
        </is>
      </c>
      <c r="AI55" s="75" t="inlineStr">
        <is>
          <t>Recebíveis do Grupo Lavoro</t>
        </is>
      </c>
      <c r="AJ55" s="75" t="b">
        <v>0</v>
      </c>
      <c r="AK55" s="75" t="inlineStr">
        <is>
          <t>MANTER_ALTA</t>
        </is>
      </c>
      <c r="AL55" s="75" t="inlineStr">
        <is>
          <t>Cedente integra a cadeia de insumos agro</t>
        </is>
      </c>
      <c r="AM55" s="75" t="inlineStr">
        <is>
          <t>auditoria documental</t>
        </is>
      </c>
      <c r="AN55" s="75" t="inlineStr">
        <is>
          <t>Não</t>
        </is>
      </c>
      <c r="AO55" s="75" t="inlineStr">
        <is>
          <t>auditoria documental</t>
        </is>
      </c>
      <c r="AP55" s="75" t="b">
        <v>0</v>
      </c>
      <c r="AQ55" s="75" t="inlineStr">
        <is>
          <t>Agro / Revenda</t>
        </is>
      </c>
      <c r="AR55" s="75" t="inlineStr">
        <is>
          <t>Agro / Revenda</t>
        </is>
      </c>
      <c r="AS55" s="75" t="b">
        <v>0</v>
      </c>
      <c r="AT55" s="75" t="inlineStr">
        <is>
          <t>N/D</t>
        </is>
      </c>
      <c r="AU55" s="75" t="inlineStr">
        <is>
          <t>N/D</t>
        </is>
      </c>
      <c r="AV55" s="75" t="inlineStr">
        <is>
          <t>N/D</t>
        </is>
      </c>
      <c r="AW55" s="75" t="b">
        <v>0</v>
      </c>
      <c r="AX55" s="75" t="inlineStr">
        <is>
          <t>N/D</t>
        </is>
      </c>
      <c r="AY55" s="75" t="inlineStr">
        <is>
          <t>sem benchmark confiável</t>
        </is>
      </c>
      <c r="AZ55" s="144" t="inlineStr">
        <is>
          <t>N/D</t>
        </is>
      </c>
      <c r="BA55" s="75" t="b">
        <v>0</v>
      </c>
      <c r="BB55" s="145" t="n">
        <v>0</v>
      </c>
      <c r="BC55" s="143" t="n">
        <v>1000</v>
      </c>
      <c r="BD55" s="75" t="inlineStr">
        <is>
          <t>R$1.000,00</t>
        </is>
      </c>
      <c r="BE55" s="75" t="inlineStr">
        <is>
          <t>preço/valor unitário de emissão</t>
        </is>
      </c>
      <c r="BF55" s="75" t="inlineStr">
        <is>
          <t>N/D</t>
        </is>
      </c>
      <c r="BG55" s="75" t="inlineStr">
        <is>
          <t>30/09/2025</t>
        </is>
      </c>
      <c r="BH55" s="75" t="inlineStr">
        <is>
          <t>1003104</t>
        </is>
      </c>
      <c r="BI55" s="75" t="inlineStr">
        <is>
          <t>https://fnet.bmfbovespa.com.br/fnet/publico/downloadDocumento?id=1003104</t>
        </is>
      </c>
      <c r="BJ55" s="75" t="inlineStr">
        <is>
          <t>localizado documentalmente</t>
        </is>
      </c>
      <c r="BK55" s="75" t="b">
        <v>1</v>
      </c>
      <c r="BL55" s="75" t="inlineStr">
        <is>
          <t>Lavoro</t>
        </is>
      </c>
      <c r="BM55" s="75" t="inlineStr">
        <is>
          <t>cedente</t>
        </is>
      </c>
      <c r="BN55" s="75" t="inlineStr">
        <is>
          <t>N/D</t>
        </is>
      </c>
      <c r="BO55" s="75" t="inlineStr">
        <is>
          <t>Lavoro</t>
        </is>
      </c>
      <c r="BP55" s="75" t="inlineStr">
        <is>
          <t>N/D</t>
        </is>
      </c>
      <c r="BQ55" s="75" t="inlineStr">
        <is>
          <t>N/D</t>
        </is>
      </c>
      <c r="BR55" s="75" t="inlineStr">
        <is>
          <t>cedente: IMG_8705.JPG</t>
        </is>
      </c>
      <c r="BS55" s="75" t="inlineStr">
        <is>
          <t>manual_aplicado</t>
        </is>
      </c>
      <c r="BT55" s="75" t="inlineStr">
        <is>
          <t>OBS da foto: em discussão para possível migração do FIDC para risco bilateral. Denominação cortada.</t>
        </is>
      </c>
      <c r="BU55" s="75" t="inlineStr">
        <is>
          <t>1003108</t>
        </is>
      </c>
      <c r="BV55" s="75" t="inlineStr">
        <is>
          <t>2025-09-30</t>
        </is>
      </c>
      <c r="BW55" s="75" t="inlineStr">
        <is>
          <t>107; 122</t>
        </is>
      </c>
      <c r="BX55" s="75" t="inlineStr">
        <is>
          <t>revisto — mínimo júnior localizado</t>
        </is>
      </c>
      <c r="BY55" s="75" t="inlineStr">
        <is>
          <t>FundosNet/B3; documento 1003108; referência 2025-09-30; p. 107; 122</t>
        </is>
      </c>
      <c r="BZ55" s="75" t="inlineStr">
        <is>
          <t>Cotas subordinadas / PL, mínimo de 20,0%; estrutura com uma única classe residual.</t>
        </is>
      </c>
      <c r="CA55" s="75" t="inlineStr">
        <is>
          <t>PL atual; Sub/PL atual; originador; sacado/devedor; tipo de recebível</t>
        </is>
      </c>
      <c r="CB55" s="75" t="inlineStr">
        <is>
          <t>sub_pl_atual_ausente</t>
        </is>
      </c>
    </row>
    <row r="56" ht="31.5" customHeight="1">
      <c r="A56" s="74" t="n">
        <v>52</v>
      </c>
      <c r="B56" s="138" t="n">
        <v>63679792000192</v>
      </c>
      <c r="C56" s="74" t="inlineStr">
        <is>
          <t>63.679.792/0001-92</t>
        </is>
      </c>
      <c r="D56" s="74" t="inlineStr">
        <is>
          <t>BLUE HEALTH FIDC RECEBÍVEIS COMERCIAIS DE RESPONSABILIDADE LIMITADA</t>
        </is>
      </c>
      <c r="E56" s="74" t="inlineStr">
        <is>
          <t>BLUE HEALTH FIDC RECEB LTDA</t>
        </is>
      </c>
      <c r="F56" s="74" t="inlineStr">
        <is>
          <t>Carteira 101</t>
        </is>
      </c>
      <c r="G56" s="74" t="inlineStr">
        <is>
          <t>2026-08</t>
        </is>
      </c>
      <c r="H56" s="74" t="inlineStr">
        <is>
          <t>localizado</t>
        </is>
      </c>
      <c r="I56" s="139" t="n">
        <v>144299476.38</v>
      </c>
      <c r="J56" s="139" t="n">
        <v>144299217.2649091</v>
      </c>
      <c r="K56" s="139" t="n">
        <v>29579891.99010846</v>
      </c>
      <c r="L56" s="140" t="n">
        <v>0.2049896003240678</v>
      </c>
      <c r="M56" s="74" t="inlineStr">
        <is>
          <t>Calculado com classes reportadas e PL oficial reconciliado</t>
        </is>
      </c>
      <c r="N56" s="140" t="n">
        <v>0.2</v>
      </c>
      <c r="O56" s="140" t="inlineStr">
        <is>
          <t>N/D</t>
        </is>
      </c>
      <c r="P56" s="140" t="inlineStr">
        <is>
          <t>N/D</t>
        </is>
      </c>
      <c r="Q56" s="140" t="inlineStr">
        <is>
          <t>N/D</t>
        </is>
      </c>
      <c r="R56" s="140" t="inlineStr">
        <is>
          <t>N/D</t>
        </is>
      </c>
      <c r="S56" s="140" t="n">
        <v>0.2</v>
      </c>
      <c r="T56" s="74" t="inlineStr">
        <is>
          <t>N/D</t>
        </is>
      </c>
      <c r="U56" s="74" t="inlineStr">
        <is>
          <t>junior_pl</t>
        </is>
      </c>
      <c r="V56" s="74" t="inlineStr">
        <is>
          <t>direto no regulamento</t>
        </is>
      </c>
      <c r="W56" s="74" t="b">
        <v>0</v>
      </c>
      <c r="X56" s="74" t="inlineStr">
        <is>
          <t>Mínimo júnior isolado; a subordinação atual disponível agrega todas as classes subordinadas.</t>
        </is>
      </c>
      <c r="Y56" s="74" t="b">
        <v>0</v>
      </c>
      <c r="Z56" s="140" t="inlineStr">
        <is>
          <t>N/D</t>
        </is>
      </c>
      <c r="AA56" s="140" t="inlineStr">
        <is>
          <t>N/D</t>
        </is>
      </c>
      <c r="AB56" s="74" t="inlineStr">
        <is>
          <t>não medido</t>
        </is>
      </c>
      <c r="AC56" s="74" t="inlineStr">
        <is>
          <t>Agro, Indústria e Comércio</t>
        </is>
      </c>
      <c r="AD56" s="74" t="inlineStr">
        <is>
          <t>Recebíveis Comerciais</t>
        </is>
      </c>
      <c r="AE56" s="74" t="inlineStr">
        <is>
          <t>Agro / Revenda</t>
        </is>
      </c>
      <c r="AF56" s="74" t="inlineStr">
        <is>
          <t>Agro / Revenda</t>
        </is>
      </c>
      <c r="AG56" s="74" t="inlineStr">
        <is>
          <t>Agro / Revenda</t>
        </is>
      </c>
      <c r="AH56" s="74" t="inlineStr">
        <is>
          <t>Risco Corporativo</t>
        </is>
      </c>
      <c r="AI56" s="74" t="inlineStr">
        <is>
          <t>Locação de equipamentos médicos</t>
        </is>
      </c>
      <c r="AJ56" s="74" t="b">
        <v>1</v>
      </c>
      <c r="AK56" s="74" t="inlineStr">
        <is>
          <t>APLICAR_ALTA</t>
        </is>
      </c>
      <c r="AL56" s="74" t="inlineStr">
        <is>
          <t>Direitos decorrem de contratos de locação de equipamentos</t>
        </is>
      </c>
      <c r="AM56" s="74" t="inlineStr">
        <is>
          <t>regulamento 1101558</t>
        </is>
      </c>
      <c r="AN56" s="74" t="inlineStr">
        <is>
          <t>Candidato</t>
        </is>
      </c>
      <c r="AO56" s="74" t="inlineStr">
        <is>
          <t>regulamento 1101558</t>
        </is>
      </c>
      <c r="AP56" s="74" t="inlineStr">
        <is>
          <t>N/D</t>
        </is>
      </c>
      <c r="AQ56" s="74" t="inlineStr">
        <is>
          <t>Risco Corporativo</t>
        </is>
      </c>
      <c r="AR56" s="74" t="inlineStr">
        <is>
          <t>Agro / Revenda</t>
        </is>
      </c>
      <c r="AS56" s="74" t="b">
        <v>1</v>
      </c>
      <c r="AT56" s="74" t="inlineStr">
        <is>
          <t>regulamento 1101558</t>
        </is>
      </c>
      <c r="AU56" s="74" t="inlineStr">
        <is>
          <t>Direitos decorrem de contratos de locação de equipamentos</t>
        </is>
      </c>
      <c r="AV56" s="74" t="inlineStr">
        <is>
          <t>20%–35%</t>
        </is>
      </c>
      <c r="AW56" s="74" t="b">
        <v>1</v>
      </c>
      <c r="AX56" s="74" t="inlineStr">
        <is>
          <t>incomparável</t>
        </is>
      </c>
      <c r="AY56" s="74" t="inlineStr">
        <is>
          <t>sem benchmark confiável</t>
        </is>
      </c>
      <c r="AZ56" s="140" t="inlineStr">
        <is>
          <t>N/D</t>
        </is>
      </c>
      <c r="BA56" s="74" t="b">
        <v>0</v>
      </c>
      <c r="BB56" s="141" t="n">
        <v>0</v>
      </c>
      <c r="BC56" s="139" t="n">
        <v>1000</v>
      </c>
      <c r="BD56" s="74" t="inlineStr">
        <is>
          <t>Cotas Seniores: R$ 1.000,00</t>
        </is>
      </c>
      <c r="BE56" s="74" t="inlineStr">
        <is>
          <t>preço/valor unitário de emissão</t>
        </is>
      </c>
      <c r="BF56" s="74" t="inlineStr">
        <is>
          <t>Cotas Seniores</t>
        </is>
      </c>
      <c r="BG56" s="74" t="inlineStr">
        <is>
          <t>18/12/2025</t>
        </is>
      </c>
      <c r="BH56" s="74" t="inlineStr">
        <is>
          <t>1066557</t>
        </is>
      </c>
      <c r="BI56" s="74" t="inlineStr">
        <is>
          <t>https://fnet.bmfbovespa.com.br/fnet/publico/downloadDocumento?id=1066557</t>
        </is>
      </c>
      <c r="BJ56" s="74" t="inlineStr">
        <is>
          <t>localizado documentalmente</t>
        </is>
      </c>
      <c r="BK56" s="74" t="b">
        <v>0</v>
      </c>
      <c r="BL56" s="74" t="inlineStr">
        <is>
          <t>Empresas do Conglomerado Blue Health</t>
        </is>
      </c>
      <c r="BM56" s="74" t="inlineStr">
        <is>
          <t>cedente</t>
        </is>
      </c>
      <c r="BN56" s="74" t="inlineStr">
        <is>
          <t>N/D</t>
        </is>
      </c>
      <c r="BO56" s="74" t="inlineStr">
        <is>
          <t>a (i) Ultra-Som Equipamentos Médicos Ltda., sociedade limitada com sede na Cidade de Ribeirão Preto, Estado de São Paulo, na Rua Paschoal Bardaro, nº 2.005, 1º andar, Jardim Botânico, CEP 14.021-655, inscrita no CNPJ/MF sob o nº 07.149.505/0001-61, com filial na Cidade de Feira de Santana, Estado da Bahia, na Estrada Velha de Humildes, nº 9.984, Sala “Blue”, Humildes, CEP 44.135 -000, inscrita no CNPJ/MF sob o nº 07.149.505/0003 -23; (ii) Brazil 3 Business Participações Ltda. , sociedade limitad</t>
        </is>
      </c>
      <c r="BP56" s="74" t="inlineStr">
        <is>
          <t>N/D</t>
        </is>
      </c>
      <c r="BQ56" s="74" t="inlineStr">
        <is>
          <t>os direitos creditórios, de titularidade dos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representados pelos Documentos Comprobatórios e pelos Documentos Adicionais, qu e atendam aos Critérios de Elegibilidade e as Condições de Cessão previstos neste Regulamento</t>
        </is>
      </c>
      <c r="BR56" s="74" t="inlineStr">
        <is>
          <t>cedente: https://fnet.bmfbovespa.com.br/fnet/publico/downloadDocumento?id=1101558 | tipo_recebivel: https://fnet.bmfbovespa.com.br/fnet/publico/downloadDocumento?id=1101558</t>
        </is>
      </c>
      <c r="BS56" s="74" t="inlineStr">
        <is>
          <t>manual_aplicado</t>
        </is>
      </c>
      <c r="BT56" s="74" t="inlineStr">
        <is>
          <t>OBS continua fora da foto depois da descrição legível.</t>
        </is>
      </c>
      <c r="BU56" s="74" t="inlineStr">
        <is>
          <t>1101558</t>
        </is>
      </c>
      <c r="BV56" s="74" t="inlineStr">
        <is>
          <t>2026-01-26</t>
        </is>
      </c>
      <c r="BW56" s="74" t="inlineStr">
        <is>
          <t>92</t>
        </is>
      </c>
      <c r="BX56" s="74" t="inlineStr">
        <is>
          <t>revisto — mínimo júnior localizado</t>
        </is>
      </c>
      <c r="BY56" s="74" t="inlineStr">
        <is>
          <t>FundosNet/B3; documento 1101558; referência 2026-01-26; p. 92</t>
        </is>
      </c>
      <c r="BZ56" s="74" t="inlineStr">
        <is>
          <t>Cotas júnior / PL, mínimo de 20,0%; 21,0% para amortização por excesso de cobertura.</t>
        </is>
      </c>
      <c r="CA56" s="74" t="inlineStr">
        <is>
          <t>originador; sacado/devedor</t>
        </is>
      </c>
      <c r="CB56" s="74" t="inlineStr">
        <is>
          <t>estrutura_incomparavel</t>
        </is>
      </c>
    </row>
    <row r="57" ht="31.5" customHeight="1">
      <c r="A57" s="75" t="n">
        <v>53</v>
      </c>
      <c r="B57" s="142" t="n">
        <v>42154687000160</v>
      </c>
      <c r="C57" s="75" t="inlineStr">
        <is>
          <t>42.154.687/0001-60</t>
        </is>
      </c>
      <c r="D57" s="75" t="inlineStr">
        <is>
          <t>MULTIPLIKE PLUS FUNDO DE INVESTIMENTO EM DIREITOS CREDITÓRIOS</t>
        </is>
      </c>
      <c r="E57" s="75" t="inlineStr">
        <is>
          <t>MULTIPLIKE PLUS FUNDO I D CRED</t>
        </is>
      </c>
      <c r="F57" s="75" t="inlineStr">
        <is>
          <t>Carteira 101</t>
        </is>
      </c>
      <c r="G57" s="75" t="inlineStr">
        <is>
          <t>2026-08</t>
        </is>
      </c>
      <c r="H57" s="75" t="inlineStr">
        <is>
          <t>localizado</t>
        </is>
      </c>
      <c r="I57" s="143" t="n">
        <v>2162550453.27</v>
      </c>
      <c r="J57" s="143" t="n">
        <v>2162550453.297652</v>
      </c>
      <c r="K57" s="143" t="n">
        <v>901552739.8241596</v>
      </c>
      <c r="L57" s="144" t="n">
        <v>0.4168932745411413</v>
      </c>
      <c r="M57" s="75" t="inlineStr">
        <is>
          <t>Calculado com classes reportadas e PL oficial reconciliado</t>
        </is>
      </c>
      <c r="N57" s="144" t="n">
        <v>0.2</v>
      </c>
      <c r="O57" s="144" t="inlineStr">
        <is>
          <t>N/D</t>
        </is>
      </c>
      <c r="P57" s="144" t="inlineStr">
        <is>
          <t>N/D</t>
        </is>
      </c>
      <c r="Q57" s="144" t="inlineStr">
        <is>
          <t>N/D</t>
        </is>
      </c>
      <c r="R57" s="144" t="inlineStr">
        <is>
          <t>N/D</t>
        </is>
      </c>
      <c r="S57" s="144" t="n">
        <v>0.2</v>
      </c>
      <c r="T57" s="75" t="inlineStr">
        <is>
          <t>N/D</t>
        </is>
      </c>
      <c r="U57" s="75" t="inlineStr">
        <is>
          <t>junior_pl</t>
        </is>
      </c>
      <c r="V57" s="75" t="inlineStr">
        <is>
          <t>direto no regulamento</t>
        </is>
      </c>
      <c r="W57" s="75" t="b">
        <v>0</v>
      </c>
      <c r="X57" s="75" t="inlineStr">
        <is>
          <t>Mínimo júnior isolado; a subordinação atual disponível agrega todas as classes subordinadas.</t>
        </is>
      </c>
      <c r="Y57" s="75" t="b">
        <v>0</v>
      </c>
      <c r="Z57" s="144" t="inlineStr">
        <is>
          <t>N/D</t>
        </is>
      </c>
      <c r="AA57" s="144" t="inlineStr">
        <is>
          <t>N/D</t>
        </is>
      </c>
      <c r="AB57" s="75" t="inlineStr">
        <is>
          <t>não medido</t>
        </is>
      </c>
      <c r="AC57" s="75" t="inlineStr">
        <is>
          <t>Financeiro</t>
        </is>
      </c>
      <c r="AD57" s="75" t="inlineStr">
        <is>
          <t>Multicarteira Financeiro</t>
        </is>
      </c>
      <c r="AE57" s="75" t="inlineStr">
        <is>
          <t>Financeiro</t>
        </is>
      </c>
      <c r="AF57" s="75" t="inlineStr">
        <is>
          <t>Financeiro</t>
        </is>
      </c>
      <c r="AG57" s="75" t="inlineStr">
        <is>
          <t>Financeiro</t>
        </is>
      </c>
      <c r="AH57" s="75" t="inlineStr">
        <is>
          <t>Financeiro</t>
        </is>
      </c>
      <c r="AI57" s="75" t="inlineStr">
        <is>
          <t>Multissetorial com predominância permitida de CCB</t>
        </is>
      </c>
      <c r="AJ57" s="75" t="b">
        <v>0</v>
      </c>
      <c r="AK57" s="75" t="inlineStr">
        <is>
          <t>MANTER_ASTERISCO</t>
        </is>
      </c>
      <c r="AL57" s="75" t="inlineStr">
        <is>
          <t>Regulamento admite vendas, serviços e CCB, que pode atingir 80%</t>
        </is>
      </c>
      <c r="AM57" s="75" t="inlineStr">
        <is>
          <t>regulamento 1223029, 100 páginas</t>
        </is>
      </c>
      <c r="AN57" s="75" t="inlineStr">
        <is>
          <t>Pendente</t>
        </is>
      </c>
      <c r="AO57" s="75" t="inlineStr">
        <is>
          <t>regulamento 1223029, 100 páginas</t>
        </is>
      </c>
      <c r="AP57" s="75" t="inlineStr">
        <is>
          <t>N/D</t>
        </is>
      </c>
      <c r="AQ57" s="75" t="inlineStr">
        <is>
          <t>Financeiro</t>
        </is>
      </c>
      <c r="AR57" s="75" t="inlineStr">
        <is>
          <t>Financeiro</t>
        </is>
      </c>
      <c r="AS57" s="75" t="b">
        <v>0</v>
      </c>
      <c r="AT57" s="75" t="inlineStr">
        <is>
          <t>N/D</t>
        </is>
      </c>
      <c r="AU57" s="75" t="inlineStr">
        <is>
          <t>N/D</t>
        </is>
      </c>
      <c r="AV57" s="75" t="inlineStr">
        <is>
          <t>35%–60%</t>
        </is>
      </c>
      <c r="AW57" s="75" t="b">
        <v>1</v>
      </c>
      <c r="AX57" s="75" t="inlineStr">
        <is>
          <t>incomparável</t>
        </is>
      </c>
      <c r="AY57" s="75" t="inlineStr">
        <is>
          <t>acima do mercado</t>
        </is>
      </c>
      <c r="AZ57" s="144" t="n">
        <v>0.1106994938446571</v>
      </c>
      <c r="BA57" s="75" t="b">
        <v>1</v>
      </c>
      <c r="BB57" s="145" t="n">
        <v>12</v>
      </c>
      <c r="BC57" s="143" t="n">
        <v>1000</v>
      </c>
      <c r="BD57" s="75" t="inlineStr">
        <is>
          <t>Cotas Subordinadas: R$ 1.000,00 | Cotas Subordinadas Júnior: R$ 1.000,00 | Cotas Subordinadas Mezanino: R$ 1.000,00</t>
        </is>
      </c>
      <c r="BE57" s="75" t="inlineStr">
        <is>
          <t>preço/valor unitário de emissão</t>
        </is>
      </c>
      <c r="BF57" s="75" t="inlineStr">
        <is>
          <t>Cotas Subordinadas | Cotas Subordinadas Júnior | Cotas Subordinadas Mezanino</t>
        </is>
      </c>
      <c r="BG57" s="75" t="inlineStr">
        <is>
          <t>2026-03-18</t>
        </is>
      </c>
      <c r="BH57" s="75" t="inlineStr">
        <is>
          <t>1140137</t>
        </is>
      </c>
      <c r="BI57" s="75" t="inlineStr">
        <is>
          <t>https://fnet.bmfbovespa.com.br/fnet/publico/downloadDocumento?id=1140137</t>
        </is>
      </c>
      <c r="BJ57" s="75" t="inlineStr">
        <is>
          <t>localizado documentalmente — múltiplos valores/classes</t>
        </is>
      </c>
      <c r="BK57" s="75" t="b">
        <v>1</v>
      </c>
      <c r="BL57" s="75" t="inlineStr">
        <is>
          <t>Multicedentes &amp; Multisacados</t>
        </is>
      </c>
      <c r="BM57" s="75" t="inlineStr">
        <is>
          <t>cedente</t>
        </is>
      </c>
      <c r="BN57" s="75" t="inlineStr">
        <is>
          <t>N/D</t>
        </is>
      </c>
      <c r="BO57" s="75" t="inlineStr">
        <is>
          <t>Multicedentes &amp; Multisacados</t>
        </is>
      </c>
      <c r="BP57" s="75" t="inlineStr">
        <is>
          <t>N/D</t>
        </is>
      </c>
      <c r="BQ57" s="75" t="inlineStr">
        <is>
          <t>FIDC MultiCedente / Multisacado</t>
        </is>
      </c>
      <c r="BR57" s="75" t="inlineStr">
        <is>
          <t>cedente: IMG_8705.JPG | tipo_recebivel: IMG_8705.JPG</t>
        </is>
      </c>
      <c r="BS57" s="75" t="inlineStr">
        <is>
          <t>manual_aplicado</t>
        </is>
      </c>
      <c r="BT57" s="75" t="inlineStr">
        <is>
          <t>Denominação cortada pela largura da coluna na foto.</t>
        </is>
      </c>
      <c r="BU57" s="75" t="inlineStr">
        <is>
          <t>1223029</t>
        </is>
      </c>
      <c r="BV57" s="75" t="inlineStr">
        <is>
          <t>2026-06-08</t>
        </is>
      </c>
      <c r="BW57" s="75" t="inlineStr">
        <is>
          <t>54</t>
        </is>
      </c>
      <c r="BX57" s="75" t="inlineStr">
        <is>
          <t>revisto — mínimo júnior calculado de cláusulas contratuais</t>
        </is>
      </c>
      <c r="BY57" s="75" t="inlineStr">
        <is>
          <t>FundosNet/B3; documento 1223029; referência 2026-06-08; p. 54</t>
        </is>
      </c>
      <c r="BZ57" s="75" t="inlineStr">
        <is>
          <t>Mínimo júnior calculado: subordinadas = 40,0% do PL e júnior = 50,0% das subordinadas.</t>
        </is>
      </c>
      <c r="CA57" s="75" t="inlineStr">
        <is>
          <t>originador; sacado/devedor</t>
        </is>
      </c>
      <c r="CB57" s="75" t="inlineStr">
        <is>
          <t>estrutura_incomparavel</t>
        </is>
      </c>
    </row>
    <row r="58" ht="31.5" customHeight="1">
      <c r="A58" s="74" t="n">
        <v>54</v>
      </c>
      <c r="B58" s="138" t="n">
        <v>48946335000123</v>
      </c>
      <c r="C58" s="74" t="inlineStr">
        <is>
          <t>48.946.335/0001-23</t>
        </is>
      </c>
      <c r="D58" s="74" t="inlineStr">
        <is>
          <t>NAGRO OIKOS FUNDO DE INVESTIMENTO NAS CADEIAS PRODUTIVAS DO AGRONEGÓCIO</t>
        </is>
      </c>
      <c r="E58" s="74" t="inlineStr">
        <is>
          <t>NAGRO OIKOS FIAGRO FUNDO DE INVESTIMENTO EM DIREI</t>
        </is>
      </c>
      <c r="F58" s="74" t="inlineStr">
        <is>
          <t>Carteira 101</t>
        </is>
      </c>
      <c r="G58" s="74" t="inlineStr">
        <is>
          <t>2026-08</t>
        </is>
      </c>
      <c r="H58" s="74" t="inlineStr">
        <is>
          <t>localizado</t>
        </is>
      </c>
      <c r="I58" s="139" t="inlineStr">
        <is>
          <t>N/D</t>
        </is>
      </c>
      <c r="J58" s="139" t="inlineStr">
        <is>
          <t>N/D</t>
        </is>
      </c>
      <c r="K58" s="139" t="inlineStr">
        <is>
          <t>N/D</t>
        </is>
      </c>
      <c r="L58" s="140" t="inlineStr">
        <is>
          <t>N/D</t>
        </is>
      </c>
      <c r="M58" s="74" t="inlineStr">
        <is>
          <t>PL oficial ausente em 2026-08</t>
        </is>
      </c>
      <c r="N58" s="140" t="n">
        <v>0.1</v>
      </c>
      <c r="O58" s="140" t="inlineStr">
        <is>
          <t>N/D</t>
        </is>
      </c>
      <c r="P58" s="140" t="inlineStr">
        <is>
          <t>N/D</t>
        </is>
      </c>
      <c r="Q58" s="140" t="inlineStr">
        <is>
          <t>N/D</t>
        </is>
      </c>
      <c r="R58" s="140" t="inlineStr">
        <is>
          <t>N/D</t>
        </is>
      </c>
      <c r="S58" s="140" t="n">
        <v>0.1</v>
      </c>
      <c r="T58" s="74" t="inlineStr">
        <is>
          <t>N/D</t>
        </is>
      </c>
      <c r="U58" s="74" t="inlineStr">
        <is>
          <t>junior_pl</t>
        </is>
      </c>
      <c r="V58" s="74" t="inlineStr">
        <is>
          <t>direto no regulamento</t>
        </is>
      </c>
      <c r="W58" s="74" t="b">
        <v>0</v>
      </c>
      <c r="X58" s="74" t="inlineStr">
        <is>
          <t>Mínimo júnior isolado; a subordinação atual disponível agrega todas as classes subordinadas.</t>
        </is>
      </c>
      <c r="Y58" s="74" t="b">
        <v>0</v>
      </c>
      <c r="Z58" s="140" t="inlineStr">
        <is>
          <t>N/D</t>
        </is>
      </c>
      <c r="AA58" s="140" t="inlineStr">
        <is>
          <t>N/D</t>
        </is>
      </c>
      <c r="AB58" s="74" t="inlineStr">
        <is>
          <t>não medido</t>
        </is>
      </c>
      <c r="AC58" s="74" t="inlineStr">
        <is>
          <t>Agro, Indústria e Comércio</t>
        </is>
      </c>
      <c r="AD58" s="74" t="inlineStr">
        <is>
          <t>Recebíveis Comerciais</t>
        </is>
      </c>
      <c r="AE58" s="74" t="inlineStr">
        <is>
          <t>Agro / Revenda</t>
        </is>
      </c>
      <c r="AF58" s="74" t="inlineStr">
        <is>
          <t>Agro / Revenda</t>
        </is>
      </c>
      <c r="AG58" s="74" t="inlineStr">
        <is>
          <t>Agro / Revenda</t>
        </is>
      </c>
      <c r="AH58" s="74" t="inlineStr">
        <is>
          <t>Agro / Revenda</t>
        </is>
      </c>
      <c r="AI58" s="74" t="inlineStr">
        <is>
          <t>Multicedente FIAGRO, lastro específico pendente</t>
        </is>
      </c>
      <c r="AJ58" s="74" t="b">
        <v>0</v>
      </c>
      <c r="AK58" s="74" t="inlineStr">
        <is>
          <t>PENDENTE_DOCUMENTAL</t>
        </is>
      </c>
      <c r="AL58" s="74" t="inlineStr">
        <is>
          <t>Tipo e devedor não localizados</t>
        </is>
      </c>
      <c r="AM58" s="74" t="inlineStr">
        <is>
          <t>IMG_8705 + regulamento 1000248</t>
        </is>
      </c>
      <c r="AN58" s="74" t="inlineStr">
        <is>
          <t>Pendente</t>
        </is>
      </c>
      <c r="AO58" s="74" t="inlineStr">
        <is>
          <t>IMG_8705 + regulamento 1000248</t>
        </is>
      </c>
      <c r="AP58" s="74" t="inlineStr">
        <is>
          <t>N/D</t>
        </is>
      </c>
      <c r="AQ58" s="74" t="inlineStr">
        <is>
          <t>Agro / Revenda</t>
        </is>
      </c>
      <c r="AR58" s="74" t="inlineStr">
        <is>
          <t>Agro / Revenda</t>
        </is>
      </c>
      <c r="AS58" s="74" t="b">
        <v>0</v>
      </c>
      <c r="AT58" s="74" t="inlineStr">
        <is>
          <t>N/D</t>
        </is>
      </c>
      <c r="AU58" s="74" t="inlineStr">
        <is>
          <t>N/D</t>
        </is>
      </c>
      <c r="AV58" s="74" t="inlineStr">
        <is>
          <t>N/D</t>
        </is>
      </c>
      <c r="AW58" s="74" t="b">
        <v>0</v>
      </c>
      <c r="AX58" s="74" t="inlineStr">
        <is>
          <t>N/D</t>
        </is>
      </c>
      <c r="AY58" s="74" t="inlineStr">
        <is>
          <t>sem benchmark confiável</t>
        </is>
      </c>
      <c r="AZ58" s="140" t="inlineStr">
        <is>
          <t>N/D</t>
        </is>
      </c>
      <c r="BA58" s="74" t="b">
        <v>0</v>
      </c>
      <c r="BB58" s="141" t="n">
        <v>0</v>
      </c>
      <c r="BC58" s="139" t="n">
        <v>1000</v>
      </c>
      <c r="BD58" s="74" t="inlineStr">
        <is>
          <t>Cotas Subordinadas Júnior: R$ 1.000,00 | Cotas Subordinadas mezanino: R$ 1.000,00</t>
        </is>
      </c>
      <c r="BE58" s="74" t="inlineStr">
        <is>
          <t>preço/valor unitário de emissão</t>
        </is>
      </c>
      <c r="BF58" s="74" t="inlineStr">
        <is>
          <t>Cotas Subordinadas Júnior | Cotas Subordinadas mezanino</t>
        </is>
      </c>
      <c r="BG58" s="74" t="inlineStr">
        <is>
          <t>29/09/2025</t>
        </is>
      </c>
      <c r="BH58" s="74" t="inlineStr">
        <is>
          <t>1000248</t>
        </is>
      </c>
      <c r="BI58" s="74" t="inlineStr">
        <is>
          <t>https://fnet.bmfbovespa.com.br/fnet/publico/downloadDocumento?id=1000248</t>
        </is>
      </c>
      <c r="BJ58" s="74" t="inlineStr">
        <is>
          <t>localizado documentalmente — múltiplos valores/classes</t>
        </is>
      </c>
      <c r="BK58" s="74" t="b">
        <v>1</v>
      </c>
      <c r="BL58" s="74" t="inlineStr">
        <is>
          <t>Multicedentes</t>
        </is>
      </c>
      <c r="BM58" s="74" t="inlineStr">
        <is>
          <t>cedente</t>
        </is>
      </c>
      <c r="BN58" s="74" t="inlineStr">
        <is>
          <t>N/D</t>
        </is>
      </c>
      <c r="BO58" s="74" t="inlineStr">
        <is>
          <t>Multicedentes</t>
        </is>
      </c>
      <c r="BP58" s="74" t="inlineStr">
        <is>
          <t>N/D</t>
        </is>
      </c>
      <c r="BQ58" s="74" t="inlineStr">
        <is>
          <t>N/D</t>
        </is>
      </c>
      <c r="BR58" s="74" t="inlineStr">
        <is>
          <t>cedente: IMG_8705.JPG</t>
        </is>
      </c>
      <c r="BS58" s="74" t="inlineStr">
        <is>
          <t>manual_aplicado</t>
        </is>
      </c>
      <c r="BT58" s="74" t="inlineStr">
        <is>
          <t>OBS da foto: análise NAGRO. Denominação cortada.</t>
        </is>
      </c>
      <c r="BU58" s="74" t="inlineStr">
        <is>
          <t>1000248</t>
        </is>
      </c>
      <c r="BV58" s="74" t="inlineStr">
        <is>
          <t>2025-09-29</t>
        </is>
      </c>
      <c r="BW58" s="74" t="inlineStr">
        <is>
          <t>57</t>
        </is>
      </c>
      <c r="BX58" s="74" t="inlineStr">
        <is>
          <t>revisto — mínimo júnior localizado</t>
        </is>
      </c>
      <c r="BY58" s="74" t="inlineStr">
        <is>
          <t>FundosNet/B3; documento 1000248; referência 2025-09-29; p. 57</t>
        </is>
      </c>
      <c r="BZ58" s="74" t="inlineStr">
        <is>
          <t>Cotas júnior A e B / PL, mínimo de 10,0%.</t>
        </is>
      </c>
      <c r="CA58" s="74" t="inlineStr">
        <is>
          <t>PL atual; Sub/PL atual; originador; sacado/devedor; tipo de recebível</t>
        </is>
      </c>
      <c r="CB58" s="74" t="inlineStr">
        <is>
          <t>sub_pl_atual_ausente</t>
        </is>
      </c>
    </row>
    <row r="59" ht="31.5" customHeight="1">
      <c r="A59" s="75" t="n">
        <v>55</v>
      </c>
      <c r="B59" s="142" t="n">
        <v>55374251000128</v>
      </c>
      <c r="C59" s="75" t="inlineStr">
        <is>
          <t>55.374.251/0001-28</t>
        </is>
      </c>
      <c r="D59" s="75" t="inlineStr">
        <is>
          <t>FUNDO DE INVESTIMENTO EM DIREITOS CREDITÓRIOS BLUE II SEGMENTO CRÉDITO CORPORATIVO DE RESP LTDA</t>
        </is>
      </c>
      <c r="E59" s="75" t="inlineStr">
        <is>
          <t>FUNDO DE INVESTIMENTO EM DIREITOS CREDITORIOS BLUE</t>
        </is>
      </c>
      <c r="F59" s="75" t="inlineStr">
        <is>
          <t>Carteira 101</t>
        </is>
      </c>
      <c r="G59" s="75" t="inlineStr">
        <is>
          <t>2026-08</t>
        </is>
      </c>
      <c r="H59" s="75" t="inlineStr">
        <is>
          <t>localizado</t>
        </is>
      </c>
      <c r="I59" s="143" t="n">
        <v>43677175.63</v>
      </c>
      <c r="J59" s="143" t="n">
        <v>0</v>
      </c>
      <c r="K59" s="143" t="n">
        <v>0</v>
      </c>
      <c r="L59" s="144" t="inlineStr">
        <is>
          <t>N/D</t>
        </is>
      </c>
      <c r="M59" s="75" t="inlineStr">
        <is>
          <t>N/D — classes de cotas reportadas sem PL positivo em 2026-08; razão não calculável</t>
        </is>
      </c>
      <c r="N59" s="144" t="n">
        <v>0.05</v>
      </c>
      <c r="O59" s="144" t="inlineStr">
        <is>
          <t>N/D</t>
        </is>
      </c>
      <c r="P59" s="144" t="inlineStr">
        <is>
          <t>N/D</t>
        </is>
      </c>
      <c r="Q59" s="144" t="inlineStr">
        <is>
          <t>N/D</t>
        </is>
      </c>
      <c r="R59" s="144" t="inlineStr">
        <is>
          <t>N/D</t>
        </is>
      </c>
      <c r="S59" s="144" t="n">
        <v>0.05</v>
      </c>
      <c r="T59" s="75" t="inlineStr">
        <is>
          <t>N/D</t>
        </is>
      </c>
      <c r="U59" s="75" t="inlineStr">
        <is>
          <t>junior_pl</t>
        </is>
      </c>
      <c r="V59" s="75" t="inlineStr">
        <is>
          <t>direto no regulamento</t>
        </is>
      </c>
      <c r="W59" s="75" t="b">
        <v>0</v>
      </c>
      <c r="X59" s="75" t="inlineStr">
        <is>
          <t>Mínimo júnior isolado; a subordinação atual disponível agrega todas as classes subordinadas.</t>
        </is>
      </c>
      <c r="Y59" s="75" t="b">
        <v>0</v>
      </c>
      <c r="Z59" s="144" t="inlineStr">
        <is>
          <t>N/D</t>
        </is>
      </c>
      <c r="AA59" s="144" t="inlineStr">
        <is>
          <t>N/D</t>
        </is>
      </c>
      <c r="AB59" s="75" t="inlineStr">
        <is>
          <t>não medido</t>
        </is>
      </c>
      <c r="AC59" s="75" t="inlineStr">
        <is>
          <t>Agro, Indústria e Comércio</t>
        </is>
      </c>
      <c r="AD59" s="75" t="inlineStr">
        <is>
          <t>Crédito Corporativo</t>
        </is>
      </c>
      <c r="AE59" s="75" t="inlineStr">
        <is>
          <t>Agro / Revenda</t>
        </is>
      </c>
      <c r="AF59" s="75" t="inlineStr">
        <is>
          <t>Agro / Revenda</t>
        </is>
      </c>
      <c r="AG59" s="75" t="inlineStr">
        <is>
          <t>Agro / Revenda</t>
        </is>
      </c>
      <c r="AH59" s="75" t="inlineStr">
        <is>
          <t>Agro / Revenda</t>
        </is>
      </c>
      <c r="AI59" s="75" t="inlineStr">
        <is>
          <t>Debênture / risco Azul</t>
        </is>
      </c>
      <c r="AJ59" s="75" t="b">
        <v>0</v>
      </c>
      <c r="AK59" s="75" t="inlineStr">
        <is>
          <t>PENDENTE_FONTE_PRIMARIA</t>
        </is>
      </c>
      <c r="AL59" s="75" t="inlineStr">
        <is>
          <t>Instrumento e risco constam somente na planilha</t>
        </is>
      </c>
      <c r="AM59" s="75" t="inlineStr">
        <is>
          <t>IMG_8705</t>
        </is>
      </c>
      <c r="AN59" s="75" t="inlineStr">
        <is>
          <t>Não</t>
        </is>
      </c>
      <c r="AO59" s="75" t="inlineStr">
        <is>
          <t>IMG_8705</t>
        </is>
      </c>
      <c r="AP59" s="75" t="b">
        <v>0</v>
      </c>
      <c r="AQ59" s="75" t="inlineStr">
        <is>
          <t>Agro / Revenda</t>
        </is>
      </c>
      <c r="AR59" s="75" t="inlineStr">
        <is>
          <t>Agro / Revenda</t>
        </is>
      </c>
      <c r="AS59" s="75" t="b">
        <v>0</v>
      </c>
      <c r="AT59" s="75" t="inlineStr">
        <is>
          <t>N/D</t>
        </is>
      </c>
      <c r="AU59" s="75" t="inlineStr">
        <is>
          <t>N/D</t>
        </is>
      </c>
      <c r="AV59" s="75" t="inlineStr">
        <is>
          <t>N/D</t>
        </is>
      </c>
      <c r="AW59" s="75" t="b">
        <v>0</v>
      </c>
      <c r="AX59" s="75" t="inlineStr">
        <is>
          <t>N/D</t>
        </is>
      </c>
      <c r="AY59" s="75" t="inlineStr">
        <is>
          <t>sem benchmark confiável</t>
        </is>
      </c>
      <c r="AZ59" s="144" t="inlineStr">
        <is>
          <t>N/D</t>
        </is>
      </c>
      <c r="BA59" s="75" t="b">
        <v>0</v>
      </c>
      <c r="BB59" s="145" t="n">
        <v>0</v>
      </c>
      <c r="BC59" s="143" t="n">
        <v>1000</v>
      </c>
      <c r="BD59" s="75" t="inlineStr">
        <is>
          <t>Cotas Seniores: R$1.000,00 | Cotas Subordinadas Júnior: R$ 1.000,00 | Cotas Subordinadas Mezanino: R$ 1.000,00</t>
        </is>
      </c>
      <c r="BE59" s="75" t="inlineStr">
        <is>
          <t>preço/valor unitário de emissão</t>
        </is>
      </c>
      <c r="BF59" s="75" t="inlineStr">
        <is>
          <t>Cotas Seniores | Cotas Subordinadas Júnior | Cotas Subordinadas Mezanino</t>
        </is>
      </c>
      <c r="BG59" s="75" t="inlineStr">
        <is>
          <t>25/06/2024</t>
        </is>
      </c>
      <c r="BH59" s="75" t="inlineStr">
        <is>
          <t>686750</t>
        </is>
      </c>
      <c r="BI59" s="75" t="inlineStr">
        <is>
          <t>https://fnet.bmfbovespa.com.br/fnet/publico/downloadDocumento?id=686750</t>
        </is>
      </c>
      <c r="BJ59" s="75" t="inlineStr">
        <is>
          <t>localizado documentalmente — múltiplos valores/classes</t>
        </is>
      </c>
      <c r="BK59" s="75" t="b">
        <v>1</v>
      </c>
      <c r="BL59" s="75" t="inlineStr">
        <is>
          <t>Azul</t>
        </is>
      </c>
      <c r="BM59" s="75" t="inlineStr">
        <is>
          <t>cedente</t>
        </is>
      </c>
      <c r="BN59" s="75" t="inlineStr">
        <is>
          <t>N/D</t>
        </is>
      </c>
      <c r="BO59" s="75" t="inlineStr">
        <is>
          <t>Azul</t>
        </is>
      </c>
      <c r="BP59" s="75" t="inlineStr">
        <is>
          <t>N/D</t>
        </is>
      </c>
      <c r="BQ59" s="75" t="inlineStr">
        <is>
          <t>Debênture</t>
        </is>
      </c>
      <c r="BR59" s="75" t="inlineStr">
        <is>
          <t>cedente: IMG_8705.JPG | tipo_recebivel: IMG_8705.JPG</t>
        </is>
      </c>
      <c r="BS59" s="75" t="inlineStr">
        <is>
          <t>manual_aplicado</t>
        </is>
      </c>
      <c r="BT59" s="75" t="inlineStr">
        <is>
          <t>OBS da foto: Book Special Sits; risco de repagamento Azul com 40% de subordinação.</t>
        </is>
      </c>
      <c r="BU59" s="75" t="inlineStr">
        <is>
          <t>686750</t>
        </is>
      </c>
      <c r="BV59" s="75" t="inlineStr">
        <is>
          <t>2024-06-25</t>
        </is>
      </c>
      <c r="BW59" s="75" t="inlineStr">
        <is>
          <t>61</t>
        </is>
      </c>
      <c r="BX59" s="75" t="inlineStr">
        <is>
          <t>revisto — mínimo júnior localizado</t>
        </is>
      </c>
      <c r="BY59" s="75" t="inlineStr">
        <is>
          <t>FundosNet/B3; documento 686750; referência 2024-06-25; p. 61</t>
        </is>
      </c>
      <c r="BZ59" s="75" t="inlineStr">
        <is>
          <t>Índice de Subordinação Mezanino II: cotas júnior / PL, mínimo de 5,0%.</t>
        </is>
      </c>
      <c r="CA59" s="75" t="inlineStr">
        <is>
          <t>Sub/PL atual; originador; sacado/devedor</t>
        </is>
      </c>
      <c r="CB59" s="75" t="inlineStr">
        <is>
          <t>sub_pl_atual_ausente</t>
        </is>
      </c>
    </row>
    <row r="60" ht="31.5" customHeight="1">
      <c r="A60" s="74" t="n">
        <v>56</v>
      </c>
      <c r="B60" s="138" t="n">
        <v>35868110000154</v>
      </c>
      <c r="C60" s="74" t="inlineStr">
        <is>
          <t>35.868.110/0001-54</t>
        </is>
      </c>
      <c r="D60" s="74" t="inlineStr">
        <is>
          <t>FUNDO DE INVESTIMENTO EM DIREITOS CREDITÓRIOS BV - CRÉDITO DE VEÍCULOS RESPONSABILIDADE LIMITADA</t>
        </is>
      </c>
      <c r="E60" s="74" t="inlineStr">
        <is>
          <t>FUNDO DE INVESTIMENTO EM DIREITOS CREDITORIOS BV</t>
        </is>
      </c>
      <c r="F60" s="74" t="inlineStr">
        <is>
          <t>Carteira 101</t>
        </is>
      </c>
      <c r="G60" s="74" t="inlineStr">
        <is>
          <t>2026-08</t>
        </is>
      </c>
      <c r="H60" s="74" t="inlineStr">
        <is>
          <t>localizado</t>
        </is>
      </c>
      <c r="I60" s="139" t="inlineStr">
        <is>
          <t>N/D</t>
        </is>
      </c>
      <c r="J60" s="139" t="inlineStr">
        <is>
          <t>N/D</t>
        </is>
      </c>
      <c r="K60" s="139" t="inlineStr">
        <is>
          <t>N/D</t>
        </is>
      </c>
      <c r="L60" s="140" t="inlineStr">
        <is>
          <t>N/D</t>
        </is>
      </c>
      <c r="M60" s="74" t="inlineStr">
        <is>
          <t>PL oficial ausente em 2026-08</t>
        </is>
      </c>
      <c r="N60" s="140" t="n">
        <v>0.25</v>
      </c>
      <c r="O60" s="140" t="inlineStr">
        <is>
          <t>N/D</t>
        </is>
      </c>
      <c r="P60" s="140" t="inlineStr">
        <is>
          <t>N/D</t>
        </is>
      </c>
      <c r="Q60" s="140" t="n">
        <v>0.25</v>
      </c>
      <c r="R60" s="140" t="inlineStr">
        <is>
          <t>N/D</t>
        </is>
      </c>
      <c r="S60" s="140" t="n">
        <v>0.25</v>
      </c>
      <c r="T60" s="74" t="inlineStr">
        <is>
          <t>25,0%</t>
        </is>
      </c>
      <c r="U60" s="74" t="inlineStr">
        <is>
          <t>junior_pl</t>
        </is>
      </c>
      <c r="V60" s="74" t="inlineStr">
        <is>
          <t>direto no regulamento</t>
        </is>
      </c>
      <c r="W60" s="74" t="b">
        <v>1</v>
      </c>
      <c r="X60" s="74" t="inlineStr">
        <is>
          <t>Estrutura com uma única classe subordinada; métrica atual e piso usam o total subordinado sobre o PL.</t>
        </is>
      </c>
      <c r="Y60" s="74" t="b">
        <v>0</v>
      </c>
      <c r="Z60" s="140" t="inlineStr">
        <is>
          <t>N/D</t>
        </is>
      </c>
      <c r="AA60" s="140" t="inlineStr">
        <is>
          <t>N/D</t>
        </is>
      </c>
      <c r="AB60" s="74" t="inlineStr">
        <is>
          <t>não medido</t>
        </is>
      </c>
      <c r="AC60" s="74" t="inlineStr">
        <is>
          <t>Financeiro</t>
        </is>
      </c>
      <c r="AD60" s="74" t="inlineStr">
        <is>
          <t>Financiamento de Veículos</t>
        </is>
      </c>
      <c r="AE60" s="74" t="inlineStr">
        <is>
          <t>Veículos</t>
        </is>
      </c>
      <c r="AF60" s="74" t="inlineStr">
        <is>
          <t>Veículos</t>
        </is>
      </c>
      <c r="AG60" s="74" t="inlineStr">
        <is>
          <t>N/D</t>
        </is>
      </c>
      <c r="AH60" s="74" t="inlineStr">
        <is>
          <t>N/D</t>
        </is>
      </c>
      <c r="AI60" s="74" t="inlineStr">
        <is>
          <t>N/D</t>
        </is>
      </c>
      <c r="AJ60" s="74" t="b">
        <v>0</v>
      </c>
      <c r="AK60" s="74" t="inlineStr">
        <is>
          <t>fora da revisão Financeiro/Agro</t>
        </is>
      </c>
      <c r="AL60" s="74" t="inlineStr">
        <is>
          <t>N/D</t>
        </is>
      </c>
      <c r="AM60" s="74" t="inlineStr">
        <is>
          <t>N/D</t>
        </is>
      </c>
      <c r="AN60" s="74" t="inlineStr">
        <is>
          <t>N/D</t>
        </is>
      </c>
      <c r="AO60" s="74" t="inlineStr">
        <is>
          <t>N/D</t>
        </is>
      </c>
      <c r="AP60" s="74" t="inlineStr">
        <is>
          <t>N/D</t>
        </is>
      </c>
      <c r="AQ60" s="74" t="inlineStr">
        <is>
          <t>N/D</t>
        </is>
      </c>
      <c r="AR60" s="74" t="inlineStr">
        <is>
          <t>N/D</t>
        </is>
      </c>
      <c r="AS60" s="74" t="b">
        <v>0</v>
      </c>
      <c r="AT60" s="74" t="inlineStr">
        <is>
          <t>N/D</t>
        </is>
      </c>
      <c r="AU60" s="74" t="inlineStr">
        <is>
          <t>N/D</t>
        </is>
      </c>
      <c r="AV60" s="74" t="inlineStr">
        <is>
          <t>N/D</t>
        </is>
      </c>
      <c r="AW60" s="74" t="b">
        <v>0</v>
      </c>
      <c r="AX60" s="74" t="inlineStr">
        <is>
          <t>N/D</t>
        </is>
      </c>
      <c r="AY60" s="74" t="inlineStr">
        <is>
          <t>sem benchmark confiável</t>
        </is>
      </c>
      <c r="AZ60" s="140" t="inlineStr">
        <is>
          <t>N/D</t>
        </is>
      </c>
      <c r="BA60" s="74" t="b">
        <v>1</v>
      </c>
      <c r="BB60" s="141" t="n">
        <v>7</v>
      </c>
      <c r="BC60" s="139" t="inlineStr">
        <is>
          <t>N/D</t>
        </is>
      </c>
      <c r="BD60" s="74" t="inlineStr">
        <is>
          <t>N/D</t>
        </is>
      </c>
      <c r="BE60" s="74" t="inlineStr">
        <is>
          <t>N/D</t>
        </is>
      </c>
      <c r="BF60" s="74" t="inlineStr">
        <is>
          <t>N/D</t>
        </is>
      </c>
      <c r="BG60" s="74" t="inlineStr">
        <is>
          <t>N/D</t>
        </is>
      </c>
      <c r="BH60" s="74" t="inlineStr">
        <is>
          <t>N/D</t>
        </is>
      </c>
      <c r="BI60" s="74" t="inlineStr">
        <is>
          <t>N/D</t>
        </is>
      </c>
      <c r="BJ60" s="74" t="inlineStr">
        <is>
          <t>não localizado</t>
        </is>
      </c>
      <c r="BK60" s="74" t="b">
        <v>0</v>
      </c>
      <c r="BL60" s="74" t="inlineStr">
        <is>
          <t>Banco Votorantim</t>
        </is>
      </c>
      <c r="BM60" s="74" t="inlineStr">
        <is>
          <t>cedente</t>
        </is>
      </c>
      <c r="BN60" s="74" t="inlineStr">
        <is>
          <t>N/D</t>
        </is>
      </c>
      <c r="BO60" s="74" t="inlineStr">
        <is>
          <t>Banco Votorantim</t>
        </is>
      </c>
      <c r="BP60" s="74" t="inlineStr">
        <is>
          <t>N/D</t>
        </is>
      </c>
      <c r="BQ60" s="74" t="inlineStr">
        <is>
          <t>Carteira Veículos com coobrigação BV</t>
        </is>
      </c>
      <c r="BR60" s="74" t="inlineStr">
        <is>
          <t>cedente: IMG_8705.JPG | tipo_recebivel: IMG_8705.JPG</t>
        </is>
      </c>
      <c r="BS60" s="74" t="inlineStr">
        <is>
          <t>manual_aplicado</t>
        </is>
      </c>
      <c r="BT60" s="74" t="inlineStr">
        <is>
          <t>N/D</t>
        </is>
      </c>
      <c r="BU60" s="74" t="inlineStr">
        <is>
          <t>792021</t>
        </is>
      </c>
      <c r="BV60" s="74" t="inlineStr">
        <is>
          <t>2024-11-27</t>
        </is>
      </c>
      <c r="BW60" s="74" t="inlineStr">
        <is>
          <t>48</t>
        </is>
      </c>
      <c r="BX60" s="74" t="inlineStr">
        <is>
          <t>revisto — mínimo júnior localizado</t>
        </is>
      </c>
      <c r="BY60" s="74" t="inlineStr">
        <is>
          <t>FundosNet/B3; documento 792021; referência 2024-11-27; p. 48</t>
        </is>
      </c>
      <c r="BZ60" s="74" t="inlineStr">
        <is>
          <t>Cotas subordinadas / PL, mínimo de 25,0%; estrutura com uma única classe residual.</t>
        </is>
      </c>
      <c r="CA60" s="74" t="inlineStr">
        <is>
          <t>PL atual; Sub/PL atual; preço unitário da cota; originador; sacado/devedor</t>
        </is>
      </c>
      <c r="CB60" s="74" t="inlineStr">
        <is>
          <t>sub_pl_atual_ausente</t>
        </is>
      </c>
    </row>
    <row r="61" ht="31.5" customHeight="1">
      <c r="A61" s="75" t="n">
        <v>57</v>
      </c>
      <c r="B61" s="142" t="n">
        <v>48953864000154</v>
      </c>
      <c r="C61" s="75" t="inlineStr">
        <is>
          <t>48.953.864/0001-54</t>
        </is>
      </c>
      <c r="D61" s="75" t="inlineStr">
        <is>
          <t>FUNDO DE INVESTIMENTO EM DIREITOS CREDITORIOS ASAAS II - RESPONSABILIDADE LIMITADA</t>
        </is>
      </c>
      <c r="E61" s="75" t="inlineStr">
        <is>
          <t>FUNDO INVESTIMENTO E D C A II</t>
        </is>
      </c>
      <c r="F61" s="75" t="inlineStr">
        <is>
          <t>Carteira 101</t>
        </is>
      </c>
      <c r="G61" s="75" t="inlineStr">
        <is>
          <t>2026-08</t>
        </is>
      </c>
      <c r="H61" s="75" t="inlineStr">
        <is>
          <t>localizado</t>
        </is>
      </c>
      <c r="I61" s="143" t="inlineStr">
        <is>
          <t>N/D</t>
        </is>
      </c>
      <c r="J61" s="143" t="inlineStr">
        <is>
          <t>N/D</t>
        </is>
      </c>
      <c r="K61" s="143" t="inlineStr">
        <is>
          <t>N/D</t>
        </is>
      </c>
      <c r="L61" s="144" t="inlineStr">
        <is>
          <t>N/D</t>
        </is>
      </c>
      <c r="M61" s="75" t="inlineStr">
        <is>
          <t>PL oficial ausente em 2026-08</t>
        </is>
      </c>
      <c r="N61" s="144" t="n">
        <v>0.15</v>
      </c>
      <c r="O61" s="144" t="inlineStr">
        <is>
          <t>N/D</t>
        </is>
      </c>
      <c r="P61" s="144" t="inlineStr">
        <is>
          <t>N/D</t>
        </is>
      </c>
      <c r="Q61" s="144" t="n">
        <v>0.15</v>
      </c>
      <c r="R61" s="144" t="inlineStr">
        <is>
          <t>N/D</t>
        </is>
      </c>
      <c r="S61" s="144" t="n">
        <v>0.15</v>
      </c>
      <c r="T61" s="75" t="inlineStr">
        <is>
          <t>15,0%</t>
        </is>
      </c>
      <c r="U61" s="75" t="inlineStr">
        <is>
          <t>junior_pl</t>
        </is>
      </c>
      <c r="V61" s="75" t="inlineStr">
        <is>
          <t>direto no regulamento</t>
        </is>
      </c>
      <c r="W61" s="75" t="b">
        <v>1</v>
      </c>
      <c r="X61" s="75" t="inlineStr">
        <is>
          <t>Estrutura com uma única classe subordinada; métrica atual e piso usam o total subordinado sobre o PL.</t>
        </is>
      </c>
      <c r="Y61" s="75" t="b">
        <v>0</v>
      </c>
      <c r="Z61" s="144" t="inlineStr">
        <is>
          <t>N/D</t>
        </is>
      </c>
      <c r="AA61" s="144" t="inlineStr">
        <is>
          <t>N/D</t>
        </is>
      </c>
      <c r="AB61" s="75" t="inlineStr">
        <is>
          <t>não medido</t>
        </is>
      </c>
      <c r="AC61" s="75" t="inlineStr">
        <is>
          <t>Agro, Indústria e Comércio</t>
        </is>
      </c>
      <c r="AD61" s="75" t="inlineStr">
        <is>
          <t>N/D</t>
        </is>
      </c>
      <c r="AE61" s="75" t="inlineStr">
        <is>
          <t>Agro / Revenda</t>
        </is>
      </c>
      <c r="AF61" s="75" t="inlineStr">
        <is>
          <t>Agro / Revenda</t>
        </is>
      </c>
      <c r="AG61" s="75" t="inlineStr">
        <is>
          <t>Agro / Revenda</t>
        </is>
      </c>
      <c r="AH61" s="75" t="inlineStr">
        <is>
          <t>Adquirência</t>
        </is>
      </c>
      <c r="AI61" s="75" t="inlineStr">
        <is>
          <t>URs de transações de pagamento Asaas</t>
        </is>
      </c>
      <c r="AJ61" s="75" t="b">
        <v>1</v>
      </c>
      <c r="AK61" s="75" t="inlineStr">
        <is>
          <t>APLICAR_ALTA</t>
        </is>
      </c>
      <c r="AL61" s="75" t="inlineStr">
        <is>
          <t>Cedente é subcredenciadora e lastro são URs registradas</t>
        </is>
      </c>
      <c r="AM61" s="75" t="inlineStr">
        <is>
          <t>regulamento 473796</t>
        </is>
      </c>
      <c r="AN61" s="75" t="inlineStr">
        <is>
          <t>Não</t>
        </is>
      </c>
      <c r="AO61" s="75" t="inlineStr">
        <is>
          <t>regulamento 473796</t>
        </is>
      </c>
      <c r="AP61" s="75" t="b">
        <v>0</v>
      </c>
      <c r="AQ61" s="75" t="inlineStr">
        <is>
          <t>Adquirência</t>
        </is>
      </c>
      <c r="AR61" s="75" t="inlineStr">
        <is>
          <t>Agro / Revenda</t>
        </is>
      </c>
      <c r="AS61" s="75" t="b">
        <v>1</v>
      </c>
      <c r="AT61" s="75" t="inlineStr">
        <is>
          <t>regulamento 473796</t>
        </is>
      </c>
      <c r="AU61" s="75" t="inlineStr">
        <is>
          <t>Cedente é subcredenciadora e lastro são URs registradas</t>
        </is>
      </c>
      <c r="AV61" s="75" t="inlineStr">
        <is>
          <t>N/D</t>
        </is>
      </c>
      <c r="AW61" s="75" t="b">
        <v>0</v>
      </c>
      <c r="AX61" s="75" t="inlineStr">
        <is>
          <t>N/D</t>
        </is>
      </c>
      <c r="AY61" s="75" t="inlineStr">
        <is>
          <t>sem benchmark confiável</t>
        </is>
      </c>
      <c r="AZ61" s="144" t="inlineStr">
        <is>
          <t>N/D</t>
        </is>
      </c>
      <c r="BA61" s="75" t="b">
        <v>0</v>
      </c>
      <c r="BB61" s="145" t="n">
        <v>0</v>
      </c>
      <c r="BC61" s="143" t="n">
        <v>1000</v>
      </c>
      <c r="BD61" s="75" t="inlineStr">
        <is>
          <t>Cotas Seniores: R$1.000,00</t>
        </is>
      </c>
      <c r="BE61" s="75" t="inlineStr">
        <is>
          <t>valor nominal unitário (VNU)</t>
        </is>
      </c>
      <c r="BF61" s="75" t="inlineStr">
        <is>
          <t>Cotas Seniores</t>
        </is>
      </c>
      <c r="BG61" s="75" t="inlineStr">
        <is>
          <t>01/06/2023</t>
        </is>
      </c>
      <c r="BH61" s="75" t="inlineStr">
        <is>
          <t>473796</t>
        </is>
      </c>
      <c r="BI61" s="75" t="inlineStr">
        <is>
          <t>https://fnet.bmfbovespa.com.br/fnet/publico/downloadDocumento?id=473796</t>
        </is>
      </c>
      <c r="BJ61" s="75" t="inlineStr">
        <is>
          <t>localizado documentalmente</t>
        </is>
      </c>
      <c r="BK61" s="75" t="b">
        <v>0</v>
      </c>
      <c r="BL61" s="75" t="inlineStr">
        <is>
          <t>Asaas IP</t>
        </is>
      </c>
      <c r="BM61" s="75" t="inlineStr">
        <is>
          <t>cedente</t>
        </is>
      </c>
      <c r="BN61" s="75" t="inlineStr">
        <is>
          <t>N/D</t>
        </is>
      </c>
      <c r="BO61" s="75" t="inlineStr">
        <is>
          <t>o ASAAS GESTÃO FINANCEIRA INSTITUIÇÃO DE PAGAMENTOS S.A. , sociedade anônima, com sede na Cidade de Joinville, Estado de Santa Catarina, na Avenida Rolf Wiest, n.º 277, Sala 820, Bom Retiro, CEP 89227-971, inscrita no CNPJ/MF sob o n.º 19.540.550/0001 -21, que atua como Subcredenciadora, nos termos dos Contratos de Credenciamento</t>
        </is>
      </c>
      <c r="BP61" s="75" t="inlineStr">
        <is>
          <t>N/D</t>
        </is>
      </c>
      <c r="BQ61" s="75" t="inlineStr">
        <is>
          <t>os direitos creditórios constituídos, conforme artigo 2º, inciso II da Resolução CMN 4.734, organizados e formalizados em formato de UR registrada no Sistema de Registro, que são, de tempos em tempos, detidos pela Cedente em face de cada Devedora, nos termos do respectivo Acordo de Parceria, decorrentes de Transações de Pagamento, presenciais e n ão presenciais, na modalidade “crédito”, realizadas pelos Usuários com a utilização de Instrumentos de Pagamentos para a aquisição de bens ou serviços junto aos Recebedores Credenciados, equivalentes ao valor atualizado remanescente das</t>
        </is>
      </c>
      <c r="BR61" s="75" t="inlineStr">
        <is>
          <t>cedente: https://fnet.bmfbovespa.com.br/fnet/publico/downloadDocumento?id=473796 | tipo_recebivel: https://fnet.bmfbovespa.com.br/fnet/publico/downloadDocumento?id=473796</t>
        </is>
      </c>
      <c r="BS61" s="75" t="inlineStr">
        <is>
          <t>manual_aplicado</t>
        </is>
      </c>
      <c r="BT61" s="75" t="inlineStr">
        <is>
          <t>N/D</t>
        </is>
      </c>
      <c r="BU61" s="75" t="inlineStr">
        <is>
          <t>774314</t>
        </is>
      </c>
      <c r="BV61" s="75" t="inlineStr">
        <is>
          <t>2024-11-05</t>
        </is>
      </c>
      <c r="BW61" s="75" t="inlineStr">
        <is>
          <t>33; 107</t>
        </is>
      </c>
      <c r="BX61" s="75" t="inlineStr">
        <is>
          <t>revisto — mínimo júnior localizado</t>
        </is>
      </c>
      <c r="BY61" s="75" t="inlineStr">
        <is>
          <t>FundosNet/B3; documento 774314; referência 2024-11-05; p. 33; 107</t>
        </is>
      </c>
      <c r="BZ61" s="75" t="inlineStr">
        <is>
          <t>Cotas subordinadas / PL, mínimo de 15,0%; estrutura com uma única classe residual.</t>
        </is>
      </c>
      <c r="CA61" s="75" t="inlineStr">
        <is>
          <t>PL atual; Sub/PL atual; originador; sacado/devedor</t>
        </is>
      </c>
      <c r="CB61" s="75" t="inlineStr">
        <is>
          <t>sub_pl_atual_ausente</t>
        </is>
      </c>
    </row>
    <row r="62" ht="31.5" customHeight="1">
      <c r="A62" s="74" t="n">
        <v>58</v>
      </c>
      <c r="B62" s="138" t="n">
        <v>65976848000104</v>
      </c>
      <c r="C62" s="74" t="inlineStr">
        <is>
          <t>65.976.848/0001-04</t>
        </is>
      </c>
      <c r="D62" s="74" t="inlineStr">
        <is>
          <t>FUNDO DE INVESTIMENTO EM DIREITOS CREDITÓRIOS AGIBANK II RESPONSABILIDADE LIMITADA</t>
        </is>
      </c>
      <c r="E62" s="74" t="inlineStr">
        <is>
          <t>FUNDO DE INVESTIMENTO EM DIREITOS CREDITORIOS AGIBANK II</t>
        </is>
      </c>
      <c r="F62" s="74" t="inlineStr">
        <is>
          <t>Carteira 101</t>
        </is>
      </c>
      <c r="G62" s="74" t="inlineStr">
        <is>
          <t>2026-08</t>
        </is>
      </c>
      <c r="H62" s="74" t="inlineStr">
        <is>
          <t>localizado</t>
        </is>
      </c>
      <c r="I62" s="139" t="n">
        <v>2966345679.42</v>
      </c>
      <c r="J62" s="139" t="n">
        <v>2966345679.421753</v>
      </c>
      <c r="K62" s="139" t="n">
        <v>452358687.3984627</v>
      </c>
      <c r="L62" s="140" t="n">
        <v>0.1524969562842423</v>
      </c>
      <c r="M62" s="74" t="inlineStr">
        <is>
          <t>Calculado com classes reportadas e PL oficial reconciliado</t>
        </is>
      </c>
      <c r="N62" s="140" t="n">
        <v>0.05</v>
      </c>
      <c r="O62" s="140" t="inlineStr">
        <is>
          <t>N/D</t>
        </is>
      </c>
      <c r="P62" s="140" t="inlineStr">
        <is>
          <t>N/D</t>
        </is>
      </c>
      <c r="Q62" s="140" t="inlineStr">
        <is>
          <t>N/D</t>
        </is>
      </c>
      <c r="R62" s="140" t="inlineStr">
        <is>
          <t>N/D</t>
        </is>
      </c>
      <c r="S62" s="140" t="n">
        <v>0.05</v>
      </c>
      <c r="T62" s="74" t="inlineStr">
        <is>
          <t>N/D</t>
        </is>
      </c>
      <c r="U62" s="74" t="inlineStr">
        <is>
          <t>junior_pl</t>
        </is>
      </c>
      <c r="V62" s="74" t="inlineStr">
        <is>
          <t>direto no regulamento</t>
        </is>
      </c>
      <c r="W62" s="74" t="b">
        <v>0</v>
      </c>
      <c r="X62" s="74" t="inlineStr">
        <is>
          <t>Mínimo júnior isolado; a subordinação atual disponível agrega todas as classes subordinadas.</t>
        </is>
      </c>
      <c r="Y62" s="74" t="b">
        <v>0</v>
      </c>
      <c r="Z62" s="140" t="inlineStr">
        <is>
          <t>N/D</t>
        </is>
      </c>
      <c r="AA62" s="140" t="inlineStr">
        <is>
          <t>N/D</t>
        </is>
      </c>
      <c r="AB62" s="74" t="inlineStr">
        <is>
          <t>não medido</t>
        </is>
      </c>
      <c r="AC62" s="74" t="inlineStr">
        <is>
          <t>Financeiro</t>
        </is>
      </c>
      <c r="AD62" s="74" t="inlineStr">
        <is>
          <t>Crédito Consignado</t>
        </is>
      </c>
      <c r="AE62" s="74" t="inlineStr">
        <is>
          <t>Consignado INSS</t>
        </is>
      </c>
      <c r="AF62" s="74" t="inlineStr">
        <is>
          <t>Consignado INSS</t>
        </is>
      </c>
      <c r="AG62" s="74" t="inlineStr">
        <is>
          <t>Consignado INSS e FGTS</t>
        </is>
      </c>
      <c r="AH62" s="74" t="inlineStr">
        <is>
          <t>Consignado INSS e FGTS</t>
        </is>
      </c>
      <c r="AI62" s="74" t="inlineStr">
        <is>
          <t>N/D</t>
        </is>
      </c>
      <c r="AJ62" s="74" t="b">
        <v>0</v>
      </c>
      <c r="AK62" s="74" t="inlineStr">
        <is>
          <t>fora da revisão Financeiro/Agro</t>
        </is>
      </c>
      <c r="AL62" s="74" t="inlineStr">
        <is>
          <t>N/D</t>
        </is>
      </c>
      <c r="AM62" s="74" t="inlineStr">
        <is>
          <t>N/D</t>
        </is>
      </c>
      <c r="AN62" s="74" t="inlineStr">
        <is>
          <t>N/D</t>
        </is>
      </c>
      <c r="AO62" s="74" t="inlineStr">
        <is>
          <t>N/D</t>
        </is>
      </c>
      <c r="AP62" s="74" t="inlineStr">
        <is>
          <t>N/D</t>
        </is>
      </c>
      <c r="AQ62" s="74" t="inlineStr">
        <is>
          <t>Consignado INSS e FGTS</t>
        </is>
      </c>
      <c r="AR62" s="74" t="inlineStr">
        <is>
          <t>Consignado INSS e FGTS</t>
        </is>
      </c>
      <c r="AS62" s="74" t="b">
        <v>0</v>
      </c>
      <c r="AT62" s="74" t="inlineStr">
        <is>
          <t>N/D</t>
        </is>
      </c>
      <c r="AU62" s="74" t="inlineStr">
        <is>
          <t>N/D</t>
        </is>
      </c>
      <c r="AV62" s="74" t="inlineStr">
        <is>
          <t>15%–20%</t>
        </is>
      </c>
      <c r="AW62" s="74" t="b">
        <v>1</v>
      </c>
      <c r="AX62" s="74" t="inlineStr">
        <is>
          <t>incomparável</t>
        </is>
      </c>
      <c r="AY62" s="74" t="inlineStr">
        <is>
          <t>em linha com o mercado</t>
        </is>
      </c>
      <c r="AZ62" s="140" t="n">
        <v>-0.007392925679423734</v>
      </c>
      <c r="BA62" s="74" t="b">
        <v>1</v>
      </c>
      <c r="BB62" s="141" t="n">
        <v>5</v>
      </c>
      <c r="BC62" s="139" t="n">
        <v>1000</v>
      </c>
      <c r="BD62" s="74" t="inlineStr">
        <is>
          <t>R$ 1.000,00</t>
        </is>
      </c>
      <c r="BE62" s="74" t="inlineStr">
        <is>
          <t>preço/valor unitário de emissão</t>
        </is>
      </c>
      <c r="BF62" s="74" t="inlineStr">
        <is>
          <t>N/D</t>
        </is>
      </c>
      <c r="BG62" s="74" t="inlineStr">
        <is>
          <t>22/06/2026</t>
        </is>
      </c>
      <c r="BH62" s="74" t="inlineStr">
        <is>
          <t>1239452</t>
        </is>
      </c>
      <c r="BI62" s="74" t="inlineStr">
        <is>
          <t>https://fnet.bmfbovespa.com.br/fnet/publico/downloadDocumento?id=1239452</t>
        </is>
      </c>
      <c r="BJ62" s="74" t="inlineStr">
        <is>
          <t>localizado documentalmente</t>
        </is>
      </c>
      <c r="BK62" s="74" t="b">
        <v>1</v>
      </c>
      <c r="BL62" s="74" t="inlineStr">
        <is>
          <t>N/D</t>
        </is>
      </c>
      <c r="BM62" s="74" t="inlineStr">
        <is>
          <t>N/D</t>
        </is>
      </c>
      <c r="BN62" s="74" t="inlineStr">
        <is>
          <t>N/D</t>
        </is>
      </c>
      <c r="BO62" s="74" t="inlineStr">
        <is>
          <t>N/D</t>
        </is>
      </c>
      <c r="BP62" s="74" t="inlineStr">
        <is>
          <t>N/D</t>
        </is>
      </c>
      <c r="BQ62" s="74" t="inlineStr">
        <is>
          <t>N/D</t>
        </is>
      </c>
      <c r="BR62" s="74" t="inlineStr">
        <is>
          <t>N/D</t>
        </is>
      </c>
      <c r="BS62" s="74" t="inlineStr">
        <is>
          <t>sem_overlay</t>
        </is>
      </c>
      <c r="BT62" s="74" t="inlineStr">
        <is>
          <t>N/D</t>
        </is>
      </c>
      <c r="BU62" s="74" t="inlineStr">
        <is>
          <t>1239452</t>
        </is>
      </c>
      <c r="BV62" s="74" t="inlineStr">
        <is>
          <t>2026-06-22</t>
        </is>
      </c>
      <c r="BW62" s="74" t="inlineStr">
        <is>
          <t>35</t>
        </is>
      </c>
      <c r="BX62" s="74" t="inlineStr">
        <is>
          <t>revisto — mínimo júnior localizado</t>
        </is>
      </c>
      <c r="BY62" s="74" t="inlineStr">
        <is>
          <t>FundosNet/B3; documento 1239452; referência 2026-06-22; p. 35</t>
        </is>
      </c>
      <c r="BZ62" s="74" t="inlineStr">
        <is>
          <t>Índice de Subordinação Mezanino: cotas júnior / PL, mínimo de 5,0%.</t>
        </is>
      </c>
      <c r="CA62" s="74" t="inlineStr">
        <is>
          <t>originador; cedente; sacado/devedor; tipo de recebível</t>
        </is>
      </c>
      <c r="CB62" s="74" t="inlineStr">
        <is>
          <t>estrutura_incomparavel</t>
        </is>
      </c>
    </row>
    <row r="63" ht="31.5" customHeight="1">
      <c r="A63" s="75" t="n">
        <v>59</v>
      </c>
      <c r="B63" s="142" t="n">
        <v>50536324000117</v>
      </c>
      <c r="C63" s="75" t="inlineStr">
        <is>
          <t>50.536.324/0001-17</t>
        </is>
      </c>
      <c r="D63" s="75" t="inlineStr">
        <is>
          <t>MAQNELSON FUNDO DE INVESTIMENTO EM DIREITOS CREDITÓRIOS - RESPONSABILIDADE LIMITADA</t>
        </is>
      </c>
      <c r="E63" s="75" t="inlineStr">
        <is>
          <t>MAQNELSON FUNDO DE INVESTIMENTO EM DIREITOS CREDIT</t>
        </is>
      </c>
      <c r="F63" s="75" t="inlineStr">
        <is>
          <t>Carteira 101</t>
        </is>
      </c>
      <c r="G63" s="75" t="inlineStr">
        <is>
          <t>2026-08</t>
        </is>
      </c>
      <c r="H63" s="75" t="inlineStr">
        <is>
          <t>localizado</t>
        </is>
      </c>
      <c r="I63" s="143" t="n">
        <v>102687730.15</v>
      </c>
      <c r="J63" s="143" t="n">
        <v>102687730.1426409</v>
      </c>
      <c r="K63" s="143" t="n">
        <v>50531560.08019644</v>
      </c>
      <c r="L63" s="144" t="n">
        <v>0.4920895612979564</v>
      </c>
      <c r="M63" s="75" t="inlineStr">
        <is>
          <t>Calculado com classes reportadas e PL oficial reconciliado</t>
        </is>
      </c>
      <c r="N63" s="144" t="n">
        <v>0.5</v>
      </c>
      <c r="O63" s="144" t="inlineStr">
        <is>
          <t>N/D</t>
        </is>
      </c>
      <c r="P63" s="144" t="inlineStr">
        <is>
          <t>N/D</t>
        </is>
      </c>
      <c r="Q63" s="144" t="n">
        <v>0.5</v>
      </c>
      <c r="R63" s="144" t="inlineStr">
        <is>
          <t>N/D</t>
        </is>
      </c>
      <c r="S63" s="144" t="n">
        <v>0.5</v>
      </c>
      <c r="T63" s="75" t="inlineStr">
        <is>
          <t>50,0%</t>
        </is>
      </c>
      <c r="U63" s="75" t="inlineStr">
        <is>
          <t>junior_pl</t>
        </is>
      </c>
      <c r="V63" s="75" t="inlineStr">
        <is>
          <t>direto no regulamento</t>
        </is>
      </c>
      <c r="W63" s="75" t="b">
        <v>1</v>
      </c>
      <c r="X63" s="75" t="inlineStr">
        <is>
          <t>Estrutura com uma única classe subordinada; métrica atual e piso usam o total subordinado sobre o PL.</t>
        </is>
      </c>
      <c r="Y63" s="75" t="b">
        <v>0</v>
      </c>
      <c r="Z63" s="144" t="n">
        <v>-0.007910438702043554</v>
      </c>
      <c r="AA63" s="144" t="n">
        <v>-0.01582087740408711</v>
      </c>
      <c r="AB63" s="75" t="inlineStr">
        <is>
          <t>abaixo do mínimo</t>
        </is>
      </c>
      <c r="AC63" s="75" t="inlineStr">
        <is>
          <t>Agro, Indústria e Comércio</t>
        </is>
      </c>
      <c r="AD63" s="75" t="inlineStr">
        <is>
          <t>Recebíveis Comerciais</t>
        </is>
      </c>
      <c r="AE63" s="75" t="inlineStr">
        <is>
          <t>Agro / Revenda</t>
        </is>
      </c>
      <c r="AF63" s="75" t="inlineStr">
        <is>
          <t>Agro / Revenda</t>
        </is>
      </c>
      <c r="AG63" s="75" t="inlineStr">
        <is>
          <t>Agro / Revenda</t>
        </is>
      </c>
      <c r="AH63" s="75" t="inlineStr">
        <is>
          <t>Agro / Revenda</t>
        </is>
      </c>
      <c r="AI63" s="75" t="inlineStr">
        <is>
          <t>Venda a prazo de máquinas e implementos Maqnelson</t>
        </is>
      </c>
      <c r="AJ63" s="75" t="b">
        <v>0</v>
      </c>
      <c r="AK63" s="75" t="inlineStr">
        <is>
          <t>MANTER_ALTA</t>
        </is>
      </c>
      <c r="AL63" s="75" t="inlineStr">
        <is>
          <t>Recebíveis performados de venda de bens na cadeia agro</t>
        </is>
      </c>
      <c r="AM63" s="75" t="inlineStr">
        <is>
          <t>regulamento 918862</t>
        </is>
      </c>
      <c r="AN63" s="75" t="inlineStr">
        <is>
          <t>Não</t>
        </is>
      </c>
      <c r="AO63" s="75" t="inlineStr">
        <is>
          <t>regulamento 918862</t>
        </is>
      </c>
      <c r="AP63" s="75" t="b">
        <v>0</v>
      </c>
      <c r="AQ63" s="75" t="inlineStr">
        <is>
          <t>Agro / Revenda</t>
        </is>
      </c>
      <c r="AR63" s="75" t="inlineStr">
        <is>
          <t>Agro / Revenda</t>
        </is>
      </c>
      <c r="AS63" s="75" t="b">
        <v>0</v>
      </c>
      <c r="AT63" s="75" t="inlineStr">
        <is>
          <t>N/D</t>
        </is>
      </c>
      <c r="AU63" s="75" t="inlineStr">
        <is>
          <t>N/D</t>
        </is>
      </c>
      <c r="AV63" s="75" t="inlineStr">
        <is>
          <t>35%–60%</t>
        </is>
      </c>
      <c r="AW63" s="75" t="b">
        <v>1</v>
      </c>
      <c r="AX63" s="75" t="inlineStr">
        <is>
          <t>abaixo do piso</t>
        </is>
      </c>
      <c r="AY63" s="75" t="inlineStr">
        <is>
          <t>sem benchmark confiável</t>
        </is>
      </c>
      <c r="AZ63" s="144" t="inlineStr">
        <is>
          <t>N/D</t>
        </is>
      </c>
      <c r="BA63" s="75" t="b">
        <v>0</v>
      </c>
      <c r="BB63" s="145" t="n">
        <v>0</v>
      </c>
      <c r="BC63" s="143" t="n">
        <v>1000</v>
      </c>
      <c r="BD63" s="75" t="inlineStr">
        <is>
          <t>R$ 1.000,00</t>
        </is>
      </c>
      <c r="BE63" s="75" t="inlineStr">
        <is>
          <t>preço/valor unitário de emissão</t>
        </is>
      </c>
      <c r="BF63" s="75" t="inlineStr">
        <is>
          <t>N/D</t>
        </is>
      </c>
      <c r="BG63" s="75" t="inlineStr">
        <is>
          <t>09/10/2024</t>
        </is>
      </c>
      <c r="BH63" s="75" t="inlineStr">
        <is>
          <t>756476</t>
        </is>
      </c>
      <c r="BI63" s="75" t="inlineStr">
        <is>
          <t>https://fnet.bmfbovespa.com.br/fnet/publico/downloadDocumento?id=756476</t>
        </is>
      </c>
      <c r="BJ63" s="75" t="inlineStr">
        <is>
          <t>localizado documentalmente</t>
        </is>
      </c>
      <c r="BK63" s="75" t="b">
        <v>1</v>
      </c>
      <c r="BL63" s="75" t="inlineStr">
        <is>
          <t>Maqnelson</t>
        </is>
      </c>
      <c r="BM63" s="75" t="inlineStr">
        <is>
          <t>cedente</t>
        </is>
      </c>
      <c r="BN63" s="75" t="inlineStr">
        <is>
          <t>N/D</t>
        </is>
      </c>
      <c r="BO63" s="75" t="inlineStr">
        <is>
          <t>Maqnelson</t>
        </is>
      </c>
      <c r="BP63" s="75" t="inlineStr">
        <is>
          <t>N/D</t>
        </is>
      </c>
      <c r="BQ63" s="75" t="inlineStr">
        <is>
          <t>os direitos creditórios performados originados da venda a prazo de Bens, representados pelos Documentos Comprobatórios, conforme o caso, detidas pelas Cedentes contra as Devedoras</t>
        </is>
      </c>
      <c r="BR63" s="75" t="inlineStr">
        <is>
          <t>cedente: IMG_8706.JPG | tipo_recebivel: https://fnet.bmfbovespa.com.br/fnet/publico/downloadDocumento?id=918862</t>
        </is>
      </c>
      <c r="BS63" s="75" t="inlineStr">
        <is>
          <t>manual_aplicado</t>
        </is>
      </c>
      <c r="BT63" s="75" t="inlineStr">
        <is>
          <t>OBS legível: houve desenquadramento da subordinação e haverá amortização de parcela da cota para reenquadramento; final cortado. Denominação cortada.</t>
        </is>
      </c>
      <c r="BU63" s="75" t="inlineStr">
        <is>
          <t>918862</t>
        </is>
      </c>
      <c r="BV63" s="75" t="inlineStr">
        <is>
          <t>2025-06-04</t>
        </is>
      </c>
      <c r="BW63" s="75" t="inlineStr">
        <is>
          <t>111</t>
        </is>
      </c>
      <c r="BX63" s="75" t="inlineStr">
        <is>
          <t>revisto — mínimo júnior localizado</t>
        </is>
      </c>
      <c r="BY63" s="75" t="inlineStr">
        <is>
          <t>FundosNet/B3; documento 918862; referência 2025-06-04; p. 111</t>
        </is>
      </c>
      <c r="BZ63" s="75" t="inlineStr">
        <is>
          <t>Cotas subordinadas / PL, mínimo de 50,0%; estrutura com uma única classe residual.</t>
        </is>
      </c>
      <c r="CA63" s="75" t="inlineStr">
        <is>
          <t>originador; sacado/devedor</t>
        </is>
      </c>
      <c r="CB63" s="75" t="inlineStr">
        <is>
          <t>completo_para_folga</t>
        </is>
      </c>
    </row>
    <row r="64" ht="31.5" customHeight="1">
      <c r="A64" s="74" t="n">
        <v>60</v>
      </c>
      <c r="B64" s="138" t="n">
        <v>57816252000100</v>
      </c>
      <c r="C64" s="74" t="inlineStr">
        <is>
          <t>57.816.252/0001-00</t>
        </is>
      </c>
      <c r="D64" s="74" t="inlineStr">
        <is>
          <t>NATURA PAY FUNDO DE INVESTIMENTO EM DIREITOS CREDITÓRIOS CRÉDITO PESSOAL SOCIAL E IS RESP LTDA</t>
        </is>
      </c>
      <c r="E64" s="74" t="inlineStr">
        <is>
          <t>NATURA PAY FUNDO DE INVESTIMENTO EM DIREITOS CREDI</t>
        </is>
      </c>
      <c r="F64" s="74" t="inlineStr">
        <is>
          <t>Carteira 101</t>
        </is>
      </c>
      <c r="G64" s="74" t="inlineStr">
        <is>
          <t>2026-08</t>
        </is>
      </c>
      <c r="H64" s="74" t="inlineStr">
        <is>
          <t>localizado</t>
        </is>
      </c>
      <c r="I64" s="139" t="n">
        <v>1050671609.46</v>
      </c>
      <c r="J64" s="139" t="n">
        <v>1050671609.453919</v>
      </c>
      <c r="K64" s="139" t="n">
        <v>309034313.8999171</v>
      </c>
      <c r="L64" s="140" t="n">
        <v>0.2941302602235035</v>
      </c>
      <c r="M64" s="74" t="inlineStr">
        <is>
          <t>Calculado com classes reportadas e PL oficial reconciliado</t>
        </is>
      </c>
      <c r="N64" s="140" t="n">
        <v>0.2526</v>
      </c>
      <c r="O64" s="140" t="inlineStr">
        <is>
          <t>N/D</t>
        </is>
      </c>
      <c r="P64" s="140" t="inlineStr">
        <is>
          <t>N/D</t>
        </is>
      </c>
      <c r="Q64" s="140" t="n">
        <v>0.2526</v>
      </c>
      <c r="R64" s="140" t="inlineStr">
        <is>
          <t>N/D</t>
        </is>
      </c>
      <c r="S64" s="140" t="n">
        <v>0.2526</v>
      </c>
      <c r="T64" s="74" t="inlineStr">
        <is>
          <t>25,26%</t>
        </is>
      </c>
      <c r="U64" s="74" t="inlineStr">
        <is>
          <t>junior_pl</t>
        </is>
      </c>
      <c r="V64" s="74" t="inlineStr">
        <is>
          <t>direto no regulamento</t>
        </is>
      </c>
      <c r="W64" s="74" t="b">
        <v>1</v>
      </c>
      <c r="X64" s="74" t="inlineStr">
        <is>
          <t>Estrutura com uma única classe subordinada; métrica atual e piso usam o total subordinado sobre o PL.</t>
        </is>
      </c>
      <c r="Y64" s="74" t="b">
        <v>0</v>
      </c>
      <c r="Z64" s="140" t="n">
        <v>0.04153026022350353</v>
      </c>
      <c r="AA64" s="140" t="n">
        <v>0.05556631017327205</v>
      </c>
      <c r="AB64" s="74" t="inlineStr">
        <is>
          <t>acima do mínimo</t>
        </is>
      </c>
      <c r="AC64" s="74" t="inlineStr">
        <is>
          <t>Financeiro</t>
        </is>
      </c>
      <c r="AD64" s="74" t="inlineStr">
        <is>
          <t>Crédito Pessoal</t>
        </is>
      </c>
      <c r="AE64" s="74" t="inlineStr">
        <is>
          <t>Financeiro</t>
        </is>
      </c>
      <c r="AF64" s="74" t="inlineStr">
        <is>
          <t>Financeiro</t>
        </is>
      </c>
      <c r="AG64" s="74" t="inlineStr">
        <is>
          <t>Financeiro</t>
        </is>
      </c>
      <c r="AH64" s="74" t="inlineStr">
        <is>
          <t>Financeiro</t>
        </is>
      </c>
      <c r="AI64" s="74" t="inlineStr">
        <is>
          <t>Financiamento a consultoras Natura, CCBs</t>
        </is>
      </c>
      <c r="AJ64" s="74" t="b">
        <v>0</v>
      </c>
      <c r="AK64" s="74" t="inlineStr">
        <is>
          <t>MANTER_ALTA</t>
        </is>
      </c>
      <c r="AL64" s="74" t="inlineStr">
        <is>
          <t>Financiamentos da Natura SCD formalizados em CCB</t>
        </is>
      </c>
      <c r="AM64" s="74" t="inlineStr">
        <is>
          <t>regulamento 1182394</t>
        </is>
      </c>
      <c r="AN64" s="74" t="inlineStr">
        <is>
          <t>Não</t>
        </is>
      </c>
      <c r="AO64" s="74" t="inlineStr">
        <is>
          <t>regulamento 1182394</t>
        </is>
      </c>
      <c r="AP64" s="74" t="b">
        <v>0</v>
      </c>
      <c r="AQ64" s="74" t="inlineStr">
        <is>
          <t>Financeiro</t>
        </is>
      </c>
      <c r="AR64" s="74" t="inlineStr">
        <is>
          <t>Financeiro</t>
        </is>
      </c>
      <c r="AS64" s="74" t="b">
        <v>0</v>
      </c>
      <c r="AT64" s="74" t="inlineStr">
        <is>
          <t>N/D</t>
        </is>
      </c>
      <c r="AU64" s="74" t="inlineStr">
        <is>
          <t>N/D</t>
        </is>
      </c>
      <c r="AV64" s="74" t="inlineStr">
        <is>
          <t>20%–35%</t>
        </is>
      </c>
      <c r="AW64" s="74" t="b">
        <v>1</v>
      </c>
      <c r="AX64" s="74" t="inlineStr">
        <is>
          <t>acima do piso</t>
        </is>
      </c>
      <c r="AY64" s="74" t="inlineStr">
        <is>
          <t>em linha com o mercado</t>
        </is>
      </c>
      <c r="AZ64" s="140" t="n">
        <v>-0.01206352047298065</v>
      </c>
      <c r="BA64" s="74" t="b">
        <v>1</v>
      </c>
      <c r="BB64" s="141" t="n">
        <v>12</v>
      </c>
      <c r="BC64" s="139" t="n">
        <v>1000</v>
      </c>
      <c r="BD64" s="74" t="inlineStr">
        <is>
          <t>Cotas Seniores: R$ 1.000,00</t>
        </is>
      </c>
      <c r="BE64" s="74" t="inlineStr">
        <is>
          <t>preço/valor unitário de emissão</t>
        </is>
      </c>
      <c r="BF64" s="74" t="inlineStr">
        <is>
          <t>Cotas Seniores</t>
        </is>
      </c>
      <c r="BG64" s="74" t="inlineStr">
        <is>
          <t>30/03/2026 18:00</t>
        </is>
      </c>
      <c r="BH64" s="74" t="inlineStr">
        <is>
          <t>1150911</t>
        </is>
      </c>
      <c r="BI64" s="74" t="inlineStr">
        <is>
          <t>https://fnet.bmfbovespa.com.br/fnet/publico/downloadDocumento?id=1150911</t>
        </is>
      </c>
      <c r="BJ64" s="74" t="inlineStr">
        <is>
          <t>localizado documentalmente</t>
        </is>
      </c>
      <c r="BK64" s="74" t="b">
        <v>0</v>
      </c>
      <c r="BL64" s="74" t="inlineStr">
        <is>
          <t>Natura &amp;CO Pay Sociedade de Crédito Direto S.A.</t>
        </is>
      </c>
      <c r="BM64" s="74" t="inlineStr">
        <is>
          <t>cedente</t>
        </is>
      </c>
      <c r="BN64" s="74" t="inlineStr">
        <is>
          <t>N/D</t>
        </is>
      </c>
      <c r="BO64" s="74" t="inlineStr">
        <is>
          <t>Natura &amp;CO Pay Sociedade de Crédito Direto S.A.</t>
        </is>
      </c>
      <c r="BP64" s="74" t="inlineStr">
        <is>
          <t>N/D</t>
        </is>
      </c>
      <c r="BQ64" s="74" t="inlineStr">
        <is>
          <t>os recebíveis alienados pela Endossante à Classe, originados no âmbito de operações de financiamentos concedidos pela Natura SCD às Devedoras, mediante a emissão de CCB em favor da Natura SCD</t>
        </is>
      </c>
      <c r="BR64" s="74" t="inlineStr">
        <is>
          <t>cedente: IMG_8706.JPG | tipo_recebivel: https://fnet.bmfbovespa.com.br/fnet/publico/downloadDocumento?id=1182394</t>
        </is>
      </c>
      <c r="BS64" s="74" t="inlineStr">
        <is>
          <t>manual_aplicado</t>
        </is>
      </c>
      <c r="BT64" s="74" t="inlineStr">
        <is>
          <t>Coluna adicional da foto: Duplicatas. Denominação cortada.</t>
        </is>
      </c>
      <c r="BU64" s="74" t="inlineStr">
        <is>
          <t>1182394</t>
        </is>
      </c>
      <c r="BV64" s="74" t="inlineStr">
        <is>
          <t>2026-05-07</t>
        </is>
      </c>
      <c r="BW64" s="74" t="inlineStr">
        <is>
          <t>28; 68</t>
        </is>
      </c>
      <c r="BX64" s="74" t="inlineStr">
        <is>
          <t>revisto — mínimo júnior localizado</t>
        </is>
      </c>
      <c r="BY64" s="74" t="inlineStr">
        <is>
          <t>FundosNet/B3; documento 1182394; referência 2026-05-07; p. 28; 68</t>
        </is>
      </c>
      <c r="BZ64" s="74" t="inlineStr">
        <is>
          <t>Cotas subordinadas / PL, mínimo de 25,26%; estrutura com uma única classe residual.</t>
        </is>
      </c>
      <c r="CA64" s="74" t="inlineStr">
        <is>
          <t>originador; sacado/devedor</t>
        </is>
      </c>
      <c r="CB64" s="74" t="inlineStr">
        <is>
          <t>completo_para_folga</t>
        </is>
      </c>
    </row>
    <row r="65" ht="31.5" customHeight="1">
      <c r="A65" s="75" t="n">
        <v>61</v>
      </c>
      <c r="B65" s="142" t="n">
        <v>50473039000102</v>
      </c>
      <c r="C65" s="75" t="inlineStr">
        <is>
          <t>50.473.039/0001-02</t>
        </is>
      </c>
      <c r="D65" s="75" t="inlineStr">
        <is>
          <t>SELLER FIDC SEGMENTO MEIOS DE PAGAMENTO DE RESPONSABILIDADE LIMITADA</t>
        </is>
      </c>
      <c r="E65" s="75" t="inlineStr">
        <is>
          <t>SELLER FUNDO DE INVESTIMENTO EM DIREITOS CREDITORIOS</t>
        </is>
      </c>
      <c r="F65" s="75" t="inlineStr">
        <is>
          <t>Carteira 101</t>
        </is>
      </c>
      <c r="G65" s="75" t="inlineStr">
        <is>
          <t>2026-08</t>
        </is>
      </c>
      <c r="H65" s="75" t="inlineStr">
        <is>
          <t>localizado</t>
        </is>
      </c>
      <c r="I65" s="143" t="n">
        <v>2641955191.86</v>
      </c>
      <c r="J65" s="143" t="n">
        <v>2641955191.85639</v>
      </c>
      <c r="K65" s="143" t="n">
        <v>922876101.2415354</v>
      </c>
      <c r="L65" s="144" t="n">
        <v>0.3493155766172584</v>
      </c>
      <c r="M65" s="75" t="inlineStr">
        <is>
          <t>Calculado com classes reportadas e PL oficial reconciliado</t>
        </is>
      </c>
      <c r="N65" s="144" t="n">
        <v>0.1</v>
      </c>
      <c r="O65" s="144" t="inlineStr">
        <is>
          <t>N/D</t>
        </is>
      </c>
      <c r="P65" s="144" t="inlineStr">
        <is>
          <t>N/D</t>
        </is>
      </c>
      <c r="Q65" s="144" t="inlineStr">
        <is>
          <t>N/D</t>
        </is>
      </c>
      <c r="R65" s="144" t="inlineStr">
        <is>
          <t>N/D</t>
        </is>
      </c>
      <c r="S65" s="144" t="n">
        <v>0.1</v>
      </c>
      <c r="T65" s="75" t="inlineStr">
        <is>
          <t>N/D</t>
        </is>
      </c>
      <c r="U65" s="75" t="inlineStr">
        <is>
          <t>junior_pl</t>
        </is>
      </c>
      <c r="V65" s="75" t="inlineStr">
        <is>
          <t>direto no regulamento</t>
        </is>
      </c>
      <c r="W65" s="75" t="b">
        <v>0</v>
      </c>
      <c r="X65" s="75" t="inlineStr">
        <is>
          <t>Mínimo júnior isolado; a subordinação atual disponível agrega todas as classes subordinadas.</t>
        </is>
      </c>
      <c r="Y65" s="75" t="b">
        <v>0</v>
      </c>
      <c r="Z65" s="144" t="inlineStr">
        <is>
          <t>N/D</t>
        </is>
      </c>
      <c r="AA65" s="144" t="inlineStr">
        <is>
          <t>N/D</t>
        </is>
      </c>
      <c r="AB65" s="75" t="inlineStr">
        <is>
          <t>não medido</t>
        </is>
      </c>
      <c r="AC65" s="75" t="inlineStr">
        <is>
          <t>Financeiro</t>
        </is>
      </c>
      <c r="AD65" s="75" t="inlineStr">
        <is>
          <t>Adquirência</t>
        </is>
      </c>
      <c r="AE65" s="75" t="inlineStr">
        <is>
          <t>Adquirência</t>
        </is>
      </c>
      <c r="AF65" s="75" t="inlineStr">
        <is>
          <t>Adquirência</t>
        </is>
      </c>
      <c r="AG65" s="75" t="inlineStr">
        <is>
          <t>Adquirência</t>
        </is>
      </c>
      <c r="AH65" s="75" t="inlineStr">
        <is>
          <t>Adquirência</t>
        </is>
      </c>
      <c r="AI65" s="75" t="inlineStr">
        <is>
          <t>N/D</t>
        </is>
      </c>
      <c r="AJ65" s="75" t="b">
        <v>0</v>
      </c>
      <c r="AK65" s="75" t="inlineStr">
        <is>
          <t>fora da revisão Financeiro/Agro</t>
        </is>
      </c>
      <c r="AL65" s="75" t="inlineStr">
        <is>
          <t>N/D</t>
        </is>
      </c>
      <c r="AM65" s="75" t="inlineStr">
        <is>
          <t>N/D</t>
        </is>
      </c>
      <c r="AN65" s="75" t="inlineStr">
        <is>
          <t>N/D</t>
        </is>
      </c>
      <c r="AO65" s="75" t="inlineStr">
        <is>
          <t>N/D</t>
        </is>
      </c>
      <c r="AP65" s="75" t="inlineStr">
        <is>
          <t>N/D</t>
        </is>
      </c>
      <c r="AQ65" s="75" t="inlineStr">
        <is>
          <t>Adquirência</t>
        </is>
      </c>
      <c r="AR65" s="75" t="inlineStr">
        <is>
          <t>Adquirência</t>
        </is>
      </c>
      <c r="AS65" s="75" t="b">
        <v>0</v>
      </c>
      <c r="AT65" s="75" t="inlineStr">
        <is>
          <t>N/D</t>
        </is>
      </c>
      <c r="AU65" s="75" t="inlineStr">
        <is>
          <t>N/D</t>
        </is>
      </c>
      <c r="AV65" s="75" t="inlineStr">
        <is>
          <t>20%–35%</t>
        </is>
      </c>
      <c r="AW65" s="75" t="b">
        <v>1</v>
      </c>
      <c r="AX65" s="75" t="inlineStr">
        <is>
          <t>incomparável</t>
        </is>
      </c>
      <c r="AY65" s="75" t="inlineStr">
        <is>
          <t>acima do mercado</t>
        </is>
      </c>
      <c r="AZ65" s="144" t="n">
        <v>0.1882492144265984</v>
      </c>
      <c r="BA65" s="75" t="b">
        <v>1</v>
      </c>
      <c r="BB65" s="145" t="n">
        <v>14</v>
      </c>
      <c r="BC65" s="143" t="n">
        <v>1000</v>
      </c>
      <c r="BD65" s="75" t="inlineStr">
        <is>
          <t>Cotas Seniores: R$ 1.000,00</t>
        </is>
      </c>
      <c r="BE65" s="75" t="inlineStr">
        <is>
          <t>valor nominal unitário (VNU)</t>
        </is>
      </c>
      <c r="BF65" s="75" t="inlineStr">
        <is>
          <t>Cotas Seniores</t>
        </is>
      </c>
      <c r="BG65" s="75" t="inlineStr">
        <is>
          <t>2025-05-19</t>
        </is>
      </c>
      <c r="BH65" s="75" t="inlineStr">
        <is>
          <t>909547</t>
        </is>
      </c>
      <c r="BI65" s="75" t="inlineStr">
        <is>
          <t>https://fnet.bmfbovespa.com.br/fnet/publico/downloadDocumento?id=909547</t>
        </is>
      </c>
      <c r="BJ65" s="75" t="inlineStr">
        <is>
          <t>localizado documentalmente</t>
        </is>
      </c>
      <c r="BK65" s="75" t="b">
        <v>0</v>
      </c>
      <c r="BL65" s="75" t="inlineStr">
        <is>
          <t>Mercado Pago (originador) | Mercado Livre (cedente)</t>
        </is>
      </c>
      <c r="BM65" s="75" t="inlineStr">
        <is>
          <t>originador | cedente</t>
        </is>
      </c>
      <c r="BN65" s="75" t="inlineStr">
        <is>
          <t>Mercado Pago</t>
        </is>
      </c>
      <c r="BO65" s="75" t="inlineStr">
        <is>
          <t>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t>
        </is>
      </c>
      <c r="BP65" s="75" t="inlineStr">
        <is>
          <t>o MERCADO PAGO INSTITUIÇÃO DE PAGAMENTO LTDA., sociedade limitada, com sede na Avenida das Nações Unidas, nº 3.003, Parte E, Bonfim, no Município de Osasco, Estado de São Paulo, CEP 06.233-903, inscrita no CNPJ sob o nº 10.573.521/0001-91</t>
        </is>
      </c>
      <c r="BQ65" s="75" t="inlineStr">
        <is>
          <t>os Direitos Creditórios dos Estabelecimentos Comerciais e os Direitos Creditórios do Mercado Crédito quando referidos em co njunto ou de forma indistinta, conforme aplicável</t>
        </is>
      </c>
      <c r="BR65" s="75" t="inlineStr">
        <is>
          <t>cedente: https://fnet.bmfbovespa.com.br/fnet/publico/downloadDocumento?id=790777 | sacado_devedor: https://fnet.bmfbovespa.com.br/fnet/publico/downloadDocumento?id=790777 | tipo_recebivel: https://fnet.bmfbovespa.com.br/fnet/publico/downloadDocumento?id=467929</t>
        </is>
      </c>
      <c r="BS65" s="75" t="inlineStr">
        <is>
          <t>manual_aplicado</t>
        </is>
      </c>
      <c r="BT65" s="75" t="inlineStr">
        <is>
          <t>Os rótulos manuais são complementares; a entidade documental e o papel legal prevalecem no export.</t>
        </is>
      </c>
      <c r="BU65" s="75" t="inlineStr">
        <is>
          <t>909547</t>
        </is>
      </c>
      <c r="BV65" s="75" t="inlineStr">
        <is>
          <t>2025-05-19</t>
        </is>
      </c>
      <c r="BW65" s="75" t="inlineStr">
        <is>
          <t>99</t>
        </is>
      </c>
      <c r="BX65" s="75" t="inlineStr">
        <is>
          <t>revisto — mínimo júnior localizado</t>
        </is>
      </c>
      <c r="BY65" s="75" t="inlineStr">
        <is>
          <t>FundosNet/B3; documento 909547; referência 2025-05-19; p. 99</t>
        </is>
      </c>
      <c r="BZ65" s="75" t="inlineStr">
        <is>
          <t>Totalidade das cotas júnior / PL, mínimo de 10,0%.</t>
        </is>
      </c>
      <c r="CA65" s="75" t="inlineStr">
        <is>
          <t>Nenhum</t>
        </is>
      </c>
      <c r="CB65" s="75" t="inlineStr">
        <is>
          <t>estrutura_incomparavel</t>
        </is>
      </c>
    </row>
    <row r="66" ht="31.5" customHeight="1">
      <c r="A66" s="74" t="n">
        <v>62</v>
      </c>
      <c r="B66" s="138" t="n">
        <v>62588266000154</v>
      </c>
      <c r="C66" s="74" t="inlineStr">
        <is>
          <t>62.588.266/0001-54</t>
        </is>
      </c>
      <c r="D66" s="74" t="inlineStr">
        <is>
          <t>VTK FUNDO DE INVESTIMENTO EM DIREITOS CREDITÓRIOS RESPONSABILIDADE LIMITADA</t>
        </is>
      </c>
      <c r="E66" s="74" t="inlineStr">
        <is>
          <t>VTK FIDC RESP LIMIT</t>
        </is>
      </c>
      <c r="F66" s="74" t="inlineStr">
        <is>
          <t>Carteira 101</t>
        </is>
      </c>
      <c r="G66" s="74" t="inlineStr">
        <is>
          <t>2026-08</t>
        </is>
      </c>
      <c r="H66" s="74" t="inlineStr">
        <is>
          <t>localizado</t>
        </is>
      </c>
      <c r="I66" s="139" t="n">
        <v>3100556826.01</v>
      </c>
      <c r="J66" s="139" t="n">
        <v>2520309058.440632</v>
      </c>
      <c r="K66" s="139" t="n">
        <v>477981794.0587984</v>
      </c>
      <c r="L66" s="140" t="inlineStr">
        <is>
          <t>N/D</t>
        </is>
      </c>
      <c r="M66" s="74" t="inlineStr">
        <is>
          <t>N/D — PL oficial diverge das classes acima de 0,5%</t>
        </is>
      </c>
      <c r="N66" s="140" t="n">
        <v>0.05</v>
      </c>
      <c r="O66" s="140" t="inlineStr">
        <is>
          <t>N/D</t>
        </is>
      </c>
      <c r="P66" s="140" t="inlineStr">
        <is>
          <t>N/D</t>
        </is>
      </c>
      <c r="Q66" s="140" t="inlineStr">
        <is>
          <t>N/D</t>
        </is>
      </c>
      <c r="R66" s="140" t="inlineStr">
        <is>
          <t>N/D</t>
        </is>
      </c>
      <c r="S66" s="140" t="n">
        <v>0.05</v>
      </c>
      <c r="T66" s="74" t="inlineStr">
        <is>
          <t>N/D</t>
        </is>
      </c>
      <c r="U66" s="74" t="inlineStr">
        <is>
          <t>junior_pl</t>
        </is>
      </c>
      <c r="V66" s="74" t="inlineStr">
        <is>
          <t>direto no regulamento</t>
        </is>
      </c>
      <c r="W66" s="74" t="b">
        <v>0</v>
      </c>
      <c r="X66" s="74" t="inlineStr">
        <is>
          <t>Mínimo júnior isolado; a subordinação atual disponível agrega todas as classes subordinadas.</t>
        </is>
      </c>
      <c r="Y66" s="74" t="b">
        <v>0</v>
      </c>
      <c r="Z66" s="140" t="inlineStr">
        <is>
          <t>N/D</t>
        </is>
      </c>
      <c r="AA66" s="140" t="inlineStr">
        <is>
          <t>N/D</t>
        </is>
      </c>
      <c r="AB66" s="74" t="inlineStr">
        <is>
          <t>não medido</t>
        </is>
      </c>
      <c r="AC66" s="74" t="inlineStr">
        <is>
          <t>Financeiro</t>
        </is>
      </c>
      <c r="AD66" s="74" t="inlineStr">
        <is>
          <t>Crédito Consignado</t>
        </is>
      </c>
      <c r="AE66" s="74" t="inlineStr">
        <is>
          <t>Consignado INSS</t>
        </is>
      </c>
      <c r="AF66" s="74" t="inlineStr">
        <is>
          <t>Consignado INSS</t>
        </is>
      </c>
      <c r="AG66" s="74" t="inlineStr">
        <is>
          <t>Consignado INSS e FGTS</t>
        </is>
      </c>
      <c r="AH66" s="74" t="inlineStr">
        <is>
          <t>Consignado INSS e FGTS</t>
        </is>
      </c>
      <c r="AI66" s="74" t="inlineStr">
        <is>
          <t>N/D</t>
        </is>
      </c>
      <c r="AJ66" s="74" t="b">
        <v>0</v>
      </c>
      <c r="AK66" s="74" t="inlineStr">
        <is>
          <t>fora da revisão Financeiro/Agro</t>
        </is>
      </c>
      <c r="AL66" s="74" t="inlineStr">
        <is>
          <t>N/D</t>
        </is>
      </c>
      <c r="AM66" s="74" t="inlineStr">
        <is>
          <t>N/D</t>
        </is>
      </c>
      <c r="AN66" s="74" t="inlineStr">
        <is>
          <t>N/D</t>
        </is>
      </c>
      <c r="AO66" s="74" t="inlineStr">
        <is>
          <t>N/D</t>
        </is>
      </c>
      <c r="AP66" s="74" t="inlineStr">
        <is>
          <t>N/D</t>
        </is>
      </c>
      <c r="AQ66" s="74" t="inlineStr">
        <is>
          <t>Consignado INSS e FGTS</t>
        </is>
      </c>
      <c r="AR66" s="74" t="inlineStr">
        <is>
          <t>Consignado INSS e FGTS</t>
        </is>
      </c>
      <c r="AS66" s="74" t="b">
        <v>0</v>
      </c>
      <c r="AT66" s="74" t="inlineStr">
        <is>
          <t>N/D</t>
        </is>
      </c>
      <c r="AU66" s="74" t="inlineStr">
        <is>
          <t>N/D</t>
        </is>
      </c>
      <c r="AV66" s="74" t="inlineStr">
        <is>
          <t>N/D</t>
        </is>
      </c>
      <c r="AW66" s="74" t="b">
        <v>0</v>
      </c>
      <c r="AX66" s="74" t="inlineStr">
        <is>
          <t>N/D</t>
        </is>
      </c>
      <c r="AY66" s="74" t="inlineStr">
        <is>
          <t>sem benchmark confiável</t>
        </is>
      </c>
      <c r="AZ66" s="140" t="inlineStr">
        <is>
          <t>N/D</t>
        </is>
      </c>
      <c r="BA66" s="74" t="b">
        <v>1</v>
      </c>
      <c r="BB66" s="141" t="n">
        <v>5</v>
      </c>
      <c r="BC66" s="139" t="n">
        <v>1000</v>
      </c>
      <c r="BD66" s="74" t="inlineStr">
        <is>
          <t>R$ 1.000,00</t>
        </is>
      </c>
      <c r="BE66" s="74" t="inlineStr">
        <is>
          <t>preço/valor unitário de emissão</t>
        </is>
      </c>
      <c r="BF66" s="74" t="inlineStr">
        <is>
          <t>N/D</t>
        </is>
      </c>
      <c r="BG66" s="74" t="inlineStr">
        <is>
          <t>2025-09-29</t>
        </is>
      </c>
      <c r="BH66" s="74" t="inlineStr">
        <is>
          <t>1002580</t>
        </is>
      </c>
      <c r="BI66" s="74" t="inlineStr">
        <is>
          <t>https://fnet.bmfbovespa.com.br/fnet/publico/downloadDocumento?id=1002580</t>
        </is>
      </c>
      <c r="BJ66" s="74" t="inlineStr">
        <is>
          <t>localizado documentalmente</t>
        </is>
      </c>
      <c r="BK66" s="74" t="b">
        <v>1</v>
      </c>
      <c r="BL66" s="74" t="inlineStr">
        <is>
          <t>Facta</t>
        </is>
      </c>
      <c r="BM66" s="74" t="inlineStr">
        <is>
          <t>cedente</t>
        </is>
      </c>
      <c r="BN66" s="74" t="inlineStr">
        <is>
          <t>N/D</t>
        </is>
      </c>
      <c r="BO66" s="74" t="inlineStr">
        <is>
          <t>Facta</t>
        </is>
      </c>
      <c r="BP66" s="74" t="inlineStr">
        <is>
          <t>N/D</t>
        </is>
      </c>
      <c r="BQ66" s="74" t="inlineStr">
        <is>
          <t>Crédito INSS</t>
        </is>
      </c>
      <c r="BR66" s="74" t="inlineStr">
        <is>
          <t>cedente: IMG_8706.JPG | tipo_recebivel: IMG_8706.JPG</t>
        </is>
      </c>
      <c r="BS66" s="74" t="inlineStr">
        <is>
          <t>manual_aplicado</t>
        </is>
      </c>
      <c r="BT66" s="74" t="inlineStr">
        <is>
          <t>N/D</t>
        </is>
      </c>
      <c r="BU66" s="74" t="inlineStr">
        <is>
          <t>1002580</t>
        </is>
      </c>
      <c r="BV66" s="74" t="inlineStr">
        <is>
          <t>2025-09-29</t>
        </is>
      </c>
      <c r="BW66" s="74" t="inlineStr">
        <is>
          <t>35</t>
        </is>
      </c>
      <c r="BX66" s="74" t="inlineStr">
        <is>
          <t>revisto — mínimo júnior localizado</t>
        </is>
      </c>
      <c r="BY66" s="74" t="inlineStr">
        <is>
          <t>FundosNet/B3; documento 1002580; referência 2025-09-29; p. 35</t>
        </is>
      </c>
      <c r="BZ66" s="74" t="inlineStr">
        <is>
          <t>Índice de Subordinação Mezanino: cotas júnior / PL, mínimo de 5,0%.</t>
        </is>
      </c>
      <c r="CA66" s="74" t="inlineStr">
        <is>
          <t>Sub/PL atual; originador; sacado/devedor</t>
        </is>
      </c>
      <c r="CB66" s="74" t="inlineStr">
        <is>
          <t>sub_pl_atual_ausente</t>
        </is>
      </c>
    </row>
    <row r="67" ht="31.5" customHeight="1">
      <c r="A67" s="75" t="n">
        <v>63</v>
      </c>
      <c r="B67" s="142" t="n">
        <v>50988212000105</v>
      </c>
      <c r="C67" s="75" t="inlineStr">
        <is>
          <t>50.988.212/0001-05</t>
        </is>
      </c>
      <c r="D67" s="75" t="inlineStr">
        <is>
          <t>CARTÃO DE COMPRA SUPPLIER FUNDO DE INVESTIMENTO EM DIREITOS CREDITÓRIOS II-RESPONSABILIDADE LIMITADA</t>
        </is>
      </c>
      <c r="E67" s="75" t="inlineStr">
        <is>
          <t>CARTAO DE COMPRA SUPPLIER FUNDO DE INVESTIMENTO EM</t>
        </is>
      </c>
      <c r="F67" s="75" t="inlineStr">
        <is>
          <t>Carteira 101</t>
        </is>
      </c>
      <c r="G67" s="75" t="inlineStr">
        <is>
          <t>2026-08</t>
        </is>
      </c>
      <c r="H67" s="75" t="inlineStr">
        <is>
          <t>localizado</t>
        </is>
      </c>
      <c r="I67" s="143" t="n">
        <v>199368665.67</v>
      </c>
      <c r="J67" s="143" t="n">
        <v>199368665.6619652</v>
      </c>
      <c r="K67" s="143" t="n">
        <v>14783171.70996524</v>
      </c>
      <c r="L67" s="144" t="n">
        <v>0.07414992551755709</v>
      </c>
      <c r="M67" s="75" t="inlineStr">
        <is>
          <t>Calculado com classes reportadas e PL oficial reconciliado</t>
        </is>
      </c>
      <c r="N67" s="144" t="inlineStr">
        <is>
          <t>N/D</t>
        </is>
      </c>
      <c r="O67" s="144" t="inlineStr">
        <is>
          <t>N/D</t>
        </is>
      </c>
      <c r="P67" s="144" t="n">
        <v>0.045</v>
      </c>
      <c r="Q67" s="144" t="inlineStr">
        <is>
          <t>N/D</t>
        </is>
      </c>
      <c r="R67" s="144" t="inlineStr">
        <is>
          <t>N/D</t>
        </is>
      </c>
      <c r="S67" s="144" t="n">
        <v>0.045</v>
      </c>
      <c r="T67" s="75" t="inlineStr">
        <is>
          <t>N/D</t>
        </is>
      </c>
      <c r="U67" s="75" t="inlineStr">
        <is>
          <t>junior_pl_ajustado</t>
        </is>
      </c>
      <c r="V67" s="75" t="inlineStr">
        <is>
          <t>direto sobre PL ajustado</t>
        </is>
      </c>
      <c r="W67" s="75" t="b">
        <v>0</v>
      </c>
      <c r="X67" s="75" t="inlineStr">
        <is>
          <t>Mínimo júnior usa PL ajustado; não é comparável à subordinação atual sobre o PL oficial.</t>
        </is>
      </c>
      <c r="Y67" s="75" t="b">
        <v>1</v>
      </c>
      <c r="Z67" s="144" t="inlineStr">
        <is>
          <t>N/D</t>
        </is>
      </c>
      <c r="AA67" s="144" t="inlineStr">
        <is>
          <t>N/D</t>
        </is>
      </c>
      <c r="AB67" s="75" t="inlineStr">
        <is>
          <t>não medido</t>
        </is>
      </c>
      <c r="AC67" s="75" t="inlineStr">
        <is>
          <t>Financeiro</t>
        </is>
      </c>
      <c r="AD67" s="75" t="inlineStr">
        <is>
          <t>Crédito Pessoal</t>
        </is>
      </c>
      <c r="AE67" s="75" t="inlineStr">
        <is>
          <t>Financeiro</t>
        </is>
      </c>
      <c r="AF67" s="75" t="inlineStr">
        <is>
          <t>Financeiro</t>
        </is>
      </c>
      <c r="AG67" s="75" t="inlineStr">
        <is>
          <t>Financeiro</t>
        </is>
      </c>
      <c r="AH67" s="75" t="inlineStr">
        <is>
          <t>Financeiro</t>
        </is>
      </c>
      <c r="AI67" s="75" t="inlineStr">
        <is>
          <t>Crédito comercial/PME segurado</t>
        </is>
      </c>
      <c r="AJ67" s="75" t="b">
        <v>0</v>
      </c>
      <c r="AK67" s="75" t="inlineStr">
        <is>
          <t>PENDENTE_FONTE_PRIMARIA</t>
        </is>
      </c>
      <c r="AL67" s="75" t="inlineStr">
        <is>
          <t>Crédito PME informado sem cláusula primária de instrumento e devedor</t>
        </is>
      </c>
      <c r="AM67" s="75" t="inlineStr">
        <is>
          <t>IMG_8706</t>
        </is>
      </c>
      <c r="AN67" s="75" t="inlineStr">
        <is>
          <t>Candidato</t>
        </is>
      </c>
      <c r="AO67" s="75" t="inlineStr">
        <is>
          <t>IMG_8706</t>
        </is>
      </c>
      <c r="AP67" s="75" t="inlineStr">
        <is>
          <t>N/D</t>
        </is>
      </c>
      <c r="AQ67" s="75" t="inlineStr">
        <is>
          <t>Financeiro</t>
        </is>
      </c>
      <c r="AR67" s="75" t="inlineStr">
        <is>
          <t>Financeiro</t>
        </is>
      </c>
      <c r="AS67" s="75" t="b">
        <v>0</v>
      </c>
      <c r="AT67" s="75" t="inlineStr">
        <is>
          <t>N/D</t>
        </is>
      </c>
      <c r="AU67" s="75" t="inlineStr">
        <is>
          <t>N/D</t>
        </is>
      </c>
      <c r="AV67" s="75" t="inlineStr">
        <is>
          <t>&lt; 10%</t>
        </is>
      </c>
      <c r="AW67" s="75" t="b">
        <v>1</v>
      </c>
      <c r="AX67" s="75" t="inlineStr">
        <is>
          <t>incomparável</t>
        </is>
      </c>
      <c r="AY67" s="75" t="inlineStr">
        <is>
          <t>abaixo do mercado</t>
        </is>
      </c>
      <c r="AZ67" s="144" t="n">
        <v>-0.2320438551789271</v>
      </c>
      <c r="BA67" s="75" t="b">
        <v>1</v>
      </c>
      <c r="BB67" s="145" t="n">
        <v>12</v>
      </c>
      <c r="BC67" s="143" t="n">
        <v>1000</v>
      </c>
      <c r="BD67" s="75" t="inlineStr">
        <is>
          <t>Cotas Seniores: R$ 1.000,00</t>
        </is>
      </c>
      <c r="BE67" s="75" t="inlineStr">
        <is>
          <t>valor nominal unitário (VNU)</t>
        </is>
      </c>
      <c r="BF67" s="75" t="inlineStr">
        <is>
          <t>Cotas Seniores</t>
        </is>
      </c>
      <c r="BG67" s="75" t="inlineStr">
        <is>
          <t>2023-10-06</t>
        </is>
      </c>
      <c r="BH67" s="75" t="inlineStr">
        <is>
          <t>532694</t>
        </is>
      </c>
      <c r="BI67" s="75" t="inlineStr">
        <is>
          <t>https://fnet.bmfbovespa.com.br/fnet/publico/downloadDocumento?id=532694</t>
        </is>
      </c>
      <c r="BJ67" s="75" t="inlineStr">
        <is>
          <t>localizado documentalmente</t>
        </is>
      </c>
      <c r="BK67" s="75" t="b">
        <v>0</v>
      </c>
      <c r="BL67" s="75" t="inlineStr">
        <is>
          <t>Supplier</t>
        </is>
      </c>
      <c r="BM67" s="75" t="inlineStr">
        <is>
          <t>cedente</t>
        </is>
      </c>
      <c r="BN67" s="75" t="inlineStr">
        <is>
          <t>N/D</t>
        </is>
      </c>
      <c r="BO67" s="75" t="inlineStr">
        <is>
          <t>Supplier</t>
        </is>
      </c>
      <c r="BP67" s="75" t="inlineStr">
        <is>
          <t>N/D</t>
        </is>
      </c>
      <c r="BQ67" s="75" t="inlineStr">
        <is>
          <t>Crédito Curto Prazo com o segurado; Crédito PME</t>
        </is>
      </c>
      <c r="BR67" s="75" t="inlineStr">
        <is>
          <t>cedente: IMG_8706.JPG | tipo_recebivel: IMG_8706.JPG</t>
        </is>
      </c>
      <c r="BS67" s="75" t="inlineStr">
        <is>
          <t>manual_aplicado</t>
        </is>
      </c>
      <c r="BT67" s="75" t="inlineStr">
        <is>
          <t>Denominação cortada pela largura da coluna na foto.</t>
        </is>
      </c>
      <c r="BU67" s="75" t="inlineStr">
        <is>
          <t>1013021</t>
        </is>
      </c>
      <c r="BV67" s="75" t="inlineStr">
        <is>
          <t>2024-11-14</t>
        </is>
      </c>
      <c r="BW67" s="75" t="inlineStr">
        <is>
          <t>29; 62</t>
        </is>
      </c>
      <c r="BX67" s="75" t="inlineStr">
        <is>
          <t>revisto — mínimo júnior localizado</t>
        </is>
      </c>
      <c r="BY67" s="75" t="inlineStr">
        <is>
          <t>FundosNet/B3; documento 1013021; referência 2024-11-14; p. 29; 62</t>
        </is>
      </c>
      <c r="BZ67" s="75" t="inlineStr">
        <is>
          <t>Cotas júnior / PL ajustado por outros ativos, mínimo de 4,5%.*</t>
        </is>
      </c>
      <c r="CA67" s="75" t="inlineStr">
        <is>
          <t>originador; sacado/devedor</t>
        </is>
      </c>
      <c r="CB67" s="75" t="inlineStr">
        <is>
          <t>estrutura_incomparavel</t>
        </is>
      </c>
    </row>
    <row r="68" ht="31.5" customHeight="1">
      <c r="A68" s="74" t="n">
        <v>64</v>
      </c>
      <c r="B68" s="138" t="n">
        <v>58476088000100</v>
      </c>
      <c r="C68" s="74" t="inlineStr">
        <is>
          <t>58.476.088/0001-00</t>
        </is>
      </c>
      <c r="D68" s="74" t="inlineStr">
        <is>
          <t>SAGA FUNDO DE INVESTIMENTO EM DIREITOS CREDITÓRIOS CRÉDITO PRIVADO - RESPONSABILIDADE LIMITADA</t>
        </is>
      </c>
      <c r="E68" s="74" t="inlineStr">
        <is>
          <t>CONSORCIO DALTEZ</t>
        </is>
      </c>
      <c r="F68" s="74" t="inlineStr">
        <is>
          <t>Carteira 101</t>
        </is>
      </c>
      <c r="G68" s="74" t="inlineStr">
        <is>
          <t>2026-08</t>
        </is>
      </c>
      <c r="H68" s="74" t="inlineStr">
        <is>
          <t>localizado</t>
        </is>
      </c>
      <c r="I68" s="139" t="n">
        <v>168578666.71</v>
      </c>
      <c r="J68" s="139" t="n">
        <v>168578666.7072081</v>
      </c>
      <c r="K68" s="139" t="n">
        <v>66949901.23020812</v>
      </c>
      <c r="L68" s="140" t="n">
        <v>0.3971433784405218</v>
      </c>
      <c r="M68" s="74" t="inlineStr">
        <is>
          <t>Calculado com classes reportadas e PL oficial reconciliado</t>
        </is>
      </c>
      <c r="N68" s="140" t="n">
        <v>0.3333</v>
      </c>
      <c r="O68" s="140" t="inlineStr">
        <is>
          <t>N/D</t>
        </is>
      </c>
      <c r="P68" s="140" t="inlineStr">
        <is>
          <t>N/D</t>
        </is>
      </c>
      <c r="Q68" s="140" t="n">
        <v>0.3333</v>
      </c>
      <c r="R68" s="140" t="inlineStr">
        <is>
          <t>N/D</t>
        </is>
      </c>
      <c r="S68" s="140" t="n">
        <v>0.3333</v>
      </c>
      <c r="T68" s="74" t="inlineStr">
        <is>
          <t>33,33%</t>
        </is>
      </c>
      <c r="U68" s="74" t="inlineStr">
        <is>
          <t>junior_pl</t>
        </is>
      </c>
      <c r="V68" s="74" t="inlineStr">
        <is>
          <t>direto no regulamento</t>
        </is>
      </c>
      <c r="W68" s="74" t="b">
        <v>1</v>
      </c>
      <c r="X68" s="74" t="inlineStr">
        <is>
          <t>Estrutura com uma única classe subordinada; métrica atual e piso usam o total subordinado sobre o PL.</t>
        </is>
      </c>
      <c r="Y68" s="74" t="b">
        <v>0</v>
      </c>
      <c r="Z68" s="140" t="n">
        <v>0.06384337844052179</v>
      </c>
      <c r="AA68" s="140" t="n">
        <v>0.09576027964680034</v>
      </c>
      <c r="AB68" s="74" t="inlineStr">
        <is>
          <t>acima do mínimo</t>
        </is>
      </c>
      <c r="AC68" s="74" t="inlineStr">
        <is>
          <t>Agro, Indústria e Comércio</t>
        </is>
      </c>
      <c r="AD68" s="74" t="inlineStr">
        <is>
          <t>Recebíveis Comerciais</t>
        </is>
      </c>
      <c r="AE68" s="74" t="inlineStr">
        <is>
          <t>Agro / Revenda</t>
        </is>
      </c>
      <c r="AF68" s="74" t="inlineStr">
        <is>
          <t>Agro / Revenda</t>
        </is>
      </c>
      <c r="AG68" s="74" t="inlineStr">
        <is>
          <t>Agro / Revenda</t>
        </is>
      </c>
      <c r="AH68" s="74" t="inlineStr">
        <is>
          <t>Risco Corporativo</t>
        </is>
      </c>
      <c r="AI68" s="74" t="inlineStr">
        <is>
          <t>Notas comerciais de empresas/devedores</t>
        </is>
      </c>
      <c r="AJ68" s="74" t="b">
        <v>1</v>
      </c>
      <c r="AK68" s="74" t="inlineStr">
        <is>
          <t>APLICAR_ALTA</t>
        </is>
      </c>
      <c r="AL68" s="74" t="inlineStr">
        <is>
          <t>Lastro são notas comerciais, com porte dos emissores ainda a validar</t>
        </is>
      </c>
      <c r="AM68" s="74" t="inlineStr">
        <is>
          <t>regulamento 852325</t>
        </is>
      </c>
      <c r="AN68" s="74" t="inlineStr">
        <is>
          <t>Candidato</t>
        </is>
      </c>
      <c r="AO68" s="74" t="inlineStr">
        <is>
          <t>regulamento 852325</t>
        </is>
      </c>
      <c r="AP68" s="74" t="inlineStr">
        <is>
          <t>N/D</t>
        </is>
      </c>
      <c r="AQ68" s="74" t="inlineStr">
        <is>
          <t>Risco Corporativo</t>
        </is>
      </c>
      <c r="AR68" s="74" t="inlineStr">
        <is>
          <t>Agro / Revenda</t>
        </is>
      </c>
      <c r="AS68" s="74" t="b">
        <v>1</v>
      </c>
      <c r="AT68" s="74" t="inlineStr">
        <is>
          <t>regulamento 852325</t>
        </is>
      </c>
      <c r="AU68" s="74" t="inlineStr">
        <is>
          <t>Lastro são notas comerciais, com porte dos emissores ainda a validar</t>
        </is>
      </c>
      <c r="AV68" s="74" t="inlineStr">
        <is>
          <t>35%–60%</t>
        </is>
      </c>
      <c r="AW68" s="74" t="b">
        <v>1</v>
      </c>
      <c r="AX68" s="74" t="inlineStr">
        <is>
          <t>acima do piso</t>
        </is>
      </c>
      <c r="AY68" s="74" t="inlineStr">
        <is>
          <t>sem benchmark confiável</t>
        </is>
      </c>
      <c r="AZ68" s="140" t="inlineStr">
        <is>
          <t>N/D</t>
        </is>
      </c>
      <c r="BA68" s="74" t="b">
        <v>0</v>
      </c>
      <c r="BB68" s="141" t="n">
        <v>0</v>
      </c>
      <c r="BC68" s="139" t="n">
        <v>1000</v>
      </c>
      <c r="BD68" s="74" t="inlineStr">
        <is>
          <t>Cotas Seniores: R$ 1.000,00 | R$1.000,00</t>
        </is>
      </c>
      <c r="BE68" s="74" t="inlineStr">
        <is>
          <t>preço/valor unitário de emissão</t>
        </is>
      </c>
      <c r="BF68" s="74" t="inlineStr">
        <is>
          <t>Cotas Seniores</t>
        </is>
      </c>
      <c r="BG68" s="74" t="inlineStr">
        <is>
          <t>25/02/2025</t>
        </is>
      </c>
      <c r="BH68" s="74" t="inlineStr">
        <is>
          <t>852325</t>
        </is>
      </c>
      <c r="BI68" s="74" t="inlineStr">
        <is>
          <t>https://fnet.bmfbovespa.com.br/fnet/publico/downloadDocumento?id=852325</t>
        </is>
      </c>
      <c r="BJ68" s="74" t="inlineStr">
        <is>
          <t>localizado documentalmente — múltiplos valores/classes</t>
        </is>
      </c>
      <c r="BK68" s="74" t="b">
        <v>1</v>
      </c>
      <c r="BL68" s="74" t="inlineStr">
        <is>
          <t>Saga Brasil</t>
        </is>
      </c>
      <c r="BM68" s="74" t="inlineStr">
        <is>
          <t>cedente</t>
        </is>
      </c>
      <c r="BN68" s="74" t="inlineStr">
        <is>
          <t>N/D</t>
        </is>
      </c>
      <c r="BO68" s="74" t="inlineStr">
        <is>
          <t>Saga Brasil</t>
        </is>
      </c>
      <c r="BP68" s="74" t="inlineStr">
        <is>
          <t>N/D</t>
        </is>
      </c>
      <c r="BQ68" s="74" t="inlineStr">
        <is>
          <t>os direitos creditórios originados das Notas Comerciais emitidas pelos Devedores, representados pelos Documentos Comprobatórios, conforme o caso, detidas pela Fundo contra os Devedores</t>
        </is>
      </c>
      <c r="BR68" s="74" t="inlineStr">
        <is>
          <t>cedente: IMG_8706.JPG | tipo_recebivel: https://fnet.bmfbovespa.com.br/fnet/publico/downloadDocumento?id=852325</t>
        </is>
      </c>
      <c r="BS68" s="74" t="inlineStr">
        <is>
          <t>manual_aplicado</t>
        </is>
      </c>
      <c r="BT68" s="74" t="inlineStr">
        <is>
          <t>OBS continua fora da foto após a descrição legível.</t>
        </is>
      </c>
      <c r="BU68" s="74" t="inlineStr">
        <is>
          <t>852325</t>
        </is>
      </c>
      <c r="BV68" s="74" t="inlineStr">
        <is>
          <t>2025-02-25</t>
        </is>
      </c>
      <c r="BW68" s="74" t="inlineStr">
        <is>
          <t>18</t>
        </is>
      </c>
      <c r="BX68" s="74" t="inlineStr">
        <is>
          <t>revisto — mínimo júnior localizado</t>
        </is>
      </c>
      <c r="BY68" s="74" t="inlineStr">
        <is>
          <t>FundosNet/B3; documento 852325; referência 2025-02-25; p. 18</t>
        </is>
      </c>
      <c r="BZ68" s="74" t="inlineStr">
        <is>
          <t>Cotas subordinadas / PL, mínimo de 33,33%; estrutura com uma única classe residual.</t>
        </is>
      </c>
      <c r="CA68" s="74" t="inlineStr">
        <is>
          <t>originador; sacado/devedor</t>
        </is>
      </c>
      <c r="CB68" s="74" t="inlineStr">
        <is>
          <t>completo_para_folga</t>
        </is>
      </c>
    </row>
    <row r="69" ht="31.5" customHeight="1">
      <c r="A69" s="75" t="n">
        <v>65</v>
      </c>
      <c r="B69" s="142" t="n">
        <v>58349979000198</v>
      </c>
      <c r="C69" s="75" t="inlineStr">
        <is>
          <t>58.349.979/0001-98</t>
        </is>
      </c>
      <c r="D69" s="75" t="inlineStr">
        <is>
          <t>VOLKSWAGEN TERA FUNDO DE INVESTIMENTO EM DIREITOS CREDITÓRIOS RECEBÍVEIS COMERCIAIS RESP LTDA</t>
        </is>
      </c>
      <c r="E69" s="75" t="inlineStr">
        <is>
          <t>VOLKSWAGEN TERA FIDC SEGMENTO RECEBIVEIS COMERCIAI</t>
        </is>
      </c>
      <c r="F69" s="75" t="inlineStr">
        <is>
          <t>Carteira 101</t>
        </is>
      </c>
      <c r="G69" s="75" t="inlineStr">
        <is>
          <t>2026-08</t>
        </is>
      </c>
      <c r="H69" s="75" t="inlineStr">
        <is>
          <t>localizado</t>
        </is>
      </c>
      <c r="I69" s="143" t="n">
        <v>1039245978.43</v>
      </c>
      <c r="J69" s="143" t="n">
        <v>1013259779.873103</v>
      </c>
      <c r="K69" s="143" t="n">
        <v>253735100.5925</v>
      </c>
      <c r="L69" s="144" t="inlineStr">
        <is>
          <t>N/D</t>
        </is>
      </c>
      <c r="M69" s="75" t="inlineStr">
        <is>
          <t>N/D — PL oficial diverge das classes acima de 0,5%</t>
        </is>
      </c>
      <c r="N69" s="144" t="n">
        <v>0.25</v>
      </c>
      <c r="O69" s="144" t="inlineStr">
        <is>
          <t>N/D</t>
        </is>
      </c>
      <c r="P69" s="144" t="inlineStr">
        <is>
          <t>N/D</t>
        </is>
      </c>
      <c r="Q69" s="144" t="n">
        <v>0.25</v>
      </c>
      <c r="R69" s="144" t="inlineStr">
        <is>
          <t>N/D</t>
        </is>
      </c>
      <c r="S69" s="144" t="n">
        <v>0.25</v>
      </c>
      <c r="T69" s="75" t="inlineStr">
        <is>
          <t>25,0%</t>
        </is>
      </c>
      <c r="U69" s="75" t="inlineStr">
        <is>
          <t>junior_pl</t>
        </is>
      </c>
      <c r="V69" s="75" t="inlineStr">
        <is>
          <t>direto no regulamento</t>
        </is>
      </c>
      <c r="W69" s="75" t="b">
        <v>1</v>
      </c>
      <c r="X69" s="75" t="inlineStr">
        <is>
          <t>Estrutura com uma única classe subordinada; métrica atual e piso usam o total subordinado sobre o PL.</t>
        </is>
      </c>
      <c r="Y69" s="75" t="b">
        <v>0</v>
      </c>
      <c r="Z69" s="144" t="inlineStr">
        <is>
          <t>N/D</t>
        </is>
      </c>
      <c r="AA69" s="144" t="inlineStr">
        <is>
          <t>N/D</t>
        </is>
      </c>
      <c r="AB69" s="75" t="inlineStr">
        <is>
          <t>não medido</t>
        </is>
      </c>
      <c r="AC69" s="75" t="inlineStr">
        <is>
          <t>Agro, Indústria e Comércio</t>
        </is>
      </c>
      <c r="AD69" s="75" t="inlineStr">
        <is>
          <t>Recebíveis Comerciais</t>
        </is>
      </c>
      <c r="AE69" s="75" t="inlineStr">
        <is>
          <t>Agro / Revenda</t>
        </is>
      </c>
      <c r="AF69" s="75" t="inlineStr">
        <is>
          <t>Agro / Revenda</t>
        </is>
      </c>
      <c r="AG69" s="75" t="inlineStr">
        <is>
          <t>Agro / Revenda</t>
        </is>
      </c>
      <c r="AH69" s="75" t="inlineStr">
        <is>
          <t>Risco Corporativo</t>
        </is>
      </c>
      <c r="AI69" s="75" t="inlineStr">
        <is>
          <t>Recebíveis comerciais Volkswagen</t>
        </is>
      </c>
      <c r="AJ69" s="75" t="b">
        <v>1</v>
      </c>
      <c r="AK69" s="75" t="inlineStr">
        <is>
          <t>APLICAR_ALTA</t>
        </is>
      </c>
      <c r="AL69" s="75" t="inlineStr">
        <is>
          <t>Clientes devem créditos pela compra de produtos Volkswagen</t>
        </is>
      </c>
      <c r="AM69" s="75" t="inlineStr">
        <is>
          <t>regulamento + IMG_8706</t>
        </is>
      </c>
      <c r="AN69" s="75" t="inlineStr">
        <is>
          <t>Não</t>
        </is>
      </c>
      <c r="AO69" s="75" t="inlineStr">
        <is>
          <t>regulamento + IMG_8706</t>
        </is>
      </c>
      <c r="AP69" s="75" t="b">
        <v>0</v>
      </c>
      <c r="AQ69" s="75" t="inlineStr">
        <is>
          <t>Risco Corporativo</t>
        </is>
      </c>
      <c r="AR69" s="75" t="inlineStr">
        <is>
          <t>Agro / Revenda</t>
        </is>
      </c>
      <c r="AS69" s="75" t="b">
        <v>1</v>
      </c>
      <c r="AT69" s="75" t="inlineStr">
        <is>
          <t>regulamento + IMG_8706</t>
        </is>
      </c>
      <c r="AU69" s="75" t="inlineStr">
        <is>
          <t>Clientes devem créditos pela compra de produtos Volkswagen</t>
        </is>
      </c>
      <c r="AV69" s="75" t="inlineStr">
        <is>
          <t>N/D</t>
        </is>
      </c>
      <c r="AW69" s="75" t="b">
        <v>0</v>
      </c>
      <c r="AX69" s="75" t="inlineStr">
        <is>
          <t>N/D</t>
        </is>
      </c>
      <c r="AY69" s="75" t="inlineStr">
        <is>
          <t>sem benchmark confiável</t>
        </is>
      </c>
      <c r="AZ69" s="144" t="inlineStr">
        <is>
          <t>N/D</t>
        </is>
      </c>
      <c r="BA69" s="75" t="b">
        <v>0</v>
      </c>
      <c r="BB69" s="145" t="n">
        <v>0</v>
      </c>
      <c r="BC69" s="143" t="n">
        <v>1000</v>
      </c>
      <c r="BD69" s="75" t="inlineStr">
        <is>
          <t>Cotas Seniores: R$1.000,00</t>
        </is>
      </c>
      <c r="BE69" s="75" t="inlineStr">
        <is>
          <t>preço/valor unitário de emissão</t>
        </is>
      </c>
      <c r="BF69" s="75" t="inlineStr">
        <is>
          <t>Cotas Seniores</t>
        </is>
      </c>
      <c r="BG69" s="75" t="inlineStr">
        <is>
          <t>28/01/2025</t>
        </is>
      </c>
      <c r="BH69" s="75" t="inlineStr">
        <is>
          <t>826212</t>
        </is>
      </c>
      <c r="BI69" s="75" t="inlineStr">
        <is>
          <t>https://fnet.bmfbovespa.com.br/fnet/publico/downloadDocumento?id=826212</t>
        </is>
      </c>
      <c r="BJ69" s="75" t="inlineStr">
        <is>
          <t>localizado documentalmente</t>
        </is>
      </c>
      <c r="BK69" s="75" t="b">
        <v>0</v>
      </c>
      <c r="BL69" s="75" t="inlineStr">
        <is>
          <t>Volkswagen do Brasil S.A.</t>
        </is>
      </c>
      <c r="BM69" s="75" t="inlineStr">
        <is>
          <t>cedente</t>
        </is>
      </c>
      <c r="BN69" s="75" t="inlineStr">
        <is>
          <t>N/D</t>
        </is>
      </c>
      <c r="BO69" s="75" t="inlineStr">
        <is>
          <t>a VOLKSWAGEN DO BRASIL INDÚSTRIA DE VEÍCULOS AUTOMOTORES LTDA., sociedade empresária, com sede na cidade de São Bernardo do Campo, Estado de São Paulo, na Estrada Marginal da Via Anchieta, s/n, Km 23,5, CEP 09823-901, inscrita no CNPJ sob</t>
        </is>
      </c>
      <c r="BP69" s="75" t="inlineStr">
        <is>
          <t>os clientes da Cedente que tenham adquirido Produtos e sejam devedores dos Direitos Creditórios , compostos por Devedores Concentrados e Devedores Pulverizados</t>
        </is>
      </c>
      <c r="BQ69" s="75" t="inlineStr">
        <is>
          <t>Direitos creditórios</t>
        </is>
      </c>
      <c r="BR69" s="75" t="inlineStr">
        <is>
          <t>cedente: https://fnet.bmfbovespa.com.br/fnet/publico/downloadDocumento?id=826212 | sacado_devedor: https://fnet.bmfbovespa.com.br/fnet/publico/downloadDocumento?id=826212 | tipo_recebivel: IMG_8706.JPG</t>
        </is>
      </c>
      <c r="BS69" s="75" t="inlineStr">
        <is>
          <t>manual_aplicado</t>
        </is>
      </c>
      <c r="BT69" s="75" t="inlineStr">
        <is>
          <t>OBS da foto: concentração grande com LM e Unidas, ambas com tendência de rating estável. Denominação cortada.</t>
        </is>
      </c>
      <c r="BU69" s="75" t="inlineStr">
        <is>
          <t>826213</t>
        </is>
      </c>
      <c r="BV69" s="75" t="inlineStr">
        <is>
          <t>2025-01-28</t>
        </is>
      </c>
      <c r="BW69" s="75" t="inlineStr">
        <is>
          <t>94</t>
        </is>
      </c>
      <c r="BX69" s="75" t="inlineStr">
        <is>
          <t>revisto — mínimo júnior localizado</t>
        </is>
      </c>
      <c r="BY69" s="75" t="inlineStr">
        <is>
          <t>FundosNet/B3; documento 826213; referência 2025-01-28; p. 94</t>
        </is>
      </c>
      <c r="BZ69" s="75" t="inlineStr">
        <is>
          <t>Cotas subordinadas / PL, mínimo de 25,0%; estrutura com uma única classe residual.</t>
        </is>
      </c>
      <c r="CA69" s="75" t="inlineStr">
        <is>
          <t>Sub/PL atual; originador</t>
        </is>
      </c>
      <c r="CB69" s="75" t="inlineStr">
        <is>
          <t>sub_pl_atual_ausente</t>
        </is>
      </c>
    </row>
    <row r="70" ht="31.5" customHeight="1">
      <c r="A70" s="74" t="n">
        <v>66</v>
      </c>
      <c r="B70" s="138" t="n">
        <v>54559035000194</v>
      </c>
      <c r="C70" s="74" t="inlineStr">
        <is>
          <t>54.559.035/0001-94</t>
        </is>
      </c>
      <c r="D70" s="74" t="inlineStr">
        <is>
          <t>ESTRATÉGIA VINCULADA I FUNDO DE INVESTIMENTO EM DIREITOS CREDITÓRIOS - RESPONSABILIDADE LIMITADA</t>
        </is>
      </c>
      <c r="E70" s="74" t="inlineStr">
        <is>
          <t>FUNDO DE INVESTIMENTO EM DIREITOS CREDITORIOS RESP</t>
        </is>
      </c>
      <c r="F70" s="74" t="inlineStr">
        <is>
          <t>Carteira 101</t>
        </is>
      </c>
      <c r="G70" s="74" t="inlineStr">
        <is>
          <t>2026-08</t>
        </is>
      </c>
      <c r="H70" s="74" t="inlineStr">
        <is>
          <t>localizado</t>
        </is>
      </c>
      <c r="I70" s="139" t="n">
        <v>80180577.16</v>
      </c>
      <c r="J70" s="139" t="n">
        <v>79148377.23577081</v>
      </c>
      <c r="K70" s="139" t="n">
        <v>10196850.6545316</v>
      </c>
      <c r="L70" s="140" t="inlineStr">
        <is>
          <t>N/D</t>
        </is>
      </c>
      <c r="M70" s="74" t="inlineStr">
        <is>
          <t>N/D — PL oficial diverge das classes acima de 0,5%</t>
        </is>
      </c>
      <c r="N70" s="140" t="n">
        <v>0.1</v>
      </c>
      <c r="O70" s="140" t="inlineStr">
        <is>
          <t>N/D</t>
        </is>
      </c>
      <c r="P70" s="140" t="inlineStr">
        <is>
          <t>N/D</t>
        </is>
      </c>
      <c r="Q70" s="140" t="n">
        <v>0.1</v>
      </c>
      <c r="R70" s="140" t="inlineStr">
        <is>
          <t>N/D</t>
        </is>
      </c>
      <c r="S70" s="140" t="n">
        <v>0.1</v>
      </c>
      <c r="T70" s="74" t="inlineStr">
        <is>
          <t>10,0%</t>
        </is>
      </c>
      <c r="U70" s="74" t="inlineStr">
        <is>
          <t>junior_pl</t>
        </is>
      </c>
      <c r="V70" s="74" t="inlineStr">
        <is>
          <t>direto no regulamento</t>
        </is>
      </c>
      <c r="W70" s="74" t="b">
        <v>1</v>
      </c>
      <c r="X70" s="74" t="inlineStr">
        <is>
          <t>Estrutura com uma única classe subordinada; métrica atual e piso usam o total subordinado sobre o PL.</t>
        </is>
      </c>
      <c r="Y70" s="74" t="b">
        <v>0</v>
      </c>
      <c r="Z70" s="140" t="inlineStr">
        <is>
          <t>N/D</t>
        </is>
      </c>
      <c r="AA70" s="140" t="inlineStr">
        <is>
          <t>N/D</t>
        </is>
      </c>
      <c r="AB70" s="74" t="inlineStr">
        <is>
          <t>não medido</t>
        </is>
      </c>
      <c r="AC70" s="74" t="inlineStr">
        <is>
          <t>Financeiro</t>
        </is>
      </c>
      <c r="AD70" s="74" t="inlineStr">
        <is>
          <t>Multicarteira Financeiro</t>
        </is>
      </c>
      <c r="AE70" s="74" t="inlineStr">
        <is>
          <t>Financeiro</t>
        </is>
      </c>
      <c r="AF70" s="74" t="inlineStr">
        <is>
          <t>Financeiro</t>
        </is>
      </c>
      <c r="AG70" s="74" t="inlineStr">
        <is>
          <t>Financeiro</t>
        </is>
      </c>
      <c r="AH70" s="74" t="inlineStr">
        <is>
          <t>Financeiro</t>
        </is>
      </c>
      <c r="AI70" s="74" t="inlineStr">
        <is>
          <t>CDB Banco IBM vinculado a contratos de leasing</t>
        </is>
      </c>
      <c r="AJ70" s="74" t="b">
        <v>0</v>
      </c>
      <c r="AK70" s="74" t="inlineStr">
        <is>
          <t>MANTER_ALTA</t>
        </is>
      </c>
      <c r="AL70" s="74" t="inlineStr">
        <is>
          <t>Obrigação imediata é CDB do Banco IBM</t>
        </is>
      </c>
      <c r="AM70" s="74" t="inlineStr">
        <is>
          <t>regulamento 634437</t>
        </is>
      </c>
      <c r="AN70" s="74" t="inlineStr">
        <is>
          <t>Não</t>
        </is>
      </c>
      <c r="AO70" s="74" t="inlineStr">
        <is>
          <t>regulamento 634437</t>
        </is>
      </c>
      <c r="AP70" s="74" t="b">
        <v>0</v>
      </c>
      <c r="AQ70" s="74" t="inlineStr">
        <is>
          <t>Financeiro</t>
        </is>
      </c>
      <c r="AR70" s="74" t="inlineStr">
        <is>
          <t>Financeiro</t>
        </is>
      </c>
      <c r="AS70" s="74" t="b">
        <v>0</v>
      </c>
      <c r="AT70" s="74" t="inlineStr">
        <is>
          <t>N/D</t>
        </is>
      </c>
      <c r="AU70" s="74" t="inlineStr">
        <is>
          <t>N/D</t>
        </is>
      </c>
      <c r="AV70" s="74" t="inlineStr">
        <is>
          <t>N/D</t>
        </is>
      </c>
      <c r="AW70" s="74" t="b">
        <v>0</v>
      </c>
      <c r="AX70" s="74" t="inlineStr">
        <is>
          <t>N/D</t>
        </is>
      </c>
      <c r="AY70" s="74" t="inlineStr">
        <is>
          <t>sem benchmark confiável</t>
        </is>
      </c>
      <c r="AZ70" s="140" t="inlineStr">
        <is>
          <t>N/D</t>
        </is>
      </c>
      <c r="BA70" s="74" t="b">
        <v>1</v>
      </c>
      <c r="BB70" s="141" t="n">
        <v>12</v>
      </c>
      <c r="BC70" s="139" t="n">
        <v>1</v>
      </c>
      <c r="BD70" s="74" t="inlineStr">
        <is>
          <t>Cotas Seniores: R$ 1,00 | Cotas Subordinadas: R$1,00 | R$ 1,00 | cotas subordinadas júnior: R$ 1,00</t>
        </is>
      </c>
      <c r="BE70" s="74" t="inlineStr">
        <is>
          <t>preço/valor unitário de emissão | valor nominal unitário (VNU)</t>
        </is>
      </c>
      <c r="BF70" s="74" t="inlineStr">
        <is>
          <t>Cotas Seniores | Cotas Subordinadas | cotas subordinadas júnior</t>
        </is>
      </c>
      <c r="BG70" s="74" t="inlineStr">
        <is>
          <t>2024-04-05</t>
        </is>
      </c>
      <c r="BH70" s="74" t="inlineStr">
        <is>
          <t>634437</t>
        </is>
      </c>
      <c r="BI70" s="74" t="inlineStr">
        <is>
          <t>https://fnet.bmfbovespa.com.br/fnet/publico/downloadDocumento?id=634437</t>
        </is>
      </c>
      <c r="BJ70" s="74" t="inlineStr">
        <is>
          <t>localizado documentalmente — múltiplos valores/classes</t>
        </is>
      </c>
      <c r="BK70" s="74" t="b">
        <v>1</v>
      </c>
      <c r="BL70" s="74" t="inlineStr">
        <is>
          <t>Banco IBM</t>
        </is>
      </c>
      <c r="BM70" s="74" t="inlineStr">
        <is>
          <t>cedente</t>
        </is>
      </c>
      <c r="BN70" s="74" t="inlineStr">
        <is>
          <t>N/D</t>
        </is>
      </c>
      <c r="BO70" s="74" t="inlineStr">
        <is>
          <t>Banco IBM</t>
        </is>
      </c>
      <c r="BP70" s="74" t="inlineStr">
        <is>
          <t>N/D</t>
        </is>
      </c>
      <c r="BQ70" s="74" t="inlineStr">
        <is>
          <t>os direitos creditórios consubstanciados nos Certificados de Depósito Bancário Vinculados , bem como todos e quaisquer outros encargos devidos por força dos Certificados de Depósito Bancário Vinculados , incluindo a totalidade dos respectivos acessórios, tais como encargos moratórios, multas, penalidades, indenizações, despesas, custas, honorários e demais encargos contratuais e legais previstos e relacionados nos Certificados de Depósito Bancário Vinculados , observado que o pagamento dos Certificados de Depósito Bancário Vinculados fica sujeito ao recebimento, pelo Banco IBM, dos valores devidos ao Banco IBM sob os Contratos de Leasing</t>
        </is>
      </c>
      <c r="BR70" s="74" t="inlineStr">
        <is>
          <t>cedente: IMG_8706.JPG | tipo_recebivel: https://fnet.bmfbovespa.com.br/fnet/publico/downloadDocumento?id=634437</t>
        </is>
      </c>
      <c r="BS70" s="74" t="inlineStr">
        <is>
          <t>manual_aplicado</t>
        </is>
      </c>
      <c r="BT70" s="74" t="inlineStr">
        <is>
          <t>N/D</t>
        </is>
      </c>
      <c r="BU70" s="74" t="inlineStr">
        <is>
          <t>634463</t>
        </is>
      </c>
      <c r="BV70" s="74" t="inlineStr">
        <is>
          <t>2024-04-05</t>
        </is>
      </c>
      <c r="BW70" s="74" t="inlineStr">
        <is>
          <t>50</t>
        </is>
      </c>
      <c r="BX70" s="74" t="inlineStr">
        <is>
          <t>revisto — mínimo júnior localizado</t>
        </is>
      </c>
      <c r="BY70" s="74" t="inlineStr">
        <is>
          <t>FundosNet/B3; documento 634463; referência 2024-04-05; p. 50</t>
        </is>
      </c>
      <c r="BZ70" s="74" t="inlineStr">
        <is>
          <t>Cotas subordinadas júnior / PL, mínimo de 10,0%; estrutura com cotas seniores e juniores.</t>
        </is>
      </c>
      <c r="CA70" s="74" t="inlineStr">
        <is>
          <t>Sub/PL atual; originador; sacado/devedor</t>
        </is>
      </c>
      <c r="CB70" s="74" t="inlineStr">
        <is>
          <t>sub_pl_atual_ausente</t>
        </is>
      </c>
    </row>
    <row r="71" ht="31.5" customHeight="1">
      <c r="A71" s="75" t="n">
        <v>67</v>
      </c>
      <c r="B71" s="142" t="n">
        <v>55070804000159</v>
      </c>
      <c r="C71" s="75" t="inlineStr">
        <is>
          <t>55.070.804/0001-59</t>
        </is>
      </c>
      <c r="D71" s="75" t="inlineStr">
        <is>
          <t>ESTRATÉGIA VINCULADA II FUNDO DE INVESTIMENTO EM DIREITOS CREDITÓRIOS - RESPONSABILIDADE LIMITADA</t>
        </is>
      </c>
      <c r="E71" s="75" t="inlineStr">
        <is>
          <t>ESTRATEGIA VINCULADA II FUNDO DE INVESTIMENTO EM D</t>
        </is>
      </c>
      <c r="F71" s="75" t="inlineStr">
        <is>
          <t>Carteira 101</t>
        </is>
      </c>
      <c r="G71" s="75" t="inlineStr">
        <is>
          <t>2026-08</t>
        </is>
      </c>
      <c r="H71" s="75" t="inlineStr">
        <is>
          <t>localizado</t>
        </is>
      </c>
      <c r="I71" s="143" t="inlineStr">
        <is>
          <t>N/D</t>
        </is>
      </c>
      <c r="J71" s="143" t="inlineStr">
        <is>
          <t>N/D</t>
        </is>
      </c>
      <c r="K71" s="143" t="inlineStr">
        <is>
          <t>N/D</t>
        </is>
      </c>
      <c r="L71" s="144" t="inlineStr">
        <is>
          <t>N/D</t>
        </is>
      </c>
      <c r="M71" s="75" t="inlineStr">
        <is>
          <t>PL oficial ausente em 2026-08</t>
        </is>
      </c>
      <c r="N71" s="144" t="n">
        <v>0.1</v>
      </c>
      <c r="O71" s="144" t="inlineStr">
        <is>
          <t>N/D</t>
        </is>
      </c>
      <c r="P71" s="144" t="inlineStr">
        <is>
          <t>N/D</t>
        </is>
      </c>
      <c r="Q71" s="144" t="n">
        <v>0.1</v>
      </c>
      <c r="R71" s="144" t="inlineStr">
        <is>
          <t>N/D</t>
        </is>
      </c>
      <c r="S71" s="144" t="n">
        <v>0.1</v>
      </c>
      <c r="T71" s="75" t="inlineStr">
        <is>
          <t>10,0%</t>
        </is>
      </c>
      <c r="U71" s="75" t="inlineStr">
        <is>
          <t>junior_pl</t>
        </is>
      </c>
      <c r="V71" s="75" t="inlineStr">
        <is>
          <t>direto no regulamento</t>
        </is>
      </c>
      <c r="W71" s="75" t="b">
        <v>1</v>
      </c>
      <c r="X71" s="75" t="inlineStr">
        <is>
          <t>Estrutura com uma única classe subordinada; métrica atual e piso usam o total subordinado sobre o PL.</t>
        </is>
      </c>
      <c r="Y71" s="75" t="b">
        <v>0</v>
      </c>
      <c r="Z71" s="144" t="inlineStr">
        <is>
          <t>N/D</t>
        </is>
      </c>
      <c r="AA71" s="144" t="inlineStr">
        <is>
          <t>N/D</t>
        </is>
      </c>
      <c r="AB71" s="75" t="inlineStr">
        <is>
          <t>não medido</t>
        </is>
      </c>
      <c r="AC71" s="75" t="inlineStr">
        <is>
          <t>Financeiro</t>
        </is>
      </c>
      <c r="AD71" s="75" t="inlineStr">
        <is>
          <t>Multicarteira Financeiro</t>
        </is>
      </c>
      <c r="AE71" s="75" t="inlineStr">
        <is>
          <t>Financeiro</t>
        </is>
      </c>
      <c r="AF71" s="75" t="inlineStr">
        <is>
          <t>Financeiro</t>
        </is>
      </c>
      <c r="AG71" s="75" t="inlineStr">
        <is>
          <t>Financeiro</t>
        </is>
      </c>
      <c r="AH71" s="75" t="inlineStr">
        <is>
          <t>Financeiro</t>
        </is>
      </c>
      <c r="AI71" s="75" t="inlineStr">
        <is>
          <t>CDB Banco IBM vinculado a contratos de leasing</t>
        </is>
      </c>
      <c r="AJ71" s="75" t="b">
        <v>0</v>
      </c>
      <c r="AK71" s="75" t="inlineStr">
        <is>
          <t>MANTER_ALTA</t>
        </is>
      </c>
      <c r="AL71" s="75" t="inlineStr">
        <is>
          <t>Obrigação imediata é CDB do Banco IBM</t>
        </is>
      </c>
      <c r="AM71" s="75" t="inlineStr">
        <is>
          <t>regulamento 667195</t>
        </is>
      </c>
      <c r="AN71" s="75" t="inlineStr">
        <is>
          <t>Não</t>
        </is>
      </c>
      <c r="AO71" s="75" t="inlineStr">
        <is>
          <t>regulamento 667195</t>
        </is>
      </c>
      <c r="AP71" s="75" t="b">
        <v>0</v>
      </c>
      <c r="AQ71" s="75" t="inlineStr">
        <is>
          <t>Financeiro</t>
        </is>
      </c>
      <c r="AR71" s="75" t="inlineStr">
        <is>
          <t>Financeiro</t>
        </is>
      </c>
      <c r="AS71" s="75" t="b">
        <v>0</v>
      </c>
      <c r="AT71" s="75" t="inlineStr">
        <is>
          <t>N/D</t>
        </is>
      </c>
      <c r="AU71" s="75" t="inlineStr">
        <is>
          <t>N/D</t>
        </is>
      </c>
      <c r="AV71" s="75" t="inlineStr">
        <is>
          <t>N/D</t>
        </is>
      </c>
      <c r="AW71" s="75" t="b">
        <v>0</v>
      </c>
      <c r="AX71" s="75" t="inlineStr">
        <is>
          <t>N/D</t>
        </is>
      </c>
      <c r="AY71" s="75" t="inlineStr">
        <is>
          <t>sem benchmark confiável</t>
        </is>
      </c>
      <c r="AZ71" s="144" t="inlineStr">
        <is>
          <t>N/D</t>
        </is>
      </c>
      <c r="BA71" s="75" t="b">
        <v>1</v>
      </c>
      <c r="BB71" s="145" t="n">
        <v>12</v>
      </c>
      <c r="BC71" s="143" t="n">
        <v>1</v>
      </c>
      <c r="BD71" s="75" t="inlineStr">
        <is>
          <t>Cotas Seniores: R$ 1,00 | Cotas Subordinadas Júnior: R$ 1,00</t>
        </is>
      </c>
      <c r="BE71" s="75" t="inlineStr">
        <is>
          <t>preço/valor unitário de emissão</t>
        </is>
      </c>
      <c r="BF71" s="75" t="inlineStr">
        <is>
          <t>Cotas Seniores | Cotas Subordinadas Júnior</t>
        </is>
      </c>
      <c r="BG71" s="75" t="inlineStr">
        <is>
          <t>2024-05-22</t>
        </is>
      </c>
      <c r="BH71" s="75" t="inlineStr">
        <is>
          <t>667195</t>
        </is>
      </c>
      <c r="BI71" s="75" t="inlineStr">
        <is>
          <t>https://fnet.bmfbovespa.com.br/fnet/publico/downloadDocumento?id=667195</t>
        </is>
      </c>
      <c r="BJ71" s="75" t="inlineStr">
        <is>
          <t>localizado documentalmente — múltiplos valores/classes</t>
        </is>
      </c>
      <c r="BK71" s="75" t="b">
        <v>1</v>
      </c>
      <c r="BL71" s="75" t="inlineStr">
        <is>
          <t>Banco IBM</t>
        </is>
      </c>
      <c r="BM71" s="75" t="inlineStr">
        <is>
          <t>cedente</t>
        </is>
      </c>
      <c r="BN71" s="75" t="inlineStr">
        <is>
          <t>N/D</t>
        </is>
      </c>
      <c r="BO71" s="75" t="inlineStr">
        <is>
          <t>o IBM BRASIL - INDÚSTRIA, MÁQUINAS, E SERVIÇOS LTDA. , sociedade limitada, com sede na Cidade do Rio de Janeiro , Estado d o Rio de Janeiro , na Avenida República do Chile, nº 330, 11º e 12º andares , CEP 20.031-170, inscrita no CNPJ/MF sob o nº 33.372.251/0001-56</t>
        </is>
      </c>
      <c r="BP71" s="75" t="inlineStr">
        <is>
          <t>N/D</t>
        </is>
      </c>
      <c r="BQ71" s="75" t="inlineStr">
        <is>
          <t>os direitos creditórios consubstanciados nos Certificados de Depósito Bancário Vinculados , bem como todos e quaisquer outros encargos devidos por força dos Certificados de Depósito Bancário Vinculados, incluindo a totalidade dos respectivos acessórios, tais como encargos moratórios, multas, penalidades, indenizações, despesas, custas, honorários e demais encargos contratuais e legais previstos e relacionados n os Certificados de Depós ito Bancário Vinculados , observado que o pagamento dos Certificados de Depósito Bancário Vinculados fica sujeito ao recebimento, pelo Banco IBM, dos valores devidos ao Banco IBM sob os Contratos de Leasing</t>
        </is>
      </c>
      <c r="BR71" s="75" t="inlineStr">
        <is>
          <t>cedente: https://fnet.bmfbovespa.com.br/fnet/publico/downloadDocumento?id=667195 | tipo_recebivel: https://fnet.bmfbovespa.com.br/fnet/publico/downloadDocumento?id=667195</t>
        </is>
      </c>
      <c r="BS71" s="75" t="inlineStr">
        <is>
          <t>manual_aplicado</t>
        </is>
      </c>
      <c r="BT71" s="75" t="inlineStr">
        <is>
          <t>Denominação cortada pela largura da coluna na foto.</t>
        </is>
      </c>
      <c r="BU71" s="75" t="inlineStr">
        <is>
          <t>667195</t>
        </is>
      </c>
      <c r="BV71" s="75" t="inlineStr">
        <is>
          <t>2024-05-22</t>
        </is>
      </c>
      <c r="BW71" s="75" t="inlineStr">
        <is>
          <t>57</t>
        </is>
      </c>
      <c r="BX71" s="75" t="inlineStr">
        <is>
          <t>revisto — mínimo júnior localizado</t>
        </is>
      </c>
      <c r="BY71" s="75" t="inlineStr">
        <is>
          <t>FundosNet/B3; documento 667195; referência 2024-05-22; p. 57</t>
        </is>
      </c>
      <c r="BZ71" s="75" t="inlineStr">
        <is>
          <t>Cotas subordinadas júnior / PL, mínimo de 10,0%; estrutura com cotas seniores e juniores.</t>
        </is>
      </c>
      <c r="CA71" s="75" t="inlineStr">
        <is>
          <t>PL atual; Sub/PL atual; originador; sacado/devedor</t>
        </is>
      </c>
      <c r="CB71" s="75" t="inlineStr">
        <is>
          <t>sub_pl_atual_ausente</t>
        </is>
      </c>
    </row>
    <row r="72" ht="31.5" customHeight="1">
      <c r="A72" s="74" t="n">
        <v>68</v>
      </c>
      <c r="B72" s="138" t="n">
        <v>43866348000179</v>
      </c>
      <c r="C72" s="74" t="inlineStr">
        <is>
          <t>43.866.348/0001-79</t>
        </is>
      </c>
      <c r="D72" s="74" t="inlineStr">
        <is>
          <t>FUNDO DE INVESTIMENTO EM DIREITOS CREDITÓRIOS OPEA AGRO SUMITOMO CHEMICAL RESP LIMITADA</t>
        </is>
      </c>
      <c r="E72" s="74" t="inlineStr">
        <is>
          <t>FUNDO DE INVESTIMENTO EM DIREITOS CREDITORIOS OPEA</t>
        </is>
      </c>
      <c r="F72" s="74" t="inlineStr">
        <is>
          <t>Carteira 101</t>
        </is>
      </c>
      <c r="G72" s="74" t="inlineStr">
        <is>
          <t>2026-08</t>
        </is>
      </c>
      <c r="H72" s="74" t="inlineStr">
        <is>
          <t>localizado</t>
        </is>
      </c>
      <c r="I72" s="139" t="n">
        <v>119061625.55</v>
      </c>
      <c r="J72" s="139" t="n">
        <v>119061625.1972017</v>
      </c>
      <c r="K72" s="139" t="n">
        <v>119061625.1972017</v>
      </c>
      <c r="L72" s="140" t="n">
        <v>0.9999999970368433</v>
      </c>
      <c r="M72" s="74" t="inlineStr">
        <is>
          <t>Calculado com classes reportadas e PL oficial reconciliado</t>
        </is>
      </c>
      <c r="N72" s="140" t="n">
        <v>0.05</v>
      </c>
      <c r="O72" s="140" t="inlineStr">
        <is>
          <t>N/D</t>
        </is>
      </c>
      <c r="P72" s="140" t="inlineStr">
        <is>
          <t>N/D</t>
        </is>
      </c>
      <c r="Q72" s="140" t="inlineStr">
        <is>
          <t>N/D</t>
        </is>
      </c>
      <c r="R72" s="140" t="inlineStr">
        <is>
          <t>N/D</t>
        </is>
      </c>
      <c r="S72" s="140" t="n">
        <v>0.05</v>
      </c>
      <c r="T72" s="74" t="inlineStr">
        <is>
          <t>N/D</t>
        </is>
      </c>
      <c r="U72" s="74" t="inlineStr">
        <is>
          <t>junior_pl</t>
        </is>
      </c>
      <c r="V72" s="74" t="inlineStr">
        <is>
          <t>direto no regulamento</t>
        </is>
      </c>
      <c r="W72" s="74" t="b">
        <v>0</v>
      </c>
      <c r="X72" s="74" t="inlineStr">
        <is>
          <t>Mínimo júnior isolado; a subordinação atual disponível agrega todas as classes subordinadas.</t>
        </is>
      </c>
      <c r="Y72" s="74" t="b">
        <v>0</v>
      </c>
      <c r="Z72" s="140" t="inlineStr">
        <is>
          <t>N/D</t>
        </is>
      </c>
      <c r="AA72" s="140" t="inlineStr">
        <is>
          <t>N/D</t>
        </is>
      </c>
      <c r="AB72" s="74" t="inlineStr">
        <is>
          <t>não medido</t>
        </is>
      </c>
      <c r="AC72" s="74" t="inlineStr">
        <is>
          <t>Agro, Indústria e Comércio</t>
        </is>
      </c>
      <c r="AD72" s="74" t="inlineStr">
        <is>
          <t>Multicarteira Agro, Indústria e Comércio</t>
        </is>
      </c>
      <c r="AE72" s="74" t="inlineStr">
        <is>
          <t>Agro / Revenda</t>
        </is>
      </c>
      <c r="AF72" s="74" t="inlineStr">
        <is>
          <t>Agro / Revenda</t>
        </is>
      </c>
      <c r="AG72" s="74" t="inlineStr">
        <is>
          <t>Agro / Revenda</t>
        </is>
      </c>
      <c r="AH72" s="74" t="inlineStr">
        <is>
          <t>Agro / Revenda</t>
        </is>
      </c>
      <c r="AI72" s="74" t="inlineStr">
        <is>
          <t>NP, CPR-F e CDCA da cadeia de insumos</t>
        </is>
      </c>
      <c r="AJ72" s="74" t="b">
        <v>0</v>
      </c>
      <c r="AK72" s="74" t="inlineStr">
        <is>
          <t>MANTER_ALTA</t>
        </is>
      </c>
      <c r="AL72" s="74" t="inlineStr">
        <is>
          <t>Instrumentos e emissores agro explícitos</t>
        </is>
      </c>
      <c r="AM72" s="74" t="inlineStr">
        <is>
          <t>regulamento 741138</t>
        </is>
      </c>
      <c r="AN72" s="74" t="inlineStr">
        <is>
          <t>Não</t>
        </is>
      </c>
      <c r="AO72" s="74" t="inlineStr">
        <is>
          <t>regulamento 741138</t>
        </is>
      </c>
      <c r="AP72" s="74" t="b">
        <v>0</v>
      </c>
      <c r="AQ72" s="74" t="inlineStr">
        <is>
          <t>Agro / Revenda</t>
        </is>
      </c>
      <c r="AR72" s="74" t="inlineStr">
        <is>
          <t>Agro / Revenda</t>
        </is>
      </c>
      <c r="AS72" s="74" t="b">
        <v>0</v>
      </c>
      <c r="AT72" s="74" t="inlineStr">
        <is>
          <t>N/D</t>
        </is>
      </c>
      <c r="AU72" s="74" t="inlineStr">
        <is>
          <t>N/D</t>
        </is>
      </c>
      <c r="AV72" s="74" t="inlineStr">
        <is>
          <t>≥ 60%</t>
        </is>
      </c>
      <c r="AW72" s="74" t="b">
        <v>1</v>
      </c>
      <c r="AX72" s="74" t="inlineStr">
        <is>
          <t>incomparável</t>
        </is>
      </c>
      <c r="AY72" s="74" t="inlineStr">
        <is>
          <t>sem benchmark confiável</t>
        </is>
      </c>
      <c r="AZ72" s="140" t="inlineStr">
        <is>
          <t>N/D</t>
        </is>
      </c>
      <c r="BA72" s="74" t="b">
        <v>0</v>
      </c>
      <c r="BB72" s="141" t="n">
        <v>0</v>
      </c>
      <c r="BC72" s="139" t="n">
        <v>1</v>
      </c>
      <c r="BD72" s="74" t="inlineStr">
        <is>
          <t>Cotas Subordinadas: R$ 1,00</t>
        </is>
      </c>
      <c r="BE72" s="74" t="inlineStr">
        <is>
          <t>preço/valor unitário de emissão</t>
        </is>
      </c>
      <c r="BF72" s="74" t="inlineStr">
        <is>
          <t>Cotas Subordinadas</t>
        </is>
      </c>
      <c r="BG72" s="74" t="inlineStr">
        <is>
          <t>17/09/2024</t>
        </is>
      </c>
      <c r="BH72" s="74" t="inlineStr">
        <is>
          <t>741138</t>
        </is>
      </c>
      <c r="BI72" s="74" t="inlineStr">
        <is>
          <t>https://fnet.bmfbovespa.com.br/fnet/publico/downloadDocumento?id=741138</t>
        </is>
      </c>
      <c r="BJ72" s="74" t="inlineStr">
        <is>
          <t>localizado documentalmente</t>
        </is>
      </c>
      <c r="BK72" s="74" t="b">
        <v>0</v>
      </c>
      <c r="BL72" s="74" t="inlineStr">
        <is>
          <t>SUMITOMO</t>
        </is>
      </c>
      <c r="BM72" s="74" t="inlineStr">
        <is>
          <t>cedente</t>
        </is>
      </c>
      <c r="BN72" s="74" t="inlineStr">
        <is>
          <t>a Sumitomo</t>
        </is>
      </c>
      <c r="BO72" s="74" t="inlineStr">
        <is>
          <t>(i) a Sumitomo, cujas cessões não contarão com coobrigação</t>
        </is>
      </c>
      <c r="BP72" s="74" t="inlineStr">
        <is>
          <t>N/D</t>
        </is>
      </c>
      <c r="BQ72" s="74" t="inlineStr">
        <is>
          <t>os recebíveis provenientes de (i) Notas Promissórias a serem emitidas por Distribuidores de Insumos; (ii) CPR-F a serem emitidas por Produtores, Cooperativas ou, ainda, Distribuidores, nos termos da legislação aplicável; (iii) CDCA a serem emitidos por Distribuidores</t>
        </is>
      </c>
      <c r="BR72" s="74" t="inlineStr">
        <is>
          <t>originador: https://fnet.bmfbovespa.com.br/fnet/publico/downloadDocumento?id=741138 | cedente: https://fnet.bmfbovespa.com.br/fnet/publico/downloadDocumento?id=741138 | tipo_recebivel: https://fnet.bmfbovespa.com.br/fnet/publico/downloadDocumento?id=741138</t>
        </is>
      </c>
      <c r="BS72" s="74" t="inlineStr">
        <is>
          <t>manual_aplicado</t>
        </is>
      </c>
      <c r="BT72" s="74" t="inlineStr">
        <is>
          <t>OBS literal: FIDC Sumitomo. Financia revendas e produtores.</t>
        </is>
      </c>
      <c r="BU72" s="74" t="inlineStr">
        <is>
          <t>741139</t>
        </is>
      </c>
      <c r="BV72" s="74" t="inlineStr">
        <is>
          <t>2024-09-17</t>
        </is>
      </c>
      <c r="BW72" s="74" t="inlineStr">
        <is>
          <t>81</t>
        </is>
      </c>
      <c r="BX72" s="74" t="inlineStr">
        <is>
          <t>revisto — mínimo júnior localizado</t>
        </is>
      </c>
      <c r="BY72" s="74" t="inlineStr">
        <is>
          <t>FundosNet/B3; documento 741139; referência 2024-09-17; p. 81</t>
        </is>
      </c>
      <c r="BZ72" s="74" t="inlineStr">
        <is>
          <t>Cotas subordinadas júnior / total das cotas, mínimo de 5,0%, mantido pelo valor atualizado.</t>
        </is>
      </c>
      <c r="CA72" s="74" t="inlineStr">
        <is>
          <t>sacado/devedor</t>
        </is>
      </c>
      <c r="CB72" s="74" t="inlineStr">
        <is>
          <t>estrutura_incomparavel</t>
        </is>
      </c>
    </row>
    <row r="73" ht="31.5" customHeight="1">
      <c r="A73" s="75" t="n">
        <v>69</v>
      </c>
      <c r="B73" s="142" t="n">
        <v>47936340000192</v>
      </c>
      <c r="C73" s="75" t="inlineStr">
        <is>
          <t>47.936.340/0001-92</t>
        </is>
      </c>
      <c r="D73" s="75" t="inlineStr">
        <is>
          <t>FUNDO DE INVESTIMENTO NAS CADEIAS PRODUTIVAS AGROINDUSTRIAIS OPEA AGRO INSUMOS RESPONSABILIDADE LIMI</t>
        </is>
      </c>
      <c r="E73" s="75" t="inlineStr">
        <is>
          <t>FUNDO DE INVESTIMENTO EM DIREITOS CREDITORIOS OPEA</t>
        </is>
      </c>
      <c r="F73" s="75" t="inlineStr">
        <is>
          <t>Carteira 101</t>
        </is>
      </c>
      <c r="G73" s="75" t="inlineStr">
        <is>
          <t>2026-08</t>
        </is>
      </c>
      <c r="H73" s="75" t="inlineStr">
        <is>
          <t>localizado</t>
        </is>
      </c>
      <c r="I73" s="143" t="inlineStr">
        <is>
          <t>N/D</t>
        </is>
      </c>
      <c r="J73" s="143" t="inlineStr">
        <is>
          <t>N/D</t>
        </is>
      </c>
      <c r="K73" s="143" t="inlineStr">
        <is>
          <t>N/D</t>
        </is>
      </c>
      <c r="L73" s="144" t="inlineStr">
        <is>
          <t>N/D</t>
        </is>
      </c>
      <c r="M73" s="75" t="inlineStr">
        <is>
          <t>PL oficial ausente em 2026-08</t>
        </is>
      </c>
      <c r="N73" s="144" t="inlineStr">
        <is>
          <t>N/D</t>
        </is>
      </c>
      <c r="O73" s="144" t="inlineStr">
        <is>
          <t>N/D</t>
        </is>
      </c>
      <c r="P73" s="144" t="inlineStr">
        <is>
          <t>N/D</t>
        </is>
      </c>
      <c r="Q73" s="144" t="n">
        <v>0.25</v>
      </c>
      <c r="R73" s="144" t="inlineStr">
        <is>
          <t>N/D</t>
        </is>
      </c>
      <c r="S73" s="144" t="n">
        <v>0.25</v>
      </c>
      <c r="T73" s="75" t="inlineStr">
        <is>
          <t>25,0%*</t>
        </is>
      </c>
      <c r="U73" s="75" t="inlineStr">
        <is>
          <t>suporte_total_pl</t>
        </is>
      </c>
      <c r="V73" s="75" t="inlineStr">
        <is>
          <t>direto no regulamento</t>
        </is>
      </c>
      <c r="W73" s="75" t="b">
        <v>1</v>
      </c>
      <c r="X73" s="75" t="inlineStr">
        <is>
          <t>Suporte total ou combinado; não representa mínimo júnior isolado.</t>
        </is>
      </c>
      <c r="Y73" s="75" t="b">
        <v>1</v>
      </c>
      <c r="Z73" s="144" t="inlineStr">
        <is>
          <t>N/D</t>
        </is>
      </c>
      <c r="AA73" s="144" t="inlineStr">
        <is>
          <t>N/D</t>
        </is>
      </c>
      <c r="AB73" s="75" t="inlineStr">
        <is>
          <t>não medido</t>
        </is>
      </c>
      <c r="AC73" s="75" t="inlineStr">
        <is>
          <t>Agro, Indústria e Comércio</t>
        </is>
      </c>
      <c r="AD73" s="75" t="inlineStr">
        <is>
          <t>Recebíveis Comerciais</t>
        </is>
      </c>
      <c r="AE73" s="75" t="inlineStr">
        <is>
          <t>Agro / Revenda</t>
        </is>
      </c>
      <c r="AF73" s="75" t="inlineStr">
        <is>
          <t>Agro / Revenda</t>
        </is>
      </c>
      <c r="AG73" s="75" t="inlineStr">
        <is>
          <t>Agro / Revenda</t>
        </is>
      </c>
      <c r="AH73" s="75" t="inlineStr">
        <is>
          <t>Agro / Revenda</t>
        </is>
      </c>
      <c r="AI73" s="75" t="inlineStr">
        <is>
          <t>Insumos agrícolas, prazo safra BASF</t>
        </is>
      </c>
      <c r="AJ73" s="75" t="b">
        <v>0</v>
      </c>
      <c r="AK73" s="75" t="inlineStr">
        <is>
          <t>MANTER_ALTA</t>
        </is>
      </c>
      <c r="AL73" s="75" t="inlineStr">
        <is>
          <t>BASF e insumos agrícolas</t>
        </is>
      </c>
      <c r="AM73" s="75" t="inlineStr">
        <is>
          <t>IMG_8706</t>
        </is>
      </c>
      <c r="AN73" s="75" t="inlineStr">
        <is>
          <t>Não</t>
        </is>
      </c>
      <c r="AO73" s="75" t="inlineStr">
        <is>
          <t>IMG_8706</t>
        </is>
      </c>
      <c r="AP73" s="75" t="b">
        <v>0</v>
      </c>
      <c r="AQ73" s="75" t="inlineStr">
        <is>
          <t>Agro / Revenda</t>
        </is>
      </c>
      <c r="AR73" s="75" t="inlineStr">
        <is>
          <t>Agro / Revenda</t>
        </is>
      </c>
      <c r="AS73" s="75" t="b">
        <v>0</v>
      </c>
      <c r="AT73" s="75" t="inlineStr">
        <is>
          <t>N/D</t>
        </is>
      </c>
      <c r="AU73" s="75" t="inlineStr">
        <is>
          <t>N/D</t>
        </is>
      </c>
      <c r="AV73" s="75" t="inlineStr">
        <is>
          <t>N/D</t>
        </is>
      </c>
      <c r="AW73" s="75" t="b">
        <v>0</v>
      </c>
      <c r="AX73" s="75" t="inlineStr">
        <is>
          <t>N/D</t>
        </is>
      </c>
      <c r="AY73" s="75" t="inlineStr">
        <is>
          <t>sem benchmark confiável</t>
        </is>
      </c>
      <c r="AZ73" s="144" t="inlineStr">
        <is>
          <t>N/D</t>
        </is>
      </c>
      <c r="BA73" s="75" t="b">
        <v>0</v>
      </c>
      <c r="BB73" s="145" t="n">
        <v>0</v>
      </c>
      <c r="BC73" s="143" t="n">
        <v>1000</v>
      </c>
      <c r="BD73" s="75" t="inlineStr">
        <is>
          <t>Cotas Subordinadas Mezanino: R$ 1.000,00</t>
        </is>
      </c>
      <c r="BE73" s="75" t="inlineStr">
        <is>
          <t>preço/valor unitário de emissão</t>
        </is>
      </c>
      <c r="BF73" s="75" t="inlineStr">
        <is>
          <t>Cotas Subordinadas Mezanino</t>
        </is>
      </c>
      <c r="BG73" s="75" t="inlineStr">
        <is>
          <t>2025-03-11</t>
        </is>
      </c>
      <c r="BH73" s="75" t="inlineStr">
        <is>
          <t>862072</t>
        </is>
      </c>
      <c r="BI73" s="75" t="inlineStr">
        <is>
          <t>https://fnet.bmfbovespa.com.br/fnet/publico/downloadDocumento?id=862072</t>
        </is>
      </c>
      <c r="BJ73" s="75" t="inlineStr">
        <is>
          <t>localizado documentalmente</t>
        </is>
      </c>
      <c r="BK73" s="75" t="b">
        <v>0</v>
      </c>
      <c r="BL73" s="75" t="inlineStr">
        <is>
          <t>BASF</t>
        </is>
      </c>
      <c r="BM73" s="75" t="inlineStr">
        <is>
          <t>cedente</t>
        </is>
      </c>
      <c r="BN73" s="75" t="inlineStr">
        <is>
          <t>N/D</t>
        </is>
      </c>
      <c r="BO73" s="75" t="inlineStr">
        <is>
          <t>BASF</t>
        </is>
      </c>
      <c r="BP73" s="75" t="inlineStr">
        <is>
          <t>N/D</t>
        </is>
      </c>
      <c r="BQ73" s="75" t="inlineStr">
        <is>
          <t>Insumos Agrícolas - prazo Safra</t>
        </is>
      </c>
      <c r="BR73" s="75" t="inlineStr">
        <is>
          <t>cedente: IMG_8706.JPG | tipo_recebivel: IMG_8706.JPG</t>
        </is>
      </c>
      <c r="BS73" s="75" t="inlineStr">
        <is>
          <t>manual_aplicado</t>
        </is>
      </c>
      <c r="BT73" s="75" t="inlineStr">
        <is>
          <t>N/D</t>
        </is>
      </c>
      <c r="BU73" s="75" t="inlineStr">
        <is>
          <t>801978</t>
        </is>
      </c>
      <c r="BV73" s="75" t="inlineStr">
        <is>
          <t>2025-03-11</t>
        </is>
      </c>
      <c r="BW73" s="75" t="inlineStr">
        <is>
          <t>4</t>
        </is>
      </c>
      <c r="BX73" s="75" t="inlineStr">
        <is>
          <t>revisto — suporte estrutural total localizado</t>
        </is>
      </c>
      <c r="BY73" s="75" t="inlineStr">
        <is>
          <t>FundosNet/B3; documento 801978; referência 2025-03-11; p. 4</t>
        </is>
      </c>
      <c r="BZ73" s="75" t="inlineStr">
        <is>
          <t>N/D</t>
        </is>
      </c>
      <c r="CA73" s="75" t="inlineStr">
        <is>
          <t>PL atual; Sub/PL atual; originador; sacado/devedor</t>
        </is>
      </c>
      <c r="CB73" s="75" t="inlineStr">
        <is>
          <t>sub_pl_atual_ausente</t>
        </is>
      </c>
    </row>
    <row r="74" ht="31.5" customHeight="1">
      <c r="A74" s="74" t="n">
        <v>70</v>
      </c>
      <c r="B74" s="138" t="n">
        <v>58291962000127</v>
      </c>
      <c r="C74" s="74" t="inlineStr">
        <is>
          <t>58.291.962/0001-27</t>
        </is>
      </c>
      <c r="D74" s="74" t="inlineStr">
        <is>
          <t>HELM FUNDO DE INVESTIMENTO NAS CADEIAS PRODUTIVAS DO AGRONEGÓCIO - RESPONSABILIDADE LIMITADA</t>
        </is>
      </c>
      <c r="E74" s="74" t="inlineStr">
        <is>
          <t>HELM FUNDO I E D C RESPONS</t>
        </is>
      </c>
      <c r="F74" s="74" t="inlineStr">
        <is>
          <t>Carteira 101</t>
        </is>
      </c>
      <c r="G74" s="74" t="inlineStr">
        <is>
          <t>2026-08</t>
        </is>
      </c>
      <c r="H74" s="74" t="inlineStr">
        <is>
          <t>localizado</t>
        </is>
      </c>
      <c r="I74" s="139" t="inlineStr">
        <is>
          <t>N/D</t>
        </is>
      </c>
      <c r="J74" s="139" t="inlineStr">
        <is>
          <t>N/D</t>
        </is>
      </c>
      <c r="K74" s="139" t="inlineStr">
        <is>
          <t>N/D</t>
        </is>
      </c>
      <c r="L74" s="140" t="inlineStr">
        <is>
          <t>N/D</t>
        </is>
      </c>
      <c r="M74" s="74" t="inlineStr">
        <is>
          <t>PL oficial ausente em 2026-08</t>
        </is>
      </c>
      <c r="N74" s="140" t="inlineStr">
        <is>
          <t>N/D</t>
        </is>
      </c>
      <c r="O74" s="140" t="inlineStr">
        <is>
          <t>N/D</t>
        </is>
      </c>
      <c r="P74" s="140" t="inlineStr">
        <is>
          <t>N/D</t>
        </is>
      </c>
      <c r="Q74" s="140" t="n">
        <v>0.2</v>
      </c>
      <c r="R74" s="140" t="inlineStr">
        <is>
          <t>N/D</t>
        </is>
      </c>
      <c r="S74" s="140" t="n">
        <v>0.2</v>
      </c>
      <c r="T74" s="74" t="inlineStr">
        <is>
          <t>20,0%*</t>
        </is>
      </c>
      <c r="U74" s="74" t="inlineStr">
        <is>
          <t>suporte_total_pl</t>
        </is>
      </c>
      <c r="V74" s="74" t="inlineStr">
        <is>
          <t>direto no regulamento</t>
        </is>
      </c>
      <c r="W74" s="74" t="b">
        <v>1</v>
      </c>
      <c r="X74" s="74" t="inlineStr">
        <is>
          <t>Suporte total ou combinado; não representa mínimo júnior isolado.</t>
        </is>
      </c>
      <c r="Y74" s="74" t="b">
        <v>1</v>
      </c>
      <c r="Z74" s="140" t="inlineStr">
        <is>
          <t>N/D</t>
        </is>
      </c>
      <c r="AA74" s="140" t="inlineStr">
        <is>
          <t>N/D</t>
        </is>
      </c>
      <c r="AB74" s="74" t="inlineStr">
        <is>
          <t>não medido</t>
        </is>
      </c>
      <c r="AC74" s="74" t="inlineStr">
        <is>
          <t>Agro, Indústria e Comércio</t>
        </is>
      </c>
      <c r="AD74" s="74" t="inlineStr">
        <is>
          <t>Multicarteira Agro, Indústria e Comércio</t>
        </is>
      </c>
      <c r="AE74" s="74" t="inlineStr">
        <is>
          <t>Agro / Revenda</t>
        </is>
      </c>
      <c r="AF74" s="74" t="inlineStr">
        <is>
          <t>Agro / Revenda</t>
        </is>
      </c>
      <c r="AG74" s="74" t="inlineStr">
        <is>
          <t>Agro / Revenda</t>
        </is>
      </c>
      <c r="AH74" s="74" t="inlineStr">
        <is>
          <t>Agro / Revenda</t>
        </is>
      </c>
      <c r="AI74" s="74" t="inlineStr">
        <is>
          <t>Recebíveis comerciais HELM na cadeia agro</t>
        </is>
      </c>
      <c r="AJ74" s="74" t="b">
        <v>0</v>
      </c>
      <c r="AK74" s="74" t="inlineStr">
        <is>
          <t>MANTER_ASTERISCO</t>
        </is>
      </c>
      <c r="AL74" s="74" t="inlineStr">
        <is>
          <t>Produto agro não está explícito no trecho aceito</t>
        </is>
      </c>
      <c r="AM74" s="74" t="inlineStr">
        <is>
          <t>regulamento 957854</t>
        </is>
      </c>
      <c r="AN74" s="74" t="inlineStr">
        <is>
          <t>Não</t>
        </is>
      </c>
      <c r="AO74" s="74" t="inlineStr">
        <is>
          <t>regulamento 957854</t>
        </is>
      </c>
      <c r="AP74" s="74" t="b">
        <v>0</v>
      </c>
      <c r="AQ74" s="74" t="inlineStr">
        <is>
          <t>Agro / Revenda</t>
        </is>
      </c>
      <c r="AR74" s="74" t="inlineStr">
        <is>
          <t>Agro / Revenda</t>
        </is>
      </c>
      <c r="AS74" s="74" t="b">
        <v>0</v>
      </c>
      <c r="AT74" s="74" t="inlineStr">
        <is>
          <t>N/D</t>
        </is>
      </c>
      <c r="AU74" s="74" t="inlineStr">
        <is>
          <t>N/D</t>
        </is>
      </c>
      <c r="AV74" s="74" t="inlineStr">
        <is>
          <t>N/D</t>
        </is>
      </c>
      <c r="AW74" s="74" t="b">
        <v>0</v>
      </c>
      <c r="AX74" s="74" t="inlineStr">
        <is>
          <t>N/D</t>
        </is>
      </c>
      <c r="AY74" s="74" t="inlineStr">
        <is>
          <t>sem benchmark confiável</t>
        </is>
      </c>
      <c r="AZ74" s="140" t="inlineStr">
        <is>
          <t>N/D</t>
        </is>
      </c>
      <c r="BA74" s="74" t="b">
        <v>0</v>
      </c>
      <c r="BB74" s="141" t="n">
        <v>0</v>
      </c>
      <c r="BC74" s="139" t="n">
        <v>1000</v>
      </c>
      <c r="BD74" s="74" t="inlineStr">
        <is>
          <t>Cotas Subordinadas Júnior: R$1.000,00 | R$1.000,00</t>
        </is>
      </c>
      <c r="BE74" s="74" t="inlineStr">
        <is>
          <t>preço/valor unitário de emissão</t>
        </is>
      </c>
      <c r="BF74" s="74" t="inlineStr">
        <is>
          <t>Cotas Subordinadas Júnior</t>
        </is>
      </c>
      <c r="BG74" s="74" t="inlineStr">
        <is>
          <t>2025-07-30</t>
        </is>
      </c>
      <c r="BH74" s="74" t="inlineStr">
        <is>
          <t>957854</t>
        </is>
      </c>
      <c r="BI74" s="74" t="inlineStr">
        <is>
          <t>https://fnet.bmfbovespa.com.br/fnet/publico/downloadDocumento?id=957854</t>
        </is>
      </c>
      <c r="BJ74" s="74" t="inlineStr">
        <is>
          <t>localizado documentalmente — múltiplos valores/classes</t>
        </is>
      </c>
      <c r="BK74" s="74" t="b">
        <v>1</v>
      </c>
      <c r="BL74" s="74" t="inlineStr">
        <is>
          <t>Helm</t>
        </is>
      </c>
      <c r="BM74" s="74" t="inlineStr">
        <is>
          <t>cedente</t>
        </is>
      </c>
      <c r="BN74" s="74" t="inlineStr">
        <is>
          <t>N/D</t>
        </is>
      </c>
      <c r="BO74" s="74" t="inlineStr">
        <is>
          <t>a HELM DO BRASIL MERCANTIL LTDA. , sociedade empresária de responsabilidade limitada, com sede na</t>
        </is>
      </c>
      <c r="BP74" s="74" t="inlineStr">
        <is>
          <t>qualquer cliente da Cedente cujos Direitos Creditórios venham a ser cedidos ao Fundo, observadas as características e condições descritas neste Anexo Descritivo , e que estejam de acordo com a Política de Crédito e Originação</t>
        </is>
      </c>
      <c r="BQ74" s="74" t="inlineStr">
        <is>
          <t>os direitos creditórios cedidos pela Cedente , representados pelos Documentos Comprobatórios, detidos pela Cedente contra os Devedores</t>
        </is>
      </c>
      <c r="BR74" s="74" t="inlineStr">
        <is>
          <t>cedente: https://fnet.bmfbovespa.com.br/fnet/publico/downloadDocumento?id=957854 | sacado_devedor: https://fnet.bmfbovespa.com.br/fnet/publico/downloadDocumento?id=957854 | tipo_recebivel: https://fnet.bmfbovespa.com.br/fnet/publico/downloadDocumento?id=957854</t>
        </is>
      </c>
      <c r="BS74" s="74" t="inlineStr">
        <is>
          <t>manual_aplicado</t>
        </is>
      </c>
      <c r="BT74" s="74" t="inlineStr">
        <is>
          <t>N/D</t>
        </is>
      </c>
      <c r="BU74" s="74" t="inlineStr">
        <is>
          <t>957854</t>
        </is>
      </c>
      <c r="BV74" s="74" t="inlineStr">
        <is>
          <t>2025-07-30</t>
        </is>
      </c>
      <c r="BW74" s="74" t="inlineStr">
        <is>
          <t>99–100</t>
        </is>
      </c>
      <c r="BX74" s="74" t="inlineStr">
        <is>
          <t>revisto — suporte estrutural total localizado</t>
        </is>
      </c>
      <c r="BY74" s="74" t="inlineStr">
        <is>
          <t>FundosNet/B3; documento 957854; referência 2025-07-30; p. 99–100</t>
        </is>
      </c>
      <c r="BZ74" s="74" t="inlineStr">
        <is>
          <t>N/D</t>
        </is>
      </c>
      <c r="CA74" s="74" t="inlineStr">
        <is>
          <t>PL atual; Sub/PL atual; originador</t>
        </is>
      </c>
      <c r="CB74" s="74" t="inlineStr">
        <is>
          <t>sub_pl_atual_ausente</t>
        </is>
      </c>
    </row>
    <row r="75" ht="31.5" customHeight="1">
      <c r="A75" s="75" t="n">
        <v>71</v>
      </c>
      <c r="B75" s="142" t="n">
        <v>57259989000170</v>
      </c>
      <c r="C75" s="75" t="inlineStr">
        <is>
          <t>57.259.989/0001-70</t>
        </is>
      </c>
      <c r="D75" s="75" t="inlineStr">
        <is>
          <t>TRÊS TENTOS FIAGRO RESPONSABILIDADE LIMITADA</t>
        </is>
      </c>
      <c r="E75" s="75" t="inlineStr">
        <is>
          <t>TRES TENTOS FUNDO DE INVESTIMENTO EM DIREITOS CRE</t>
        </is>
      </c>
      <c r="F75" s="75" t="inlineStr">
        <is>
          <t>Carteira 101</t>
        </is>
      </c>
      <c r="G75" s="75" t="inlineStr">
        <is>
          <t>2026-08</t>
        </is>
      </c>
      <c r="H75" s="75" t="inlineStr">
        <is>
          <t>localizado</t>
        </is>
      </c>
      <c r="I75" s="143" t="inlineStr">
        <is>
          <t>N/D</t>
        </is>
      </c>
      <c r="J75" s="143" t="inlineStr">
        <is>
          <t>N/D</t>
        </is>
      </c>
      <c r="K75" s="143" t="inlineStr">
        <is>
          <t>N/D</t>
        </is>
      </c>
      <c r="L75" s="144" t="inlineStr">
        <is>
          <t>N/D</t>
        </is>
      </c>
      <c r="M75" s="75" t="inlineStr">
        <is>
          <t>PL oficial ausente em 2026-08</t>
        </is>
      </c>
      <c r="N75" s="144" t="inlineStr">
        <is>
          <t>N/D</t>
        </is>
      </c>
      <c r="O75" s="144" t="inlineStr">
        <is>
          <t>N/D</t>
        </is>
      </c>
      <c r="P75" s="144" t="inlineStr">
        <is>
          <t>N/D</t>
        </is>
      </c>
      <c r="Q75" s="144" t="n">
        <v>0.2</v>
      </c>
      <c r="R75" s="144" t="inlineStr">
        <is>
          <t>N/D</t>
        </is>
      </c>
      <c r="S75" s="144" t="n">
        <v>0.2</v>
      </c>
      <c r="T75" s="75" t="inlineStr">
        <is>
          <t>20,0%*</t>
        </is>
      </c>
      <c r="U75" s="75" t="inlineStr">
        <is>
          <t>suporte_total_pl</t>
        </is>
      </c>
      <c r="V75" s="75" t="inlineStr">
        <is>
          <t>direto no regulamento</t>
        </is>
      </c>
      <c r="W75" s="75" t="b">
        <v>1</v>
      </c>
      <c r="X75" s="75" t="inlineStr">
        <is>
          <t>Suporte total ou combinado; não representa mínimo júnior isolado.</t>
        </is>
      </c>
      <c r="Y75" s="75" t="b">
        <v>1</v>
      </c>
      <c r="Z75" s="144" t="inlineStr">
        <is>
          <t>N/D</t>
        </is>
      </c>
      <c r="AA75" s="144" t="inlineStr">
        <is>
          <t>N/D</t>
        </is>
      </c>
      <c r="AB75" s="75" t="inlineStr">
        <is>
          <t>não medido</t>
        </is>
      </c>
      <c r="AC75" s="75" t="inlineStr">
        <is>
          <t>Agro, Indústria e Comércio</t>
        </is>
      </c>
      <c r="AD75" s="75" t="inlineStr">
        <is>
          <t>Agronegócio</t>
        </is>
      </c>
      <c r="AE75" s="75" t="inlineStr">
        <is>
          <t>Agro / Revenda</t>
        </is>
      </c>
      <c r="AF75" s="75" t="inlineStr">
        <is>
          <t>Agro / Revenda</t>
        </is>
      </c>
      <c r="AG75" s="75" t="inlineStr">
        <is>
          <t>Agro / Revenda</t>
        </is>
      </c>
      <c r="AH75" s="75" t="inlineStr">
        <is>
          <t>Agro / Revenda</t>
        </is>
      </c>
      <c r="AI75" s="75" t="inlineStr">
        <is>
          <t>Recebíveis e CPR da 3Tentos</t>
        </is>
      </c>
      <c r="AJ75" s="75" t="b">
        <v>0</v>
      </c>
      <c r="AK75" s="75" t="inlineStr">
        <is>
          <t>MANTER_ALTA</t>
        </is>
      </c>
      <c r="AL75" s="75" t="inlineStr">
        <is>
          <t>Regulamento inclui CPR e clientes da cedente agro</t>
        </is>
      </c>
      <c r="AM75" s="75" t="inlineStr">
        <is>
          <t>regulamento 1016583</t>
        </is>
      </c>
      <c r="AN75" s="75" t="inlineStr">
        <is>
          <t>Não</t>
        </is>
      </c>
      <c r="AO75" s="75" t="inlineStr">
        <is>
          <t>regulamento 1016583</t>
        </is>
      </c>
      <c r="AP75" s="75" t="b">
        <v>0</v>
      </c>
      <c r="AQ75" s="75" t="inlineStr">
        <is>
          <t>Agro / Revenda</t>
        </is>
      </c>
      <c r="AR75" s="75" t="inlineStr">
        <is>
          <t>Agro / Revenda</t>
        </is>
      </c>
      <c r="AS75" s="75" t="b">
        <v>0</v>
      </c>
      <c r="AT75" s="75" t="inlineStr">
        <is>
          <t>N/D</t>
        </is>
      </c>
      <c r="AU75" s="75" t="inlineStr">
        <is>
          <t>N/D</t>
        </is>
      </c>
      <c r="AV75" s="75" t="inlineStr">
        <is>
          <t>N/D</t>
        </is>
      </c>
      <c r="AW75" s="75" t="b">
        <v>0</v>
      </c>
      <c r="AX75" s="75" t="inlineStr">
        <is>
          <t>N/D</t>
        </is>
      </c>
      <c r="AY75" s="75" t="inlineStr">
        <is>
          <t>sem benchmark confiável</t>
        </is>
      </c>
      <c r="AZ75" s="144" t="inlineStr">
        <is>
          <t>N/D</t>
        </is>
      </c>
      <c r="BA75" s="75" t="b">
        <v>0</v>
      </c>
      <c r="BB75" s="145" t="n">
        <v>0</v>
      </c>
      <c r="BC75" s="143" t="n">
        <v>1000</v>
      </c>
      <c r="BD75" s="75" t="inlineStr">
        <is>
          <t>Cotas Subordinadas: R$ 1.000,00 | Cotas Subordinadas Júnior: R$1.000,00 | R$1.000,00</t>
        </is>
      </c>
      <c r="BE75" s="75" t="inlineStr">
        <is>
          <t>preço/valor unitário de emissão</t>
        </is>
      </c>
      <c r="BF75" s="75" t="inlineStr">
        <is>
          <t>Cotas Subordinadas | Cotas Subordinadas Júnior</t>
        </is>
      </c>
      <c r="BG75" s="75" t="inlineStr">
        <is>
          <t>2025-10-16</t>
        </is>
      </c>
      <c r="BH75" s="75" t="inlineStr">
        <is>
          <t>1016583</t>
        </is>
      </c>
      <c r="BI75" s="75" t="inlineStr">
        <is>
          <t>https://fnet.bmfbovespa.com.br/fnet/publico/downloadDocumento?id=1016583</t>
        </is>
      </c>
      <c r="BJ75" s="75" t="inlineStr">
        <is>
          <t>localizado documentalmente — múltiplos valores/classes</t>
        </is>
      </c>
      <c r="BK75" s="75" t="b">
        <v>1</v>
      </c>
      <c r="BL75" s="75" t="inlineStr">
        <is>
          <t>Tres Tentos</t>
        </is>
      </c>
      <c r="BM75" s="75" t="inlineStr">
        <is>
          <t>cedente</t>
        </is>
      </c>
      <c r="BN75" s="75" t="inlineStr">
        <is>
          <t>N/D</t>
        </is>
      </c>
      <c r="BO75" s="75" t="inlineStr">
        <is>
          <t>Tres Tentos</t>
        </is>
      </c>
      <c r="BP75" s="75" t="inlineStr">
        <is>
          <t>qualquer cliente das Cedentes, atuantes no segmento</t>
        </is>
      </c>
      <c r="BQ75" s="75" t="inlineStr">
        <is>
          <t>os direitos creditórios originados pelas Cedentes, representados pelos Documentos Comprobatórios, detidos pelas Cedentes contra os Devedores, os quais incluem os Direitos Creditórios CPR</t>
        </is>
      </c>
      <c r="BR75" s="75" t="inlineStr">
        <is>
          <t>cedente: IMG_8706.JPG | sacado_devedor: https://fnet.bmfbovespa.com.br/fnet/publico/downloadDocumento?id=1016583 | tipo_recebivel: https://fnet.bmfbovespa.com.br/fnet/publico/downloadDocumento?id=1016583</t>
        </is>
      </c>
      <c r="BS75" s="75" t="inlineStr">
        <is>
          <t>manual_aplicado</t>
        </is>
      </c>
      <c r="BT75" s="75" t="inlineStr">
        <is>
          <t>Denominação cortada pela largura da coluna na foto.</t>
        </is>
      </c>
      <c r="BU75" s="75" t="inlineStr">
        <is>
          <t>1016583</t>
        </is>
      </c>
      <c r="BV75" s="75" t="inlineStr">
        <is>
          <t>2025-10-16</t>
        </is>
      </c>
      <c r="BW75" s="75" t="inlineStr">
        <is>
          <t>104</t>
        </is>
      </c>
      <c r="BX75" s="75" t="inlineStr">
        <is>
          <t>revisto — suporte estrutural total localizado</t>
        </is>
      </c>
      <c r="BY75" s="75" t="inlineStr">
        <is>
          <t>FundosNet/B3; documento 1016583; referência 2025-10-16; p. 104</t>
        </is>
      </c>
      <c r="BZ75" s="75" t="inlineStr">
        <is>
          <t>N/D</t>
        </is>
      </c>
      <c r="CA75" s="75" t="inlineStr">
        <is>
          <t>PL atual; Sub/PL atual; originador</t>
        </is>
      </c>
      <c r="CB75" s="75" t="inlineStr">
        <is>
          <t>sub_pl_atual_ausente</t>
        </is>
      </c>
    </row>
    <row r="76" ht="31.5" customHeight="1">
      <c r="A76" s="74" t="n">
        <v>72</v>
      </c>
      <c r="B76" s="138" t="n">
        <v>58171340000165</v>
      </c>
      <c r="C76" s="74" t="inlineStr">
        <is>
          <t>58.171.340/0001-65</t>
        </is>
      </c>
      <c r="D76" s="74" t="inlineStr">
        <is>
          <t>FRIMESA FUNDO DE INVESTIMENTO EM DIREITOS CREDITÓRIOS DE RESPONSABILIDADE LIMITADA</t>
        </is>
      </c>
      <c r="E76" s="74" t="inlineStr">
        <is>
          <t>FRIMESA FUNDO DE INVESTIMENTO EM DIREITOS CREDITOR</t>
        </is>
      </c>
      <c r="F76" s="74" t="inlineStr">
        <is>
          <t>Carteira 101</t>
        </is>
      </c>
      <c r="G76" s="74" t="inlineStr">
        <is>
          <t>2026-08</t>
        </is>
      </c>
      <c r="H76" s="74" t="inlineStr">
        <is>
          <t>localizado</t>
        </is>
      </c>
      <c r="I76" s="139" t="n">
        <v>358889817.79</v>
      </c>
      <c r="J76" s="139" t="n">
        <v>358889817.7800113</v>
      </c>
      <c r="K76" s="139" t="n">
        <v>76267260.69001128</v>
      </c>
      <c r="L76" s="140" t="n">
        <v>0.2125088450813562</v>
      </c>
      <c r="M76" s="74" t="inlineStr">
        <is>
          <t>Calculado com classes reportadas e PL oficial reconciliado</t>
        </is>
      </c>
      <c r="N76" s="140" t="n">
        <v>0.01</v>
      </c>
      <c r="O76" s="140" t="inlineStr">
        <is>
          <t>N/D</t>
        </is>
      </c>
      <c r="P76" s="140" t="inlineStr">
        <is>
          <t>N/D</t>
        </is>
      </c>
      <c r="Q76" s="140" t="inlineStr">
        <is>
          <t>N/D</t>
        </is>
      </c>
      <c r="R76" s="140" t="inlineStr">
        <is>
          <t>N/D</t>
        </is>
      </c>
      <c r="S76" s="140" t="n">
        <v>0.01</v>
      </c>
      <c r="T76" s="74" t="inlineStr">
        <is>
          <t>N/D</t>
        </is>
      </c>
      <c r="U76" s="74" t="inlineStr">
        <is>
          <t>junior_pl</t>
        </is>
      </c>
      <c r="V76" s="74" t="inlineStr">
        <is>
          <t>direto no regulamento</t>
        </is>
      </c>
      <c r="W76" s="74" t="b">
        <v>0</v>
      </c>
      <c r="X76" s="74" t="inlineStr">
        <is>
          <t>Mínimo júnior isolado; a subordinação atual disponível agrega todas as classes subordinadas.</t>
        </is>
      </c>
      <c r="Y76" s="74" t="b">
        <v>0</v>
      </c>
      <c r="Z76" s="140" t="inlineStr">
        <is>
          <t>N/D</t>
        </is>
      </c>
      <c r="AA76" s="140" t="inlineStr">
        <is>
          <t>N/D</t>
        </is>
      </c>
      <c r="AB76" s="74" t="inlineStr">
        <is>
          <t>não medido</t>
        </is>
      </c>
      <c r="AC76" s="74" t="inlineStr">
        <is>
          <t>Agro, Indústria e Comércio</t>
        </is>
      </c>
      <c r="AD76" s="74" t="inlineStr">
        <is>
          <t>Multicarteira Agro, Indústria e Comércio</t>
        </is>
      </c>
      <c r="AE76" s="74" t="inlineStr">
        <is>
          <t>Agro / Revenda</t>
        </is>
      </c>
      <c r="AF76" s="74" t="inlineStr">
        <is>
          <t>Agro / Revenda</t>
        </is>
      </c>
      <c r="AG76" s="74" t="inlineStr">
        <is>
          <t>Agro / Revenda</t>
        </is>
      </c>
      <c r="AH76" s="74" t="inlineStr">
        <is>
          <t>Agro / Revenda</t>
        </is>
      </c>
      <c r="AI76" s="74" t="inlineStr">
        <is>
          <t>Recebíveis comerciais contra supermercados</t>
        </is>
      </c>
      <c r="AJ76" s="74" t="b">
        <v>0</v>
      </c>
      <c r="AK76" s="74" t="inlineStr">
        <is>
          <t>PENDENTE_FONTE_PRIMARIA</t>
        </is>
      </c>
      <c r="AL76" s="74" t="inlineStr">
        <is>
          <t>Pagadores supermercados constam somente na planilha</t>
        </is>
      </c>
      <c r="AM76" s="74" t="inlineStr">
        <is>
          <t>IMG_8706</t>
        </is>
      </c>
      <c r="AN76" s="74" t="inlineStr">
        <is>
          <t>Candidato</t>
        </is>
      </c>
      <c r="AO76" s="74" t="inlineStr">
        <is>
          <t>IMG_8706</t>
        </is>
      </c>
      <c r="AP76" s="74" t="inlineStr">
        <is>
          <t>N/D</t>
        </is>
      </c>
      <c r="AQ76" s="74" t="inlineStr">
        <is>
          <t>Agro / Revenda</t>
        </is>
      </c>
      <c r="AR76" s="74" t="inlineStr">
        <is>
          <t>Agro / Revenda</t>
        </is>
      </c>
      <c r="AS76" s="74" t="b">
        <v>0</v>
      </c>
      <c r="AT76" s="74" t="inlineStr">
        <is>
          <t>N/D</t>
        </is>
      </c>
      <c r="AU76" s="74" t="inlineStr">
        <is>
          <t>N/D</t>
        </is>
      </c>
      <c r="AV76" s="74" t="inlineStr">
        <is>
          <t>20%–35%</t>
        </is>
      </c>
      <c r="AW76" s="74" t="b">
        <v>1</v>
      </c>
      <c r="AX76" s="74" t="inlineStr">
        <is>
          <t>incomparável</t>
        </is>
      </c>
      <c r="AY76" s="74" t="inlineStr">
        <is>
          <t>sem benchmark confiável</t>
        </is>
      </c>
      <c r="AZ76" s="140" t="inlineStr">
        <is>
          <t>N/D</t>
        </is>
      </c>
      <c r="BA76" s="74" t="b">
        <v>0</v>
      </c>
      <c r="BB76" s="141" t="n">
        <v>0</v>
      </c>
      <c r="BC76" s="139" t="n">
        <v>1000</v>
      </c>
      <c r="BD76" s="74" t="inlineStr">
        <is>
          <t>Cotas Seniores: R$1.000,00</t>
        </is>
      </c>
      <c r="BE76" s="74" t="inlineStr">
        <is>
          <t>valor nominal unitário (VNU)</t>
        </is>
      </c>
      <c r="BF76" s="74" t="inlineStr">
        <is>
          <t>Cotas Seniores</t>
        </is>
      </c>
      <c r="BG76" s="74" t="inlineStr">
        <is>
          <t>22/12/2025</t>
        </is>
      </c>
      <c r="BH76" s="74" t="inlineStr">
        <is>
          <t>1067840</t>
        </is>
      </c>
      <c r="BI76" s="74" t="inlineStr">
        <is>
          <t>https://fnet.bmfbovespa.com.br/fnet/publico/downloadDocumento?id=1067840</t>
        </is>
      </c>
      <c r="BJ76" s="74" t="inlineStr">
        <is>
          <t>localizado documentalmente</t>
        </is>
      </c>
      <c r="BK76" s="74" t="b">
        <v>0</v>
      </c>
      <c r="BL76" s="74" t="inlineStr">
        <is>
          <t>Frimesa</t>
        </is>
      </c>
      <c r="BM76" s="74" t="inlineStr">
        <is>
          <t>cedente</t>
        </is>
      </c>
      <c r="BN76" s="74" t="inlineStr">
        <is>
          <t>N/D</t>
        </is>
      </c>
      <c r="BO76" s="74" t="inlineStr">
        <is>
          <t>a FRIMESA COOPERATIVA CENTRAL, com sede na cidade de Medianeira, Estado do Paraná, na Rua Bahia, nº 159, CEP 85723-006, inscrita no CNPJ sob o nº 77.595.395/0001-47, inclusive por meio de suas filiais</t>
        </is>
      </c>
      <c r="BP76" s="74" t="inlineStr">
        <is>
          <t>N/D</t>
        </is>
      </c>
      <c r="BQ76" s="74" t="inlineStr">
        <is>
          <t>recebíveis supermercados</t>
        </is>
      </c>
      <c r="BR76" s="74" t="inlineStr">
        <is>
          <t>cedente: https://fnet.bmfbovespa.com.br/fnet/publico/downloadDocumento?id=861191 | tipo_recebivel: IMG_8706.JPG</t>
        </is>
      </c>
      <c r="BS76" s="74" t="inlineStr">
        <is>
          <t>manual_aplicado</t>
        </is>
      </c>
      <c r="BT76" s="74" t="inlineStr">
        <is>
          <t>Denominação cortada pela largura da coluna na foto.</t>
        </is>
      </c>
      <c r="BU76" s="74" t="inlineStr">
        <is>
          <t>861191</t>
        </is>
      </c>
      <c r="BV76" s="74" t="inlineStr">
        <is>
          <t>2025-03-13</t>
        </is>
      </c>
      <c r="BW76" s="74" t="inlineStr">
        <is>
          <t>51</t>
        </is>
      </c>
      <c r="BX76" s="74" t="inlineStr">
        <is>
          <t>revisto — mínimo júnior localizado</t>
        </is>
      </c>
      <c r="BY76" s="74" t="inlineStr">
        <is>
          <t>FundosNet/B3; documento 861191; referência 2025-03-13; p. 51</t>
        </is>
      </c>
      <c r="BZ76" s="74" t="inlineStr">
        <is>
          <t>Índice de Subordinação Mezanino: cotas júnior / PL, mínimo de 1,0%.</t>
        </is>
      </c>
      <c r="CA76" s="74" t="inlineStr">
        <is>
          <t>originador; sacado/devedor</t>
        </is>
      </c>
      <c r="CB76" s="74" t="inlineStr">
        <is>
          <t>estrutura_incomparavel</t>
        </is>
      </c>
    </row>
    <row r="77" ht="31.5" customHeight="1">
      <c r="A77" s="75" t="n">
        <v>73</v>
      </c>
      <c r="B77" s="142" t="n">
        <v>51554551000138</v>
      </c>
      <c r="C77" s="75" t="inlineStr">
        <is>
          <t>51.554.551/0001-38</t>
        </is>
      </c>
      <c r="D77" s="75" t="inlineStr">
        <is>
          <t>CLASSE ÚNICA DO FIDC CRÉDITO NITRO AGRO - RESPONSABILIDADE LIMITADA</t>
        </is>
      </c>
      <c r="E77" s="75" t="inlineStr">
        <is>
          <t>CLASSE UNICA DO FIDC CREDITO NITRO AGRO RESPONSA</t>
        </is>
      </c>
      <c r="F77" s="75" t="inlineStr">
        <is>
          <t>Carteira 101</t>
        </is>
      </c>
      <c r="G77" s="75" t="inlineStr">
        <is>
          <t>2026-08</t>
        </is>
      </c>
      <c r="H77" s="75" t="inlineStr">
        <is>
          <t>localizado</t>
        </is>
      </c>
      <c r="I77" s="143" t="n">
        <v>53126766.77</v>
      </c>
      <c r="J77" s="143" t="n">
        <v>53126766.78000483</v>
      </c>
      <c r="K77" s="143" t="n">
        <v>53126766.78000483</v>
      </c>
      <c r="L77" s="144" t="n">
        <v>1.00000000018832</v>
      </c>
      <c r="M77" s="75" t="inlineStr">
        <is>
          <t>Calculado com classes reportadas e PL oficial reconciliado</t>
        </is>
      </c>
      <c r="N77" s="144" t="inlineStr">
        <is>
          <t>N/D</t>
        </is>
      </c>
      <c r="O77" s="144" t="inlineStr">
        <is>
          <t>N/D</t>
        </is>
      </c>
      <c r="P77" s="144" t="inlineStr">
        <is>
          <t>N/D</t>
        </is>
      </c>
      <c r="Q77" s="144" t="inlineStr">
        <is>
          <t>N/D</t>
        </is>
      </c>
      <c r="R77" s="144" t="n">
        <v>0.25</v>
      </c>
      <c r="S77" s="144" t="n">
        <v>0.25</v>
      </c>
      <c r="T77" s="75" t="inlineStr">
        <is>
          <t>25,0%*</t>
        </is>
      </c>
      <c r="U77" s="75" t="inlineStr">
        <is>
          <t>suporte_combinado_pl</t>
        </is>
      </c>
      <c r="V77" s="75" t="inlineStr">
        <is>
          <t>direto no regulamento</t>
        </is>
      </c>
      <c r="W77" s="75" t="b">
        <v>1</v>
      </c>
      <c r="X77" s="75" t="inlineStr">
        <is>
          <t>Suporte total ou combinado; não representa mínimo júnior isolado.</t>
        </is>
      </c>
      <c r="Y77" s="75" t="b">
        <v>1</v>
      </c>
      <c r="Z77" s="144" t="n">
        <v>0.7500000001883198</v>
      </c>
      <c r="AA77" s="144" t="n">
        <v>1.000000000251093</v>
      </c>
      <c r="AB77" s="75" t="inlineStr">
        <is>
          <t>acima do mínimo</t>
        </is>
      </c>
      <c r="AC77" s="75" t="inlineStr">
        <is>
          <t>Agro, Indústria e Comércio</t>
        </is>
      </c>
      <c r="AD77" s="75" t="inlineStr">
        <is>
          <t>Agronegócio</t>
        </is>
      </c>
      <c r="AE77" s="75" t="inlineStr">
        <is>
          <t>Agro / Revenda</t>
        </is>
      </c>
      <c r="AF77" s="75" t="inlineStr">
        <is>
          <t>Agro / Revenda</t>
        </is>
      </c>
      <c r="AG77" s="75" t="inlineStr">
        <is>
          <t>Agro / Revenda</t>
        </is>
      </c>
      <c r="AH77" s="75" t="inlineStr">
        <is>
          <t>Agro / Revenda</t>
        </is>
      </c>
      <c r="AI77" s="75" t="inlineStr">
        <is>
          <t>Venda de insumos a produtores e distribuidores</t>
        </is>
      </c>
      <c r="AJ77" s="75" t="b">
        <v>0</v>
      </c>
      <c r="AK77" s="75" t="inlineStr">
        <is>
          <t>MANTER_ALTA</t>
        </is>
      </c>
      <c r="AL77" s="75" t="inlineStr">
        <is>
          <t>Direitos do agronegócio por venda de insumos</t>
        </is>
      </c>
      <c r="AM77" s="75" t="inlineStr">
        <is>
          <t>regulamento 1261911</t>
        </is>
      </c>
      <c r="AN77" s="75" t="inlineStr">
        <is>
          <t>Não</t>
        </is>
      </c>
      <c r="AO77" s="75" t="inlineStr">
        <is>
          <t>regulamento 1261911</t>
        </is>
      </c>
      <c r="AP77" s="75" t="b">
        <v>0</v>
      </c>
      <c r="AQ77" s="75" t="inlineStr">
        <is>
          <t>Agro / Revenda</t>
        </is>
      </c>
      <c r="AR77" s="75" t="inlineStr">
        <is>
          <t>Agro / Revenda</t>
        </is>
      </c>
      <c r="AS77" s="75" t="b">
        <v>0</v>
      </c>
      <c r="AT77" s="75" t="inlineStr">
        <is>
          <t>N/D</t>
        </is>
      </c>
      <c r="AU77" s="75" t="inlineStr">
        <is>
          <t>N/D</t>
        </is>
      </c>
      <c r="AV77" s="75" t="inlineStr">
        <is>
          <t>≥ 60%</t>
        </is>
      </c>
      <c r="AW77" s="75" t="b">
        <v>1</v>
      </c>
      <c r="AX77" s="75" t="inlineStr">
        <is>
          <t>acima do piso</t>
        </is>
      </c>
      <c r="AY77" s="75" t="inlineStr">
        <is>
          <t>sem benchmark confiável</t>
        </is>
      </c>
      <c r="AZ77" s="144" t="inlineStr">
        <is>
          <t>N/D</t>
        </is>
      </c>
      <c r="BA77" s="75" t="b">
        <v>0</v>
      </c>
      <c r="BB77" s="145" t="n">
        <v>0</v>
      </c>
      <c r="BC77" s="143" t="n">
        <v>1000</v>
      </c>
      <c r="BD77" s="75" t="inlineStr">
        <is>
          <t>Cotas Subordinadas: R$1.000,00</t>
        </is>
      </c>
      <c r="BE77" s="75" t="inlineStr">
        <is>
          <t>preço/valor unitário de emissão</t>
        </is>
      </c>
      <c r="BF77" s="75" t="inlineStr">
        <is>
          <t>Cotas Subordinadas</t>
        </is>
      </c>
      <c r="BG77" s="75" t="inlineStr">
        <is>
          <t>18/06/2026</t>
        </is>
      </c>
      <c r="BH77" s="75" t="inlineStr">
        <is>
          <t>1261911</t>
        </is>
      </c>
      <c r="BI77" s="75" t="inlineStr">
        <is>
          <t>https://fnet.bmfbovespa.com.br/fnet/publico/downloadDocumento?id=1261911</t>
        </is>
      </c>
      <c r="BJ77" s="75" t="inlineStr">
        <is>
          <t>localizado documentalmente</t>
        </is>
      </c>
      <c r="BK77" s="75" t="b">
        <v>0</v>
      </c>
      <c r="BL77" s="75" t="inlineStr">
        <is>
          <t>Nitroquímica</t>
        </is>
      </c>
      <c r="BM77" s="75" t="inlineStr">
        <is>
          <t>cedente</t>
        </is>
      </c>
      <c r="BN77" s="75" t="inlineStr">
        <is>
          <t>N/D</t>
        </is>
      </c>
      <c r="BO77" s="75" t="inlineStr">
        <is>
          <t>a COMPANHIA NITRO QUÍMICA BRASILEIRA, com sede na cidade de São Paulo, Estado de São Paulo, na Avenida Doutor José Artur Nova, nº 951, São Miguel Paulista, CEP 08090-000, inscrita no CNPJ sob o nº 61.150.348/0001-50, cujas cessões não contarão com coobrigação</t>
        </is>
      </c>
      <c r="BP77" s="75" t="inlineStr">
        <is>
          <t>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t>
        </is>
      </c>
      <c r="BQ77" s="75" t="inlineStr">
        <is>
          <t>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t>
        </is>
      </c>
      <c r="BR77" s="75" t="inlineStr">
        <is>
          <t>cedente: https://fnet.bmfbovespa.com.br/fnet/publico/downloadDocumento?id=1261911 | sacado_devedor: https://fnet.bmfbovespa.com.br/fnet/publico/downloadDocumento?id=1261911 | tipo_recebivel: https://fnet.bmfbovespa.com.br/fnet/publico/downloadDocumento?id=1261911</t>
        </is>
      </c>
      <c r="BS77" s="75" t="inlineStr">
        <is>
          <t>manual_aplicado</t>
        </is>
      </c>
      <c r="BT77" s="75" t="inlineStr">
        <is>
          <t>Denominação cortada pela largura da coluna na foto.</t>
        </is>
      </c>
      <c r="BU77" s="75" t="inlineStr">
        <is>
          <t>1261911</t>
        </is>
      </c>
      <c r="BV77" s="75" t="inlineStr">
        <is>
          <t>2026-06-18</t>
        </is>
      </c>
      <c r="BW77" s="75" t="inlineStr">
        <is>
          <t>71</t>
        </is>
      </c>
      <c r="BX77" s="75" t="inlineStr">
        <is>
          <t>revisto — suporte estrutural total localizado</t>
        </is>
      </c>
      <c r="BY77" s="75" t="inlineStr">
        <is>
          <t>FundosNet/B3; documento 1261911; referência 2026-06-18; p. 71</t>
        </is>
      </c>
      <c r="BZ77" s="75" t="inlineStr">
        <is>
          <t>N/D</t>
        </is>
      </c>
      <c r="CA77" s="75" t="inlineStr">
        <is>
          <t>originador</t>
        </is>
      </c>
      <c r="CB77" s="75" t="inlineStr">
        <is>
          <t>completo_para_folga</t>
        </is>
      </c>
    </row>
    <row r="78" ht="31.5" customHeight="1">
      <c r="A78" s="74" t="n">
        <v>74</v>
      </c>
      <c r="B78" s="138" t="n">
        <v>57752597000148</v>
      </c>
      <c r="C78" s="74" t="inlineStr">
        <is>
          <t>57.752.597/0001-48</t>
        </is>
      </c>
      <c r="D78" s="74" t="inlineStr">
        <is>
          <t>AGROMERCANTIL CRÉDITO AGRO FUNDO DE INVESTIMENTO EM DIREITOS CREDITÓRIOS - RESPONSABILIDADE LIMITADA</t>
        </is>
      </c>
      <c r="E78" s="74" t="inlineStr">
        <is>
          <t>AGROMERCANTIL CREDITO AGRO FUNDO DE INVESTIMENTO EM DIREITOS CREDITORIOS</t>
        </is>
      </c>
      <c r="F78" s="74" t="inlineStr">
        <is>
          <t>Carteira 101</t>
        </is>
      </c>
      <c r="G78" s="74" t="inlineStr">
        <is>
          <t>2026-08</t>
        </is>
      </c>
      <c r="H78" s="74" t="inlineStr">
        <is>
          <t>localizado</t>
        </is>
      </c>
      <c r="I78" s="139" t="n">
        <v>70218818.03</v>
      </c>
      <c r="J78" s="139" t="n">
        <v>70218818.02999222</v>
      </c>
      <c r="K78" s="139" t="n">
        <v>23552661.73995</v>
      </c>
      <c r="L78" s="140" t="n">
        <v>0.3354180887790999</v>
      </c>
      <c r="M78" s="74" t="inlineStr">
        <is>
          <t>Calculado com classes reportadas e PL oficial reconciliado</t>
        </is>
      </c>
      <c r="N78" s="140" t="n">
        <v>0.3</v>
      </c>
      <c r="O78" s="140" t="inlineStr">
        <is>
          <t>N/D</t>
        </is>
      </c>
      <c r="P78" s="140" t="inlineStr">
        <is>
          <t>N/D</t>
        </is>
      </c>
      <c r="Q78" s="140" t="inlineStr">
        <is>
          <t>N/D</t>
        </is>
      </c>
      <c r="R78" s="140" t="inlineStr">
        <is>
          <t>N/D</t>
        </is>
      </c>
      <c r="S78" s="140" t="n">
        <v>0.3</v>
      </c>
      <c r="T78" s="74" t="inlineStr">
        <is>
          <t>N/D</t>
        </is>
      </c>
      <c r="U78" s="74" t="inlineStr">
        <is>
          <t>junior_pl</t>
        </is>
      </c>
      <c r="V78" s="74" t="inlineStr">
        <is>
          <t>direto no regulamento</t>
        </is>
      </c>
      <c r="W78" s="74" t="b">
        <v>0</v>
      </c>
      <c r="X78" s="74" t="inlineStr">
        <is>
          <t>Mínimo júnior isolado; a subordinação atual disponível agrega todas as classes subordinadas.</t>
        </is>
      </c>
      <c r="Y78" s="74" t="b">
        <v>0</v>
      </c>
      <c r="Z78" s="140" t="inlineStr">
        <is>
          <t>N/D</t>
        </is>
      </c>
      <c r="AA78" s="140" t="inlineStr">
        <is>
          <t>N/D</t>
        </is>
      </c>
      <c r="AB78" s="74" t="inlineStr">
        <is>
          <t>não medido</t>
        </is>
      </c>
      <c r="AC78" s="74" t="inlineStr">
        <is>
          <t>Agro, Indústria e Comércio</t>
        </is>
      </c>
      <c r="AD78" s="74" t="inlineStr">
        <is>
          <t>Multicarteira Agro, Indústria e Comércio</t>
        </is>
      </c>
      <c r="AE78" s="74" t="inlineStr">
        <is>
          <t>Agro / Revenda</t>
        </is>
      </c>
      <c r="AF78" s="74" t="inlineStr">
        <is>
          <t>Agro / Revenda</t>
        </is>
      </c>
      <c r="AG78" s="74" t="inlineStr">
        <is>
          <t>Agro / Revenda</t>
        </is>
      </c>
      <c r="AH78" s="74" t="inlineStr">
        <is>
          <t>Agro / Revenda</t>
        </is>
      </c>
      <c r="AI78" s="74" t="inlineStr">
        <is>
          <t>Comercialização de grãos</t>
        </is>
      </c>
      <c r="AJ78" s="74" t="b">
        <v>0</v>
      </c>
      <c r="AK78" s="74" t="inlineStr">
        <is>
          <t>MANTER_ALTA</t>
        </is>
      </c>
      <c r="AL78" s="74" t="inlineStr">
        <is>
          <t>Cedente Agromercantil e lastro de grãos</t>
        </is>
      </c>
      <c r="AM78" s="74" t="inlineStr">
        <is>
          <t>IMG_8706</t>
        </is>
      </c>
      <c r="AN78" s="74" t="inlineStr">
        <is>
          <t>Não</t>
        </is>
      </c>
      <c r="AO78" s="74" t="inlineStr">
        <is>
          <t>IMG_8706</t>
        </is>
      </c>
      <c r="AP78" s="74" t="b">
        <v>0</v>
      </c>
      <c r="AQ78" s="74" t="inlineStr">
        <is>
          <t>Agro / Revenda</t>
        </is>
      </c>
      <c r="AR78" s="74" t="inlineStr">
        <is>
          <t>Agro / Revenda</t>
        </is>
      </c>
      <c r="AS78" s="74" t="b">
        <v>0</v>
      </c>
      <c r="AT78" s="74" t="inlineStr">
        <is>
          <t>N/D</t>
        </is>
      </c>
      <c r="AU78" s="74" t="inlineStr">
        <is>
          <t>N/D</t>
        </is>
      </c>
      <c r="AV78" s="74" t="inlineStr">
        <is>
          <t>20%–35%</t>
        </is>
      </c>
      <c r="AW78" s="74" t="b">
        <v>1</v>
      </c>
      <c r="AX78" s="74" t="inlineStr">
        <is>
          <t>incomparável</t>
        </is>
      </c>
      <c r="AY78" s="74" t="inlineStr">
        <is>
          <t>sem benchmark confiável</t>
        </is>
      </c>
      <c r="AZ78" s="140" t="inlineStr">
        <is>
          <t>N/D</t>
        </is>
      </c>
      <c r="BA78" s="74" t="b">
        <v>0</v>
      </c>
      <c r="BB78" s="141" t="n">
        <v>0</v>
      </c>
      <c r="BC78" s="139" t="inlineStr">
        <is>
          <t>N/D</t>
        </is>
      </c>
      <c r="BD78" s="74" t="inlineStr">
        <is>
          <t>N/D</t>
        </is>
      </c>
      <c r="BE78" s="74" t="inlineStr">
        <is>
          <t>N/D</t>
        </is>
      </c>
      <c r="BF78" s="74" t="inlineStr">
        <is>
          <t>N/D</t>
        </is>
      </c>
      <c r="BG78" s="74" t="inlineStr">
        <is>
          <t>N/D</t>
        </is>
      </c>
      <c r="BH78" s="74" t="inlineStr">
        <is>
          <t>N/D</t>
        </is>
      </c>
      <c r="BI78" s="74" t="inlineStr">
        <is>
          <t>N/D</t>
        </is>
      </c>
      <c r="BJ78" s="74" t="inlineStr">
        <is>
          <t>não localizado</t>
        </is>
      </c>
      <c r="BK78" s="74" t="b">
        <v>0</v>
      </c>
      <c r="BL78" s="74" t="inlineStr">
        <is>
          <t>AGROMERCANTIL</t>
        </is>
      </c>
      <c r="BM78" s="74" t="inlineStr">
        <is>
          <t>cedente</t>
        </is>
      </c>
      <c r="BN78" s="74" t="inlineStr">
        <is>
          <t>N/D</t>
        </is>
      </c>
      <c r="BO78" s="74" t="inlineStr">
        <is>
          <t>AGROMERCANTIL</t>
        </is>
      </c>
      <c r="BP78" s="74" t="inlineStr">
        <is>
          <t>N/D</t>
        </is>
      </c>
      <c r="BQ78" s="74" t="inlineStr">
        <is>
          <t>Comercializadora de grãos</t>
        </is>
      </c>
      <c r="BR78" s="74" t="inlineStr">
        <is>
          <t>cedente: IMG_8706.JPG | tipo_recebivel: IMG_8706.JPG</t>
        </is>
      </c>
      <c r="BS78" s="74" t="inlineStr">
        <is>
          <t>manual_aplicado</t>
        </is>
      </c>
      <c r="BT78" s="74" t="inlineStr">
        <is>
          <t>Denominação cortada pela largura da coluna na foto.</t>
        </is>
      </c>
      <c r="BU78" s="74" t="inlineStr">
        <is>
          <t>1200681</t>
        </is>
      </c>
      <c r="BV78" s="74" t="inlineStr">
        <is>
          <t>2026-05-21</t>
        </is>
      </c>
      <c r="BW78" s="74" t="inlineStr">
        <is>
          <t>44</t>
        </is>
      </c>
      <c r="BX78" s="74" t="inlineStr">
        <is>
          <t>revisto — mínimo júnior localizado</t>
        </is>
      </c>
      <c r="BY78" s="74" t="inlineStr">
        <is>
          <t>FundosNet/B3; documento 1200681; referência 2026-05-21; p. 44</t>
        </is>
      </c>
      <c r="BZ78" s="74" t="inlineStr">
        <is>
          <t>Totalidade das cotas subordinadas júnior / PL, mínimo de 30,0%.</t>
        </is>
      </c>
      <c r="CA78" s="74" t="inlineStr">
        <is>
          <t>preço unitário da cota; originador; sacado/devedor</t>
        </is>
      </c>
      <c r="CB78" s="74" t="inlineStr">
        <is>
          <t>estrutura_incomparavel</t>
        </is>
      </c>
    </row>
    <row r="79" ht="31.5" customHeight="1">
      <c r="A79" s="75" t="n">
        <v>75</v>
      </c>
      <c r="B79" s="142" t="n">
        <v>47425750000179</v>
      </c>
      <c r="C79" s="75" t="inlineStr">
        <is>
          <t>47.425.750/0001-79</t>
        </is>
      </c>
      <c r="D79" s="75" t="inlineStr">
        <is>
          <t>CEREALIS FUNDO DE INVESTIMENTO EM DIREITOS CREDITÓRIOS</t>
        </is>
      </c>
      <c r="E79" s="75" t="inlineStr">
        <is>
          <t>FIDC CROPFIELD CEREALIS</t>
        </is>
      </c>
      <c r="F79" s="75" t="inlineStr">
        <is>
          <t>Carteira 101</t>
        </is>
      </c>
      <c r="G79" s="75" t="inlineStr">
        <is>
          <t>2026-08</t>
        </is>
      </c>
      <c r="H79" s="75" t="inlineStr">
        <is>
          <t>localizado</t>
        </is>
      </c>
      <c r="I79" s="143" t="n">
        <v>221895953.89</v>
      </c>
      <c r="J79" s="143" t="n">
        <v>221895953.889965</v>
      </c>
      <c r="K79" s="143" t="n">
        <v>117772572.7202548</v>
      </c>
      <c r="L79" s="144" t="n">
        <v>0.5307558369389556</v>
      </c>
      <c r="M79" s="75" t="inlineStr">
        <is>
          <t>Calculado com classes reportadas e PL oficial reconciliado</t>
        </is>
      </c>
      <c r="N79" s="144" t="n">
        <v>0.25</v>
      </c>
      <c r="O79" s="144" t="inlineStr">
        <is>
          <t>N/D</t>
        </is>
      </c>
      <c r="P79" s="144" t="inlineStr">
        <is>
          <t>N/D</t>
        </is>
      </c>
      <c r="Q79" s="144" t="inlineStr">
        <is>
          <t>N/D</t>
        </is>
      </c>
      <c r="R79" s="144" t="inlineStr">
        <is>
          <t>N/D</t>
        </is>
      </c>
      <c r="S79" s="144" t="n">
        <v>0.25</v>
      </c>
      <c r="T79" s="75" t="inlineStr">
        <is>
          <t>N/D</t>
        </is>
      </c>
      <c r="U79" s="75" t="inlineStr">
        <is>
          <t>junior_pl</t>
        </is>
      </c>
      <c r="V79" s="75" t="inlineStr">
        <is>
          <t>direto no regulamento</t>
        </is>
      </c>
      <c r="W79" s="75" t="b">
        <v>0</v>
      </c>
      <c r="X79" s="75" t="inlineStr">
        <is>
          <t>Mínimo júnior isolado; a subordinação atual disponível agrega todas as classes subordinadas.</t>
        </is>
      </c>
      <c r="Y79" s="75" t="b">
        <v>0</v>
      </c>
      <c r="Z79" s="144" t="inlineStr">
        <is>
          <t>N/D</t>
        </is>
      </c>
      <c r="AA79" s="144" t="inlineStr">
        <is>
          <t>N/D</t>
        </is>
      </c>
      <c r="AB79" s="75" t="inlineStr">
        <is>
          <t>não medido</t>
        </is>
      </c>
      <c r="AC79" s="75" t="inlineStr">
        <is>
          <t>Agro, Indústria e Comércio</t>
        </is>
      </c>
      <c r="AD79" s="75" t="inlineStr">
        <is>
          <t>Agronegócio</t>
        </is>
      </c>
      <c r="AE79" s="75" t="inlineStr">
        <is>
          <t>Agro / Revenda</t>
        </is>
      </c>
      <c r="AF79" s="75" t="inlineStr">
        <is>
          <t>Agro / Revenda</t>
        </is>
      </c>
      <c r="AG79" s="75" t="inlineStr">
        <is>
          <t>Agro / Revenda</t>
        </is>
      </c>
      <c r="AH79" s="75" t="inlineStr">
        <is>
          <t>Agro / Revenda</t>
        </is>
      </c>
      <c r="AI79" s="75" t="inlineStr">
        <is>
          <t>Lastro agro não isolado</t>
        </is>
      </c>
      <c r="AJ79" s="75" t="b">
        <v>0</v>
      </c>
      <c r="AK79" s="75" t="inlineStr">
        <is>
          <t>PENDENTE_DOCUMENTAL</t>
        </is>
      </c>
      <c r="AL79" s="75" t="inlineStr">
        <is>
          <t>Nenhum originador, cedente, devedor ou tipo foi localizado</t>
        </is>
      </c>
      <c r="AM79" s="75" t="inlineStr">
        <is>
          <t>regulamento 1237988 apenas estrutural</t>
        </is>
      </c>
      <c r="AN79" s="75" t="inlineStr">
        <is>
          <t>Pendente</t>
        </is>
      </c>
      <c r="AO79" s="75" t="inlineStr">
        <is>
          <t>regulamento 1237988 apenas estrutural</t>
        </is>
      </c>
      <c r="AP79" s="75" t="inlineStr">
        <is>
          <t>N/D</t>
        </is>
      </c>
      <c r="AQ79" s="75" t="inlineStr">
        <is>
          <t>Agro / Revenda</t>
        </is>
      </c>
      <c r="AR79" s="75" t="inlineStr">
        <is>
          <t>Agro / Revenda</t>
        </is>
      </c>
      <c r="AS79" s="75" t="b">
        <v>0</v>
      </c>
      <c r="AT79" s="75" t="inlineStr">
        <is>
          <t>N/D</t>
        </is>
      </c>
      <c r="AU79" s="75" t="inlineStr">
        <is>
          <t>N/D</t>
        </is>
      </c>
      <c r="AV79" s="75" t="inlineStr">
        <is>
          <t>35%–60%</t>
        </is>
      </c>
      <c r="AW79" s="75" t="b">
        <v>1</v>
      </c>
      <c r="AX79" s="75" t="inlineStr">
        <is>
          <t>incomparável</t>
        </is>
      </c>
      <c r="AY79" s="75" t="inlineStr">
        <is>
          <t>sem benchmark confiável</t>
        </is>
      </c>
      <c r="AZ79" s="144" t="inlineStr">
        <is>
          <t>N/D</t>
        </is>
      </c>
      <c r="BA79" s="75" t="b">
        <v>0</v>
      </c>
      <c r="BB79" s="145" t="n">
        <v>0</v>
      </c>
      <c r="BC79" s="143" t="inlineStr">
        <is>
          <t>N/D</t>
        </is>
      </c>
      <c r="BD79" s="75" t="inlineStr">
        <is>
          <t>N/D</t>
        </is>
      </c>
      <c r="BE79" s="75" t="inlineStr">
        <is>
          <t>N/D</t>
        </is>
      </c>
      <c r="BF79" s="75" t="inlineStr">
        <is>
          <t>N/D</t>
        </is>
      </c>
      <c r="BG79" s="75" t="inlineStr">
        <is>
          <t>N/D</t>
        </is>
      </c>
      <c r="BH79" s="75" t="inlineStr">
        <is>
          <t>N/D</t>
        </is>
      </c>
      <c r="BI79" s="75" t="inlineStr">
        <is>
          <t>N/D</t>
        </is>
      </c>
      <c r="BJ79" s="75" t="inlineStr">
        <is>
          <t>não localizado</t>
        </is>
      </c>
      <c r="BK79" s="75" t="b">
        <v>0</v>
      </c>
      <c r="BL79" s="75" t="inlineStr">
        <is>
          <t>N/D</t>
        </is>
      </c>
      <c r="BM79" s="75" t="inlineStr">
        <is>
          <t>N/D</t>
        </is>
      </c>
      <c r="BN79" s="75" t="inlineStr">
        <is>
          <t>N/D</t>
        </is>
      </c>
      <c r="BO79" s="75" t="inlineStr">
        <is>
          <t>N/D</t>
        </is>
      </c>
      <c r="BP79" s="75" t="inlineStr">
        <is>
          <t>N/D</t>
        </is>
      </c>
      <c r="BQ79" s="75" t="inlineStr">
        <is>
          <t>N/D</t>
        </is>
      </c>
      <c r="BR79" s="75" t="inlineStr">
        <is>
          <t>N/D</t>
        </is>
      </c>
      <c r="BS79" s="75" t="inlineStr">
        <is>
          <t>sem_overlay</t>
        </is>
      </c>
      <c r="BT79" s="75" t="inlineStr">
        <is>
          <t>N/D</t>
        </is>
      </c>
      <c r="BU79" s="75" t="inlineStr">
        <is>
          <t>1237988</t>
        </is>
      </c>
      <c r="BV79" s="75" t="inlineStr">
        <is>
          <t>2026-07-02</t>
        </is>
      </c>
      <c r="BW79" s="75" t="inlineStr">
        <is>
          <t>30</t>
        </is>
      </c>
      <c r="BX79" s="75" t="inlineStr">
        <is>
          <t>revisto — mínimo júnior calculado de cláusulas contratuais</t>
        </is>
      </c>
      <c r="BY79" s="75" t="inlineStr">
        <is>
          <t>FundosNet/B3; documento 1237988; referência 2026-07-02; p. 30</t>
        </is>
      </c>
      <c r="BZ79" s="75" t="inlineStr">
        <is>
          <t>Mínimo júnior calculado: subordinadas = 50,0% do PL e júnior = 50,0% das subordinadas.</t>
        </is>
      </c>
      <c r="CA79" s="75" t="inlineStr">
        <is>
          <t>preço unitário da cota; originador; cedente; sacado/devedor; tipo de recebível</t>
        </is>
      </c>
      <c r="CB79" s="75" t="inlineStr">
        <is>
          <t>estrutura_incomparavel</t>
        </is>
      </c>
    </row>
    <row r="80" ht="31.5" customHeight="1">
      <c r="A80" s="74" t="n">
        <v>76</v>
      </c>
      <c r="B80" s="138" t="n">
        <v>37035970000132</v>
      </c>
      <c r="C80" s="74" t="inlineStr">
        <is>
          <t>37.035.970/0001-32</t>
        </is>
      </c>
      <c r="D80" s="74" t="inlineStr">
        <is>
          <t>CD CASH FUNDO DE INVESTIMENTO EM DIREITOS CREDITÓRIOS RESPONSABILIDADE LIMITADA</t>
        </is>
      </c>
      <c r="E80" s="74" t="inlineStr">
        <is>
          <t>CD BANCK FIDC</t>
        </is>
      </c>
      <c r="F80" s="74" t="inlineStr">
        <is>
          <t>Carteira 101</t>
        </is>
      </c>
      <c r="G80" s="74" t="inlineStr">
        <is>
          <t>2026-08</t>
        </is>
      </c>
      <c r="H80" s="74" t="inlineStr">
        <is>
          <t>localizado</t>
        </is>
      </c>
      <c r="I80" s="139" t="n">
        <v>299962532.22</v>
      </c>
      <c r="J80" s="139" t="n">
        <v>299962532.2089869</v>
      </c>
      <c r="K80" s="139" t="n">
        <v>140331393.9195107</v>
      </c>
      <c r="L80" s="140" t="n">
        <v>0.4678297415378137</v>
      </c>
      <c r="M80" s="74" t="inlineStr">
        <is>
          <t>Calculado com classes reportadas e PL oficial reconciliado</t>
        </is>
      </c>
      <c r="N80" s="140" t="n">
        <v>0.3</v>
      </c>
      <c r="O80" s="140" t="inlineStr">
        <is>
          <t>N/D</t>
        </is>
      </c>
      <c r="P80" s="140" t="inlineStr">
        <is>
          <t>N/D</t>
        </is>
      </c>
      <c r="Q80" s="140" t="inlineStr">
        <is>
          <t>N/D</t>
        </is>
      </c>
      <c r="R80" s="140" t="inlineStr">
        <is>
          <t>N/D</t>
        </is>
      </c>
      <c r="S80" s="140" t="n">
        <v>0.3</v>
      </c>
      <c r="T80" s="74" t="inlineStr">
        <is>
          <t>N/D</t>
        </is>
      </c>
      <c r="U80" s="74" t="inlineStr">
        <is>
          <t>junior_pl</t>
        </is>
      </c>
      <c r="V80" s="74" t="inlineStr">
        <is>
          <t>direto no regulamento</t>
        </is>
      </c>
      <c r="W80" s="74" t="b">
        <v>0</v>
      </c>
      <c r="X80" s="74" t="inlineStr">
        <is>
          <t>Mínimo júnior isolado; a subordinação atual disponível agrega todas as classes subordinadas.</t>
        </is>
      </c>
      <c r="Y80" s="74" t="b">
        <v>0</v>
      </c>
      <c r="Z80" s="140" t="inlineStr">
        <is>
          <t>N/D</t>
        </is>
      </c>
      <c r="AA80" s="140" t="inlineStr">
        <is>
          <t>N/D</t>
        </is>
      </c>
      <c r="AB80" s="74" t="inlineStr">
        <is>
          <t>não medido</t>
        </is>
      </c>
      <c r="AC80" s="74" t="inlineStr">
        <is>
          <t>Agro, Indústria e Comércio</t>
        </is>
      </c>
      <c r="AD80" s="74" t="inlineStr">
        <is>
          <t>Multicarteira Agro, Indústria e Comércio</t>
        </is>
      </c>
      <c r="AE80" s="74" t="inlineStr">
        <is>
          <t>Agro / Revenda</t>
        </is>
      </c>
      <c r="AF80" s="74" t="inlineStr">
        <is>
          <t>Agro / Revenda</t>
        </is>
      </c>
      <c r="AG80" s="74" t="inlineStr">
        <is>
          <t>Agro / Revenda</t>
        </is>
      </c>
      <c r="AH80" s="74" t="inlineStr">
        <is>
          <t>Agro / Revenda</t>
        </is>
      </c>
      <c r="AI80" s="74" t="inlineStr">
        <is>
          <t>Insumos agrícolas, inclui não performados</t>
        </is>
      </c>
      <c r="AJ80" s="74" t="b">
        <v>0</v>
      </c>
      <c r="AK80" s="74" t="inlineStr">
        <is>
          <t>MANTER_ALTA</t>
        </is>
      </c>
      <c r="AL80" s="74" t="inlineStr">
        <is>
          <t>CHDS e insumos agrícolas com prazo safra</t>
        </is>
      </c>
      <c r="AM80" s="74" t="inlineStr">
        <is>
          <t>IMG_8706</t>
        </is>
      </c>
      <c r="AN80" s="74" t="inlineStr">
        <is>
          <t>Não</t>
        </is>
      </c>
      <c r="AO80" s="74" t="inlineStr">
        <is>
          <t>IMG_8706</t>
        </is>
      </c>
      <c r="AP80" s="74" t="b">
        <v>0</v>
      </c>
      <c r="AQ80" s="74" t="inlineStr">
        <is>
          <t>Agro / Revenda</t>
        </is>
      </c>
      <c r="AR80" s="74" t="inlineStr">
        <is>
          <t>Agro / Revenda</t>
        </is>
      </c>
      <c r="AS80" s="74" t="b">
        <v>0</v>
      </c>
      <c r="AT80" s="74" t="inlineStr">
        <is>
          <t>N/D</t>
        </is>
      </c>
      <c r="AU80" s="74" t="inlineStr">
        <is>
          <t>N/D</t>
        </is>
      </c>
      <c r="AV80" s="74" t="inlineStr">
        <is>
          <t>35%–60%</t>
        </is>
      </c>
      <c r="AW80" s="74" t="b">
        <v>1</v>
      </c>
      <c r="AX80" s="74" t="inlineStr">
        <is>
          <t>incomparável</t>
        </is>
      </c>
      <c r="AY80" s="74" t="inlineStr">
        <is>
          <t>sem benchmark confiável</t>
        </is>
      </c>
      <c r="AZ80" s="140" t="inlineStr">
        <is>
          <t>N/D</t>
        </is>
      </c>
      <c r="BA80" s="74" t="b">
        <v>0</v>
      </c>
      <c r="BB80" s="141" t="n">
        <v>0</v>
      </c>
      <c r="BC80" s="139" t="inlineStr">
        <is>
          <t>N/D</t>
        </is>
      </c>
      <c r="BD80" s="74" t="inlineStr">
        <is>
          <t>N/D</t>
        </is>
      </c>
      <c r="BE80" s="74" t="inlineStr">
        <is>
          <t>N/D</t>
        </is>
      </c>
      <c r="BF80" s="74" t="inlineStr">
        <is>
          <t>N/D</t>
        </is>
      </c>
      <c r="BG80" s="74" t="inlineStr">
        <is>
          <t>N/D</t>
        </is>
      </c>
      <c r="BH80" s="74" t="inlineStr">
        <is>
          <t>N/D</t>
        </is>
      </c>
      <c r="BI80" s="74" t="inlineStr">
        <is>
          <t>N/D</t>
        </is>
      </c>
      <c r="BJ80" s="74" t="inlineStr">
        <is>
          <t>não localizado</t>
        </is>
      </c>
      <c r="BK80" s="74" t="b">
        <v>0</v>
      </c>
      <c r="BL80" s="74" t="inlineStr">
        <is>
          <t>CHD'S</t>
        </is>
      </c>
      <c r="BM80" s="74" t="inlineStr">
        <is>
          <t>cedente</t>
        </is>
      </c>
      <c r="BN80" s="74" t="inlineStr">
        <is>
          <t>N/D</t>
        </is>
      </c>
      <c r="BO80" s="74" t="inlineStr">
        <is>
          <t>CHDS do Brasil</t>
        </is>
      </c>
      <c r="BP80" s="74" t="inlineStr">
        <is>
          <t>N/D</t>
        </is>
      </c>
      <c r="BQ80" s="74" t="inlineStr">
        <is>
          <t>Insumos Agrícolas - prazo Safra; possui não performados</t>
        </is>
      </c>
      <c r="BR80" s="74" t="inlineStr">
        <is>
          <t>cedente: https://fnet.bmfbovespa.com.br/fnet/publico/downloadDocumento?id=1128089 | tipo_recebivel: IMG_8706.JPG</t>
        </is>
      </c>
      <c r="BS80" s="74" t="inlineStr">
        <is>
          <t>manual_aplicado</t>
        </is>
      </c>
      <c r="BT80" s="74" t="inlineStr">
        <is>
          <t>N/D</t>
        </is>
      </c>
      <c r="BU80" s="74" t="inlineStr">
        <is>
          <t>1187379</t>
        </is>
      </c>
      <c r="BV80" s="74" t="inlineStr">
        <is>
          <t>2026-05-12</t>
        </is>
      </c>
      <c r="BW80" s="74" t="inlineStr">
        <is>
          <t>43</t>
        </is>
      </c>
      <c r="BX80" s="74" t="inlineStr">
        <is>
          <t>revisto — mínimo júnior calculado de cláusulas contratuais</t>
        </is>
      </c>
      <c r="BY80" s="74" t="inlineStr">
        <is>
          <t>FundosNet/B3; documento 1187379; referência 2026-05-12; p. 43</t>
        </is>
      </c>
      <c r="BZ80" s="74" t="inlineStr">
        <is>
          <t>Mínimo júnior calculado: subordinadas = 40,0% do PL e júnior = 75,0% das subordinadas.</t>
        </is>
      </c>
      <c r="CA80" s="74" t="inlineStr">
        <is>
          <t>preço unitário da cota; originador; sacado/devedor</t>
        </is>
      </c>
      <c r="CB80" s="74" t="inlineStr">
        <is>
          <t>estrutura_incomparavel</t>
        </is>
      </c>
    </row>
    <row r="81" ht="31.5" customHeight="1">
      <c r="A81" s="75" t="n">
        <v>77</v>
      </c>
      <c r="B81" s="142" t="n">
        <v>17468142000180</v>
      </c>
      <c r="C81" s="75" t="inlineStr">
        <is>
          <t>17.468.142/0001-80</t>
        </is>
      </c>
      <c r="D81" s="75" t="inlineStr">
        <is>
          <t>VALOREM FUNDO DE INVESTIMENTO EM DIREITOS CREDITÓRIOS MULTISETORIAL RESPONSABILIDADE LIMITADA</t>
        </is>
      </c>
      <c r="E81" s="75" t="inlineStr">
        <is>
          <t>VALOREM FIDC MULTISSETORIAL</t>
        </is>
      </c>
      <c r="F81" s="75" t="inlineStr">
        <is>
          <t>Carteira 101</t>
        </is>
      </c>
      <c r="G81" s="75" t="inlineStr">
        <is>
          <t>2026-08</t>
        </is>
      </c>
      <c r="H81" s="75" t="inlineStr">
        <is>
          <t>localizado</t>
        </is>
      </c>
      <c r="I81" s="143" t="n">
        <v>519990915.25</v>
      </c>
      <c r="J81" s="143" t="n">
        <v>519990915.3849365</v>
      </c>
      <c r="K81" s="143" t="n">
        <v>247775385.9750158</v>
      </c>
      <c r="L81" s="144" t="n">
        <v>0.4764994516411714</v>
      </c>
      <c r="M81" s="75" t="inlineStr">
        <is>
          <t>Calculado com classes reportadas e PL oficial reconciliado</t>
        </is>
      </c>
      <c r="N81" s="144" t="n">
        <v>0.15</v>
      </c>
      <c r="O81" s="144" t="inlineStr">
        <is>
          <t>N/D</t>
        </is>
      </c>
      <c r="P81" s="144" t="inlineStr">
        <is>
          <t>N/D</t>
        </is>
      </c>
      <c r="Q81" s="144" t="inlineStr">
        <is>
          <t>N/D</t>
        </is>
      </c>
      <c r="R81" s="144" t="inlineStr">
        <is>
          <t>N/D</t>
        </is>
      </c>
      <c r="S81" s="144" t="n">
        <v>0.15</v>
      </c>
      <c r="T81" s="75" t="inlineStr">
        <is>
          <t>N/D</t>
        </is>
      </c>
      <c r="U81" s="75" t="inlineStr">
        <is>
          <t>junior_pl</t>
        </is>
      </c>
      <c r="V81" s="75" t="inlineStr">
        <is>
          <t>direto no regulamento</t>
        </is>
      </c>
      <c r="W81" s="75" t="b">
        <v>0</v>
      </c>
      <c r="X81" s="75" t="inlineStr">
        <is>
          <t>Mínimo júnior isolado; a subordinação atual disponível agrega todas as classes subordinadas.</t>
        </is>
      </c>
      <c r="Y81" s="75" t="b">
        <v>0</v>
      </c>
      <c r="Z81" s="144" t="inlineStr">
        <is>
          <t>N/D</t>
        </is>
      </c>
      <c r="AA81" s="144" t="inlineStr">
        <is>
          <t>N/D</t>
        </is>
      </c>
      <c r="AB81" s="75" t="inlineStr">
        <is>
          <t>não medido</t>
        </is>
      </c>
      <c r="AC81" s="75" t="inlineStr">
        <is>
          <t>Fomento Mercantil</t>
        </is>
      </c>
      <c r="AD81" s="75" t="inlineStr">
        <is>
          <t>Fomento Mercantil</t>
        </is>
      </c>
      <c r="AE81" s="75" t="inlineStr">
        <is>
          <t>Factoring</t>
        </is>
      </c>
      <c r="AF81" s="75" t="inlineStr">
        <is>
          <t>Factoring</t>
        </is>
      </c>
      <c r="AG81" s="75" t="inlineStr">
        <is>
          <t>Factoring</t>
        </is>
      </c>
      <c r="AH81" s="75" t="inlineStr">
        <is>
          <t>Factoring</t>
        </is>
      </c>
      <c r="AI81" s="75" t="inlineStr">
        <is>
          <t>N/D</t>
        </is>
      </c>
      <c r="AJ81" s="75" t="b">
        <v>0</v>
      </c>
      <c r="AK81" s="75" t="inlineStr">
        <is>
          <t>fora da revisão Financeiro/Agro</t>
        </is>
      </c>
      <c r="AL81" s="75" t="inlineStr">
        <is>
          <t>N/D</t>
        </is>
      </c>
      <c r="AM81" s="75" t="inlineStr">
        <is>
          <t>N/D</t>
        </is>
      </c>
      <c r="AN81" s="75" t="inlineStr">
        <is>
          <t>N/D</t>
        </is>
      </c>
      <c r="AO81" s="75" t="inlineStr">
        <is>
          <t>N/D</t>
        </is>
      </c>
      <c r="AP81" s="75" t="inlineStr">
        <is>
          <t>N/D</t>
        </is>
      </c>
      <c r="AQ81" s="75" t="inlineStr">
        <is>
          <t>Factoring</t>
        </is>
      </c>
      <c r="AR81" s="75" t="inlineStr">
        <is>
          <t>Factoring</t>
        </is>
      </c>
      <c r="AS81" s="75" t="b">
        <v>0</v>
      </c>
      <c r="AT81" s="75" t="inlineStr">
        <is>
          <t>N/D</t>
        </is>
      </c>
      <c r="AU81" s="75" t="inlineStr">
        <is>
          <t>N/D</t>
        </is>
      </c>
      <c r="AV81" s="75" t="inlineStr">
        <is>
          <t>35%–60%</t>
        </is>
      </c>
      <c r="AW81" s="75" t="b">
        <v>1</v>
      </c>
      <c r="AX81" s="75" t="inlineStr">
        <is>
          <t>incomparável</t>
        </is>
      </c>
      <c r="AY81" s="75" t="inlineStr">
        <is>
          <t>sem benchmark confiável</t>
        </is>
      </c>
      <c r="AZ81" s="144" t="inlineStr">
        <is>
          <t>N/D</t>
        </is>
      </c>
      <c r="BA81" s="75" t="b">
        <v>0</v>
      </c>
      <c r="BB81" s="145" t="n">
        <v>2</v>
      </c>
      <c r="BC81" s="143" t="n">
        <v>100000</v>
      </c>
      <c r="BD81" s="75" t="inlineStr">
        <is>
          <t>Cotas Subordinadas Mezanino: R$100.000,00</t>
        </is>
      </c>
      <c r="BE81" s="75" t="inlineStr">
        <is>
          <t>preço/valor unitário de emissão</t>
        </is>
      </c>
      <c r="BF81" s="75" t="inlineStr">
        <is>
          <t>Cotas Subordinadas Mezanino</t>
        </is>
      </c>
      <c r="BG81" s="75" t="inlineStr">
        <is>
          <t>30/07/2026</t>
        </is>
      </c>
      <c r="BH81" s="75" t="inlineStr">
        <is>
          <t>1271235</t>
        </is>
      </c>
      <c r="BI81" s="75" t="inlineStr">
        <is>
          <t>https://fnet.bmfbovespa.com.br/fnet/publico/downloadDocumento?id=1271235</t>
        </is>
      </c>
      <c r="BJ81" s="75" t="inlineStr">
        <is>
          <t>localizado documentalmente</t>
        </is>
      </c>
      <c r="BK81" s="75" t="b">
        <v>0</v>
      </c>
      <c r="BL81" s="75" t="inlineStr">
        <is>
          <t>Multicedentes &amp; Multisacados</t>
        </is>
      </c>
      <c r="BM81" s="75" t="inlineStr">
        <is>
          <t>cedente</t>
        </is>
      </c>
      <c r="BN81" s="75" t="inlineStr">
        <is>
          <t>N/D</t>
        </is>
      </c>
      <c r="BO81" s="75" t="inlineStr">
        <is>
          <t>todas as pessoas físicas ou jurídicas que cedem os Direitos Creditórios para a Classe</t>
        </is>
      </c>
      <c r="BP81" s="75" t="inlineStr">
        <is>
          <t>pessoas físicas e/ou jurídicas que figurem na qualidade de devedores dos Direitos Creditórios, podendo ser denominado também como “Sacado”</t>
        </is>
      </c>
      <c r="BQ81" s="75" t="inlineStr">
        <is>
          <t>a) direitos e títulos representativos de crédito,</t>
        </is>
      </c>
      <c r="BR81" s="75" t="inlineStr">
        <is>
          <t>cedente: https://fnet.bmfbovespa.com.br/fnet/publico/downloadDocumento?id=1271235 | sacado_devedor: https://fnet.bmfbovespa.com.br/fnet/publico/downloadDocumento?id=1271235 | tipo_recebivel: https://fnet.bmfbovespa.com.br/fnet/publico/downloadDocumento?id=1271235</t>
        </is>
      </c>
      <c r="BS81" s="75" t="inlineStr">
        <is>
          <t>manual_aplicado</t>
        </is>
      </c>
      <c r="BT81" s="75" t="inlineStr">
        <is>
          <t>N/D</t>
        </is>
      </c>
      <c r="BU81" s="75" t="inlineStr">
        <is>
          <t>1157934</t>
        </is>
      </c>
      <c r="BV81" s="75" t="inlineStr">
        <is>
          <t>2026-04-09</t>
        </is>
      </c>
      <c r="BW81" s="75" t="inlineStr">
        <is>
          <t>102</t>
        </is>
      </c>
      <c r="BX81" s="75" t="inlineStr">
        <is>
          <t>revisto — mínimo júnior localizado</t>
        </is>
      </c>
      <c r="BY81" s="75" t="inlineStr">
        <is>
          <t>FundosNet/B3; documento 1157934; referência 2026-04-09; p. 102</t>
        </is>
      </c>
      <c r="BZ81" s="75" t="inlineStr">
        <is>
          <t>Índice de Subordinação Mezanino: cotas júnior / PL, mínimo de 15,0%.</t>
        </is>
      </c>
      <c r="CA81" s="75" t="inlineStr">
        <is>
          <t>originador</t>
        </is>
      </c>
      <c r="CB81" s="75" t="inlineStr">
        <is>
          <t>estrutura_incomparavel</t>
        </is>
      </c>
    </row>
    <row r="82" ht="31.5" customHeight="1">
      <c r="A82" s="74" t="n">
        <v>78</v>
      </c>
      <c r="B82" s="138" t="n">
        <v>29492605000129</v>
      </c>
      <c r="C82" s="74" t="inlineStr">
        <is>
          <t>29.492.605/0001-29</t>
        </is>
      </c>
      <c r="D82" s="74" t="inlineStr">
        <is>
          <t>GAZIN FUNDO DE INVESTIMENTO EM DIREITOS CREDITÓRIOS MULTISSEGMENTOS - RESPONSABILIDADE LIMITADA</t>
        </is>
      </c>
      <c r="E82" s="74" t="inlineStr">
        <is>
          <t>GAZIN FUNDO DE INVESTIMENTO EM DIREITOS CREDITORIO</t>
        </is>
      </c>
      <c r="F82" s="74" t="inlineStr">
        <is>
          <t>Carteira 101</t>
        </is>
      </c>
      <c r="G82" s="74" t="inlineStr">
        <is>
          <t>2026-08</t>
        </is>
      </c>
      <c r="H82" s="74" t="inlineStr">
        <is>
          <t>localizado</t>
        </is>
      </c>
      <c r="I82" s="139" t="n">
        <v>2661374071.86</v>
      </c>
      <c r="J82" s="139" t="n">
        <v>2661374071.85765</v>
      </c>
      <c r="K82" s="139" t="n">
        <v>1851613584.3</v>
      </c>
      <c r="L82" s="140" t="n">
        <v>0.6957359372656438</v>
      </c>
      <c r="M82" s="74" t="inlineStr">
        <is>
          <t>Calculado com classes reportadas e PL oficial reconciliado</t>
        </is>
      </c>
      <c r="N82" s="140" t="n">
        <v>0.51</v>
      </c>
      <c r="O82" s="140" t="inlineStr">
        <is>
          <t>N/D</t>
        </is>
      </c>
      <c r="P82" s="140" t="inlineStr">
        <is>
          <t>N/D</t>
        </is>
      </c>
      <c r="Q82" s="140" t="n">
        <v>0.51</v>
      </c>
      <c r="R82" s="140" t="inlineStr">
        <is>
          <t>N/D</t>
        </is>
      </c>
      <c r="S82" s="140" t="n">
        <v>0.51</v>
      </c>
      <c r="T82" s="74" t="inlineStr">
        <is>
          <t>51,0%</t>
        </is>
      </c>
      <c r="U82" s="74" t="inlineStr">
        <is>
          <t>junior_pl</t>
        </is>
      </c>
      <c r="V82" s="74" t="inlineStr">
        <is>
          <t>direto no regulamento</t>
        </is>
      </c>
      <c r="W82" s="74" t="b">
        <v>1</v>
      </c>
      <c r="X82" s="74" t="inlineStr">
        <is>
          <t>Estrutura documental com cotas seniores e juniores; a métrica atual e o piso usam o total subordinado sobre o PL.</t>
        </is>
      </c>
      <c r="Y82" s="74" t="b">
        <v>0</v>
      </c>
      <c r="Z82" s="140" t="n">
        <v>0.1857359372656437</v>
      </c>
      <c r="AA82" s="140" t="n">
        <v>0.3790529331951913</v>
      </c>
      <c r="AB82" s="74" t="inlineStr">
        <is>
          <t>acima do mínimo</t>
        </is>
      </c>
      <c r="AC82" s="74" t="inlineStr">
        <is>
          <t>Agro, Indústria e Comércio</t>
        </is>
      </c>
      <c r="AD82" s="74" t="inlineStr">
        <is>
          <t>Multicarteira Agro, Indústria e Comércio</t>
        </is>
      </c>
      <c r="AE82" s="74" t="inlineStr">
        <is>
          <t>Agro / Revenda</t>
        </is>
      </c>
      <c r="AF82" s="74" t="inlineStr">
        <is>
          <t>Agro / Revenda</t>
        </is>
      </c>
      <c r="AG82" s="74" t="inlineStr">
        <is>
          <t>Agro / Revenda</t>
        </is>
      </c>
      <c r="AH82" s="74" t="inlineStr">
        <is>
          <t>Agro / Revenda</t>
        </is>
      </c>
      <c r="AI82" s="74" t="inlineStr">
        <is>
          <t>Recebíveis Gazin, natureza contratual não isolada</t>
        </is>
      </c>
      <c r="AJ82" s="74" t="b">
        <v>0</v>
      </c>
      <c r="AK82" s="74" t="inlineStr">
        <is>
          <t>PENDENTE_DOCUMENTAL</t>
        </is>
      </c>
      <c r="AL82" s="74" t="inlineStr">
        <is>
          <t>Falta distinguir crédito ao consumidor, cartão ou duplicatas comerciais</t>
        </is>
      </c>
      <c r="AM82" s="74" t="inlineStr">
        <is>
          <t>rating 321548 + regulamento 1117213</t>
        </is>
      </c>
      <c r="AN82" s="74" t="inlineStr">
        <is>
          <t>Pendente</t>
        </is>
      </c>
      <c r="AO82" s="74" t="inlineStr">
        <is>
          <t>rating 321548 + regulamento 1117213</t>
        </is>
      </c>
      <c r="AP82" s="74" t="inlineStr">
        <is>
          <t>N/D</t>
        </is>
      </c>
      <c r="AQ82" s="74" t="inlineStr">
        <is>
          <t>Agro / Revenda</t>
        </is>
      </c>
      <c r="AR82" s="74" t="inlineStr">
        <is>
          <t>Agro / Revenda</t>
        </is>
      </c>
      <c r="AS82" s="74" t="b">
        <v>0</v>
      </c>
      <c r="AT82" s="74" t="inlineStr">
        <is>
          <t>N/D</t>
        </is>
      </c>
      <c r="AU82" s="74" t="inlineStr">
        <is>
          <t>N/D</t>
        </is>
      </c>
      <c r="AV82" s="74" t="inlineStr">
        <is>
          <t>≥ 60%</t>
        </is>
      </c>
      <c r="AW82" s="74" t="b">
        <v>1</v>
      </c>
      <c r="AX82" s="74" t="inlineStr">
        <is>
          <t>acima do piso</t>
        </is>
      </c>
      <c r="AY82" s="74" t="inlineStr">
        <is>
          <t>sem benchmark confiável</t>
        </is>
      </c>
      <c r="AZ82" s="140" t="inlineStr">
        <is>
          <t>N/D</t>
        </is>
      </c>
      <c r="BA82" s="74" t="b">
        <v>0</v>
      </c>
      <c r="BB82" s="141" t="n">
        <v>0</v>
      </c>
      <c r="BC82" s="139" t="inlineStr">
        <is>
          <t>N/D</t>
        </is>
      </c>
      <c r="BD82" s="74" t="inlineStr">
        <is>
          <t>N/D</t>
        </is>
      </c>
      <c r="BE82" s="74" t="inlineStr">
        <is>
          <t>N/D</t>
        </is>
      </c>
      <c r="BF82" s="74" t="inlineStr">
        <is>
          <t>N/D</t>
        </is>
      </c>
      <c r="BG82" s="74" t="inlineStr">
        <is>
          <t>N/D</t>
        </is>
      </c>
      <c r="BH82" s="74" t="inlineStr">
        <is>
          <t>N/D</t>
        </is>
      </c>
      <c r="BI82" s="74" t="inlineStr">
        <is>
          <t>N/D</t>
        </is>
      </c>
      <c r="BJ82" s="74" t="inlineStr">
        <is>
          <t>não localizado</t>
        </is>
      </c>
      <c r="BK82" s="74" t="b">
        <v>0</v>
      </c>
      <c r="BL82" s="74" t="inlineStr">
        <is>
          <t>N/D</t>
        </is>
      </c>
      <c r="BM82" s="74" t="inlineStr">
        <is>
          <t>N/D</t>
        </is>
      </c>
      <c r="BN82" s="74" t="inlineStr">
        <is>
          <t>N/D</t>
        </is>
      </c>
      <c r="BO82" s="74" t="inlineStr">
        <is>
          <t>Gazin</t>
        </is>
      </c>
      <c r="BP82" s="74" t="inlineStr">
        <is>
          <t>N/D</t>
        </is>
      </c>
      <c r="BQ82" s="74" t="inlineStr">
        <is>
          <t>N/D</t>
        </is>
      </c>
      <c r="BR82" s="74" t="inlineStr">
        <is>
          <t>cedente: https://fnet.bmfbovespa.com.br/fnet/publico/downloadDocumento?id=321548</t>
        </is>
      </c>
      <c r="BS82" s="74" t="inlineStr">
        <is>
          <t>sem_overlay</t>
        </is>
      </c>
      <c r="BT82" s="74" t="inlineStr">
        <is>
          <t>N/D</t>
        </is>
      </c>
      <c r="BU82" s="74" t="inlineStr">
        <is>
          <t>1117213</t>
        </is>
      </c>
      <c r="BV82" s="74" t="inlineStr">
        <is>
          <t>2026-02-12</t>
        </is>
      </c>
      <c r="BW82" s="74" t="inlineStr">
        <is>
          <t>44</t>
        </is>
      </c>
      <c r="BX82" s="74" t="inlineStr">
        <is>
          <t>revisto — mínimo júnior localizado</t>
        </is>
      </c>
      <c r="BY82" s="74" t="inlineStr">
        <is>
          <t>FundosNet/B3; documento 1117213; referência 2026-02-12; p. 44</t>
        </is>
      </c>
      <c r="BZ82" s="74" t="inlineStr">
        <is>
          <t>O regulamento contém apenas cotas seniores e juniores; índice de subordinação mínimo de 51,0%.</t>
        </is>
      </c>
      <c r="CA82" s="74" t="inlineStr">
        <is>
          <t>preço unitário da cota; originador; sacado/devedor; tipo de recebível</t>
        </is>
      </c>
      <c r="CB82" s="74" t="inlineStr">
        <is>
          <t>completo_para_folga</t>
        </is>
      </c>
    </row>
    <row r="83" ht="31.5" customHeight="1">
      <c r="A83" s="75" t="n">
        <v>79</v>
      </c>
      <c r="B83" s="142" t="n">
        <v>31739396000117</v>
      </c>
      <c r="C83" s="75" t="inlineStr">
        <is>
          <t>31.739.396/0001-17</t>
        </is>
      </c>
      <c r="D83" s="75" t="inlineStr">
        <is>
          <t>LF III FUNDO DE INVESTIMENTO EM DIREITOS CREDITÓRIOS DE RESPONSABILIDADE LIMITADA</t>
        </is>
      </c>
      <c r="E83" s="75" t="inlineStr">
        <is>
          <t>FIDC LF III</t>
        </is>
      </c>
      <c r="F83" s="75" t="inlineStr">
        <is>
          <t>Carteira 101</t>
        </is>
      </c>
      <c r="G83" s="75" t="inlineStr">
        <is>
          <t>2026-08</t>
        </is>
      </c>
      <c r="H83" s="75" t="inlineStr">
        <is>
          <t>localizado</t>
        </is>
      </c>
      <c r="I83" s="143" t="n">
        <v>1385277422.28</v>
      </c>
      <c r="J83" s="143" t="n">
        <v>1385277422.273283</v>
      </c>
      <c r="K83" s="143" t="n">
        <v>110505472.2774216</v>
      </c>
      <c r="L83" s="144" t="n">
        <v>0.07977136600951949</v>
      </c>
      <c r="M83" s="75" t="inlineStr">
        <is>
          <t>Calculado com classes reportadas e PL oficial reconciliado</t>
        </is>
      </c>
      <c r="N83" s="144" t="n">
        <v>0.005</v>
      </c>
      <c r="O83" s="144" t="inlineStr">
        <is>
          <t>N/D</t>
        </is>
      </c>
      <c r="P83" s="144" t="inlineStr">
        <is>
          <t>N/D</t>
        </is>
      </c>
      <c r="Q83" s="144" t="inlineStr">
        <is>
          <t>N/D</t>
        </is>
      </c>
      <c r="R83" s="144" t="inlineStr">
        <is>
          <t>N/D</t>
        </is>
      </c>
      <c r="S83" s="144" t="n">
        <v>0.005</v>
      </c>
      <c r="T83" s="75" t="inlineStr">
        <is>
          <t>N/D</t>
        </is>
      </c>
      <c r="U83" s="75" t="inlineStr">
        <is>
          <t>junior_pl</t>
        </is>
      </c>
      <c r="V83" s="75" t="inlineStr">
        <is>
          <t>direto no regulamento</t>
        </is>
      </c>
      <c r="W83" s="75" t="b">
        <v>0</v>
      </c>
      <c r="X83" s="75" t="inlineStr">
        <is>
          <t>Mínimo júnior isolado; a subordinação atual disponível agrega todas as classes subordinadas.</t>
        </is>
      </c>
      <c r="Y83" s="75" t="b">
        <v>0</v>
      </c>
      <c r="Z83" s="144" t="inlineStr">
        <is>
          <t>N/D</t>
        </is>
      </c>
      <c r="AA83" s="144" t="inlineStr">
        <is>
          <t>N/D</t>
        </is>
      </c>
      <c r="AB83" s="75" t="inlineStr">
        <is>
          <t>não medido</t>
        </is>
      </c>
      <c r="AC83" s="75" t="inlineStr">
        <is>
          <t>Agro, Indústria e Comércio</t>
        </is>
      </c>
      <c r="AD83" s="75" t="inlineStr">
        <is>
          <t>Recebíveis Comerciais</t>
        </is>
      </c>
      <c r="AE83" s="75" t="inlineStr">
        <is>
          <t>Agro / Revenda</t>
        </is>
      </c>
      <c r="AF83" s="75" t="inlineStr">
        <is>
          <t>Agro / Revenda</t>
        </is>
      </c>
      <c r="AG83" s="75" t="inlineStr">
        <is>
          <t>Adquirência</t>
        </is>
      </c>
      <c r="AH83" s="75" t="inlineStr">
        <is>
          <t>Adquirência</t>
        </is>
      </c>
      <c r="AI83" s="75" t="inlineStr">
        <is>
          <t>N/D</t>
        </is>
      </c>
      <c r="AJ83" s="75" t="b">
        <v>0</v>
      </c>
      <c r="AK83" s="75" t="inlineStr">
        <is>
          <t>fora da revisão Financeiro/Agro</t>
        </is>
      </c>
      <c r="AL83" s="75" t="inlineStr">
        <is>
          <t>N/D</t>
        </is>
      </c>
      <c r="AM83" s="75" t="inlineStr">
        <is>
          <t>N/D</t>
        </is>
      </c>
      <c r="AN83" s="75" t="inlineStr">
        <is>
          <t>N/D</t>
        </is>
      </c>
      <c r="AO83" s="75" t="inlineStr">
        <is>
          <t>N/D</t>
        </is>
      </c>
      <c r="AP83" s="75" t="inlineStr">
        <is>
          <t>N/D</t>
        </is>
      </c>
      <c r="AQ83" s="75" t="inlineStr">
        <is>
          <t>Adquirência</t>
        </is>
      </c>
      <c r="AR83" s="75" t="inlineStr">
        <is>
          <t>Agro / Revenda</t>
        </is>
      </c>
      <c r="AS83" s="75" t="b">
        <v>1</v>
      </c>
      <c r="AT83" s="75" t="inlineStr">
        <is>
          <t>FundosNet/B3 doc. 1146939, p. 10; IMG_8706.JPG</t>
        </is>
      </c>
      <c r="AU83" s="75" t="inlineStr">
        <is>
          <t>Recebíveis da Listo IP contra emissores derivados de transações em arranjos de pagamento.</t>
        </is>
      </c>
      <c r="AV83" s="75" t="inlineStr">
        <is>
          <t>&lt; 10%</t>
        </is>
      </c>
      <c r="AW83" s="75" t="b">
        <v>1</v>
      </c>
      <c r="AX83" s="75" t="inlineStr">
        <is>
          <t>incomparável</t>
        </is>
      </c>
      <c r="AY83" s="75" t="inlineStr">
        <is>
          <t>sem benchmark confiável</t>
        </is>
      </c>
      <c r="AZ83" s="144" t="inlineStr">
        <is>
          <t>N/D</t>
        </is>
      </c>
      <c r="BA83" s="75" t="b">
        <v>0</v>
      </c>
      <c r="BB83" s="145" t="n">
        <v>0</v>
      </c>
      <c r="BC83" s="143" t="n">
        <v>1000</v>
      </c>
      <c r="BD83" s="75" t="inlineStr">
        <is>
          <t>Cotas Seniores: R$1.000,00</t>
        </is>
      </c>
      <c r="BE83" s="75" t="inlineStr">
        <is>
          <t>valor nominal unitário (VNU)</t>
        </is>
      </c>
      <c r="BF83" s="75" t="inlineStr">
        <is>
          <t>Cotas Seniores</t>
        </is>
      </c>
      <c r="BG83" s="75" t="inlineStr">
        <is>
          <t>20/01/2026</t>
        </is>
      </c>
      <c r="BH83" s="75" t="inlineStr">
        <is>
          <t>1088682</t>
        </is>
      </c>
      <c r="BI83" s="75" t="inlineStr">
        <is>
          <t>https://fnet.bmfbovespa.com.br/fnet/publico/downloadDocumento?id=1088682</t>
        </is>
      </c>
      <c r="BJ83" s="75" t="inlineStr">
        <is>
          <t>localizado documentalmente</t>
        </is>
      </c>
      <c r="BK83" s="75" t="b">
        <v>0</v>
      </c>
      <c r="BL83" s="75" t="inlineStr">
        <is>
          <t>Listo IP</t>
        </is>
      </c>
      <c r="BM83" s="75" t="inlineStr">
        <is>
          <t>cedente</t>
        </is>
      </c>
      <c r="BN83" s="75" t="inlineStr">
        <is>
          <t>LISTO INSTITUIÇÃO DE PAGAMENTO LTDA.</t>
        </is>
      </c>
      <c r="BO83" s="75" t="inlineStr">
        <is>
          <t>Listo IP</t>
        </is>
      </c>
      <c r="BP83" s="75" t="inlineStr">
        <is>
          <t>N/D</t>
        </is>
      </c>
      <c r="BQ83" s="75" t="inlineStr">
        <is>
          <t>os direitos creditórios detidos pela Cedente em face dos Devedores, equivalentes ao valor total das Transações de Pagamento realizadas pelos Usuários com a utilização de Instrumentos de Pagamentos para a aquisição de bens ou serviços nos Estabeleciment os Credenciados, após o desconto das taxas que constituem a remuneração dos Devedores (Emissores) e das Bandeiras, bem como de outras eventuais retenções previstas nas regras do Arranjo de Pagamento (tais como Chargebacks), conforme aplicável</t>
        </is>
      </c>
      <c r="BR83" s="75" t="inlineStr">
        <is>
          <t>originador: https://fnet.bmfbovespa.com.br/fnet/publico/downloadDocumento?id=1237167 | cedente: IMG_8706.JPG | tipo_recebivel: https://fnet.bmfbovespa.com.br/fnet/publico/downloadDocumento?id=1146939</t>
        </is>
      </c>
      <c r="BS83" s="75" t="inlineStr">
        <is>
          <t>manual_aplicado</t>
        </is>
      </c>
      <c r="BT83" s="75" t="inlineStr">
        <is>
          <t>OBS da foto: lista de concentração pré-aprovada.</t>
        </is>
      </c>
      <c r="BU83" s="75" t="inlineStr">
        <is>
          <t>1146939</t>
        </is>
      </c>
      <c r="BV83" s="75" t="inlineStr">
        <is>
          <t>2026-03-27</t>
        </is>
      </c>
      <c r="BW83" s="75" t="inlineStr">
        <is>
          <t>39</t>
        </is>
      </c>
      <c r="BX83" s="75" t="inlineStr">
        <is>
          <t>revisto — mínimo júnior localizado</t>
        </is>
      </c>
      <c r="BY83" s="75" t="inlineStr">
        <is>
          <t>FundosNet/B3; documento 1146939; referência 2026-03-27; p. 39</t>
        </is>
      </c>
      <c r="BZ83" s="75" t="inlineStr">
        <is>
          <t>Cotas subordinadas júnior / PL, mínimo de 0,5%.</t>
        </is>
      </c>
      <c r="CA83" s="75" t="inlineStr">
        <is>
          <t>sacado/devedor</t>
        </is>
      </c>
      <c r="CB83" s="75" t="inlineStr">
        <is>
          <t>estrutura_incomparavel</t>
        </is>
      </c>
    </row>
    <row r="84" ht="31.5" customHeight="1">
      <c r="A84" s="74" t="n">
        <v>80</v>
      </c>
      <c r="B84" s="138" t="n">
        <v>26749095000134</v>
      </c>
      <c r="C84" s="74" t="inlineStr">
        <is>
          <t>26.749.095/0001-34</t>
        </is>
      </c>
      <c r="D84" s="74" t="inlineStr">
        <is>
          <t>PRAVALER CRÉDITO UNIVERSITÁRIO II FUNDO DE INVESTIMENTO EM DIREITOS CREDITÓRIOS - RESP LIMITADAL</t>
        </is>
      </c>
      <c r="E84" s="74" t="inlineStr">
        <is>
          <t>CREDITO UNIVERSITARIO II FUNDO DE INVESTIMENTO EM</t>
        </is>
      </c>
      <c r="F84" s="74" t="inlineStr">
        <is>
          <t>Carteira 101</t>
        </is>
      </c>
      <c r="G84" s="74" t="inlineStr">
        <is>
          <t>2026-08</t>
        </is>
      </c>
      <c r="H84" s="74" t="inlineStr">
        <is>
          <t>localizado</t>
        </is>
      </c>
      <c r="I84" s="139" t="n">
        <v>446999328.88</v>
      </c>
      <c r="J84" s="139" t="n">
        <v>446999328.8559182</v>
      </c>
      <c r="K84" s="139" t="n">
        <v>104053050.1739254</v>
      </c>
      <c r="L84" s="140" t="n">
        <v>0.2327812223670232</v>
      </c>
      <c r="M84" s="74" t="inlineStr">
        <is>
          <t>Calculado com classes reportadas e PL oficial reconciliado</t>
        </is>
      </c>
      <c r="N84" s="140" t="n">
        <v>0.1</v>
      </c>
      <c r="O84" s="140" t="inlineStr">
        <is>
          <t>N/D</t>
        </is>
      </c>
      <c r="P84" s="140" t="inlineStr">
        <is>
          <t>N/D</t>
        </is>
      </c>
      <c r="Q84" s="140" t="inlineStr">
        <is>
          <t>N/D</t>
        </is>
      </c>
      <c r="R84" s="140" t="inlineStr">
        <is>
          <t>N/D</t>
        </is>
      </c>
      <c r="S84" s="140" t="n">
        <v>0.1</v>
      </c>
      <c r="T84" s="74" t="inlineStr">
        <is>
          <t>N/D</t>
        </is>
      </c>
      <c r="U84" s="74" t="inlineStr">
        <is>
          <t>junior_pl</t>
        </is>
      </c>
      <c r="V84" s="74" t="inlineStr">
        <is>
          <t>direto no regulamento</t>
        </is>
      </c>
      <c r="W84" s="74" t="b">
        <v>0</v>
      </c>
      <c r="X84" s="74" t="inlineStr">
        <is>
          <t>Mínimo júnior isolado; a subordinação atual disponível agrega mais de uma classe subordinada ou usa denominador distinto.</t>
        </is>
      </c>
      <c r="Y84" s="74" t="b">
        <v>0</v>
      </c>
      <c r="Z84" s="140" t="inlineStr">
        <is>
          <t>N/D</t>
        </is>
      </c>
      <c r="AA84" s="140" t="inlineStr">
        <is>
          <t>N/D</t>
        </is>
      </c>
      <c r="AB84" s="74" t="inlineStr">
        <is>
          <t>não medido</t>
        </is>
      </c>
      <c r="AC84" s="74" t="inlineStr">
        <is>
          <t>Financeiro</t>
        </is>
      </c>
      <c r="AD84" s="74" t="inlineStr">
        <is>
          <t>Crédito Pessoal</t>
        </is>
      </c>
      <c r="AE84" s="74" t="inlineStr">
        <is>
          <t>Financeiro</t>
        </is>
      </c>
      <c r="AF84" s="74" t="inlineStr">
        <is>
          <t>Financeiro</t>
        </is>
      </c>
      <c r="AG84" s="74" t="inlineStr">
        <is>
          <t>Financeiro</t>
        </is>
      </c>
      <c r="AH84" s="74" t="inlineStr">
        <is>
          <t>Financeiro</t>
        </is>
      </c>
      <c r="AI84" s="74" t="inlineStr">
        <is>
          <t>Crédito estudantil</t>
        </is>
      </c>
      <c r="AJ84" s="74" t="b">
        <v>0</v>
      </c>
      <c r="AK84" s="74" t="inlineStr">
        <is>
          <t>MANTER_ALTA</t>
        </is>
      </c>
      <c r="AL84" s="74" t="inlineStr">
        <is>
          <t>Risco de financiamento estudantil Pravaler</t>
        </is>
      </c>
      <c r="AM84" s="74" t="inlineStr">
        <is>
          <t>IMG_8706</t>
        </is>
      </c>
      <c r="AN84" s="74" t="inlineStr">
        <is>
          <t>Não</t>
        </is>
      </c>
      <c r="AO84" s="74" t="inlineStr">
        <is>
          <t>IMG_8706</t>
        </is>
      </c>
      <c r="AP84" s="74" t="b">
        <v>0</v>
      </c>
      <c r="AQ84" s="74" t="inlineStr">
        <is>
          <t>Financeiro</t>
        </is>
      </c>
      <c r="AR84" s="74" t="inlineStr">
        <is>
          <t>Financeiro</t>
        </is>
      </c>
      <c r="AS84" s="74" t="b">
        <v>0</v>
      </c>
      <c r="AT84" s="74" t="inlineStr">
        <is>
          <t>N/D</t>
        </is>
      </c>
      <c r="AU84" s="74" t="inlineStr">
        <is>
          <t>N/D</t>
        </is>
      </c>
      <c r="AV84" s="74" t="inlineStr">
        <is>
          <t>20%–35%</t>
        </is>
      </c>
      <c r="AW84" s="74" t="b">
        <v>1</v>
      </c>
      <c r="AX84" s="74" t="inlineStr">
        <is>
          <t>incomparável</t>
        </is>
      </c>
      <c r="AY84" s="74" t="inlineStr">
        <is>
          <t>abaixo do mercado</t>
        </is>
      </c>
      <c r="AZ84" s="140" t="n">
        <v>-0.073412558329461</v>
      </c>
      <c r="BA84" s="74" t="b">
        <v>1</v>
      </c>
      <c r="BB84" s="141" t="n">
        <v>12</v>
      </c>
      <c r="BC84" s="139" t="n">
        <v>1000</v>
      </c>
      <c r="BD84" s="74" t="inlineStr">
        <is>
          <t>R$1.000,00</t>
        </is>
      </c>
      <c r="BE84" s="74" t="inlineStr">
        <is>
          <t>preço/valor unitário de emissão</t>
        </is>
      </c>
      <c r="BF84" s="74" t="inlineStr">
        <is>
          <t>N/D</t>
        </is>
      </c>
      <c r="BG84" s="74" t="inlineStr">
        <is>
          <t>2025-11-19</t>
        </is>
      </c>
      <c r="BH84" s="74" t="inlineStr">
        <is>
          <t>1061833</t>
        </is>
      </c>
      <c r="BI84" s="74" t="inlineStr">
        <is>
          <t>https://fnet.bmfbovespa.com.br/fnet/publico/downloadDocumento?id=1061833</t>
        </is>
      </c>
      <c r="BJ84" s="74" t="inlineStr">
        <is>
          <t>localizado documentalmente</t>
        </is>
      </c>
      <c r="BK84" s="74" t="b">
        <v>1</v>
      </c>
      <c r="BL84" s="74" t="inlineStr">
        <is>
          <t>Pravaler</t>
        </is>
      </c>
      <c r="BM84" s="74" t="inlineStr">
        <is>
          <t>cedente</t>
        </is>
      </c>
      <c r="BN84" s="74" t="inlineStr">
        <is>
          <t>N/D</t>
        </is>
      </c>
      <c r="BO84" s="74" t="inlineStr">
        <is>
          <t>Pravaler</t>
        </is>
      </c>
      <c r="BP84" s="74" t="inlineStr">
        <is>
          <t>N/D</t>
        </is>
      </c>
      <c r="BQ84" s="74" t="inlineStr">
        <is>
          <t>Crédito Estudantil</t>
        </is>
      </c>
      <c r="BR84" s="74" t="inlineStr">
        <is>
          <t>cedente: IMG_8706.JPG | tipo_recebivel: IMG_8706.JPG</t>
        </is>
      </c>
      <c r="BS84" s="74" t="inlineStr">
        <is>
          <t>manual_aplicado</t>
        </is>
      </c>
      <c r="BT84" s="74" t="inlineStr">
        <is>
          <t>Denominação cortada pela largura da coluna na foto.</t>
        </is>
      </c>
      <c r="BU84" s="74" t="inlineStr">
        <is>
          <t>1061833</t>
        </is>
      </c>
      <c r="BV84" s="74" t="inlineStr">
        <is>
          <t>2025-11-19</t>
        </is>
      </c>
      <c r="BW84" s="74" t="inlineStr">
        <is>
          <t>152</t>
        </is>
      </c>
      <c r="BX84" s="74" t="inlineStr">
        <is>
          <t>revisto — mínimo júnior localizado</t>
        </is>
      </c>
      <c r="BY84" s="74" t="inlineStr">
        <is>
          <t>FundosNet/B3; documento 1061833; referência 2025-11-19; p. 152</t>
        </is>
      </c>
      <c r="BZ84" s="74" t="inlineStr">
        <is>
          <t>Cotas júnior / PL, mínimo de 10,0%; passa a 15,0% quando o atraso supera 6,0%.</t>
        </is>
      </c>
      <c r="CA84" s="74" t="inlineStr">
        <is>
          <t>originador; sacado/devedor</t>
        </is>
      </c>
      <c r="CB84" s="74" t="inlineStr">
        <is>
          <t>estrutura_incomparavel</t>
        </is>
      </c>
    </row>
    <row r="85" ht="31.5" customHeight="1">
      <c r="A85" s="75" t="n">
        <v>81</v>
      </c>
      <c r="B85" s="142" t="n">
        <v>62393829000159</v>
      </c>
      <c r="C85" s="75" t="inlineStr">
        <is>
          <t>62.393.829/0001-59</t>
        </is>
      </c>
      <c r="D85" s="75" t="inlineStr">
        <is>
          <t>FUNDO DE INVESTIMENTO EM DIREITOS CREDITÓRIOS COMERCIAIS MEDICI I - RESPONSABILIDADE LIMITADA</t>
        </is>
      </c>
      <c r="E85" s="75" t="inlineStr">
        <is>
          <t>TOP 2025 V FIDC RESP LIMITADA</t>
        </is>
      </c>
      <c r="F85" s="75" t="inlineStr">
        <is>
          <t>Carteira 101</t>
        </is>
      </c>
      <c r="G85" s="75" t="inlineStr">
        <is>
          <t>2026-08</t>
        </is>
      </c>
      <c r="H85" s="75" t="inlineStr">
        <is>
          <t>localizado</t>
        </is>
      </c>
      <c r="I85" s="143" t="n">
        <v>3389462172.19</v>
      </c>
      <c r="J85" s="143" t="n">
        <v>3389462172.185181</v>
      </c>
      <c r="K85" s="143" t="n">
        <v>181329541.1527641</v>
      </c>
      <c r="L85" s="144" t="n">
        <v>0.05349802769316744</v>
      </c>
      <c r="M85" s="75" t="inlineStr">
        <is>
          <t>Calculado com classes reportadas e PL oficial reconciliado</t>
        </is>
      </c>
      <c r="N85" s="144" t="n">
        <v>0.05</v>
      </c>
      <c r="O85" s="144" t="inlineStr">
        <is>
          <t>N/D</t>
        </is>
      </c>
      <c r="P85" s="144" t="inlineStr">
        <is>
          <t>N/D</t>
        </is>
      </c>
      <c r="Q85" s="144" t="n">
        <v>0.05</v>
      </c>
      <c r="R85" s="144" t="inlineStr">
        <is>
          <t>N/D</t>
        </is>
      </c>
      <c r="S85" s="144" t="n">
        <v>0.05</v>
      </c>
      <c r="T85" s="75" t="inlineStr">
        <is>
          <t>5,0%</t>
        </is>
      </c>
      <c r="U85" s="75" t="inlineStr">
        <is>
          <t>junior_pl</t>
        </is>
      </c>
      <c r="V85" s="75" t="inlineStr">
        <is>
          <t>direto no regulamento</t>
        </is>
      </c>
      <c r="W85" s="75" t="b">
        <v>1</v>
      </c>
      <c r="X85" s="75" t="inlineStr">
        <is>
          <t>Estrutura com uma única classe subordinada; métrica atual e piso usam o total subordinado sobre o PL.</t>
        </is>
      </c>
      <c r="Y85" s="75" t="b">
        <v>0</v>
      </c>
      <c r="Z85" s="144" t="n">
        <v>0.003498027693167434</v>
      </c>
      <c r="AA85" s="144" t="n">
        <v>0.003682134413860457</v>
      </c>
      <c r="AB85" s="75" t="inlineStr">
        <is>
          <t>folga estreita</t>
        </is>
      </c>
      <c r="AC85" s="75" t="inlineStr">
        <is>
          <t>Agro, Indústria e Comércio</t>
        </is>
      </c>
      <c r="AD85" s="75" t="inlineStr">
        <is>
          <t>Crédito Corporativo</t>
        </is>
      </c>
      <c r="AE85" s="75" t="inlineStr">
        <is>
          <t>Agro / Revenda</t>
        </is>
      </c>
      <c r="AF85" s="75" t="inlineStr">
        <is>
          <t>Agro / Revenda</t>
        </is>
      </c>
      <c r="AG85" s="75" t="inlineStr">
        <is>
          <t>Agro / Revenda</t>
        </is>
      </c>
      <c r="AH85" s="75" t="inlineStr">
        <is>
          <t>Risco Corporativo</t>
        </is>
      </c>
      <c r="AI85" s="75" t="inlineStr">
        <is>
          <t>Monosacado/concentrado BRF e Marfrig</t>
        </is>
      </c>
      <c r="AJ85" s="75" t="b">
        <v>1</v>
      </c>
      <c r="AK85" s="75" t="inlineStr">
        <is>
          <t>APLICAR_ALTA</t>
        </is>
      </c>
      <c r="AL85" s="75" t="inlineStr">
        <is>
          <t>Risco corporativo concentrado em BRF e Marfrig, conforme classificação explícita fornecida para o slide</t>
        </is>
      </c>
      <c r="AM85" s="75" t="inlineStr">
        <is>
          <t>Comentário explícito do usuário e IMG_8706.JPG</t>
        </is>
      </c>
      <c r="AN85" s="75" t="inlineStr">
        <is>
          <t>Não</t>
        </is>
      </c>
      <c r="AO85" s="75" t="inlineStr">
        <is>
          <t>Comentário explícito do usuário e IMG_8706.JPG</t>
        </is>
      </c>
      <c r="AP85" s="75" t="b">
        <v>0</v>
      </c>
      <c r="AQ85" s="75" t="inlineStr">
        <is>
          <t>Risco Corporativo</t>
        </is>
      </c>
      <c r="AR85" s="75" t="inlineStr">
        <is>
          <t>Agro / Revenda</t>
        </is>
      </c>
      <c r="AS85" s="75" t="b">
        <v>1</v>
      </c>
      <c r="AT85" s="75" t="inlineStr">
        <is>
          <t>Comentário explícito do usuário e IMG_8706.JPG</t>
        </is>
      </c>
      <c r="AU85" s="75" t="inlineStr">
        <is>
          <t>Risco corporativo concentrado em BRF e Marfrig, conforme classificação explícita fornecida para o slide</t>
        </is>
      </c>
      <c r="AV85" s="75" t="inlineStr">
        <is>
          <t>&lt; 10%</t>
        </is>
      </c>
      <c r="AW85" s="75" t="b">
        <v>1</v>
      </c>
      <c r="AX85" s="75" t="inlineStr">
        <is>
          <t>até 2 p.p. acima</t>
        </is>
      </c>
      <c r="AY85" s="75" t="inlineStr">
        <is>
          <t>sem benchmark confiável</t>
        </is>
      </c>
      <c r="AZ85" s="144" t="inlineStr">
        <is>
          <t>N/D</t>
        </is>
      </c>
      <c r="BA85" s="75" t="b">
        <v>0</v>
      </c>
      <c r="BB85" s="145" t="n">
        <v>0</v>
      </c>
      <c r="BC85" s="143" t="n">
        <v>1000</v>
      </c>
      <c r="BD85" s="75" t="inlineStr">
        <is>
          <t>cotas seniores: R$1.000,00</t>
        </is>
      </c>
      <c r="BE85" s="75" t="inlineStr">
        <is>
          <t>valor nominal unitário (VNU)</t>
        </is>
      </c>
      <c r="BF85" s="75" t="inlineStr">
        <is>
          <t>cotas seniores</t>
        </is>
      </c>
      <c r="BG85" s="75" t="inlineStr">
        <is>
          <t>21/01/2026</t>
        </is>
      </c>
      <c r="BH85" s="75" t="inlineStr">
        <is>
          <t>1089672</t>
        </is>
      </c>
      <c r="BI85" s="75" t="inlineStr">
        <is>
          <t>https://fnet.bmfbovespa.com.br/fnet/publico/downloadDocumento?id=1089672</t>
        </is>
      </c>
      <c r="BJ85" s="75" t="inlineStr">
        <is>
          <t>localizado documentalmente</t>
        </is>
      </c>
      <c r="BK85" s="75" t="b">
        <v>0</v>
      </c>
      <c r="BL85" s="75" t="inlineStr">
        <is>
          <t>Multicedente</t>
        </is>
      </c>
      <c r="BM85" s="75" t="inlineStr">
        <is>
          <t>cedente</t>
        </is>
      </c>
      <c r="BN85" s="75" t="inlineStr">
        <is>
          <t>N/D</t>
        </is>
      </c>
      <c r="BO85" s="75" t="inlineStr">
        <is>
          <t>Multicedente</t>
        </is>
      </c>
      <c r="BP85" s="75" t="inlineStr">
        <is>
          <t>BRF</t>
        </is>
      </c>
      <c r="BQ85" s="75" t="inlineStr">
        <is>
          <t>Risco Sacado BRF</t>
        </is>
      </c>
      <c r="BR85" s="75" t="inlineStr">
        <is>
          <t>cedente: IMG_8706.JPG | sacado_devedor: IMG_8706.JPG | tipo_recebivel: IMG_8706.JPG</t>
        </is>
      </c>
      <c r="BS85" s="75" t="inlineStr">
        <is>
          <t>manual_aplicado</t>
        </is>
      </c>
      <c r="BT85" s="75" t="inlineStr">
        <is>
          <t>BRF foi desmembrado somente porque a fonte escreve literalmente Risco Sacado BRF.</t>
        </is>
      </c>
      <c r="BU85" s="75" t="inlineStr">
        <is>
          <t>1242436</t>
        </is>
      </c>
      <c r="BV85" s="75" t="inlineStr">
        <is>
          <t>2026-07-08</t>
        </is>
      </c>
      <c r="BW85" s="75" t="inlineStr">
        <is>
          <t>40–41</t>
        </is>
      </c>
      <c r="BX85" s="75" t="inlineStr">
        <is>
          <t>revisto — mínimo júnior localizado</t>
        </is>
      </c>
      <c r="BY85" s="75" t="inlineStr">
        <is>
          <t>FundosNet/B3; documento 1242436; referência 2026-07-08; p. 40–41</t>
        </is>
      </c>
      <c r="BZ85" s="75" t="inlineStr">
        <is>
          <t>Cotas subordinadas júnior / PL, mínimo regular de 5,0%; transição temporária de 3,0% encerrada.</t>
        </is>
      </c>
      <c r="CA85" s="75" t="inlineStr">
        <is>
          <t>originador</t>
        </is>
      </c>
      <c r="CB85" s="75" t="inlineStr">
        <is>
          <t>completo_para_folga</t>
        </is>
      </c>
    </row>
    <row r="86" ht="31.5" customHeight="1">
      <c r="A86" s="74" t="n">
        <v>82</v>
      </c>
      <c r="B86" s="138" t="n">
        <v>47640584000123</v>
      </c>
      <c r="C86" s="74" t="inlineStr">
        <is>
          <t>47.640.584/0001-23</t>
        </is>
      </c>
      <c r="D86" s="74" t="inlineStr">
        <is>
          <t>SOL AGORA GREEN ESG FIDC IS SEGMENTO FINANCEIRO DE RESPONSABILIDADE LIMITADA</t>
        </is>
      </c>
      <c r="E86" s="74" t="inlineStr">
        <is>
          <t>SOL AGORA GREEN ESG FIDC IS SEGMENTO FINANCEIRO DE</t>
        </is>
      </c>
      <c r="F86" s="74" t="inlineStr">
        <is>
          <t>Carteira 101</t>
        </is>
      </c>
      <c r="G86" s="74" t="inlineStr">
        <is>
          <t>2026-08</t>
        </is>
      </c>
      <c r="H86" s="74" t="inlineStr">
        <is>
          <t>localizado</t>
        </is>
      </c>
      <c r="I86" s="139" t="n">
        <v>276270331.42</v>
      </c>
      <c r="J86" s="139" t="n">
        <v>276270331.4697955</v>
      </c>
      <c r="K86" s="139" t="n">
        <v>87728482.79005201</v>
      </c>
      <c r="L86" s="140" t="n">
        <v>0.3175457977667633</v>
      </c>
      <c r="M86" s="74" t="inlineStr">
        <is>
          <t>Calculado com classes reportadas e PL oficial reconciliado</t>
        </is>
      </c>
      <c r="N86" s="140" t="n">
        <v>0.1</v>
      </c>
      <c r="O86" s="140" t="inlineStr">
        <is>
          <t>N/D</t>
        </is>
      </c>
      <c r="P86" s="140" t="inlineStr">
        <is>
          <t>N/D</t>
        </is>
      </c>
      <c r="Q86" s="140" t="inlineStr">
        <is>
          <t>N/D</t>
        </is>
      </c>
      <c r="R86" s="140" t="inlineStr">
        <is>
          <t>N/D</t>
        </is>
      </c>
      <c r="S86" s="140" t="n">
        <v>0.1</v>
      </c>
      <c r="T86" s="74" t="inlineStr">
        <is>
          <t>N/D</t>
        </is>
      </c>
      <c r="U86" s="74" t="inlineStr">
        <is>
          <t>junior_pl</t>
        </is>
      </c>
      <c r="V86" s="74" t="inlineStr">
        <is>
          <t>direto no regulamento</t>
        </is>
      </c>
      <c r="W86" s="74" t="b">
        <v>0</v>
      </c>
      <c r="X86" s="74" t="inlineStr">
        <is>
          <t>Mínimo júnior isolado; a subordinação atual disponível agrega todas as classes subordinadas.</t>
        </is>
      </c>
      <c r="Y86" s="74" t="b">
        <v>0</v>
      </c>
      <c r="Z86" s="140" t="inlineStr">
        <is>
          <t>N/D</t>
        </is>
      </c>
      <c r="AA86" s="140" t="inlineStr">
        <is>
          <t>N/D</t>
        </is>
      </c>
      <c r="AB86" s="74" t="inlineStr">
        <is>
          <t>não medido</t>
        </is>
      </c>
      <c r="AC86" s="74" t="inlineStr">
        <is>
          <t>Financeiro</t>
        </is>
      </c>
      <c r="AD86" s="74" t="inlineStr">
        <is>
          <t>Crédito Pessoal</t>
        </is>
      </c>
      <c r="AE86" s="74" t="inlineStr">
        <is>
          <t>Financeiro</t>
        </is>
      </c>
      <c r="AF86" s="74" t="inlineStr">
        <is>
          <t>Financeiro</t>
        </is>
      </c>
      <c r="AG86" s="74" t="inlineStr">
        <is>
          <t>Financeiro</t>
        </is>
      </c>
      <c r="AH86" s="74" t="inlineStr">
        <is>
          <t>Financeiro</t>
        </is>
      </c>
      <c r="AI86" s="74" t="inlineStr">
        <is>
          <t>Financiamento solar, CCBs</t>
        </is>
      </c>
      <c r="AJ86" s="74" t="b">
        <v>0</v>
      </c>
      <c r="AK86" s="74" t="inlineStr">
        <is>
          <t>MANTER_ALTA</t>
        </is>
      </c>
      <c r="AL86" s="74" t="inlineStr">
        <is>
          <t>Devedores PF/PJ financiam projetos solares por CCB</t>
        </is>
      </c>
      <c r="AM86" s="74" t="inlineStr">
        <is>
          <t>regulamento + IMG_8706</t>
        </is>
      </c>
      <c r="AN86" s="74" t="inlineStr">
        <is>
          <t>Não</t>
        </is>
      </c>
      <c r="AO86" s="74" t="inlineStr">
        <is>
          <t>regulamento + IMG_8706</t>
        </is>
      </c>
      <c r="AP86" s="74" t="b">
        <v>0</v>
      </c>
      <c r="AQ86" s="74" t="inlineStr">
        <is>
          <t>Financeiro</t>
        </is>
      </c>
      <c r="AR86" s="74" t="inlineStr">
        <is>
          <t>Financeiro</t>
        </is>
      </c>
      <c r="AS86" s="74" t="b">
        <v>0</v>
      </c>
      <c r="AT86" s="74" t="inlineStr">
        <is>
          <t>N/D</t>
        </is>
      </c>
      <c r="AU86" s="74" t="inlineStr">
        <is>
          <t>N/D</t>
        </is>
      </c>
      <c r="AV86" s="74" t="inlineStr">
        <is>
          <t>20%–35%</t>
        </is>
      </c>
      <c r="AW86" s="74" t="b">
        <v>1</v>
      </c>
      <c r="AX86" s="74" t="inlineStr">
        <is>
          <t>incomparável</t>
        </is>
      </c>
      <c r="AY86" s="74" t="inlineStr">
        <is>
          <t>em linha com o mercado</t>
        </is>
      </c>
      <c r="AZ86" s="140" t="n">
        <v>0.01135201707027916</v>
      </c>
      <c r="BA86" s="74" t="b">
        <v>1</v>
      </c>
      <c r="BB86" s="141" t="n">
        <v>12</v>
      </c>
      <c r="BC86" s="139" t="n">
        <v>1000</v>
      </c>
      <c r="BD86" s="74" t="inlineStr">
        <is>
          <t>Cotas Seniores: R$1.000,00</t>
        </is>
      </c>
      <c r="BE86" s="74" t="inlineStr">
        <is>
          <t>preço/valor unitário de emissão</t>
        </is>
      </c>
      <c r="BF86" s="74" t="inlineStr">
        <is>
          <t>Cotas Seniores</t>
        </is>
      </c>
      <c r="BG86" s="74" t="inlineStr">
        <is>
          <t>13/06/2025</t>
        </is>
      </c>
      <c r="BH86" s="74" t="inlineStr">
        <is>
          <t>930974</t>
        </is>
      </c>
      <c r="BI86" s="74" t="inlineStr">
        <is>
          <t>https://fnet.bmfbovespa.com.br/fnet/publico/downloadDocumento?id=930974</t>
        </is>
      </c>
      <c r="BJ86" s="74" t="inlineStr">
        <is>
          <t>localizado documentalmente</t>
        </is>
      </c>
      <c r="BK86" s="74" t="b">
        <v>0</v>
      </c>
      <c r="BL86" s="74" t="inlineStr">
        <is>
          <t>BMP</t>
        </is>
      </c>
      <c r="BM86" s="74" t="inlineStr">
        <is>
          <t>cedente</t>
        </is>
      </c>
      <c r="BN86" s="74" t="inlineStr">
        <is>
          <t>Sol Agora</t>
        </is>
      </c>
      <c r="BO86" s="74" t="inlineStr">
        <is>
          <t>BMP</t>
        </is>
      </c>
      <c r="BP86" s="74" t="inlineStr">
        <is>
          <t>pessoas físicas ou jurídicas que obtenham um financiamento de Projetos de Geração Energia Elétrica junto a uma Instituição Financeira Parceira por meio da Plataforma Sol Agora</t>
        </is>
      </c>
      <c r="BQ86" s="74" t="inlineStr">
        <is>
          <t>Recebíveis: CCBs</t>
        </is>
      </c>
      <c r="BR86" s="74" t="inlineStr">
        <is>
          <t>originador: https://fnet.bmfbovespa.com.br/fnet/publico/downloadDocumento?id=721487 | cedente: IMG_8706.JPG | sacado_devedor: https://fnet.bmfbovespa.com.br/fnet/publico/downloadDocumento?id=930974 | tipo_recebivel: IMG_8706.JPG</t>
        </is>
      </c>
      <c r="BS86" s="74" t="inlineStr">
        <is>
          <t>manual_aplicado</t>
        </is>
      </c>
      <c r="BT86" s="74" t="inlineStr">
        <is>
          <t>OBS da foto: a Sol Agora é o originador, mas o cedente das CCBs é o BMP (true sale). Os papéis foram desmembrados somente porque estão escritos literalmente na fonte. Denominação cortada.</t>
        </is>
      </c>
      <c r="BU86" s="74" t="inlineStr">
        <is>
          <t>930974</t>
        </is>
      </c>
      <c r="BV86" s="74" t="inlineStr">
        <is>
          <t>2025-06-13</t>
        </is>
      </c>
      <c r="BW86" s="74" t="inlineStr">
        <is>
          <t>91</t>
        </is>
      </c>
      <c r="BX86" s="74" t="inlineStr">
        <is>
          <t>revisto — mínimo júnior localizado</t>
        </is>
      </c>
      <c r="BY86" s="74" t="inlineStr">
        <is>
          <t>FundosNet/B3; documento 930974; referência 2025-06-13; p. 91</t>
        </is>
      </c>
      <c r="BZ86" s="74" t="inlineStr">
        <is>
          <t>Cotas júnior / PL ajustado: 10,0% até o 24º mês e 12,5% após esse período.</t>
        </is>
      </c>
      <c r="CA86" s="74" t="inlineStr">
        <is>
          <t>Nenhum</t>
        </is>
      </c>
      <c r="CB86" s="74" t="inlineStr">
        <is>
          <t>estrutura_incomparavel</t>
        </is>
      </c>
    </row>
    <row r="87" ht="31.5" customHeight="1">
      <c r="A87" s="75" t="n">
        <v>83</v>
      </c>
      <c r="B87" s="142" t="n">
        <v>57028406000108</v>
      </c>
      <c r="C87" s="75" t="inlineStr">
        <is>
          <t>57.028.406/0001-08</t>
        </is>
      </c>
      <c r="D87" s="75" t="inlineStr">
        <is>
          <t>IS GREEN SOLFÁCIL VI FUNDO DE INVESTIMENTO EM DIREITOS CREDITÓRIOS RESPONSABILIDADE LIMITADA</t>
        </is>
      </c>
      <c r="E87" s="75" t="inlineStr">
        <is>
          <t>IS GREEN SOLFACIL VI FIDC RL</t>
        </is>
      </c>
      <c r="F87" s="75" t="inlineStr">
        <is>
          <t>Carteira 101</t>
        </is>
      </c>
      <c r="G87" s="75" t="inlineStr">
        <is>
          <t>2026-08</t>
        </is>
      </c>
      <c r="H87" s="75" t="inlineStr">
        <is>
          <t>localizado</t>
        </is>
      </c>
      <c r="I87" s="143" t="n">
        <v>145184643.99</v>
      </c>
      <c r="J87" s="143" t="n">
        <v>145184643.989649</v>
      </c>
      <c r="K87" s="143" t="n">
        <v>36574058.08069424</v>
      </c>
      <c r="L87" s="144" t="n">
        <v>0.251914094187629</v>
      </c>
      <c r="M87" s="75" t="inlineStr">
        <is>
          <t>Calculado com classes reportadas e PL oficial reconciliado</t>
        </is>
      </c>
      <c r="N87" s="144" t="n">
        <v>0.02</v>
      </c>
      <c r="O87" s="144" t="inlineStr">
        <is>
          <t>N/D</t>
        </is>
      </c>
      <c r="P87" s="144" t="inlineStr">
        <is>
          <t>N/D</t>
        </is>
      </c>
      <c r="Q87" s="144" t="inlineStr">
        <is>
          <t>N/D</t>
        </is>
      </c>
      <c r="R87" s="144" t="inlineStr">
        <is>
          <t>N/D</t>
        </is>
      </c>
      <c r="S87" s="144" t="n">
        <v>0.02</v>
      </c>
      <c r="T87" s="75" t="inlineStr">
        <is>
          <t>N/D</t>
        </is>
      </c>
      <c r="U87" s="75" t="inlineStr">
        <is>
          <t>junior_pl</t>
        </is>
      </c>
      <c r="V87" s="75" t="inlineStr">
        <is>
          <t>direto no regulamento</t>
        </is>
      </c>
      <c r="W87" s="75" t="b">
        <v>0</v>
      </c>
      <c r="X87" s="75" t="inlineStr">
        <is>
          <t>Mínimo júnior isolado; a subordinação atual disponível agrega todas as classes subordinadas.</t>
        </is>
      </c>
      <c r="Y87" s="75" t="b">
        <v>0</v>
      </c>
      <c r="Z87" s="144" t="inlineStr">
        <is>
          <t>N/D</t>
        </is>
      </c>
      <c r="AA87" s="144" t="inlineStr">
        <is>
          <t>N/D</t>
        </is>
      </c>
      <c r="AB87" s="75" t="inlineStr">
        <is>
          <t>não medido</t>
        </is>
      </c>
      <c r="AC87" s="75" t="inlineStr">
        <is>
          <t>Financeiro</t>
        </is>
      </c>
      <c r="AD87" s="75" t="inlineStr">
        <is>
          <t>Crédito Pessoal</t>
        </is>
      </c>
      <c r="AE87" s="75" t="inlineStr">
        <is>
          <t>Financeiro</t>
        </is>
      </c>
      <c r="AF87" s="75" t="inlineStr">
        <is>
          <t>Financeiro</t>
        </is>
      </c>
      <c r="AG87" s="75" t="inlineStr">
        <is>
          <t>Financeiro</t>
        </is>
      </c>
      <c r="AH87" s="75" t="inlineStr">
        <is>
          <t>Financeiro</t>
        </is>
      </c>
      <c r="AI87" s="75" t="inlineStr">
        <is>
          <t>Financiamento solar, recebíveis performados</t>
        </is>
      </c>
      <c r="AJ87" s="75" t="b">
        <v>0</v>
      </c>
      <c r="AK87" s="75" t="inlineStr">
        <is>
          <t>MANTER_ALTA</t>
        </is>
      </c>
      <c r="AL87" s="75" t="inlineStr">
        <is>
          <t>Recebíveis de financiamento de placas solares</t>
        </is>
      </c>
      <c r="AM87" s="75" t="inlineStr">
        <is>
          <t>IMG_8706</t>
        </is>
      </c>
      <c r="AN87" s="75" t="inlineStr">
        <is>
          <t>Não</t>
        </is>
      </c>
      <c r="AO87" s="75" t="inlineStr">
        <is>
          <t>IMG_8706</t>
        </is>
      </c>
      <c r="AP87" s="75" t="b">
        <v>0</v>
      </c>
      <c r="AQ87" s="75" t="inlineStr">
        <is>
          <t>Financeiro</t>
        </is>
      </c>
      <c r="AR87" s="75" t="inlineStr">
        <is>
          <t>Financeiro</t>
        </is>
      </c>
      <c r="AS87" s="75" t="b">
        <v>0</v>
      </c>
      <c r="AT87" s="75" t="inlineStr">
        <is>
          <t>N/D</t>
        </is>
      </c>
      <c r="AU87" s="75" t="inlineStr">
        <is>
          <t>N/D</t>
        </is>
      </c>
      <c r="AV87" s="75" t="inlineStr">
        <is>
          <t>20%–35%</t>
        </is>
      </c>
      <c r="AW87" s="75" t="b">
        <v>1</v>
      </c>
      <c r="AX87" s="75" t="inlineStr">
        <is>
          <t>incomparável</t>
        </is>
      </c>
      <c r="AY87" s="75" t="inlineStr">
        <is>
          <t>abaixo do mercado</t>
        </is>
      </c>
      <c r="AZ87" s="144" t="n">
        <v>-0.05427968650885517</v>
      </c>
      <c r="BA87" s="75" t="b">
        <v>1</v>
      </c>
      <c r="BB87" s="145" t="n">
        <v>12</v>
      </c>
      <c r="BC87" s="143" t="n">
        <v>1000</v>
      </c>
      <c r="BD87" s="75" t="inlineStr">
        <is>
          <t>Cotas Seniores: R$ 1.000,00 | Cotas Subordinadas Mezanino: R$ 1.000,00</t>
        </is>
      </c>
      <c r="BE87" s="75" t="inlineStr">
        <is>
          <t>preço/valor unitário de emissão</t>
        </is>
      </c>
      <c r="BF87" s="75" t="inlineStr">
        <is>
          <t>Cotas Seniores | Cotas Subordinadas Mezanino</t>
        </is>
      </c>
      <c r="BG87" s="75" t="inlineStr">
        <is>
          <t>06/12/2024</t>
        </is>
      </c>
      <c r="BH87" s="75" t="inlineStr">
        <is>
          <t>796086</t>
        </is>
      </c>
      <c r="BI87" s="75" t="inlineStr">
        <is>
          <t>https://fnet.bmfbovespa.com.br/fnet/publico/downloadDocumento?id=796086</t>
        </is>
      </c>
      <c r="BJ87" s="75" t="inlineStr">
        <is>
          <t>localizado documentalmente — múltiplos valores/classes</t>
        </is>
      </c>
      <c r="BK87" s="75" t="b">
        <v>1</v>
      </c>
      <c r="BL87" s="75" t="inlineStr">
        <is>
          <t>Solfácil SCD</t>
        </is>
      </c>
      <c r="BM87" s="75" t="inlineStr">
        <is>
          <t>cedente</t>
        </is>
      </c>
      <c r="BN87" s="75" t="inlineStr">
        <is>
          <t>Solfácil Energia</t>
        </is>
      </c>
      <c r="BO87" s="75" t="inlineStr">
        <is>
          <t>Solfácil SCD</t>
        </is>
      </c>
      <c r="BP87" s="75" t="inlineStr">
        <is>
          <t>N/D</t>
        </is>
      </c>
      <c r="BQ87" s="75" t="inlineStr">
        <is>
          <t>Direitos Creditórios performados oriundos de financiamento de instalação de placas solares</t>
        </is>
      </c>
      <c r="BR87" s="75" t="inlineStr">
        <is>
          <t>originador: https://fnet.bmfbovespa.com.br/fnet/publico/downloadDocumento?id=1048522 | cedente: IMG_8706.JPG | tipo_recebivel: IMG_8706.JPG</t>
        </is>
      </c>
      <c r="BS87" s="75" t="inlineStr">
        <is>
          <t>manual_aplicado</t>
        </is>
      </c>
      <c r="BT87" s="75" t="inlineStr">
        <is>
          <t>FIDC pulverizado para aquisição dos direitos creditórios descritos.</t>
        </is>
      </c>
      <c r="BU87" s="75" t="inlineStr">
        <is>
          <t>1202319</t>
        </is>
      </c>
      <c r="BV87" s="75" t="inlineStr">
        <is>
          <t>2026-05-21</t>
        </is>
      </c>
      <c r="BW87" s="75" t="inlineStr">
        <is>
          <t>112</t>
        </is>
      </c>
      <c r="BX87" s="75" t="inlineStr">
        <is>
          <t>revisto — mínimo júnior localizado</t>
        </is>
      </c>
      <c r="BY87" s="75" t="inlineStr">
        <is>
          <t>FundosNet/B3; documento 1202319; referência 2026-05-21; p. 112</t>
        </is>
      </c>
      <c r="BZ87" s="75" t="inlineStr">
        <is>
          <t>Índice de Subordinação das cotas júnior / PL, mínimo de 2,0%.</t>
        </is>
      </c>
      <c r="CA87" s="75" t="inlineStr">
        <is>
          <t>sacado/devedor</t>
        </is>
      </c>
      <c r="CB87" s="75" t="inlineStr">
        <is>
          <t>estrutura_incomparavel</t>
        </is>
      </c>
    </row>
    <row r="88" ht="31.5" customHeight="1">
      <c r="A88" s="74" t="n">
        <v>84</v>
      </c>
      <c r="B88" s="138" t="n">
        <v>31570767000180</v>
      </c>
      <c r="C88" s="74" t="inlineStr">
        <is>
          <t>31.570.767/0001-80</t>
        </is>
      </c>
      <c r="D88" s="74" t="inlineStr">
        <is>
          <t>FUNDO DE INVESTIMENTO EM DIREITOS CREDITÓRIOS TRADEPAY VAREJO I - RESPONSABILIDADE LIMITADA</t>
        </is>
      </c>
      <c r="E88" s="74" t="inlineStr">
        <is>
          <t>FUNDO DE INVESTIMENTO EM DIREITOS</t>
        </is>
      </c>
      <c r="F88" s="74" t="inlineStr">
        <is>
          <t>Carteira 101</t>
        </is>
      </c>
      <c r="G88" s="74" t="inlineStr">
        <is>
          <t>2026-08</t>
        </is>
      </c>
      <c r="H88" s="74" t="inlineStr">
        <is>
          <t>localizado</t>
        </is>
      </c>
      <c r="I88" s="139" t="n">
        <v>685449556.03</v>
      </c>
      <c r="J88" s="139" t="n">
        <v>685449556.027949</v>
      </c>
      <c r="K88" s="139" t="n">
        <v>153934288.9795356</v>
      </c>
      <c r="L88" s="140" t="n">
        <v>0.2245742048052306</v>
      </c>
      <c r="M88" s="74" t="inlineStr">
        <is>
          <t>Calculado com classes reportadas e PL oficial reconciliado</t>
        </is>
      </c>
      <c r="N88" s="140" t="n">
        <v>0.05</v>
      </c>
      <c r="O88" s="140" t="inlineStr">
        <is>
          <t>N/D</t>
        </is>
      </c>
      <c r="P88" s="140" t="inlineStr">
        <is>
          <t>N/D</t>
        </is>
      </c>
      <c r="Q88" s="140" t="inlineStr">
        <is>
          <t>N/D</t>
        </is>
      </c>
      <c r="R88" s="140" t="inlineStr">
        <is>
          <t>N/D</t>
        </is>
      </c>
      <c r="S88" s="140" t="n">
        <v>0.05</v>
      </c>
      <c r="T88" s="74" t="inlineStr">
        <is>
          <t>N/D</t>
        </is>
      </c>
      <c r="U88" s="74" t="inlineStr">
        <is>
          <t>junior_pl</t>
        </is>
      </c>
      <c r="V88" s="74" t="inlineStr">
        <is>
          <t>direto no regulamento</t>
        </is>
      </c>
      <c r="W88" s="74" t="b">
        <v>0</v>
      </c>
      <c r="X88" s="74" t="inlineStr">
        <is>
          <t>Mínimo júnior isolado; a subordinação atual disponível agrega todas as classes subordinadas.</t>
        </is>
      </c>
      <c r="Y88" s="74" t="b">
        <v>0</v>
      </c>
      <c r="Z88" s="140" t="inlineStr">
        <is>
          <t>N/D</t>
        </is>
      </c>
      <c r="AA88" s="140" t="inlineStr">
        <is>
          <t>N/D</t>
        </is>
      </c>
      <c r="AB88" s="74" t="inlineStr">
        <is>
          <t>não medido</t>
        </is>
      </c>
      <c r="AC88" s="74" t="inlineStr">
        <is>
          <t>Agro, Indústria e Comércio</t>
        </is>
      </c>
      <c r="AD88" s="74" t="inlineStr">
        <is>
          <t>Recebíveis Comerciais</t>
        </is>
      </c>
      <c r="AE88" s="74" t="inlineStr">
        <is>
          <t>Agro / Revenda</t>
        </is>
      </c>
      <c r="AF88" s="74" t="inlineStr">
        <is>
          <t>Agro / Revenda</t>
        </is>
      </c>
      <c r="AG88" s="74" t="inlineStr">
        <is>
          <t>Agro / Revenda</t>
        </is>
      </c>
      <c r="AH88" s="74" t="inlineStr">
        <is>
          <t>Risco Corporativo</t>
        </is>
      </c>
      <c r="AI88" s="74" t="inlineStr">
        <is>
          <t>Recebíveis comerciais pulverizados Trademaster</t>
        </is>
      </c>
      <c r="AJ88" s="74" t="b">
        <v>1</v>
      </c>
      <c r="AK88" s="74" t="inlineStr">
        <is>
          <t>APLICAR_ALTA</t>
        </is>
      </c>
      <c r="AL88" s="74" t="inlineStr">
        <is>
          <t>Notas fiscais e duplicatas de vendas/serviços, mínimo 2.500 devedores e máximo 5% por devedor</t>
        </is>
      </c>
      <c r="AM88" s="74" t="inlineStr">
        <is>
          <t>regulamento 1203635, 80 páginas</t>
        </is>
      </c>
      <c r="AN88" s="74" t="inlineStr">
        <is>
          <t>Candidato</t>
        </is>
      </c>
      <c r="AO88" s="74" t="inlineStr">
        <is>
          <t>regulamento 1203635, 80 páginas</t>
        </is>
      </c>
      <c r="AP88" s="74" t="inlineStr">
        <is>
          <t>N/D</t>
        </is>
      </c>
      <c r="AQ88" s="74" t="inlineStr">
        <is>
          <t>Risco Corporativo</t>
        </is>
      </c>
      <c r="AR88" s="74" t="inlineStr">
        <is>
          <t>Agro / Revenda</t>
        </is>
      </c>
      <c r="AS88" s="74" t="b">
        <v>1</v>
      </c>
      <c r="AT88" s="74" t="inlineStr">
        <is>
          <t>regulamento 1203635, 80 páginas</t>
        </is>
      </c>
      <c r="AU88" s="74" t="inlineStr">
        <is>
          <t>Notas fiscais e duplicatas de vendas/serviços, mínimo 2.500 devedores e máximo 5% por devedor</t>
        </is>
      </c>
      <c r="AV88" s="74" t="inlineStr">
        <is>
          <t>20%–35%</t>
        </is>
      </c>
      <c r="AW88" s="74" t="b">
        <v>1</v>
      </c>
      <c r="AX88" s="74" t="inlineStr">
        <is>
          <t>incomparável</t>
        </is>
      </c>
      <c r="AY88" s="74" t="inlineStr">
        <is>
          <t>sem benchmark confiável</t>
        </is>
      </c>
      <c r="AZ88" s="140" t="inlineStr">
        <is>
          <t>N/D</t>
        </is>
      </c>
      <c r="BA88" s="74" t="b">
        <v>0</v>
      </c>
      <c r="BB88" s="141" t="n">
        <v>0</v>
      </c>
      <c r="BC88" s="139" t="inlineStr">
        <is>
          <t>N/D</t>
        </is>
      </c>
      <c r="BD88" s="74" t="inlineStr">
        <is>
          <t>N/D</t>
        </is>
      </c>
      <c r="BE88" s="74" t="inlineStr">
        <is>
          <t>N/D</t>
        </is>
      </c>
      <c r="BF88" s="74" t="inlineStr">
        <is>
          <t>N/D</t>
        </is>
      </c>
      <c r="BG88" s="74" t="inlineStr">
        <is>
          <t>N/D</t>
        </is>
      </c>
      <c r="BH88" s="74" t="inlineStr">
        <is>
          <t>N/D</t>
        </is>
      </c>
      <c r="BI88" s="74" t="inlineStr">
        <is>
          <t>N/D</t>
        </is>
      </c>
      <c r="BJ88" s="74" t="inlineStr">
        <is>
          <t>não localizado</t>
        </is>
      </c>
      <c r="BK88" s="74" t="b">
        <v>0</v>
      </c>
      <c r="BL88" s="74" t="inlineStr">
        <is>
          <t>Trademaster</t>
        </is>
      </c>
      <c r="BM88" s="74" t="inlineStr">
        <is>
          <t>cedente</t>
        </is>
      </c>
      <c r="BN88" s="74" t="inlineStr">
        <is>
          <t>N/D</t>
        </is>
      </c>
      <c r="BO88" s="74" t="inlineStr">
        <is>
          <t>Trademaster</t>
        </is>
      </c>
      <c r="BP88" s="74" t="inlineStr">
        <is>
          <t>N/D</t>
        </is>
      </c>
      <c r="BQ88" s="74" t="inlineStr">
        <is>
          <t>N/D</t>
        </is>
      </c>
      <c r="BR88" s="74" t="inlineStr">
        <is>
          <t>cedente: IMG_8706.JPG</t>
        </is>
      </c>
      <c r="BS88" s="74" t="inlineStr">
        <is>
          <t>manual_aplicado</t>
        </is>
      </c>
      <c r="BT88" s="74" t="inlineStr">
        <is>
          <t>Denominação cortada pela largura da coluna na foto.</t>
        </is>
      </c>
      <c r="BU88" s="74" t="inlineStr">
        <is>
          <t>1203635</t>
        </is>
      </c>
      <c r="BV88" s="74" t="inlineStr">
        <is>
          <t>2026-05-25</t>
        </is>
      </c>
      <c r="BW88" s="74" t="inlineStr">
        <is>
          <t>39</t>
        </is>
      </c>
      <c r="BX88" s="74" t="inlineStr">
        <is>
          <t>revisto — mínimo júnior localizado</t>
        </is>
      </c>
      <c r="BY88" s="74" t="inlineStr">
        <is>
          <t>FundosNet/B3; documento 1203635; referência 2026-05-25; p. 39</t>
        </is>
      </c>
      <c r="BZ88" s="74" t="inlineStr">
        <is>
          <t>Cotas subordinadas júnior / PL, mínimo de 5,0%.</t>
        </is>
      </c>
      <c r="CA88" s="74" t="inlineStr">
        <is>
          <t>preço unitário da cota; originador; sacado/devedor; tipo de recebível</t>
        </is>
      </c>
      <c r="CB88" s="74" t="inlineStr">
        <is>
          <t>estrutura_incomparavel</t>
        </is>
      </c>
    </row>
    <row r="89" ht="31.5" customHeight="1">
      <c r="A89" s="75" t="n">
        <v>85</v>
      </c>
      <c r="B89" s="142" t="n">
        <v>54464892000100</v>
      </c>
      <c r="C89" s="75" t="inlineStr">
        <is>
          <t>54.464.892/0001-00</t>
        </is>
      </c>
      <c r="D89" s="75" t="inlineStr">
        <is>
          <t>FUNDO DE INVESTIMENTO EM DIREITOS CREDITÓRIOS MT FGTS RECEIVABLES II</t>
        </is>
      </c>
      <c r="E89" s="75" t="inlineStr">
        <is>
          <t>FUNDO I E D C MF RECEIV</t>
        </is>
      </c>
      <c r="F89" s="75" t="inlineStr">
        <is>
          <t>Carteira 101</t>
        </is>
      </c>
      <c r="G89" s="75" t="inlineStr">
        <is>
          <t>2026-08</t>
        </is>
      </c>
      <c r="H89" s="75" t="inlineStr">
        <is>
          <t>localizado</t>
        </is>
      </c>
      <c r="I89" s="143" t="n">
        <v>665402914.1</v>
      </c>
      <c r="J89" s="143" t="n">
        <v>664908350.2394052</v>
      </c>
      <c r="K89" s="143" t="n">
        <v>133959133.4796962</v>
      </c>
      <c r="L89" s="144" t="n">
        <v>0.2013203288429906</v>
      </c>
      <c r="M89" s="75" t="inlineStr">
        <is>
          <t>Calculado com classes reportadas e PL oficial reconciliado</t>
        </is>
      </c>
      <c r="N89" s="144" t="n">
        <v>0.035</v>
      </c>
      <c r="O89" s="144" t="inlineStr">
        <is>
          <t>N/D</t>
        </is>
      </c>
      <c r="P89" s="144" t="inlineStr">
        <is>
          <t>N/D</t>
        </is>
      </c>
      <c r="Q89" s="144" t="inlineStr">
        <is>
          <t>N/D</t>
        </is>
      </c>
      <c r="R89" s="144" t="inlineStr">
        <is>
          <t>N/D</t>
        </is>
      </c>
      <c r="S89" s="144" t="n">
        <v>0.035</v>
      </c>
      <c r="T89" s="75" t="inlineStr">
        <is>
          <t>N/D</t>
        </is>
      </c>
      <c r="U89" s="75" t="inlineStr">
        <is>
          <t>junior_pl</t>
        </is>
      </c>
      <c r="V89" s="75" t="inlineStr">
        <is>
          <t>direto no regulamento</t>
        </is>
      </c>
      <c r="W89" s="75" t="b">
        <v>0</v>
      </c>
      <c r="X89" s="75" t="inlineStr">
        <is>
          <t>Mínimo júnior isolado; a subordinação atual disponível agrega mais de uma classe subordinada ou usa denominador distinto.</t>
        </is>
      </c>
      <c r="Y89" s="75" t="b">
        <v>0</v>
      </c>
      <c r="Z89" s="144" t="inlineStr">
        <is>
          <t>N/D</t>
        </is>
      </c>
      <c r="AA89" s="144" t="inlineStr">
        <is>
          <t>N/D</t>
        </is>
      </c>
      <c r="AB89" s="75" t="inlineStr">
        <is>
          <t>não medido</t>
        </is>
      </c>
      <c r="AC89" s="75" t="inlineStr">
        <is>
          <t>Financeiro</t>
        </is>
      </c>
      <c r="AD89" s="75" t="inlineStr">
        <is>
          <t>Crédito Pessoal</t>
        </is>
      </c>
      <c r="AE89" s="75" t="inlineStr">
        <is>
          <t>Consignado FGTS</t>
        </is>
      </c>
      <c r="AF89" s="75" t="inlineStr">
        <is>
          <t>Consignado FGTS</t>
        </is>
      </c>
      <c r="AG89" s="75" t="inlineStr">
        <is>
          <t>Consignado INSS e FGTS</t>
        </is>
      </c>
      <c r="AH89" s="75" t="inlineStr">
        <is>
          <t>Consignado INSS e FGTS</t>
        </is>
      </c>
      <c r="AI89" s="75" t="inlineStr">
        <is>
          <t>N/D</t>
        </is>
      </c>
      <c r="AJ89" s="75" t="b">
        <v>0</v>
      </c>
      <c r="AK89" s="75" t="inlineStr">
        <is>
          <t>fora da revisão Financeiro/Agro</t>
        </is>
      </c>
      <c r="AL89" s="75" t="inlineStr">
        <is>
          <t>N/D</t>
        </is>
      </c>
      <c r="AM89" s="75" t="inlineStr">
        <is>
          <t>N/D</t>
        </is>
      </c>
      <c r="AN89" s="75" t="inlineStr">
        <is>
          <t>N/D</t>
        </is>
      </c>
      <c r="AO89" s="75" t="inlineStr">
        <is>
          <t>N/D</t>
        </is>
      </c>
      <c r="AP89" s="75" t="inlineStr">
        <is>
          <t>N/D</t>
        </is>
      </c>
      <c r="AQ89" s="75" t="inlineStr">
        <is>
          <t>Consignado INSS e FGTS</t>
        </is>
      </c>
      <c r="AR89" s="75" t="inlineStr">
        <is>
          <t>Consignado INSS e FGTS</t>
        </is>
      </c>
      <c r="AS89" s="75" t="b">
        <v>0</v>
      </c>
      <c r="AT89" s="75" t="inlineStr">
        <is>
          <t>N/D</t>
        </is>
      </c>
      <c r="AU89" s="75" t="inlineStr">
        <is>
          <t>N/D</t>
        </is>
      </c>
      <c r="AV89" s="75" t="inlineStr">
        <is>
          <t>20%–35%</t>
        </is>
      </c>
      <c r="AW89" s="75" t="b">
        <v>1</v>
      </c>
      <c r="AX89" s="75" t="inlineStr">
        <is>
          <t>incomparável</t>
        </is>
      </c>
      <c r="AY89" s="75" t="inlineStr">
        <is>
          <t>em linha com o mercado</t>
        </is>
      </c>
      <c r="AZ89" s="144" t="n">
        <v>0.01854088768350012</v>
      </c>
      <c r="BA89" s="75" t="b">
        <v>1</v>
      </c>
      <c r="BB89" s="145" t="n">
        <v>5</v>
      </c>
      <c r="BC89" s="143" t="n">
        <v>1000</v>
      </c>
      <c r="BD89" s="75" t="inlineStr">
        <is>
          <t>Cotas Subordinadas Mezanino: R$ 1.000,00</t>
        </is>
      </c>
      <c r="BE89" s="75" t="inlineStr">
        <is>
          <t>valor nominal unitário (VNU)</t>
        </is>
      </c>
      <c r="BF89" s="75" t="inlineStr">
        <is>
          <t>Cotas Subordinadas Mezanino</t>
        </is>
      </c>
      <c r="BG89" s="75" t="inlineStr">
        <is>
          <t>10/11/2025</t>
        </is>
      </c>
      <c r="BH89" s="75" t="inlineStr">
        <is>
          <t>1033290</t>
        </is>
      </c>
      <c r="BI89" s="75" t="inlineStr">
        <is>
          <t>https://fnet.bmfbovespa.com.br/fnet/publico/downloadDocumento?id=1033290</t>
        </is>
      </c>
      <c r="BJ89" s="75" t="inlineStr">
        <is>
          <t>localizado documentalmente</t>
        </is>
      </c>
      <c r="BK89" s="75" t="b">
        <v>0</v>
      </c>
      <c r="BL89" s="75" t="inlineStr">
        <is>
          <t>75% Parati / 25% QI Tech</t>
        </is>
      </c>
      <c r="BM89" s="75" t="inlineStr">
        <is>
          <t>cedente</t>
        </is>
      </c>
      <c r="BN89" s="75" t="inlineStr">
        <is>
          <t>N/D</t>
        </is>
      </c>
      <c r="BO89" s="75" t="inlineStr">
        <is>
          <t>75% Parati / 25% QI Tech</t>
        </is>
      </c>
      <c r="BP89" s="75" t="inlineStr">
        <is>
          <t>N/D</t>
        </is>
      </c>
      <c r="BQ89" s="75" t="inlineStr">
        <is>
          <t>N/D</t>
        </is>
      </c>
      <c r="BR89" s="75" t="inlineStr">
        <is>
          <t>cedente: IMG_8707.jpg</t>
        </is>
      </c>
      <c r="BS89" s="75" t="inlineStr">
        <is>
          <t>manual_aplicado</t>
        </is>
      </c>
      <c r="BT89" s="75" t="inlineStr">
        <is>
          <t>OBS da foto: Rating atual Ba1; se ajustar o rating na base, pode considerar perspectiva estável. Denominação cortada.</t>
        </is>
      </c>
      <c r="BU89" s="75" t="inlineStr">
        <is>
          <t>884293</t>
        </is>
      </c>
      <c r="BV89" s="75" t="inlineStr">
        <is>
          <t>2025-04-23</t>
        </is>
      </c>
      <c r="BW89" s="75" t="inlineStr">
        <is>
          <t>85–86</t>
        </is>
      </c>
      <c r="BX89" s="75" t="inlineStr">
        <is>
          <t>revisto — mínimo júnior localizado</t>
        </is>
      </c>
      <c r="BY89" s="75" t="inlineStr">
        <is>
          <t>FundosNet/B3; documento 884293; referência 2025-04-23; p. 85–86</t>
        </is>
      </c>
      <c r="BZ89" s="75" t="inlineStr">
        <is>
          <t>Cotas júnior / PL, mínimo de 3,5% no período de investimento e 5,0% depois.</t>
        </is>
      </c>
      <c r="CA89" s="75" t="inlineStr">
        <is>
          <t>originador; sacado/devedor; tipo de recebível</t>
        </is>
      </c>
      <c r="CB89" s="75" t="inlineStr">
        <is>
          <t>estrutura_incomparavel</t>
        </is>
      </c>
    </row>
    <row r="90" ht="31.5" customHeight="1">
      <c r="A90" s="74" t="n">
        <v>86</v>
      </c>
      <c r="B90" s="138" t="n">
        <v>11468186000124</v>
      </c>
      <c r="C90" s="74" t="inlineStr">
        <is>
          <t>11.468.186/0001-24</t>
        </is>
      </c>
      <c r="D90" s="74" t="inlineStr">
        <is>
          <t>ATLANTA FUNDO DE INVESTIMENTO EM DIREITOS CREDITÓRIOS DE RESPONSABILIDADE LIMITADA</t>
        </is>
      </c>
      <c r="E90" s="74" t="inlineStr">
        <is>
          <t>ATLANTA FIDC NAO PADRONIZADO</t>
        </is>
      </c>
      <c r="F90" s="74" t="inlineStr">
        <is>
          <t>Carteira 101</t>
        </is>
      </c>
      <c r="G90" s="74" t="inlineStr">
        <is>
          <t>2026-08</t>
        </is>
      </c>
      <c r="H90" s="74" t="inlineStr">
        <is>
          <t>localizado</t>
        </is>
      </c>
      <c r="I90" s="139" t="n">
        <v>1897667543.94</v>
      </c>
      <c r="J90" s="139" t="n">
        <v>1897667543.962512</v>
      </c>
      <c r="K90" s="139" t="n">
        <v>1672962101.882594</v>
      </c>
      <c r="L90" s="140" t="n">
        <v>0.8815886150474677</v>
      </c>
      <c r="M90" s="74" t="inlineStr">
        <is>
          <t>Calculado com classes reportadas e PL oficial reconciliado</t>
        </is>
      </c>
      <c r="N90" s="140" t="n">
        <v>0.5</v>
      </c>
      <c r="O90" s="140" t="inlineStr">
        <is>
          <t>N/D</t>
        </is>
      </c>
      <c r="P90" s="140" t="inlineStr">
        <is>
          <t>N/D</t>
        </is>
      </c>
      <c r="Q90" s="140" t="inlineStr">
        <is>
          <t>N/D</t>
        </is>
      </c>
      <c r="R90" s="140" t="inlineStr">
        <is>
          <t>N/D</t>
        </is>
      </c>
      <c r="S90" s="140" t="n">
        <v>0.5</v>
      </c>
      <c r="T90" s="74" t="inlineStr">
        <is>
          <t>N/D</t>
        </is>
      </c>
      <c r="U90" s="74" t="inlineStr">
        <is>
          <t>junior_pl</t>
        </is>
      </c>
      <c r="V90" s="74" t="inlineStr">
        <is>
          <t>direto no regulamento</t>
        </is>
      </c>
      <c r="W90" s="74" t="b">
        <v>0</v>
      </c>
      <c r="X90" s="74" t="inlineStr">
        <is>
          <t>Mínimo júnior isolado; a subordinação atual disponível agrega todas as classes subordinadas.</t>
        </is>
      </c>
      <c r="Y90" s="74" t="b">
        <v>0</v>
      </c>
      <c r="Z90" s="140" t="inlineStr">
        <is>
          <t>N/D</t>
        </is>
      </c>
      <c r="AA90" s="140" t="inlineStr">
        <is>
          <t>N/D</t>
        </is>
      </c>
      <c r="AB90" s="74" t="inlineStr">
        <is>
          <t>não medido</t>
        </is>
      </c>
      <c r="AC90" s="74" t="inlineStr">
        <is>
          <t>Fomento Mercantil</t>
        </is>
      </c>
      <c r="AD90" s="74" t="inlineStr">
        <is>
          <t>Fomento Mercantil</t>
        </is>
      </c>
      <c r="AE90" s="74" t="inlineStr">
        <is>
          <t>Factoring</t>
        </is>
      </c>
      <c r="AF90" s="74" t="inlineStr">
        <is>
          <t>Factoring</t>
        </is>
      </c>
      <c r="AG90" s="74" t="inlineStr">
        <is>
          <t>Factoring</t>
        </is>
      </c>
      <c r="AH90" s="74" t="inlineStr">
        <is>
          <t>Factoring</t>
        </is>
      </c>
      <c r="AI90" s="74" t="inlineStr">
        <is>
          <t>N/D</t>
        </is>
      </c>
      <c r="AJ90" s="74" t="b">
        <v>0</v>
      </c>
      <c r="AK90" s="74" t="inlineStr">
        <is>
          <t>fora da revisão Financeiro/Agro</t>
        </is>
      </c>
      <c r="AL90" s="74" t="inlineStr">
        <is>
          <t>N/D</t>
        </is>
      </c>
      <c r="AM90" s="74" t="inlineStr">
        <is>
          <t>N/D</t>
        </is>
      </c>
      <c r="AN90" s="74" t="inlineStr">
        <is>
          <t>N/D</t>
        </is>
      </c>
      <c r="AO90" s="74" t="inlineStr">
        <is>
          <t>N/D</t>
        </is>
      </c>
      <c r="AP90" s="74" t="inlineStr">
        <is>
          <t>N/D</t>
        </is>
      </c>
      <c r="AQ90" s="74" t="inlineStr">
        <is>
          <t>Factoring</t>
        </is>
      </c>
      <c r="AR90" s="74" t="inlineStr">
        <is>
          <t>Factoring</t>
        </is>
      </c>
      <c r="AS90" s="74" t="b">
        <v>0</v>
      </c>
      <c r="AT90" s="74" t="inlineStr">
        <is>
          <t>N/D</t>
        </is>
      </c>
      <c r="AU90" s="74" t="inlineStr">
        <is>
          <t>N/D</t>
        </is>
      </c>
      <c r="AV90" s="74" t="inlineStr">
        <is>
          <t>≥ 60%</t>
        </is>
      </c>
      <c r="AW90" s="74" t="b">
        <v>1</v>
      </c>
      <c r="AX90" s="74" t="inlineStr">
        <is>
          <t>incomparável</t>
        </is>
      </c>
      <c r="AY90" s="74" t="inlineStr">
        <is>
          <t>sem benchmark confiável</t>
        </is>
      </c>
      <c r="AZ90" s="140" t="inlineStr">
        <is>
          <t>N/D</t>
        </is>
      </c>
      <c r="BA90" s="74" t="b">
        <v>0</v>
      </c>
      <c r="BB90" s="141" t="n">
        <v>2</v>
      </c>
      <c r="BC90" s="139" t="n">
        <v>1000000</v>
      </c>
      <c r="BD90" s="74" t="inlineStr">
        <is>
          <t>Cotas Seniores: R$ 1.000.000,00</t>
        </is>
      </c>
      <c r="BE90" s="74" t="inlineStr">
        <is>
          <t>preço/valor unitário de emissão</t>
        </is>
      </c>
      <c r="BF90" s="74" t="inlineStr">
        <is>
          <t>Cotas Seniores</t>
        </is>
      </c>
      <c r="BG90" s="74" t="inlineStr">
        <is>
          <t>06/03/2026</t>
        </is>
      </c>
      <c r="BH90" s="74" t="inlineStr">
        <is>
          <t>1130308</t>
        </is>
      </c>
      <c r="BI90" s="74" t="inlineStr">
        <is>
          <t>https://fnet.bmfbovespa.com.br/fnet/publico/downloadDocumento?id=1130308</t>
        </is>
      </c>
      <c r="BJ90" s="74" t="inlineStr">
        <is>
          <t>localizado documentalmente</t>
        </is>
      </c>
      <c r="BK90" s="74" t="b">
        <v>0</v>
      </c>
      <c r="BL90" s="74" t="inlineStr">
        <is>
          <t>Multicedentes e Multisacados</t>
        </is>
      </c>
      <c r="BM90" s="74" t="inlineStr">
        <is>
          <t>cedente</t>
        </is>
      </c>
      <c r="BN90" s="74" t="inlineStr">
        <is>
          <t>N/D</t>
        </is>
      </c>
      <c r="BO90" s="74" t="inlineStr">
        <is>
          <t>Multicedentes e Multisacados</t>
        </is>
      </c>
      <c r="BP90" s="74" t="inlineStr">
        <is>
          <t>N/D</t>
        </is>
      </c>
      <c r="BQ90" s="74" t="inlineStr">
        <is>
          <t>FIDC Multicedentes &amp; Multisacados</t>
        </is>
      </c>
      <c r="BR90" s="74" t="inlineStr">
        <is>
          <t>cedente: IMG_8707.jpg | tipo_recebivel: IMG_8707.jpg</t>
        </is>
      </c>
      <c r="BS90" s="74" t="inlineStr">
        <is>
          <t>manual_aplicado</t>
        </is>
      </c>
      <c r="BT90" s="74" t="inlineStr">
        <is>
          <t>N/D</t>
        </is>
      </c>
      <c r="BU90" s="74" t="inlineStr">
        <is>
          <t>1130308</t>
        </is>
      </c>
      <c r="BV90" s="74" t="inlineStr">
        <is>
          <t>2026-03-06</t>
        </is>
      </c>
      <c r="BW90" s="74" t="inlineStr">
        <is>
          <t>47</t>
        </is>
      </c>
      <c r="BX90" s="74" t="inlineStr">
        <is>
          <t>revisto — mínimo júnior localizado</t>
        </is>
      </c>
      <c r="BY90" s="74" t="inlineStr">
        <is>
          <t>FundosNet/B3; documento 1130308; referência 2026-03-06; p. 47</t>
        </is>
      </c>
      <c r="BZ90" s="74" t="inlineStr">
        <is>
          <t>Cotas subordinadas júnior / PL, mínimo de 50,0%.</t>
        </is>
      </c>
      <c r="CA90" s="74" t="inlineStr">
        <is>
          <t>originador; sacado/devedor</t>
        </is>
      </c>
      <c r="CB90" s="74" t="inlineStr">
        <is>
          <t>estrutura_incomparavel</t>
        </is>
      </c>
    </row>
    <row r="91" ht="31.5" customHeight="1">
      <c r="A91" s="75" t="n">
        <v>87</v>
      </c>
      <c r="B91" s="142" t="n">
        <v>43193260000133</v>
      </c>
      <c r="C91" s="75" t="inlineStr">
        <is>
          <t>43.193.260/0001-33</t>
        </is>
      </c>
      <c r="D91" s="75" t="inlineStr">
        <is>
          <t>RESIDENCE CLUB FUNDO DE INVESTIMENTO EM DIREITOS CREDITÓRIOS</t>
        </is>
      </c>
      <c r="E91" s="75" t="inlineStr">
        <is>
          <t>RESIDENCE CLUB FIDC</t>
        </is>
      </c>
      <c r="F91" s="75" t="inlineStr">
        <is>
          <t>Carteira 101</t>
        </is>
      </c>
      <c r="G91" s="75" t="inlineStr">
        <is>
          <t>2026-08</t>
        </is>
      </c>
      <c r="H91" s="75" t="inlineStr">
        <is>
          <t>localizado</t>
        </is>
      </c>
      <c r="I91" s="143" t="n">
        <v>395747815.23</v>
      </c>
      <c r="J91" s="143" t="n">
        <v>395747815.2319025</v>
      </c>
      <c r="K91" s="143" t="n">
        <v>267722134.2486351</v>
      </c>
      <c r="L91" s="144" t="n">
        <v>0.6764968091941097</v>
      </c>
      <c r="M91" s="75" t="inlineStr">
        <is>
          <t>Calculado com classes reportadas e PL oficial reconciliado</t>
        </is>
      </c>
      <c r="N91" s="144" t="inlineStr">
        <is>
          <t>N/D</t>
        </is>
      </c>
      <c r="O91" s="144" t="n">
        <v>0.15</v>
      </c>
      <c r="P91" s="144" t="inlineStr">
        <is>
          <t>N/D</t>
        </is>
      </c>
      <c r="Q91" s="144" t="n">
        <v>0.5</v>
      </c>
      <c r="R91" s="144" t="inlineStr">
        <is>
          <t>N/D</t>
        </is>
      </c>
      <c r="S91" s="144" t="n">
        <v>0.5</v>
      </c>
      <c r="T91" s="75" t="inlineStr">
        <is>
          <t>50,0%*</t>
        </is>
      </c>
      <c r="U91" s="75" t="inlineStr">
        <is>
          <t>junior_pl_calculado</t>
        </is>
      </c>
      <c r="V91" s="75" t="inlineStr">
        <is>
          <t>calculado: 50,0% × 30,0%</t>
        </is>
      </c>
      <c r="W91" s="75" t="b">
        <v>0</v>
      </c>
      <c r="X91" s="75" t="inlineStr">
        <is>
          <t>Mínimo júnior isolado; a subordinação atual disponível agrega mais de uma classe subordinada ou usa denominador distinto.</t>
        </is>
      </c>
      <c r="Y91" s="75" t="b">
        <v>1</v>
      </c>
      <c r="Z91" s="144" t="inlineStr">
        <is>
          <t>N/D</t>
        </is>
      </c>
      <c r="AA91" s="144" t="inlineStr">
        <is>
          <t>N/D</t>
        </is>
      </c>
      <c r="AB91" s="75" t="inlineStr">
        <is>
          <t>não medido</t>
        </is>
      </c>
      <c r="AC91" s="75" t="inlineStr">
        <is>
          <t>Financeiro</t>
        </is>
      </c>
      <c r="AD91" s="75" t="inlineStr">
        <is>
          <t>Crédito Imobiliário</t>
        </is>
      </c>
      <c r="AE91" s="75" t="inlineStr">
        <is>
          <t>Financeiro</t>
        </is>
      </c>
      <c r="AF91" s="75" t="inlineStr">
        <is>
          <t>Financeiro</t>
        </is>
      </c>
      <c r="AG91" s="75" t="inlineStr">
        <is>
          <t>Financeiro</t>
        </is>
      </c>
      <c r="AH91" s="75" t="inlineStr">
        <is>
          <t>Financeiro</t>
        </is>
      </c>
      <c r="AI91" s="75" t="inlineStr">
        <is>
          <t>Tipo de crédito não isolado</t>
        </is>
      </c>
      <c r="AJ91" s="75" t="b">
        <v>0</v>
      </c>
      <c r="AK91" s="75" t="inlineStr">
        <is>
          <t>PENDENTE_DOCUMENTAL</t>
        </is>
      </c>
      <c r="AL91" s="75" t="inlineStr">
        <is>
          <t>Somente VCI foi identificada</t>
        </is>
      </c>
      <c r="AM91" s="75" t="inlineStr">
        <is>
          <t>IMG_8707 + regulamento 1044387</t>
        </is>
      </c>
      <c r="AN91" s="75" t="inlineStr">
        <is>
          <t>Pendente</t>
        </is>
      </c>
      <c r="AO91" s="75" t="inlineStr">
        <is>
          <t>IMG_8707 + regulamento 1044387</t>
        </is>
      </c>
      <c r="AP91" s="75" t="inlineStr">
        <is>
          <t>N/D</t>
        </is>
      </c>
      <c r="AQ91" s="75" t="inlineStr">
        <is>
          <t>Financeiro</t>
        </is>
      </c>
      <c r="AR91" s="75" t="inlineStr">
        <is>
          <t>Financeiro</t>
        </is>
      </c>
      <c r="AS91" s="75" t="b">
        <v>0</v>
      </c>
      <c r="AT91" s="75" t="inlineStr">
        <is>
          <t>N/D</t>
        </is>
      </c>
      <c r="AU91" s="75" t="inlineStr">
        <is>
          <t>N/D</t>
        </is>
      </c>
      <c r="AV91" s="75" t="inlineStr">
        <is>
          <t>≥ 60%</t>
        </is>
      </c>
      <c r="AW91" s="75" t="b">
        <v>1</v>
      </c>
      <c r="AX91" s="75" t="inlineStr">
        <is>
          <t>incomparável</t>
        </is>
      </c>
      <c r="AY91" s="75" t="inlineStr">
        <is>
          <t>acima do mercado</t>
        </is>
      </c>
      <c r="AZ91" s="144" t="n">
        <v>0.3703030284976255</v>
      </c>
      <c r="BA91" s="75" t="b">
        <v>1</v>
      </c>
      <c r="BB91" s="145" t="n">
        <v>12</v>
      </c>
      <c r="BC91" s="143" t="n">
        <v>1000</v>
      </c>
      <c r="BD91" s="75" t="inlineStr">
        <is>
          <t>Cotas Seniores: R$ 1.000,00</t>
        </is>
      </c>
      <c r="BE91" s="75" t="inlineStr">
        <is>
          <t>valor nominal unitário (VNU)</t>
        </is>
      </c>
      <c r="BF91" s="75" t="inlineStr">
        <is>
          <t>Cotas Seniores</t>
        </is>
      </c>
      <c r="BG91" s="75" t="inlineStr">
        <is>
          <t>29/05/2023</t>
        </is>
      </c>
      <c r="BH91" s="75" t="inlineStr">
        <is>
          <t>470871</t>
        </is>
      </c>
      <c r="BI91" s="75" t="inlineStr">
        <is>
          <t>https://fnet.bmfbovespa.com.br/fnet/publico/downloadDocumento?id=470871</t>
        </is>
      </c>
      <c r="BJ91" s="75" t="inlineStr">
        <is>
          <t>localizado documentalmente</t>
        </is>
      </c>
      <c r="BK91" s="75" t="b">
        <v>0</v>
      </c>
      <c r="BL91" s="75" t="inlineStr">
        <is>
          <t>VCI</t>
        </is>
      </c>
      <c r="BM91" s="75" t="inlineStr">
        <is>
          <t>cedente</t>
        </is>
      </c>
      <c r="BN91" s="75" t="inlineStr">
        <is>
          <t>N/D</t>
        </is>
      </c>
      <c r="BO91" s="75" t="inlineStr">
        <is>
          <t>VCI</t>
        </is>
      </c>
      <c r="BP91" s="75" t="inlineStr">
        <is>
          <t>N/D</t>
        </is>
      </c>
      <c r="BQ91" s="75" t="inlineStr">
        <is>
          <t>N/D</t>
        </is>
      </c>
      <c r="BR91" s="75" t="inlineStr">
        <is>
          <t>cedente: IMG_8707.jpg</t>
        </is>
      </c>
      <c r="BS91" s="75" t="inlineStr">
        <is>
          <t>manual_aplicado</t>
        </is>
      </c>
      <c r="BT91" s="75" t="inlineStr">
        <is>
          <t>OBS aparece apenas como FIDC de receb... e foi excluída da transcrição estruturada.</t>
        </is>
      </c>
      <c r="BU91" s="75" t="inlineStr">
        <is>
          <t>1044387</t>
        </is>
      </c>
      <c r="BV91" s="75" t="inlineStr">
        <is>
          <t>2025-11-17</t>
        </is>
      </c>
      <c r="BW91" s="75" t="inlineStr">
        <is>
          <t>26</t>
        </is>
      </c>
      <c r="BX91" s="75" t="inlineStr">
        <is>
          <t>revisto — mínimo júnior localizado</t>
        </is>
      </c>
      <c r="BY91" s="75" t="inlineStr">
        <is>
          <t>FundosNet/B3; documento 1044387; referência 2025-11-17; p. 26</t>
        </is>
      </c>
      <c r="BZ91" s="75" t="inlineStr">
        <is>
          <t>Mínimo júnior calculado: subordinadas = 50,0% do PL e júnior = 30,0% das subordinadas.</t>
        </is>
      </c>
      <c r="CA91" s="75" t="inlineStr">
        <is>
          <t>originador; sacado/devedor; tipo de recebível</t>
        </is>
      </c>
      <c r="CB91" s="75" t="inlineStr">
        <is>
          <t>estrutura_incomparavel</t>
        </is>
      </c>
    </row>
    <row r="92" ht="31.5" customHeight="1">
      <c r="A92" s="74" t="n">
        <v>88</v>
      </c>
      <c r="B92" s="138" t="n">
        <v>58152340000118</v>
      </c>
      <c r="C92" s="74" t="inlineStr">
        <is>
          <t>58.152.340/0001-18</t>
        </is>
      </c>
      <c r="D92" s="74" t="inlineStr">
        <is>
          <t>MAREE II FUNDO DE INVESTIMENTO EM DIREITOS CREDITÓRIOS SEGMENTO FINANCEIRO - RESPONSABILIDADE LTDA</t>
        </is>
      </c>
      <c r="E92" s="74" t="inlineStr">
        <is>
          <t>MONEE II FUNDO DE INVESTIMENTO</t>
        </is>
      </c>
      <c r="F92" s="74" t="inlineStr">
        <is>
          <t>Carteira 101</t>
        </is>
      </c>
      <c r="G92" s="74" t="inlineStr">
        <is>
          <t>2026-08</t>
        </is>
      </c>
      <c r="H92" s="74" t="inlineStr">
        <is>
          <t>localizado</t>
        </is>
      </c>
      <c r="I92" s="139" t="n">
        <v>495258391.26</v>
      </c>
      <c r="J92" s="139" t="n">
        <v>495258391.2595997</v>
      </c>
      <c r="K92" s="139" t="n">
        <v>244134654.2545997</v>
      </c>
      <c r="L92" s="140" t="n">
        <v>0.4929440037017652</v>
      </c>
      <c r="M92" s="74" t="inlineStr">
        <is>
          <t>Calculado com classes reportadas e PL oficial reconciliado</t>
        </is>
      </c>
      <c r="N92" s="140" t="n">
        <v>0.3</v>
      </c>
      <c r="O92" s="140" t="inlineStr">
        <is>
          <t>N/D</t>
        </is>
      </c>
      <c r="P92" s="140" t="inlineStr">
        <is>
          <t>N/D</t>
        </is>
      </c>
      <c r="Q92" s="140" t="n">
        <v>0.3</v>
      </c>
      <c r="R92" s="140" t="inlineStr">
        <is>
          <t>N/D</t>
        </is>
      </c>
      <c r="S92" s="140" t="n">
        <v>0.3</v>
      </c>
      <c r="T92" s="74" t="inlineStr">
        <is>
          <t>30,0%</t>
        </is>
      </c>
      <c r="U92" s="74" t="inlineStr">
        <is>
          <t>junior_pl</t>
        </is>
      </c>
      <c r="V92" s="74" t="inlineStr">
        <is>
          <t>direto no regulamento</t>
        </is>
      </c>
      <c r="W92" s="74" t="b">
        <v>1</v>
      </c>
      <c r="X92" s="74" t="inlineStr">
        <is>
          <t>Estrutura com uma única classe subordinada; métrica atual e piso usam o total subordinado sobre o PL.</t>
        </is>
      </c>
      <c r="Y92" s="74" t="b">
        <v>0</v>
      </c>
      <c r="Z92" s="140" t="n">
        <v>0.1929440037017652</v>
      </c>
      <c r="AA92" s="140" t="n">
        <v>0.2756342910025217</v>
      </c>
      <c r="AB92" s="74" t="inlineStr">
        <is>
          <t>acima do mínimo</t>
        </is>
      </c>
      <c r="AC92" s="74" t="inlineStr">
        <is>
          <t>Financeiro</t>
        </is>
      </c>
      <c r="AD92" s="74" t="inlineStr">
        <is>
          <t>Crédito Pessoal</t>
        </is>
      </c>
      <c r="AE92" s="74" t="inlineStr">
        <is>
          <t>Financeiro</t>
        </is>
      </c>
      <c r="AF92" s="74" t="inlineStr">
        <is>
          <t>Financeiro</t>
        </is>
      </c>
      <c r="AG92" s="74" t="inlineStr">
        <is>
          <t>Financeiro</t>
        </is>
      </c>
      <c r="AH92" s="74" t="inlineStr">
        <is>
          <t>Financeiro</t>
        </is>
      </c>
      <c r="AI92" s="74" t="inlineStr">
        <is>
          <t>Empréstimos Monee SCD, CCBs</t>
        </is>
      </c>
      <c r="AJ92" s="74" t="b">
        <v>0</v>
      </c>
      <c r="AK92" s="74" t="inlineStr">
        <is>
          <t>MANTER_ALTA</t>
        </is>
      </c>
      <c r="AL92" s="74" t="inlineStr">
        <is>
          <t>CCBs originadas em empréstimos da Monee SCD</t>
        </is>
      </c>
      <c r="AM92" s="74" t="inlineStr">
        <is>
          <t>regulamento 1191019, 117 páginas</t>
        </is>
      </c>
      <c r="AN92" s="74" t="inlineStr">
        <is>
          <t>Não</t>
        </is>
      </c>
      <c r="AO92" s="74" t="inlineStr">
        <is>
          <t>regulamento 1191019, 117 páginas</t>
        </is>
      </c>
      <c r="AP92" s="74" t="b">
        <v>0</v>
      </c>
      <c r="AQ92" s="74" t="inlineStr">
        <is>
          <t>Financeiro</t>
        </is>
      </c>
      <c r="AR92" s="74" t="inlineStr">
        <is>
          <t>Financeiro</t>
        </is>
      </c>
      <c r="AS92" s="74" t="b">
        <v>0</v>
      </c>
      <c r="AT92" s="74" t="inlineStr">
        <is>
          <t>N/D</t>
        </is>
      </c>
      <c r="AU92" s="74" t="inlineStr">
        <is>
          <t>N/D</t>
        </is>
      </c>
      <c r="AV92" s="74" t="inlineStr">
        <is>
          <t>35%–60%</t>
        </is>
      </c>
      <c r="AW92" s="74" t="b">
        <v>1</v>
      </c>
      <c r="AX92" s="74" t="inlineStr">
        <is>
          <t>acima do piso</t>
        </is>
      </c>
      <c r="AY92" s="74" t="inlineStr">
        <is>
          <t>acima do mercado</t>
        </is>
      </c>
      <c r="AZ92" s="140" t="n">
        <v>0.186750223005281</v>
      </c>
      <c r="BA92" s="74" t="b">
        <v>1</v>
      </c>
      <c r="BB92" s="141" t="n">
        <v>12</v>
      </c>
      <c r="BC92" s="139" t="inlineStr">
        <is>
          <t>N/D</t>
        </is>
      </c>
      <c r="BD92" s="74" t="inlineStr">
        <is>
          <t>N/D</t>
        </is>
      </c>
      <c r="BE92" s="74" t="inlineStr">
        <is>
          <t>N/D</t>
        </is>
      </c>
      <c r="BF92" s="74" t="inlineStr">
        <is>
          <t>N/D</t>
        </is>
      </c>
      <c r="BG92" s="74" t="inlineStr">
        <is>
          <t>N/D</t>
        </is>
      </c>
      <c r="BH92" s="74" t="inlineStr">
        <is>
          <t>N/D</t>
        </is>
      </c>
      <c r="BI92" s="74" t="inlineStr">
        <is>
          <t>N/D</t>
        </is>
      </c>
      <c r="BJ92" s="74" t="inlineStr">
        <is>
          <t>não localizado</t>
        </is>
      </c>
      <c r="BK92" s="74" t="b">
        <v>0</v>
      </c>
      <c r="BL92" s="74" t="inlineStr">
        <is>
          <t>SHPP IP</t>
        </is>
      </c>
      <c r="BM92" s="74" t="inlineStr">
        <is>
          <t>cedente</t>
        </is>
      </c>
      <c r="BN92" s="74" t="inlineStr">
        <is>
          <t>N/D</t>
        </is>
      </c>
      <c r="BO92" s="74" t="inlineStr">
        <is>
          <t>SHPP IP</t>
        </is>
      </c>
      <c r="BP92" s="74" t="inlineStr">
        <is>
          <t>N/D</t>
        </is>
      </c>
      <c r="BQ92" s="74" t="inlineStr">
        <is>
          <t>N/D</t>
        </is>
      </c>
      <c r="BR92" s="74" t="inlineStr">
        <is>
          <t>cedente: IMG_8707.jpg</t>
        </is>
      </c>
      <c r="BS92" s="74" t="inlineStr">
        <is>
          <t>manual_aplicado</t>
        </is>
      </c>
      <c r="BT92" s="74" t="inlineStr">
        <is>
          <t>Denominação cortada pela largura da coluna na foto.</t>
        </is>
      </c>
      <c r="BU92" s="74" t="inlineStr">
        <is>
          <t>1191019</t>
        </is>
      </c>
      <c r="BV92" s="74" t="inlineStr">
        <is>
          <t>2026-05-14</t>
        </is>
      </c>
      <c r="BW92" s="74" t="inlineStr">
        <is>
          <t>105</t>
        </is>
      </c>
      <c r="BX92" s="74" t="inlineStr">
        <is>
          <t>revisto — mínimo júnior localizado</t>
        </is>
      </c>
      <c r="BY92" s="74" t="inlineStr">
        <is>
          <t>FundosNet/B3; documento 1191019; referência 2026-05-14; p. 105</t>
        </is>
      </c>
      <c r="BZ92" s="74" t="inlineStr">
        <is>
          <t>Cotas subordinadas / PL, mínimo de 30,0%; estrutura com uma única classe residual.</t>
        </is>
      </c>
      <c r="CA92" s="74" t="inlineStr">
        <is>
          <t>preço unitário da cota; originador; sacado/devedor; tipo de recebível</t>
        </is>
      </c>
      <c r="CB92" s="74" t="inlineStr">
        <is>
          <t>completo_para_folga</t>
        </is>
      </c>
    </row>
    <row r="93" ht="31.5" customHeight="1">
      <c r="A93" s="75" t="n">
        <v>89</v>
      </c>
      <c r="B93" s="142" t="n">
        <v>52340225000190</v>
      </c>
      <c r="C93" s="75" t="inlineStr">
        <is>
          <t>52.340.225/0001-90</t>
        </is>
      </c>
      <c r="D93" s="75" t="inlineStr">
        <is>
          <t>INOVA CREDTECH III FIDC SEGMENTO MULTICARTEIRA DE RESPONSABILIDADE LIMITADA</t>
        </is>
      </c>
      <c r="E93" s="75" t="inlineStr">
        <is>
          <t>INOVA CREDTECH III FUNDO DE INVESTIMENTO</t>
        </is>
      </c>
      <c r="F93" s="75" t="inlineStr">
        <is>
          <t>Carteira 101</t>
        </is>
      </c>
      <c r="G93" s="75" t="inlineStr">
        <is>
          <t>2026-08</t>
        </is>
      </c>
      <c r="H93" s="75" t="inlineStr">
        <is>
          <t>localizado</t>
        </is>
      </c>
      <c r="I93" s="143" t="n">
        <v>90733937.2</v>
      </c>
      <c r="J93" s="143" t="n">
        <v>90733937.19976635</v>
      </c>
      <c r="K93" s="143" t="n">
        <v>18197819.59999143</v>
      </c>
      <c r="L93" s="144" t="n">
        <v>0.2005624374028755</v>
      </c>
      <c r="M93" s="75" t="inlineStr">
        <is>
          <t>Calculado com classes reportadas e PL oficial reconciliado</t>
        </is>
      </c>
      <c r="N93" s="144" t="n">
        <v>0.075</v>
      </c>
      <c r="O93" s="144" t="inlineStr">
        <is>
          <t>N/D</t>
        </is>
      </c>
      <c r="P93" s="144" t="inlineStr">
        <is>
          <t>N/D</t>
        </is>
      </c>
      <c r="Q93" s="144" t="inlineStr">
        <is>
          <t>N/D</t>
        </is>
      </c>
      <c r="R93" s="144" t="inlineStr">
        <is>
          <t>N/D</t>
        </is>
      </c>
      <c r="S93" s="144" t="n">
        <v>0.075</v>
      </c>
      <c r="T93" s="75" t="inlineStr">
        <is>
          <t>N/D</t>
        </is>
      </c>
      <c r="U93" s="75" t="inlineStr">
        <is>
          <t>junior_pl</t>
        </is>
      </c>
      <c r="V93" s="75" t="inlineStr">
        <is>
          <t>direto no regulamento</t>
        </is>
      </c>
      <c r="W93" s="75" t="b">
        <v>0</v>
      </c>
      <c r="X93" s="75" t="inlineStr">
        <is>
          <t>Mínimo júnior isolado; a subordinação atual disponível agrega todas as classes subordinadas.</t>
        </is>
      </c>
      <c r="Y93" s="75" t="b">
        <v>0</v>
      </c>
      <c r="Z93" s="144" t="inlineStr">
        <is>
          <t>N/D</t>
        </is>
      </c>
      <c r="AA93" s="144" t="inlineStr">
        <is>
          <t>N/D</t>
        </is>
      </c>
      <c r="AB93" s="75" t="inlineStr">
        <is>
          <t>não medido</t>
        </is>
      </c>
      <c r="AC93" s="75" t="inlineStr">
        <is>
          <t>Agro, Indústria e Comércio</t>
        </is>
      </c>
      <c r="AD93" s="75" t="inlineStr">
        <is>
          <t>Multicarteira Agro, Indústria e Comércio</t>
        </is>
      </c>
      <c r="AE93" s="75" t="inlineStr">
        <is>
          <t>Agro / Revenda</t>
        </is>
      </c>
      <c r="AF93" s="75" t="inlineStr">
        <is>
          <t>Agro / Revenda</t>
        </is>
      </c>
      <c r="AG93" s="75" t="inlineStr">
        <is>
          <t>Agro / Revenda</t>
        </is>
      </c>
      <c r="AH93" s="75" t="inlineStr">
        <is>
          <t>Risco Corporativo</t>
        </is>
      </c>
      <c r="AI93" s="75" t="inlineStr">
        <is>
          <t>Duplicatas, notas comerciais e CCBs corporativas</t>
        </is>
      </c>
      <c r="AJ93" s="75" t="b">
        <v>1</v>
      </c>
      <c r="AK93" s="75" t="inlineStr">
        <is>
          <t>APLICAR_ALTA</t>
        </is>
      </c>
      <c r="AL93" s="75" t="inlineStr">
        <is>
          <t>Instrumentos corporativos explícitos, com originadora e porte ainda ausentes</t>
        </is>
      </c>
      <c r="AM93" s="75" t="inlineStr">
        <is>
          <t>regulamento 1171206</t>
        </is>
      </c>
      <c r="AN93" s="75" t="inlineStr">
        <is>
          <t>Candidato</t>
        </is>
      </c>
      <c r="AO93" s="75" t="inlineStr">
        <is>
          <t>regulamento 1171206</t>
        </is>
      </c>
      <c r="AP93" s="75" t="inlineStr">
        <is>
          <t>N/D</t>
        </is>
      </c>
      <c r="AQ93" s="75" t="inlineStr">
        <is>
          <t>Risco Corporativo</t>
        </is>
      </c>
      <c r="AR93" s="75" t="inlineStr">
        <is>
          <t>Agro / Revenda</t>
        </is>
      </c>
      <c r="AS93" s="75" t="b">
        <v>1</v>
      </c>
      <c r="AT93" s="75" t="inlineStr">
        <is>
          <t>regulamento 1171206</t>
        </is>
      </c>
      <c r="AU93" s="75" t="inlineStr">
        <is>
          <t>Instrumentos corporativos explícitos, com originadora e porte ainda ausentes</t>
        </is>
      </c>
      <c r="AV93" s="75" t="inlineStr">
        <is>
          <t>20%–35%</t>
        </is>
      </c>
      <c r="AW93" s="75" t="b">
        <v>1</v>
      </c>
      <c r="AX93" s="75" t="inlineStr">
        <is>
          <t>incomparável</t>
        </is>
      </c>
      <c r="AY93" s="75" t="inlineStr">
        <is>
          <t>sem benchmark confiável</t>
        </is>
      </c>
      <c r="AZ93" s="144" t="inlineStr">
        <is>
          <t>N/D</t>
        </is>
      </c>
      <c r="BA93" s="75" t="b">
        <v>0</v>
      </c>
      <c r="BB93" s="145" t="n">
        <v>0</v>
      </c>
      <c r="BC93" s="143" t="n">
        <v>1000</v>
      </c>
      <c r="BD93" s="75" t="inlineStr">
        <is>
          <t>R$ 1.000,00</t>
        </is>
      </c>
      <c r="BE93" s="75" t="inlineStr">
        <is>
          <t>preço/valor unitário de emissão</t>
        </is>
      </c>
      <c r="BF93" s="75" t="inlineStr">
        <is>
          <t>N/D</t>
        </is>
      </c>
      <c r="BG93" s="75" t="inlineStr">
        <is>
          <t>30/09/2025</t>
        </is>
      </c>
      <c r="BH93" s="75" t="inlineStr">
        <is>
          <t>1010103</t>
        </is>
      </c>
      <c r="BI93" s="75" t="inlineStr">
        <is>
          <t>https://fnet.bmfbovespa.com.br/fnet/publico/downloadDocumento?id=1010103</t>
        </is>
      </c>
      <c r="BJ93" s="75" t="inlineStr">
        <is>
          <t>localizado documentalmente</t>
        </is>
      </c>
      <c r="BK93" s="75" t="b">
        <v>1</v>
      </c>
      <c r="BL93" s="75" t="inlineStr">
        <is>
          <t>N/D</t>
        </is>
      </c>
      <c r="BM93" s="75" t="inlineStr">
        <is>
          <t>N/D</t>
        </is>
      </c>
      <c r="BN93" s="75" t="inlineStr">
        <is>
          <t>N/D</t>
        </is>
      </c>
      <c r="BO93" s="75" t="inlineStr">
        <is>
          <t>N/D</t>
        </is>
      </c>
      <c r="BP93" s="75" t="inlineStr">
        <is>
          <t>o devedor dos Direitos Creditórios Adquiridos</t>
        </is>
      </c>
      <c r="BQ93" s="75" t="inlineStr">
        <is>
          <t>os direitos creditórios originados pela Originadora e devidos pelos Devedores, os quais podem ser formalizados por Duplicatas, Notas Comerciais ou CCBs</t>
        </is>
      </c>
      <c r="BR93" s="75" t="inlineStr">
        <is>
          <t>sacado_devedor: https://fnet.bmfbovespa.com.br/fnet/publico/downloadDocumento?id=1171206 | tipo_recebivel: https://fnet.bmfbovespa.com.br/fnet/publico/downloadDocumento?id=1171206</t>
        </is>
      </c>
      <c r="BS93" s="75" t="inlineStr">
        <is>
          <t>sem_overlay</t>
        </is>
      </c>
      <c r="BT93" s="75" t="inlineStr">
        <is>
          <t>N/D</t>
        </is>
      </c>
      <c r="BU93" s="75" t="inlineStr">
        <is>
          <t>1171206</t>
        </is>
      </c>
      <c r="BV93" s="75" t="inlineStr">
        <is>
          <t>2026-03-25</t>
        </is>
      </c>
      <c r="BW93" s="75" t="inlineStr">
        <is>
          <t>77</t>
        </is>
      </c>
      <c r="BX93" s="75" t="inlineStr">
        <is>
          <t>revisto — mínimo júnior localizado</t>
        </is>
      </c>
      <c r="BY93" s="75" t="inlineStr">
        <is>
          <t>FundosNet/B3; documento 1171206; referência 2026-03-25; p. 77</t>
        </is>
      </c>
      <c r="BZ93" s="75" t="inlineStr">
        <is>
          <t>Índice de Subordinação Mezanino B: cotas júnior / PL, mínimo de 7,5%.</t>
        </is>
      </c>
      <c r="CA93" s="75" t="inlineStr">
        <is>
          <t>originador; cedente</t>
        </is>
      </c>
      <c r="CB93" s="75" t="inlineStr">
        <is>
          <t>estrutura_incomparavel</t>
        </is>
      </c>
    </row>
    <row r="94" ht="31.5" customHeight="1">
      <c r="A94" s="74" t="n">
        <v>90</v>
      </c>
      <c r="B94" s="138" t="n">
        <v>63546406000194</v>
      </c>
      <c r="C94" s="74" t="inlineStr">
        <is>
          <t>63.546.406/0001-94</t>
        </is>
      </c>
      <c r="D94" s="74" t="inlineStr">
        <is>
          <t>PINE INSS III FUNDO DE INVESTIMENTO EM DIREITOS CREDITÓRIOS RESPONSABILIDADE LIMITADA</t>
        </is>
      </c>
      <c r="E94" s="74" t="inlineStr">
        <is>
          <t>PINE INSS III FUNDO DE INVESTIMENTO EM DIREITOS CREDITORIOS RESPONSABILIDADE</t>
        </is>
      </c>
      <c r="F94" s="74" t="inlineStr">
        <is>
          <t>Carteira 101</t>
        </is>
      </c>
      <c r="G94" s="74" t="inlineStr">
        <is>
          <t>2026-08</t>
        </is>
      </c>
      <c r="H94" s="74" t="inlineStr">
        <is>
          <t>localizado</t>
        </is>
      </c>
      <c r="I94" s="139" t="n">
        <v>1114518773.65</v>
      </c>
      <c r="J94" s="139" t="n">
        <v>1114518773.6475</v>
      </c>
      <c r="K94" s="139" t="n">
        <v>175077833.4301875</v>
      </c>
      <c r="L94" s="140" t="n">
        <v>0.1570882766351394</v>
      </c>
      <c r="M94" s="74" t="inlineStr">
        <is>
          <t>Calculado com classes reportadas e PL oficial reconciliado</t>
        </is>
      </c>
      <c r="N94" s="140" t="n">
        <v>0.015</v>
      </c>
      <c r="O94" s="140" t="inlineStr">
        <is>
          <t>N/D</t>
        </is>
      </c>
      <c r="P94" s="140" t="inlineStr">
        <is>
          <t>N/D</t>
        </is>
      </c>
      <c r="Q94" s="140" t="inlineStr">
        <is>
          <t>N/D</t>
        </is>
      </c>
      <c r="R94" s="140" t="inlineStr">
        <is>
          <t>N/D</t>
        </is>
      </c>
      <c r="S94" s="140" t="n">
        <v>0.015</v>
      </c>
      <c r="T94" s="74" t="inlineStr">
        <is>
          <t>N/D</t>
        </is>
      </c>
      <c r="U94" s="74" t="inlineStr">
        <is>
          <t>junior_pl</t>
        </is>
      </c>
      <c r="V94" s="74" t="inlineStr">
        <is>
          <t>direto no regulamento</t>
        </is>
      </c>
      <c r="W94" s="74" t="b">
        <v>0</v>
      </c>
      <c r="X94" s="74" t="inlineStr">
        <is>
          <t>Mínimo júnior isolado; a subordinação atual disponível agrega todas as classes subordinadas.</t>
        </is>
      </c>
      <c r="Y94" s="74" t="b">
        <v>0</v>
      </c>
      <c r="Z94" s="140" t="inlineStr">
        <is>
          <t>N/D</t>
        </is>
      </c>
      <c r="AA94" s="140" t="inlineStr">
        <is>
          <t>N/D</t>
        </is>
      </c>
      <c r="AB94" s="74" t="inlineStr">
        <is>
          <t>não medido</t>
        </is>
      </c>
      <c r="AC94" s="74" t="inlineStr">
        <is>
          <t>Financeiro</t>
        </is>
      </c>
      <c r="AD94" s="74" t="inlineStr">
        <is>
          <t>Multicarteira Financeiro</t>
        </is>
      </c>
      <c r="AE94" s="74" t="inlineStr">
        <is>
          <t>Consignado INSS</t>
        </is>
      </c>
      <c r="AF94" s="74" t="inlineStr">
        <is>
          <t>Consignado INSS</t>
        </is>
      </c>
      <c r="AG94" s="74" t="inlineStr">
        <is>
          <t>Consignado INSS e FGTS</t>
        </is>
      </c>
      <c r="AH94" s="74" t="inlineStr">
        <is>
          <t>Consignado INSS e FGTS</t>
        </is>
      </c>
      <c r="AI94" s="74" t="inlineStr">
        <is>
          <t>N/D</t>
        </is>
      </c>
      <c r="AJ94" s="74" t="b">
        <v>0</v>
      </c>
      <c r="AK94" s="74" t="inlineStr">
        <is>
          <t>fora da revisão Financeiro/Agro</t>
        </is>
      </c>
      <c r="AL94" s="74" t="inlineStr">
        <is>
          <t>N/D</t>
        </is>
      </c>
      <c r="AM94" s="74" t="inlineStr">
        <is>
          <t>N/D</t>
        </is>
      </c>
      <c r="AN94" s="74" t="inlineStr">
        <is>
          <t>N/D</t>
        </is>
      </c>
      <c r="AO94" s="74" t="inlineStr">
        <is>
          <t>N/D</t>
        </is>
      </c>
      <c r="AP94" s="74" t="inlineStr">
        <is>
          <t>N/D</t>
        </is>
      </c>
      <c r="AQ94" s="74" t="inlineStr">
        <is>
          <t>Consignado INSS e FGTS</t>
        </is>
      </c>
      <c r="AR94" s="74" t="inlineStr">
        <is>
          <t>Consignado INSS e FGTS</t>
        </is>
      </c>
      <c r="AS94" s="74" t="b">
        <v>0</v>
      </c>
      <c r="AT94" s="74" t="inlineStr">
        <is>
          <t>N/D</t>
        </is>
      </c>
      <c r="AU94" s="74" t="inlineStr">
        <is>
          <t>N/D</t>
        </is>
      </c>
      <c r="AV94" s="74" t="inlineStr">
        <is>
          <t>15%–20%</t>
        </is>
      </c>
      <c r="AW94" s="74" t="b">
        <v>1</v>
      </c>
      <c r="AX94" s="74" t="inlineStr">
        <is>
          <t>incomparável</t>
        </is>
      </c>
      <c r="AY94" s="74" t="inlineStr">
        <is>
          <t>em linha com o mercado</t>
        </is>
      </c>
      <c r="AZ94" s="140" t="n">
        <v>-0.002801605328526607</v>
      </c>
      <c r="BA94" s="74" t="b">
        <v>1</v>
      </c>
      <c r="BB94" s="141" t="n">
        <v>5</v>
      </c>
      <c r="BC94" s="139" t="n">
        <v>1000</v>
      </c>
      <c r="BD94" s="74" t="inlineStr">
        <is>
          <t>R$ 1.000,00 | cotas seniores: R$ 1.000,00 | cotas subordinadas júnior: R$ 1.000,00 | cotas subordinadas mezanino: R$ 1.000,00</t>
        </is>
      </c>
      <c r="BE94" s="74" t="inlineStr">
        <is>
          <t>preço/valor unitário de emissão | valor nominal unitário (VNU)</t>
        </is>
      </c>
      <c r="BF94" s="74" t="inlineStr">
        <is>
          <t>cotas seniores | cotas subordinadas júnior | cotas subordinadas mezanino</t>
        </is>
      </c>
      <c r="BG94" s="74" t="inlineStr">
        <is>
          <t>2026-03-05</t>
        </is>
      </c>
      <c r="BH94" s="74" t="inlineStr">
        <is>
          <t>1130481 | 1130478</t>
        </is>
      </c>
      <c r="BI94" s="74" t="inlineStr">
        <is>
          <t>https://fnet.bmfbovespa.com.br/fnet/publico/downloadDocumento?id=1130481 | https://fnet.bmfbovespa.com.br/fnet/publico/downloadDocumento?id=1130478</t>
        </is>
      </c>
      <c r="BJ94" s="74" t="inlineStr">
        <is>
          <t>localizado documentalmente — múltiplos valores/classes</t>
        </is>
      </c>
      <c r="BK94" s="74" t="b">
        <v>1</v>
      </c>
      <c r="BL94" s="74" t="inlineStr">
        <is>
          <t>N/D</t>
        </is>
      </c>
      <c r="BM94" s="74" t="inlineStr">
        <is>
          <t>N/D</t>
        </is>
      </c>
      <c r="BN94" s="74" t="inlineStr">
        <is>
          <t>N/D</t>
        </is>
      </c>
      <c r="BO94" s="74" t="inlineStr">
        <is>
          <t>o Banco Pine, conforme o caso;</t>
        </is>
      </c>
      <c r="BP94" s="74" t="inlineStr">
        <is>
          <t>os devedores das CCBs relativas aos Direitos Creditórios;</t>
        </is>
      </c>
      <c r="BQ94" s="74" t="inlineStr">
        <is>
          <t>N/D</t>
        </is>
      </c>
      <c r="BR94" s="74" t="inlineStr">
        <is>
          <t>cedente: https://fnet.bmfbovespa.com.br/fnet/publico/downloadDocumento?id=1130481 | sacado_devedor: https://fnet.bmfbovespa.com.br/fnet/publico/downloadDocumento?id=1130481</t>
        </is>
      </c>
      <c r="BS94" s="74" t="inlineStr">
        <is>
          <t>sem_overlay</t>
        </is>
      </c>
      <c r="BT94" s="74" t="inlineStr">
        <is>
          <t>N/D</t>
        </is>
      </c>
      <c r="BU94" s="74" t="inlineStr">
        <is>
          <t>1130481</t>
        </is>
      </c>
      <c r="BV94" s="74" t="inlineStr">
        <is>
          <t>2026-03-05</t>
        </is>
      </c>
      <c r="BW94" s="74" t="inlineStr">
        <is>
          <t>142</t>
        </is>
      </c>
      <c r="BX94" s="74" t="inlineStr">
        <is>
          <t>revisto — mínimo júnior localizado</t>
        </is>
      </c>
      <c r="BY94" s="74" t="inlineStr">
        <is>
          <t>FundosNet/B3; documento 1130481; referência 2026-03-05; p. 142</t>
        </is>
      </c>
      <c r="BZ94" s="74" t="inlineStr">
        <is>
          <t>Cotas júnior / PL sem efeito de derivativos: mínimo inicial de 1,5%; meta de 2,5%.</t>
        </is>
      </c>
      <c r="CA94" s="74" t="inlineStr">
        <is>
          <t>originador; tipo de recebível</t>
        </is>
      </c>
      <c r="CB94" s="74" t="inlineStr">
        <is>
          <t>estrutura_incomparavel</t>
        </is>
      </c>
    </row>
    <row r="95" ht="31.5" customHeight="1">
      <c r="A95" s="75" t="n">
        <v>91</v>
      </c>
      <c r="B95" s="142" t="n">
        <v>37294759000134</v>
      </c>
      <c r="C95" s="75" t="inlineStr">
        <is>
          <t>37.294.759/0001-34</t>
        </is>
      </c>
      <c r="D95" s="75" t="inlineStr">
        <is>
          <t>GALLERIA HOME EQUITY FIDC</t>
        </is>
      </c>
      <c r="E95" s="75" t="inlineStr">
        <is>
          <t>FUNDO I E D C GALLERIA</t>
        </is>
      </c>
      <c r="F95" s="75" t="inlineStr">
        <is>
          <t>Carteira 101</t>
        </is>
      </c>
      <c r="G95" s="75" t="inlineStr">
        <is>
          <t>2026-08</t>
        </is>
      </c>
      <c r="H95" s="75" t="inlineStr">
        <is>
          <t>localizado</t>
        </is>
      </c>
      <c r="I95" s="143" t="n">
        <v>513190809.52</v>
      </c>
      <c r="J95" s="143" t="n">
        <v>513190809.0452346</v>
      </c>
      <c r="K95" s="143" t="n">
        <v>161698241.5808339</v>
      </c>
      <c r="L95" s="144" t="n">
        <v>0.3150840556401901</v>
      </c>
      <c r="M95" s="75" t="inlineStr">
        <is>
          <t>Calculado com classes reportadas e PL oficial reconciliado</t>
        </is>
      </c>
      <c r="N95" s="144" t="inlineStr">
        <is>
          <t>N/D</t>
        </is>
      </c>
      <c r="O95" s="144" t="inlineStr">
        <is>
          <t>N/D</t>
        </is>
      </c>
      <c r="P95" s="144" t="inlineStr">
        <is>
          <t>N/D</t>
        </is>
      </c>
      <c r="Q95" s="144" t="n">
        <v>0.047619047619</v>
      </c>
      <c r="R95" s="144" t="inlineStr">
        <is>
          <t>N/D</t>
        </is>
      </c>
      <c r="S95" s="144" t="n">
        <v>0.047619047619</v>
      </c>
      <c r="T95" s="75" t="inlineStr">
        <is>
          <t>4,76%*</t>
        </is>
      </c>
      <c r="U95" s="75" t="inlineStr">
        <is>
          <t>suporte_total_pl</t>
        </is>
      </c>
      <c r="V95" s="75" t="inlineStr">
        <is>
          <t>calculado: 1 − 1/1,05</t>
        </is>
      </c>
      <c r="W95" s="75" t="b">
        <v>1</v>
      </c>
      <c r="X95" s="75" t="inlineStr">
        <is>
          <t>Suporte total ou combinado; não representa mínimo júnior isolado.</t>
        </is>
      </c>
      <c r="Y95" s="75" t="b">
        <v>1</v>
      </c>
      <c r="Z95" s="144" t="n">
        <v>0.2674650080211901</v>
      </c>
      <c r="AA95" s="144" t="n">
        <v>0.2808382584222356</v>
      </c>
      <c r="AB95" s="75" t="inlineStr">
        <is>
          <t>acima do mínimo</t>
        </is>
      </c>
      <c r="AC95" s="75" t="inlineStr">
        <is>
          <t>Financeiro</t>
        </is>
      </c>
      <c r="AD95" s="75" t="inlineStr">
        <is>
          <t>Multicarteira Financeiro</t>
        </is>
      </c>
      <c r="AE95" s="75" t="inlineStr">
        <is>
          <t>Financeiro</t>
        </is>
      </c>
      <c r="AF95" s="75" t="inlineStr">
        <is>
          <t>Financeiro</t>
        </is>
      </c>
      <c r="AG95" s="75" t="inlineStr">
        <is>
          <t>Financeiro</t>
        </is>
      </c>
      <c r="AH95" s="75" t="inlineStr">
        <is>
          <t>Financeiro</t>
        </is>
      </c>
      <c r="AI95" s="75" t="inlineStr">
        <is>
          <t>Home equity PF/PJ, CCB com alienação fiduciária</t>
        </is>
      </c>
      <c r="AJ95" s="75" t="b">
        <v>0</v>
      </c>
      <c r="AK95" s="75" t="inlineStr">
        <is>
          <t>MANTER_ALTA</t>
        </is>
      </c>
      <c r="AL95" s="75" t="inlineStr">
        <is>
          <t>CCBs com garantia imobiliária</t>
        </is>
      </c>
      <c r="AM95" s="75" t="inlineStr">
        <is>
          <t>IMG_8707</t>
        </is>
      </c>
      <c r="AN95" s="75" t="inlineStr">
        <is>
          <t>Não</t>
        </is>
      </c>
      <c r="AO95" s="75" t="inlineStr">
        <is>
          <t>IMG_8707</t>
        </is>
      </c>
      <c r="AP95" s="75" t="b">
        <v>0</v>
      </c>
      <c r="AQ95" s="75" t="inlineStr">
        <is>
          <t>Financeiro</t>
        </is>
      </c>
      <c r="AR95" s="75" t="inlineStr">
        <is>
          <t>Financeiro</t>
        </is>
      </c>
      <c r="AS95" s="75" t="b">
        <v>0</v>
      </c>
      <c r="AT95" s="75" t="inlineStr">
        <is>
          <t>N/D</t>
        </is>
      </c>
      <c r="AU95" s="75" t="inlineStr">
        <is>
          <t>N/D</t>
        </is>
      </c>
      <c r="AV95" s="75" t="inlineStr">
        <is>
          <t>20%–35%</t>
        </is>
      </c>
      <c r="AW95" s="75" t="b">
        <v>1</v>
      </c>
      <c r="AX95" s="75" t="inlineStr">
        <is>
          <t>acima do piso</t>
        </is>
      </c>
      <c r="AY95" s="75" t="inlineStr">
        <is>
          <t>em linha com o mercado</t>
        </is>
      </c>
      <c r="AZ95" s="144" t="n">
        <v>0.008890274943705923</v>
      </c>
      <c r="BA95" s="75" t="b">
        <v>1</v>
      </c>
      <c r="BB95" s="145" t="n">
        <v>12</v>
      </c>
      <c r="BC95" s="143" t="n">
        <v>1</v>
      </c>
      <c r="BD95" s="75" t="inlineStr">
        <is>
          <t>Cotas Subordinadas Mezanino: R$ 1,00</t>
        </is>
      </c>
      <c r="BE95" s="75" t="inlineStr">
        <is>
          <t>preço/valor unitário de emissão</t>
        </is>
      </c>
      <c r="BF95" s="75" t="inlineStr">
        <is>
          <t>Cotas Subordinadas Mezanino</t>
        </is>
      </c>
      <c r="BG95" s="75" t="inlineStr">
        <is>
          <t>10/07/2026</t>
        </is>
      </c>
      <c r="BH95" s="75" t="inlineStr">
        <is>
          <t>1243617</t>
        </is>
      </c>
      <c r="BI95" s="75" t="inlineStr">
        <is>
          <t>https://fnet.bmfbovespa.com.br/fnet/publico/downloadDocumento?id=1243617</t>
        </is>
      </c>
      <c r="BJ95" s="75" t="inlineStr">
        <is>
          <t>localizado documentalmente</t>
        </is>
      </c>
      <c r="BK95" s="75" t="b">
        <v>0</v>
      </c>
      <c r="BL95" s="75" t="inlineStr">
        <is>
          <t>Galleria SCD</t>
        </is>
      </c>
      <c r="BM95" s="75" t="inlineStr">
        <is>
          <t>cedente</t>
        </is>
      </c>
      <c r="BN95" s="75" t="inlineStr">
        <is>
          <t>N/D</t>
        </is>
      </c>
      <c r="BO95" s="75" t="inlineStr">
        <is>
          <t>Galleria SCD</t>
        </is>
      </c>
      <c r="BP95" s="75" t="inlineStr">
        <is>
          <t>N/D</t>
        </is>
      </c>
      <c r="BQ95" s="75" t="inlineStr">
        <is>
          <t>CCBs com AF de Imóvel oriundos de empréstimo PF e PJs</t>
        </is>
      </c>
      <c r="BR95" s="75" t="inlineStr">
        <is>
          <t>cedente: IMG_8707.jpg | tipo_recebivel: IMG_8707.jpg</t>
        </is>
      </c>
      <c r="BS95" s="75" t="inlineStr">
        <is>
          <t>manual_aplicado</t>
        </is>
      </c>
      <c r="BT95" s="75" t="inlineStr">
        <is>
          <t>N/D</t>
        </is>
      </c>
      <c r="BU95" s="75" t="inlineStr">
        <is>
          <t>927443</t>
        </is>
      </c>
      <c r="BV95" s="75" t="inlineStr">
        <is>
          <t>2026-07-10</t>
        </is>
      </c>
      <c r="BW95" s="75" t="inlineStr">
        <is>
          <t>110</t>
        </is>
      </c>
      <c r="BX95" s="75" t="inlineStr">
        <is>
          <t>revisto — suporte estrutural total localizado</t>
        </is>
      </c>
      <c r="BY95" s="75" t="inlineStr">
        <is>
          <t>FundosNet/B3; documento 927443; referência 2026-07-10; p. 110</t>
        </is>
      </c>
      <c r="BZ95" s="75" t="inlineStr">
        <is>
          <t>N/D</t>
        </is>
      </c>
      <c r="CA95" s="75" t="inlineStr">
        <is>
          <t>originador; sacado/devedor</t>
        </is>
      </c>
      <c r="CB95" s="75" t="inlineStr">
        <is>
          <t>completo_para_folga</t>
        </is>
      </c>
    </row>
    <row r="96" ht="31.5" customHeight="1">
      <c r="A96" s="74" t="n">
        <v>92</v>
      </c>
      <c r="B96" s="138" t="n">
        <v>42085830000109</v>
      </c>
      <c r="C96" s="74" t="inlineStr">
        <is>
          <t>42.085.830/0001-09</t>
        </is>
      </c>
      <c r="D96" s="74" t="inlineStr">
        <is>
          <t>CLOUDWALK AKIRA I FUNDO DE INVESTIMENTO EM DIREITOS CREDITÓRIOS SEGMENTO MEIOS DE PAGAMENTO</t>
        </is>
      </c>
      <c r="E96" s="74" t="inlineStr">
        <is>
          <t>CLOUDWALK AKIRA I FUNDO DE INVESTIMENTO EM DIREITO</t>
        </is>
      </c>
      <c r="F96" s="74" t="inlineStr">
        <is>
          <t>Carteira 101</t>
        </is>
      </c>
      <c r="G96" s="74" t="inlineStr">
        <is>
          <t>2026-08</t>
        </is>
      </c>
      <c r="H96" s="74" t="inlineStr">
        <is>
          <t>localizado</t>
        </is>
      </c>
      <c r="I96" s="139" t="n">
        <v>225091227.33</v>
      </c>
      <c r="J96" s="139" t="n">
        <v>225091227.3300217</v>
      </c>
      <c r="K96" s="139" t="n">
        <v>16523823.77002167</v>
      </c>
      <c r="L96" s="140" t="n">
        <v>0.07340945254075383</v>
      </c>
      <c r="M96" s="74" t="inlineStr">
        <is>
          <t>Calculado com classes reportadas e PL oficial reconciliado</t>
        </is>
      </c>
      <c r="N96" s="140" t="n">
        <v>0.03</v>
      </c>
      <c r="O96" s="140" t="inlineStr">
        <is>
          <t>N/D</t>
        </is>
      </c>
      <c r="P96" s="140" t="inlineStr">
        <is>
          <t>N/D</t>
        </is>
      </c>
      <c r="Q96" s="140" t="n">
        <v>0.03</v>
      </c>
      <c r="R96" s="140" t="inlineStr">
        <is>
          <t>N/D</t>
        </is>
      </c>
      <c r="S96" s="140" t="n">
        <v>0.03</v>
      </c>
      <c r="T96" s="74" t="inlineStr">
        <is>
          <t>3,0%</t>
        </is>
      </c>
      <c r="U96" s="74" t="inlineStr">
        <is>
          <t>junior_pl</t>
        </is>
      </c>
      <c r="V96" s="74" t="inlineStr">
        <is>
          <t>direto no regulamento</t>
        </is>
      </c>
      <c r="W96" s="74" t="b">
        <v>1</v>
      </c>
      <c r="X96" s="74" t="inlineStr">
        <is>
          <t>Estrutura com uma única classe subordinada; métrica atual e piso usam o total subordinado sobre o PL.</t>
        </is>
      </c>
      <c r="Y96" s="74" t="b">
        <v>0</v>
      </c>
      <c r="Z96" s="140" t="n">
        <v>0.04340945254075383</v>
      </c>
      <c r="AA96" s="140" t="n">
        <v>0.0447520129286122</v>
      </c>
      <c r="AB96" s="74" t="inlineStr">
        <is>
          <t>acima do mínimo</t>
        </is>
      </c>
      <c r="AC96" s="74" t="inlineStr">
        <is>
          <t>Financeiro</t>
        </is>
      </c>
      <c r="AD96" s="74" t="inlineStr">
        <is>
          <t>Adquirência</t>
        </is>
      </c>
      <c r="AE96" s="74" t="inlineStr">
        <is>
          <t>Adquirência</t>
        </is>
      </c>
      <c r="AF96" s="74" t="inlineStr">
        <is>
          <t>Adquirência</t>
        </is>
      </c>
      <c r="AG96" s="74" t="inlineStr">
        <is>
          <t>Adquirência</t>
        </is>
      </c>
      <c r="AH96" s="74" t="inlineStr">
        <is>
          <t>Adquirência</t>
        </is>
      </c>
      <c r="AI96" s="74" t="inlineStr">
        <is>
          <t>N/D</t>
        </is>
      </c>
      <c r="AJ96" s="74" t="b">
        <v>0</v>
      </c>
      <c r="AK96" s="74" t="inlineStr">
        <is>
          <t>fora da revisão Financeiro/Agro</t>
        </is>
      </c>
      <c r="AL96" s="74" t="inlineStr">
        <is>
          <t>N/D</t>
        </is>
      </c>
      <c r="AM96" s="74" t="inlineStr">
        <is>
          <t>N/D</t>
        </is>
      </c>
      <c r="AN96" s="74" t="inlineStr">
        <is>
          <t>N/D</t>
        </is>
      </c>
      <c r="AO96" s="74" t="inlineStr">
        <is>
          <t>N/D</t>
        </is>
      </c>
      <c r="AP96" s="74" t="inlineStr">
        <is>
          <t>N/D</t>
        </is>
      </c>
      <c r="AQ96" s="74" t="inlineStr">
        <is>
          <t>Adquirência</t>
        </is>
      </c>
      <c r="AR96" s="74" t="inlineStr">
        <is>
          <t>Adquirência</t>
        </is>
      </c>
      <c r="AS96" s="74" t="b">
        <v>0</v>
      </c>
      <c r="AT96" s="74" t="inlineStr">
        <is>
          <t>N/D</t>
        </is>
      </c>
      <c r="AU96" s="74" t="inlineStr">
        <is>
          <t>N/D</t>
        </is>
      </c>
      <c r="AV96" s="74" t="inlineStr">
        <is>
          <t>&lt; 10%</t>
        </is>
      </c>
      <c r="AW96" s="74" t="b">
        <v>1</v>
      </c>
      <c r="AX96" s="74" t="inlineStr">
        <is>
          <t>acima do piso</t>
        </is>
      </c>
      <c r="AY96" s="74" t="inlineStr">
        <is>
          <t>abaixo do mercado</t>
        </is>
      </c>
      <c r="AZ96" s="140" t="n">
        <v>-0.08765690964990615</v>
      </c>
      <c r="BA96" s="74" t="b">
        <v>1</v>
      </c>
      <c r="BB96" s="141" t="n">
        <v>14</v>
      </c>
      <c r="BC96" s="139" t="n">
        <v>1000</v>
      </c>
      <c r="BD96" s="74" t="inlineStr">
        <is>
          <t>Cotas Seniores: R$1.000 | Cotas Subordinadas: R$1.000</t>
        </is>
      </c>
      <c r="BE96" s="74" t="inlineStr">
        <is>
          <t>valor nominal unitário (VNU)</t>
        </is>
      </c>
      <c r="BF96" s="74" t="inlineStr">
        <is>
          <t>Cotas Seniores | Cotas Subordinadas</t>
        </is>
      </c>
      <c r="BG96" s="74" t="inlineStr">
        <is>
          <t>2025-07-24</t>
        </is>
      </c>
      <c r="BH96" s="74" t="inlineStr">
        <is>
          <t>966441</t>
        </is>
      </c>
      <c r="BI96" s="74" t="inlineStr">
        <is>
          <t>https://fnet.bmfbovespa.com.br/fnet/publico/downloadDocumento?id=966441</t>
        </is>
      </c>
      <c r="BJ96" s="74" t="inlineStr">
        <is>
          <t>localizado documentalmente — múltiplos valores/classes</t>
        </is>
      </c>
      <c r="BK96" s="74" t="b">
        <v>1</v>
      </c>
      <c r="BL96" s="74" t="inlineStr">
        <is>
          <t>Cloudwalk IP</t>
        </is>
      </c>
      <c r="BM96" s="74" t="inlineStr">
        <is>
          <t>cedente</t>
        </is>
      </c>
      <c r="BN96" s="74" t="inlineStr">
        <is>
          <t>N/D</t>
        </is>
      </c>
      <c r="BO96" s="74" t="inlineStr">
        <is>
          <t>a CloudWalk que, de tempos em tempos, nos termos do Contrato de Cessão, cede seus respectivos Direitos Creditórios Elegíveis ao Fundo</t>
        </is>
      </c>
      <c r="BP96" s="74" t="inlineStr">
        <is>
          <t>os Emissores Qualificados</t>
        </is>
      </c>
      <c r="BQ96" s="74" t="inlineStr">
        <is>
          <t>os direitos creditórios de tempos em tempos detidos pela Cedente em face dos Devedores , conforme as regras dos Arranjos de Pagamentos, decorrentes de Transações de Pagamento realizadas por Usuários-Finais com a utilização de Instrumentos de Pagamento, Página 97 de 116</t>
        </is>
      </c>
      <c r="BR96" s="74" t="inlineStr">
        <is>
          <t>cedente: https://fnet.bmfbovespa.com.br/fnet/publico/downloadDocumento?id=966441 | sacado_devedor: https://fnet.bmfbovespa.com.br/fnet/publico/downloadDocumento?id=966441 | tipo_recebivel: https://fnet.bmfbovespa.com.br/fnet/publico/downloadDocumento?id=966441</t>
        </is>
      </c>
      <c r="BS96" s="74" t="inlineStr">
        <is>
          <t>manual_aplicado</t>
        </is>
      </c>
      <c r="BT96" s="74" t="inlineStr">
        <is>
          <t>OBS da foto: Risco Banco Emissor Itaú. Denominação cortada.</t>
        </is>
      </c>
      <c r="BU96" s="74" t="inlineStr">
        <is>
          <t>966441</t>
        </is>
      </c>
      <c r="BV96" s="74" t="inlineStr">
        <is>
          <t>2025-07-24</t>
        </is>
      </c>
      <c r="BW96" s="74" t="inlineStr">
        <is>
          <t>99</t>
        </is>
      </c>
      <c r="BX96" s="74" t="inlineStr">
        <is>
          <t>revisto — mínimo júnior localizado</t>
        </is>
      </c>
      <c r="BY96" s="74" t="inlineStr">
        <is>
          <t>FundosNet/B3; documento 966441; referência 2025-07-24; p. 99</t>
        </is>
      </c>
      <c r="BZ96" s="74" t="inlineStr">
        <is>
          <t>Cotas subordinadas / PL, mínimo de 3,0%; estrutura com uma única classe residual.</t>
        </is>
      </c>
      <c r="CA96" s="74" t="inlineStr">
        <is>
          <t>originador</t>
        </is>
      </c>
      <c r="CB96" s="74" t="inlineStr">
        <is>
          <t>completo_para_folga</t>
        </is>
      </c>
    </row>
    <row r="97" ht="31.5" customHeight="1">
      <c r="A97" s="75" t="n">
        <v>93</v>
      </c>
      <c r="B97" s="142" t="n">
        <v>61288838000117</v>
      </c>
      <c r="C97" s="75" t="inlineStr">
        <is>
          <t>61.288.838/0001-17</t>
        </is>
      </c>
      <c r="D97" s="75" t="inlineStr">
        <is>
          <t>IFOOD PAGO CRÉDITO III FUNDO DE INVESTIMENTO EM DIREITOS CREDITÓRIOS FINANCEIRO RESP. LIMITADA</t>
        </is>
      </c>
      <c r="E97" s="75" t="inlineStr">
        <is>
          <t>FIDC MOVILE III</t>
        </is>
      </c>
      <c r="F97" s="75" t="inlineStr">
        <is>
          <t>Carteira 101</t>
        </is>
      </c>
      <c r="G97" s="75" t="inlineStr">
        <is>
          <t>2026-08</t>
        </is>
      </c>
      <c r="H97" s="75" t="inlineStr">
        <is>
          <t>localizado</t>
        </is>
      </c>
      <c r="I97" s="143" t="n">
        <v>943956123.03</v>
      </c>
      <c r="J97" s="143" t="n">
        <v>943956123.0291308</v>
      </c>
      <c r="K97" s="143" t="n">
        <v>238826164.2707918</v>
      </c>
      <c r="L97" s="144" t="n">
        <v>0.2530055777425172</v>
      </c>
      <c r="M97" s="75" t="inlineStr">
        <is>
          <t>Calculado com classes reportadas e PL oficial reconciliado</t>
        </is>
      </c>
      <c r="N97" s="144" t="n">
        <v>0.15</v>
      </c>
      <c r="O97" s="144" t="inlineStr">
        <is>
          <t>N/D</t>
        </is>
      </c>
      <c r="P97" s="144" t="inlineStr">
        <is>
          <t>N/D</t>
        </is>
      </c>
      <c r="Q97" s="144" t="inlineStr">
        <is>
          <t>N/D</t>
        </is>
      </c>
      <c r="R97" s="144" t="inlineStr">
        <is>
          <t>N/D</t>
        </is>
      </c>
      <c r="S97" s="144" t="n">
        <v>0.15</v>
      </c>
      <c r="T97" s="75" t="inlineStr">
        <is>
          <t>N/D</t>
        </is>
      </c>
      <c r="U97" s="75" t="inlineStr">
        <is>
          <t>junior_pl</t>
        </is>
      </c>
      <c r="V97" s="75" t="inlineStr">
        <is>
          <t>direto no regulamento</t>
        </is>
      </c>
      <c r="W97" s="75" t="b">
        <v>0</v>
      </c>
      <c r="X97" s="75" t="inlineStr">
        <is>
          <t>Mínimo júnior isolado; a subordinação atual disponível agrega todas as classes subordinadas.</t>
        </is>
      </c>
      <c r="Y97" s="75" t="b">
        <v>0</v>
      </c>
      <c r="Z97" s="144" t="inlineStr">
        <is>
          <t>N/D</t>
        </is>
      </c>
      <c r="AA97" s="144" t="inlineStr">
        <is>
          <t>N/D</t>
        </is>
      </c>
      <c r="AB97" s="75" t="inlineStr">
        <is>
          <t>não medido</t>
        </is>
      </c>
      <c r="AC97" s="75" t="inlineStr">
        <is>
          <t>Financeiro</t>
        </is>
      </c>
      <c r="AD97" s="75" t="inlineStr">
        <is>
          <t>Multicarteira Financeiro</t>
        </is>
      </c>
      <c r="AE97" s="75" t="inlineStr">
        <is>
          <t>Financeiro</t>
        </is>
      </c>
      <c r="AF97" s="75" t="inlineStr">
        <is>
          <t>Financeiro</t>
        </is>
      </c>
      <c r="AG97" s="75" t="inlineStr">
        <is>
          <t>Financeiro</t>
        </is>
      </c>
      <c r="AH97" s="75" t="inlineStr">
        <is>
          <t>Financeiro</t>
        </is>
      </c>
      <c r="AI97" s="75" t="inlineStr">
        <is>
          <t>Estrutura mista, CCB + recebíveis de credenciadoras</t>
        </is>
      </c>
      <c r="AJ97" s="75" t="b">
        <v>0</v>
      </c>
      <c r="AK97" s="75" t="inlineStr">
        <is>
          <t>MANTER_ASTERISCO</t>
        </is>
      </c>
      <c r="AL97" s="75" t="inlineStr">
        <is>
          <t>Combina crédito e adquirência</t>
        </is>
      </c>
      <c r="AM97" s="75" t="inlineStr">
        <is>
          <t>regulamentos 1073756 e 1240846</t>
        </is>
      </c>
      <c r="AN97" s="75" t="inlineStr">
        <is>
          <t>Não</t>
        </is>
      </c>
      <c r="AO97" s="75" t="inlineStr">
        <is>
          <t>regulamentos 1073756 e 1240846</t>
        </is>
      </c>
      <c r="AP97" s="75" t="b">
        <v>0</v>
      </c>
      <c r="AQ97" s="75" t="inlineStr">
        <is>
          <t>Financeiro</t>
        </is>
      </c>
      <c r="AR97" s="75" t="inlineStr">
        <is>
          <t>Financeiro</t>
        </is>
      </c>
      <c r="AS97" s="75" t="b">
        <v>0</v>
      </c>
      <c r="AT97" s="75" t="inlineStr">
        <is>
          <t>N/D</t>
        </is>
      </c>
      <c r="AU97" s="75" t="inlineStr">
        <is>
          <t>N/D</t>
        </is>
      </c>
      <c r="AV97" s="75" t="inlineStr">
        <is>
          <t>20%–35%</t>
        </is>
      </c>
      <c r="AW97" s="75" t="b">
        <v>1</v>
      </c>
      <c r="AX97" s="75" t="inlineStr">
        <is>
          <t>incomparável</t>
        </is>
      </c>
      <c r="AY97" s="75" t="inlineStr">
        <is>
          <t>abaixo do mercado</t>
        </is>
      </c>
      <c r="AZ97" s="144" t="n">
        <v>-0.05318820295396698</v>
      </c>
      <c r="BA97" s="75" t="b">
        <v>1</v>
      </c>
      <c r="BB97" s="145" t="n">
        <v>12</v>
      </c>
      <c r="BC97" s="143" t="n">
        <v>1000</v>
      </c>
      <c r="BD97" s="75" t="inlineStr">
        <is>
          <t>Cotas Seniores: R$ 1.000,00</t>
        </is>
      </c>
      <c r="BE97" s="75" t="inlineStr">
        <is>
          <t>preço/valor unitário de emissão</t>
        </is>
      </c>
      <c r="BF97" s="75" t="inlineStr">
        <is>
          <t>Cotas Seniores</t>
        </is>
      </c>
      <c r="BG97" s="75" t="inlineStr">
        <is>
          <t>14/07/2026</t>
        </is>
      </c>
      <c r="BH97" s="75" t="inlineStr">
        <is>
          <t>1247950</t>
        </is>
      </c>
      <c r="BI97" s="75" t="inlineStr">
        <is>
          <t>https://fnet.bmfbovespa.com.br/fnet/publico/downloadDocumento?id=1247950</t>
        </is>
      </c>
      <c r="BJ97" s="75" t="inlineStr">
        <is>
          <t>localizado documentalmente</t>
        </is>
      </c>
      <c r="BK97" s="75" t="b">
        <v>0</v>
      </c>
      <c r="BL97" s="75" t="inlineStr">
        <is>
          <t>MovilePay / iFood</t>
        </is>
      </c>
      <c r="BM97" s="75" t="inlineStr">
        <is>
          <t>cedente</t>
        </is>
      </c>
      <c r="BN97" s="75" t="inlineStr">
        <is>
          <t>N/D</t>
        </is>
      </c>
      <c r="BO97" s="75" t="inlineStr">
        <is>
          <t>a Subcredenciadora</t>
        </is>
      </c>
      <c r="BP97" s="75" t="inlineStr">
        <is>
          <t>pessoas físicas ou jurídicas que possuam uma Conta Digital do Devedor CCB e que emitam uma CCB em favor da Instituição Financeira Parceira, conforme aplicável, com o objetivo de realizar uma operação de crédito</t>
        </is>
      </c>
      <c r="BQ97" s="75" t="inlineStr">
        <is>
          <t>os Direitos Creditórios CCB e os Direitos Creditórios Credenciadoras, quando referidos em conjunto ou indistintamente</t>
        </is>
      </c>
      <c r="BR97" s="75" t="inlineStr">
        <is>
          <t>cedente: https://fnet.bmfbovespa.com.br/fnet/publico/downloadDocumento?id=1073756 | sacado_devedor: https://fnet.bmfbovespa.com.br/fnet/publico/downloadDocumento?id=1073756 | tipo_recebivel: https://fnet.bmfbovespa.com.br/fnet/publico/downloadDocumento?id=1073756</t>
        </is>
      </c>
      <c r="BS97" s="75" t="inlineStr">
        <is>
          <t>manual_aplicado</t>
        </is>
      </c>
      <c r="BT97" s="75" t="inlineStr">
        <is>
          <t>N/D</t>
        </is>
      </c>
      <c r="BU97" s="75" t="inlineStr">
        <is>
          <t>1240846</t>
        </is>
      </c>
      <c r="BV97" s="75" t="inlineStr">
        <is>
          <t>2026-07-03</t>
        </is>
      </c>
      <c r="BW97" s="75" t="inlineStr">
        <is>
          <t>114</t>
        </is>
      </c>
      <c r="BX97" s="75" t="inlineStr">
        <is>
          <t>revisto — mínimo júnior localizado</t>
        </is>
      </c>
      <c r="BY97" s="75" t="inlineStr">
        <is>
          <t>FundosNet/B3; documento 1240846; referência 2026-07-03; p. 114</t>
        </is>
      </c>
      <c r="BZ97" s="75" t="inlineStr">
        <is>
          <t>Índice de Subordinação Mezanino: cotas júnior / PL, mínimo de 15,0%.</t>
        </is>
      </c>
      <c r="CA97" s="75" t="inlineStr">
        <is>
          <t>originador</t>
        </is>
      </c>
      <c r="CB97" s="75" t="inlineStr">
        <is>
          <t>estrutura_incomparavel</t>
        </is>
      </c>
    </row>
    <row r="98" ht="31.5" customHeight="1">
      <c r="A98" s="74" t="n">
        <v>94</v>
      </c>
      <c r="B98" s="138" t="n">
        <v>30035329000159</v>
      </c>
      <c r="C98" s="74" t="inlineStr">
        <is>
          <t>30.035.329/0001-59</t>
        </is>
      </c>
      <c r="D98" s="74" t="inlineStr">
        <is>
          <t>VIA INVEST II FUNDO DE INVESTIMENTO EM DIREITOS CREDITÓRIOS RESPONSABILIDADE LIMITADA</t>
        </is>
      </c>
      <c r="E98" s="74" t="inlineStr">
        <is>
          <t>VIAINVEST II FIDC MULTISSETORIAL</t>
        </is>
      </c>
      <c r="F98" s="74" t="inlineStr">
        <is>
          <t>Carteira 101</t>
        </is>
      </c>
      <c r="G98" s="74" t="inlineStr">
        <is>
          <t>2026-08</t>
        </is>
      </c>
      <c r="H98" s="74" t="inlineStr">
        <is>
          <t>localizado</t>
        </is>
      </c>
      <c r="I98" s="139" t="n">
        <v>233621604.94</v>
      </c>
      <c r="J98" s="139" t="n">
        <v>233621604.9243134</v>
      </c>
      <c r="K98" s="139" t="n">
        <v>101395673.3043759</v>
      </c>
      <c r="L98" s="140" t="n">
        <v>0.4340166797947344</v>
      </c>
      <c r="M98" s="74" t="inlineStr">
        <is>
          <t>Calculado com classes reportadas e PL oficial reconciliado</t>
        </is>
      </c>
      <c r="N98" s="140" t="n">
        <v>0.15</v>
      </c>
      <c r="O98" s="140" t="inlineStr">
        <is>
          <t>N/D</t>
        </is>
      </c>
      <c r="P98" s="140" t="inlineStr">
        <is>
          <t>N/D</t>
        </is>
      </c>
      <c r="Q98" s="140" t="inlineStr">
        <is>
          <t>N/D</t>
        </is>
      </c>
      <c r="R98" s="140" t="inlineStr">
        <is>
          <t>N/D</t>
        </is>
      </c>
      <c r="S98" s="140" t="n">
        <v>0.15</v>
      </c>
      <c r="T98" s="74" t="inlineStr">
        <is>
          <t>N/D</t>
        </is>
      </c>
      <c r="U98" s="74" t="inlineStr">
        <is>
          <t>junior_pl</t>
        </is>
      </c>
      <c r="V98" s="74" t="inlineStr">
        <is>
          <t>direto no regulamento</t>
        </is>
      </c>
      <c r="W98" s="74" t="b">
        <v>0</v>
      </c>
      <c r="X98" s="74" t="inlineStr">
        <is>
          <t>Mínimo júnior isolado; a subordinação atual disponível agrega mais de uma classe subordinada ou usa denominador distinto.</t>
        </is>
      </c>
      <c r="Y98" s="74" t="b">
        <v>0</v>
      </c>
      <c r="Z98" s="140" t="inlineStr">
        <is>
          <t>N/D</t>
        </is>
      </c>
      <c r="AA98" s="140" t="inlineStr">
        <is>
          <t>N/D</t>
        </is>
      </c>
      <c r="AB98" s="74" t="inlineStr">
        <is>
          <t>não medido</t>
        </is>
      </c>
      <c r="AC98" s="74" t="inlineStr">
        <is>
          <t>Financeiro</t>
        </is>
      </c>
      <c r="AD98" s="74" t="inlineStr">
        <is>
          <t>Crédito Consignado</t>
        </is>
      </c>
      <c r="AE98" s="74" t="inlineStr">
        <is>
          <t>Financeiro</t>
        </is>
      </c>
      <c r="AF98" s="74" t="inlineStr">
        <is>
          <t>Financeiro</t>
        </is>
      </c>
      <c r="AG98" s="74" t="inlineStr">
        <is>
          <t>Financeiro</t>
        </is>
      </c>
      <c r="AH98" s="74" t="inlineStr">
        <is>
          <t>Consignado INSS e FGTS</t>
        </is>
      </c>
      <c r="AI98" s="74" t="inlineStr">
        <is>
          <t>Antecipação do saque-aniversário FGTS, CCBs</t>
        </is>
      </c>
      <c r="AJ98" s="74" t="b">
        <v>1</v>
      </c>
      <c r="AK98" s="74" t="inlineStr">
        <is>
          <t>APLICAR_ALTA</t>
        </is>
      </c>
      <c r="AL98" s="74" t="inlineStr">
        <is>
          <t>Devedores são titulares de FGTS e emitem CCB</t>
        </is>
      </c>
      <c r="AM98" s="74" t="inlineStr">
        <is>
          <t>regulamento + auditoria documental</t>
        </is>
      </c>
      <c r="AN98" s="74" t="inlineStr">
        <is>
          <t>Não</t>
        </is>
      </c>
      <c r="AO98" s="74" t="inlineStr">
        <is>
          <t>regulamento + auditoria documental</t>
        </is>
      </c>
      <c r="AP98" s="74" t="b">
        <v>0</v>
      </c>
      <c r="AQ98" s="74" t="inlineStr">
        <is>
          <t>Consignado INSS e FGTS</t>
        </is>
      </c>
      <c r="AR98" s="74" t="inlineStr">
        <is>
          <t>Financeiro</t>
        </is>
      </c>
      <c r="AS98" s="74" t="b">
        <v>1</v>
      </c>
      <c r="AT98" s="74" t="inlineStr">
        <is>
          <t>regulamento + auditoria documental</t>
        </is>
      </c>
      <c r="AU98" s="74" t="inlineStr">
        <is>
          <t>Devedores são titulares de FGTS e emitem CCB</t>
        </is>
      </c>
      <c r="AV98" s="74" t="inlineStr">
        <is>
          <t>35%–60%</t>
        </is>
      </c>
      <c r="AW98" s="74" t="b">
        <v>1</v>
      </c>
      <c r="AX98" s="74" t="inlineStr">
        <is>
          <t>incomparável</t>
        </is>
      </c>
      <c r="AY98" s="74" t="inlineStr">
        <is>
          <t>acima do mercado</t>
        </is>
      </c>
      <c r="AZ98" s="140" t="n">
        <v>0.1278228990982502</v>
      </c>
      <c r="BA98" s="74" t="b">
        <v>1</v>
      </c>
      <c r="BB98" s="141" t="n">
        <v>12</v>
      </c>
      <c r="BC98" s="139" t="n">
        <v>1000</v>
      </c>
      <c r="BD98" s="74" t="inlineStr">
        <is>
          <t>Cotas Seniores: R$ 1.000,00</t>
        </is>
      </c>
      <c r="BE98" s="74" t="inlineStr">
        <is>
          <t>valor nominal unitário (VNU)</t>
        </is>
      </c>
      <c r="BF98" s="74" t="inlineStr">
        <is>
          <t>Cotas Seniores</t>
        </is>
      </c>
      <c r="BG98" s="74" t="inlineStr">
        <is>
          <t>30/09/2025</t>
        </is>
      </c>
      <c r="BH98" s="74" t="inlineStr">
        <is>
          <t>1003989</t>
        </is>
      </c>
      <c r="BI98" s="74" t="inlineStr">
        <is>
          <t>https://fnet.bmfbovespa.com.br/fnet/publico/downloadDocumento?id=1003989</t>
        </is>
      </c>
      <c r="BJ98" s="74" t="inlineStr">
        <is>
          <t>localizado documentalmente</t>
        </is>
      </c>
      <c r="BK98" s="74" t="b">
        <v>0</v>
      </c>
      <c r="BL98" s="74" t="inlineStr">
        <is>
          <t>BMP (Bancarizador)</t>
        </is>
      </c>
      <c r="BM98" s="74" t="inlineStr">
        <is>
          <t>cedente</t>
        </is>
      </c>
      <c r="BN98" s="74" t="inlineStr">
        <is>
          <t>N/D</t>
        </is>
      </c>
      <c r="BO98" s="74" t="inlineStr">
        <is>
          <t>BMP (Bancarizador)</t>
        </is>
      </c>
      <c r="BP98" s="74" t="inlineStr">
        <is>
          <t>pessoas físicas titulares de contas vinculadas do FGTS e que estejam com a opção da modalidade de Saque Aniversário vigente na data da contratação do empréstimo e emissão de CCBs, e que figurem na qualidade de devedores dos Direitos Creditórios</t>
        </is>
      </c>
      <c r="BQ98" s="74" t="inlineStr">
        <is>
          <t>N/D</t>
        </is>
      </c>
      <c r="BR98" s="74" t="inlineStr">
        <is>
          <t>cedente: IMG_8707.jpg | sacado_devedor: https://fnet.bmfbovespa.com.br/fnet/publico/downloadDocumento?id=998769</t>
        </is>
      </c>
      <c r="BS98" s="74" t="inlineStr">
        <is>
          <t>manual_aplicado</t>
        </is>
      </c>
      <c r="BT98" s="74" t="inlineStr">
        <is>
          <t>OBS parcialmente legível: Via Invest (Gestorada grupo faz co-gestão). Denominação cortada.</t>
        </is>
      </c>
      <c r="BU98" s="74" t="inlineStr">
        <is>
          <t>998769</t>
        </is>
      </c>
      <c r="BV98" s="74" t="inlineStr">
        <is>
          <t>2025-09-22</t>
        </is>
      </c>
      <c r="BW98" s="74" t="inlineStr">
        <is>
          <t>44; 64</t>
        </is>
      </c>
      <c r="BX98" s="74" t="inlineStr">
        <is>
          <t>revisto — mínimo júnior localizado</t>
        </is>
      </c>
      <c r="BY98" s="74" t="inlineStr">
        <is>
          <t>FundosNet/B3; documento 998769; referência 2025-09-22; p. 44; 64</t>
        </is>
      </c>
      <c r="BZ98" s="74" t="inlineStr">
        <is>
          <t>Índice mantido pelas cotas júnior / PL, mínimo de 15,0%; há classe mezanino.</t>
        </is>
      </c>
      <c r="CA98" s="74" t="inlineStr">
        <is>
          <t>originador; tipo de recebível</t>
        </is>
      </c>
      <c r="CB98" s="74" t="inlineStr">
        <is>
          <t>estrutura_incomparavel</t>
        </is>
      </c>
    </row>
    <row r="99" ht="31.5" customHeight="1">
      <c r="A99" s="75" t="n">
        <v>95</v>
      </c>
      <c r="B99" s="142" t="n">
        <v>63657457000193</v>
      </c>
      <c r="C99" s="75" t="inlineStr">
        <is>
          <t>63.657.457/0001-93</t>
        </is>
      </c>
      <c r="D99" s="75" t="inlineStr">
        <is>
          <t>MSV3 FUNDO DE INVESTIMENTO EM DIREITOS CREDITÓRIOS RECEBÍVEIS COMERCIAIS RESPONSABILIDADE LIMITADA</t>
        </is>
      </c>
      <c r="E99" s="75" t="inlineStr">
        <is>
          <t>MSV3 FUNDO DE INVESTIMENTO EM DIREITOS CREDITORIOS RECEBIVEIS COMERCIAIS</t>
        </is>
      </c>
      <c r="F99" s="75" t="inlineStr">
        <is>
          <t>Carteira 101</t>
        </is>
      </c>
      <c r="G99" s="75" t="inlineStr">
        <is>
          <t>2026-08</t>
        </is>
      </c>
      <c r="H99" s="75" t="inlineStr">
        <is>
          <t>localizado</t>
        </is>
      </c>
      <c r="I99" s="143" t="n">
        <v>310777311.22</v>
      </c>
      <c r="J99" s="143" t="n">
        <v>310777311.2188825</v>
      </c>
      <c r="K99" s="143" t="n">
        <v>112495491.2391325</v>
      </c>
      <c r="L99" s="144" t="n">
        <v>0.3619810300742858</v>
      </c>
      <c r="M99" s="75" t="inlineStr">
        <is>
          <t>Calculado com classes reportadas e PL oficial reconciliado</t>
        </is>
      </c>
      <c r="N99" s="144" t="n">
        <v>0.25</v>
      </c>
      <c r="O99" s="144" t="inlineStr">
        <is>
          <t>N/D</t>
        </is>
      </c>
      <c r="P99" s="144" t="inlineStr">
        <is>
          <t>N/D</t>
        </is>
      </c>
      <c r="Q99" s="144" t="inlineStr">
        <is>
          <t>N/D</t>
        </is>
      </c>
      <c r="R99" s="144" t="inlineStr">
        <is>
          <t>N/D</t>
        </is>
      </c>
      <c r="S99" s="144" t="n">
        <v>0.25</v>
      </c>
      <c r="T99" s="75" t="inlineStr">
        <is>
          <t>N/D</t>
        </is>
      </c>
      <c r="U99" s="75" t="inlineStr">
        <is>
          <t>junior_pl</t>
        </is>
      </c>
      <c r="V99" s="75" t="inlineStr">
        <is>
          <t>direto no regulamento</t>
        </is>
      </c>
      <c r="W99" s="75" t="b">
        <v>0</v>
      </c>
      <c r="X99" s="75" t="inlineStr">
        <is>
          <t>Mínimo júnior isolado; a subordinação atual disponível agrega todas as classes subordinadas.</t>
        </is>
      </c>
      <c r="Y99" s="75" t="b">
        <v>0</v>
      </c>
      <c r="Z99" s="144" t="inlineStr">
        <is>
          <t>N/D</t>
        </is>
      </c>
      <c r="AA99" s="144" t="inlineStr">
        <is>
          <t>N/D</t>
        </is>
      </c>
      <c r="AB99" s="75" t="inlineStr">
        <is>
          <t>não medido</t>
        </is>
      </c>
      <c r="AC99" s="75" t="inlineStr">
        <is>
          <t>Agro, Indústria e Comércio</t>
        </is>
      </c>
      <c r="AD99" s="75" t="inlineStr">
        <is>
          <t>Recebíveis Comerciais</t>
        </is>
      </c>
      <c r="AE99" s="75" t="inlineStr">
        <is>
          <t>Agro / Revenda</t>
        </is>
      </c>
      <c r="AF99" s="75" t="inlineStr">
        <is>
          <t>Agro / Revenda</t>
        </is>
      </c>
      <c r="AG99" s="75" t="inlineStr">
        <is>
          <t>Agro / Revenda</t>
        </is>
      </c>
      <c r="AH99" s="75" t="inlineStr">
        <is>
          <t>Risco Corporativo</t>
        </is>
      </c>
      <c r="AI99" s="75" t="inlineStr">
        <is>
          <t>Recebíveis comerciais de serviços/indústria</t>
        </is>
      </c>
      <c r="AJ99" s="75" t="b">
        <v>1</v>
      </c>
      <c r="AK99" s="75" t="inlineStr">
        <is>
          <t>APLICAR_ALTA</t>
        </is>
      </c>
      <c r="AL99" s="75" t="inlineStr">
        <is>
          <t>Originadores ligados à Manserv e carteira comercial</t>
        </is>
      </c>
      <c r="AM99" s="75" t="inlineStr">
        <is>
          <t>rating 1118693</t>
        </is>
      </c>
      <c r="AN99" s="75" t="inlineStr">
        <is>
          <t>Candidato</t>
        </is>
      </c>
      <c r="AO99" s="75" t="inlineStr">
        <is>
          <t>rating 1118693</t>
        </is>
      </c>
      <c r="AP99" s="75" t="inlineStr">
        <is>
          <t>N/D</t>
        </is>
      </c>
      <c r="AQ99" s="75" t="inlineStr">
        <is>
          <t>Risco Corporativo</t>
        </is>
      </c>
      <c r="AR99" s="75" t="inlineStr">
        <is>
          <t>Agro / Revenda</t>
        </is>
      </c>
      <c r="AS99" s="75" t="b">
        <v>1</v>
      </c>
      <c r="AT99" s="75" t="inlineStr">
        <is>
          <t>rating 1118693</t>
        </is>
      </c>
      <c r="AU99" s="75" t="inlineStr">
        <is>
          <t>Originadores ligados à Manserv e carteira comercial</t>
        </is>
      </c>
      <c r="AV99" s="75" t="inlineStr">
        <is>
          <t>35%–60%</t>
        </is>
      </c>
      <c r="AW99" s="75" t="b">
        <v>1</v>
      </c>
      <c r="AX99" s="75" t="inlineStr">
        <is>
          <t>incomparável</t>
        </is>
      </c>
      <c r="AY99" s="75" t="inlineStr">
        <is>
          <t>sem benchmark confiável</t>
        </is>
      </c>
      <c r="AZ99" s="144" t="inlineStr">
        <is>
          <t>N/D</t>
        </is>
      </c>
      <c r="BA99" s="75" t="b">
        <v>0</v>
      </c>
      <c r="BB99" s="145" t="n">
        <v>0</v>
      </c>
      <c r="BC99" s="143" t="n">
        <v>1000</v>
      </c>
      <c r="BD99" s="75" t="inlineStr">
        <is>
          <t>R$ 1.000,00</t>
        </is>
      </c>
      <c r="BE99" s="75" t="inlineStr">
        <is>
          <t>preço/valor unitário de emissão</t>
        </is>
      </c>
      <c r="BF99" s="75" t="inlineStr">
        <is>
          <t>N/D</t>
        </is>
      </c>
      <c r="BG99" s="75" t="inlineStr">
        <is>
          <t>27/05/2026</t>
        </is>
      </c>
      <c r="BH99" s="75" t="inlineStr">
        <is>
          <t>1205333</t>
        </is>
      </c>
      <c r="BI99" s="75" t="inlineStr">
        <is>
          <t>https://fnet.bmfbovespa.com.br/fnet/publico/downloadDocumento?id=1205333</t>
        </is>
      </c>
      <c r="BJ99" s="75" t="inlineStr">
        <is>
          <t>localizado documentalmente</t>
        </is>
      </c>
      <c r="BK99" s="75" t="b">
        <v>1</v>
      </c>
      <c r="BL99" s="75" t="inlineStr">
        <is>
          <t>N/D</t>
        </is>
      </c>
      <c r="BM99" s="75" t="inlineStr">
        <is>
          <t>N/D</t>
        </is>
      </c>
      <c r="BN99" s="75" t="inlineStr">
        <is>
          <t>N/D</t>
        </is>
      </c>
      <c r="BO99" s="75" t="inlineStr">
        <is>
          <t>Originadores</t>
        </is>
      </c>
      <c r="BP99" s="75" t="inlineStr">
        <is>
          <t>não tenham relação com qualquer comercialização de tabaco ou qualquer espécie de fumo ou com distribuição de combustíveis (exceto, nesse último caso, se forem companhias abertas), conforme informado pela respectiva</t>
        </is>
      </c>
      <c r="BQ99" s="75" t="inlineStr">
        <is>
          <t>N/D</t>
        </is>
      </c>
      <c r="BR99" s="75" t="inlineStr">
        <is>
          <t>cedente: https://fnet.bmfbovespa.com.br/fnet/publico/downloadDocumento?id=1118693 | sacado_devedor: https://fnet.bmfbovespa.com.br/fnet/publico/downloadDocumento?id=1118693</t>
        </is>
      </c>
      <c r="BS99" s="75" t="inlineStr">
        <is>
          <t>sem_overlay</t>
        </is>
      </c>
      <c r="BT99" s="75" t="inlineStr">
        <is>
          <t>N/D</t>
        </is>
      </c>
      <c r="BU99" s="75" t="inlineStr">
        <is>
          <t>1205333</t>
        </is>
      </c>
      <c r="BV99" s="75" t="inlineStr">
        <is>
          <t>2026-05-27</t>
        </is>
      </c>
      <c r="BW99" s="75" t="inlineStr">
        <is>
          <t>28</t>
        </is>
      </c>
      <c r="BX99" s="75" t="inlineStr">
        <is>
          <t>revisto — mínimo júnior localizado</t>
        </is>
      </c>
      <c r="BY99" s="75" t="inlineStr">
        <is>
          <t>FundosNet/B3; documento 1205333; referência 2026-05-27; p. 28</t>
        </is>
      </c>
      <c r="BZ99" s="75" t="inlineStr">
        <is>
          <t>Cotas subordinadas júnior / PL, mínimo de 25,0%.</t>
        </is>
      </c>
      <c r="CA99" s="75" t="inlineStr">
        <is>
          <t>originador; tipo de recebível</t>
        </is>
      </c>
      <c r="CB99" s="75" t="inlineStr">
        <is>
          <t>estrutura_incomparavel</t>
        </is>
      </c>
    </row>
    <row r="100" ht="31.5" customHeight="1">
      <c r="A100" s="74" t="n">
        <v>96</v>
      </c>
      <c r="B100" s="138" t="n">
        <v>63066147000102</v>
      </c>
      <c r="C100" s="74" t="inlineStr">
        <is>
          <t>63.066.147/0001-02</t>
        </is>
      </c>
      <c r="D100" s="74" t="inlineStr">
        <is>
          <t>FUNDO DE INVESTIMENTO EM DIREITOS CREDITÓRIOS INCLUSÃO CREDIÁRIA RESPONSABILIDADE LIMITADA</t>
        </is>
      </c>
      <c r="E100" s="74" t="inlineStr">
        <is>
          <t>FUNDO DE INVESTIMENTO EM DIREITOS</t>
        </is>
      </c>
      <c r="F100" s="74" t="inlineStr">
        <is>
          <t>Carteira 101</t>
        </is>
      </c>
      <c r="G100" s="74" t="inlineStr">
        <is>
          <t>2026-08</t>
        </is>
      </c>
      <c r="H100" s="74" t="inlineStr">
        <is>
          <t>localizado</t>
        </is>
      </c>
      <c r="I100" s="139" t="n">
        <v>183309658.13</v>
      </c>
      <c r="J100" s="139" t="n">
        <v>183309658.1298708</v>
      </c>
      <c r="K100" s="139" t="n">
        <v>94666172.82015762</v>
      </c>
      <c r="L100" s="140" t="n">
        <v>0.5164276328147535</v>
      </c>
      <c r="M100" s="74" t="inlineStr">
        <is>
          <t>Calculado com classes reportadas e PL oficial reconciliado</t>
        </is>
      </c>
      <c r="N100" s="140" t="n">
        <v>0.125</v>
      </c>
      <c r="O100" s="140" t="inlineStr">
        <is>
          <t>N/D</t>
        </is>
      </c>
      <c r="P100" s="140" t="inlineStr">
        <is>
          <t>N/D</t>
        </is>
      </c>
      <c r="Q100" s="140" t="inlineStr">
        <is>
          <t>N/D</t>
        </is>
      </c>
      <c r="R100" s="140" t="inlineStr">
        <is>
          <t>N/D</t>
        </is>
      </c>
      <c r="S100" s="140" t="n">
        <v>0.125</v>
      </c>
      <c r="T100" s="74" t="inlineStr">
        <is>
          <t>N/D</t>
        </is>
      </c>
      <c r="U100" s="74" t="inlineStr">
        <is>
          <t>junior_pl</t>
        </is>
      </c>
      <c r="V100" s="74" t="inlineStr">
        <is>
          <t>direto no regulamento</t>
        </is>
      </c>
      <c r="W100" s="74" t="b">
        <v>0</v>
      </c>
      <c r="X100" s="74" t="inlineStr">
        <is>
          <t>Mínimo júnior isolado; a subordinação atual disponível agrega todas as classes subordinadas.</t>
        </is>
      </c>
      <c r="Y100" s="74" t="b">
        <v>0</v>
      </c>
      <c r="Z100" s="140" t="inlineStr">
        <is>
          <t>N/D</t>
        </is>
      </c>
      <c r="AA100" s="140" t="inlineStr">
        <is>
          <t>N/D</t>
        </is>
      </c>
      <c r="AB100" s="74" t="inlineStr">
        <is>
          <t>não medido</t>
        </is>
      </c>
      <c r="AC100" s="74" t="inlineStr">
        <is>
          <t>Financeiro</t>
        </is>
      </c>
      <c r="AD100" s="74" t="inlineStr">
        <is>
          <t>Multicarteira Financeiro</t>
        </is>
      </c>
      <c r="AE100" s="74" t="inlineStr">
        <is>
          <t>Financeiro</t>
        </is>
      </c>
      <c r="AF100" s="74" t="inlineStr">
        <is>
          <t>Financeiro</t>
        </is>
      </c>
      <c r="AG100" s="74" t="inlineStr">
        <is>
          <t>Financeiro</t>
        </is>
      </c>
      <c r="AH100" s="74" t="inlineStr">
        <is>
          <t>Financeiro</t>
        </is>
      </c>
      <c r="AI100" s="74" t="inlineStr">
        <is>
          <t>Crédito Supersim, CCBs</t>
        </is>
      </c>
      <c r="AJ100" s="74" t="b">
        <v>0</v>
      </c>
      <c r="AK100" s="74" t="inlineStr">
        <is>
          <t>MANTER_ALTA</t>
        </is>
      </c>
      <c r="AL100" s="74" t="inlineStr">
        <is>
          <t>Direitos são CCBs de operações de crédito</t>
        </is>
      </c>
      <c r="AM100" s="74" t="inlineStr">
        <is>
          <t>regulamento 1085943</t>
        </is>
      </c>
      <c r="AN100" s="74" t="inlineStr">
        <is>
          <t>Não</t>
        </is>
      </c>
      <c r="AO100" s="74" t="inlineStr">
        <is>
          <t>regulamento 1085943</t>
        </is>
      </c>
      <c r="AP100" s="74" t="b">
        <v>0</v>
      </c>
      <c r="AQ100" s="74" t="inlineStr">
        <is>
          <t>Financeiro</t>
        </is>
      </c>
      <c r="AR100" s="74" t="inlineStr">
        <is>
          <t>Financeiro</t>
        </is>
      </c>
      <c r="AS100" s="74" t="b">
        <v>0</v>
      </c>
      <c r="AT100" s="74" t="inlineStr">
        <is>
          <t>N/D</t>
        </is>
      </c>
      <c r="AU100" s="74" t="inlineStr">
        <is>
          <t>N/D</t>
        </is>
      </c>
      <c r="AV100" s="74" t="inlineStr">
        <is>
          <t>35%–60%</t>
        </is>
      </c>
      <c r="AW100" s="74" t="b">
        <v>1</v>
      </c>
      <c r="AX100" s="74" t="inlineStr">
        <is>
          <t>incomparável</t>
        </is>
      </c>
      <c r="AY100" s="74" t="inlineStr">
        <is>
          <t>acima do mercado</t>
        </is>
      </c>
      <c r="AZ100" s="140" t="n">
        <v>0.2102338521182693</v>
      </c>
      <c r="BA100" s="74" t="b">
        <v>1</v>
      </c>
      <c r="BB100" s="141" t="n">
        <v>12</v>
      </c>
      <c r="BC100" s="139" t="n">
        <v>1000</v>
      </c>
      <c r="BD100" s="74" t="inlineStr">
        <is>
          <t>R$ 1.000,00</t>
        </is>
      </c>
      <c r="BE100" s="74" t="inlineStr">
        <is>
          <t>valor nominal unitário (VNU)</t>
        </is>
      </c>
      <c r="BF100" s="74" t="inlineStr">
        <is>
          <t>N/D</t>
        </is>
      </c>
      <c r="BG100" s="74" t="inlineStr">
        <is>
          <t>2026-01-15</t>
        </is>
      </c>
      <c r="BH100" s="74" t="inlineStr">
        <is>
          <t>1085943</t>
        </is>
      </c>
      <c r="BI100" s="74" t="inlineStr">
        <is>
          <t>https://fnet.bmfbovespa.com.br/fnet/publico/downloadDocumento?id=1085943</t>
        </is>
      </c>
      <c r="BJ100" s="74" t="inlineStr">
        <is>
          <t>localizado documentalmente</t>
        </is>
      </c>
      <c r="BK100" s="74" t="b">
        <v>1</v>
      </c>
      <c r="BL100" s="74" t="inlineStr">
        <is>
          <t>Supersim</t>
        </is>
      </c>
      <c r="BM100" s="74" t="inlineStr">
        <is>
          <t>cedente</t>
        </is>
      </c>
      <c r="BN100" s="74" t="inlineStr">
        <is>
          <t>N/D</t>
        </is>
      </c>
      <c r="BO100" s="74" t="inlineStr">
        <is>
          <t>Supersim</t>
        </is>
      </c>
      <c r="BP100" s="74" t="inlineStr">
        <is>
          <t>N/D</t>
        </is>
      </c>
      <c r="BQ100" s="74" t="inlineStr">
        <is>
          <t>todos os direitos de crédito vincendos adquiridos ou a serem adquiridos pela Classe Única, representados por CCBs decorrentes da concessão de Crédito Docusign Envelope ID: 9DE35450-3BDE-4638-A712-3F4C7F8F1EF5</t>
        </is>
      </c>
      <c r="BR100" s="74" t="inlineStr">
        <is>
          <t>cedente: IMG_8707.jpg | tipo_recebivel: https://fnet.bmfbovespa.com.br/fnet/publico/downloadDocumento?id=1085943</t>
        </is>
      </c>
      <c r="BS100" s="74" t="inlineStr">
        <is>
          <t>manual_aplicado</t>
        </is>
      </c>
      <c r="BT100" s="74" t="inlineStr">
        <is>
          <t>Denominação cortada pela largura da coluna na foto.</t>
        </is>
      </c>
      <c r="BU100" s="74" t="inlineStr">
        <is>
          <t>1085946</t>
        </is>
      </c>
      <c r="BV100" s="74" t="inlineStr">
        <is>
          <t>2026-01-15</t>
        </is>
      </c>
      <c r="BW100" s="74" t="inlineStr">
        <is>
          <t>12</t>
        </is>
      </c>
      <c r="BX100" s="74" t="inlineStr">
        <is>
          <t>revisto — mínimo júnior localizado</t>
        </is>
      </c>
      <c r="BY100" s="74" t="inlineStr">
        <is>
          <t>FundosNet/B3; documento 1085946; referência 2026-01-15; p. 12</t>
        </is>
      </c>
      <c r="BZ100" s="74" t="inlineStr">
        <is>
          <t>Cotas júnior / PL, mínimo de 12,5%; 17,5% enquanto houver rebaixamento contratualmente definido.</t>
        </is>
      </c>
      <c r="CA100" s="74" t="inlineStr">
        <is>
          <t>originador; sacado/devedor</t>
        </is>
      </c>
      <c r="CB100" s="74" t="inlineStr">
        <is>
          <t>estrutura_incomparavel</t>
        </is>
      </c>
    </row>
    <row r="101" ht="31.5" customHeight="1">
      <c r="A101" s="75" t="n">
        <v>97</v>
      </c>
      <c r="B101" s="142" t="n">
        <v>65836995000170</v>
      </c>
      <c r="C101" s="75" t="inlineStr">
        <is>
          <t>65.836.995/0001-70</t>
        </is>
      </c>
      <c r="D101" s="75" t="inlineStr">
        <is>
          <t>PNEUCASH II FUNDO DE INVESTIMENTO EM DIREITOS CREDITÓRIOS DE CLASSE ÚNICA FECHADA RESP LIMITADA</t>
        </is>
      </c>
      <c r="E101" s="75" t="inlineStr">
        <is>
          <t>DAYCOVAL 0410 FUNDO DE INV EM DIREITOS CREDITORIOS</t>
        </is>
      </c>
      <c r="F101" s="75" t="inlineStr">
        <is>
          <t>Carteira 101</t>
        </is>
      </c>
      <c r="G101" s="75" t="inlineStr">
        <is>
          <t>2026-08</t>
        </is>
      </c>
      <c r="H101" s="75" t="inlineStr">
        <is>
          <t>localizado</t>
        </is>
      </c>
      <c r="I101" s="143" t="n">
        <v>182594776.53</v>
      </c>
      <c r="J101" s="143" t="n">
        <v>182230097.419965</v>
      </c>
      <c r="K101" s="143" t="n">
        <v>31477704.529965</v>
      </c>
      <c r="L101" s="144" t="n">
        <v>0.1723910460537915</v>
      </c>
      <c r="M101" s="75" t="inlineStr">
        <is>
          <t>Calculado com classes reportadas e PL oficial reconciliado</t>
        </is>
      </c>
      <c r="N101" s="144" t="inlineStr">
        <is>
          <t>N/D</t>
        </is>
      </c>
      <c r="O101" s="144" t="inlineStr">
        <is>
          <t>N/D</t>
        </is>
      </c>
      <c r="P101" s="144" t="inlineStr">
        <is>
          <t>N/D</t>
        </is>
      </c>
      <c r="Q101" s="144" t="n">
        <v>0.2</v>
      </c>
      <c r="R101" s="144" t="inlineStr">
        <is>
          <t>N/D</t>
        </is>
      </c>
      <c r="S101" s="144" t="n">
        <v>0.2</v>
      </c>
      <c r="T101" s="75" t="inlineStr">
        <is>
          <t>20,0%*</t>
        </is>
      </c>
      <c r="U101" s="75" t="inlineStr">
        <is>
          <t>suporte_total_pl</t>
        </is>
      </c>
      <c r="V101" s="75" t="inlineStr">
        <is>
          <t>direto no regulamento</t>
        </is>
      </c>
      <c r="W101" s="75" t="b">
        <v>1</v>
      </c>
      <c r="X101" s="75" t="inlineStr">
        <is>
          <t>Suporte total ou combinado; não representa mínimo júnior isolado.</t>
        </is>
      </c>
      <c r="Y101" s="75" t="b">
        <v>1</v>
      </c>
      <c r="Z101" s="144" t="n">
        <v>-0.02760895394620852</v>
      </c>
      <c r="AA101" s="144" t="n">
        <v>-0.03451119243276065</v>
      </c>
      <c r="AB101" s="75" t="inlineStr">
        <is>
          <t>abaixo do mínimo</t>
        </is>
      </c>
      <c r="AC101" s="75" t="inlineStr">
        <is>
          <t>Financeiro</t>
        </is>
      </c>
      <c r="AD101" s="75" t="inlineStr">
        <is>
          <t>Multicarteira Financeiro</t>
        </is>
      </c>
      <c r="AE101" s="75" t="inlineStr">
        <is>
          <t>Financeiro</t>
        </is>
      </c>
      <c r="AF101" s="75" t="inlineStr">
        <is>
          <t>Financeiro</t>
        </is>
      </c>
      <c r="AG101" s="75" t="inlineStr">
        <is>
          <t>Financeiro</t>
        </is>
      </c>
      <c r="AH101" s="75" t="inlineStr">
        <is>
          <t>Risco Corporativo</t>
        </is>
      </c>
      <c r="AI101" s="75" t="inlineStr">
        <is>
          <t>Recebíveis comerciais de produtos Cantu Store</t>
        </is>
      </c>
      <c r="AJ101" s="75" t="b">
        <v>1</v>
      </c>
      <c r="AK101" s="75" t="inlineStr">
        <is>
          <t>APLICAR_ALTA</t>
        </is>
      </c>
      <c r="AL101" s="75" t="inlineStr">
        <is>
          <t>Vendas locais a prazo para PF/PJ</t>
        </is>
      </c>
      <c r="AM101" s="75" t="inlineStr">
        <is>
          <t>regulamento 1184844</t>
        </is>
      </c>
      <c r="AN101" s="75" t="inlineStr">
        <is>
          <t>Candidato</t>
        </is>
      </c>
      <c r="AO101" s="75" t="inlineStr">
        <is>
          <t>regulamento 1184844</t>
        </is>
      </c>
      <c r="AP101" s="75" t="inlineStr">
        <is>
          <t>N/D</t>
        </is>
      </c>
      <c r="AQ101" s="75" t="inlineStr">
        <is>
          <t>Risco Corporativo</t>
        </is>
      </c>
      <c r="AR101" s="75" t="inlineStr">
        <is>
          <t>Financeiro</t>
        </is>
      </c>
      <c r="AS101" s="75" t="b">
        <v>1</v>
      </c>
      <c r="AT101" s="75" t="inlineStr">
        <is>
          <t>regulamento 1184844</t>
        </is>
      </c>
      <c r="AU101" s="75" t="inlineStr">
        <is>
          <t>Vendas locais a prazo para PF/PJ</t>
        </is>
      </c>
      <c r="AV101" s="75" t="inlineStr">
        <is>
          <t>15%–20%</t>
        </is>
      </c>
      <c r="AW101" s="75" t="b">
        <v>1</v>
      </c>
      <c r="AX101" s="75" t="inlineStr">
        <is>
          <t>abaixo do piso</t>
        </is>
      </c>
      <c r="AY101" s="75" t="inlineStr">
        <is>
          <t>abaixo do mercado</t>
        </is>
      </c>
      <c r="AZ101" s="144" t="n">
        <v>-0.1338027346426927</v>
      </c>
      <c r="BA101" s="75" t="b">
        <v>1</v>
      </c>
      <c r="BB101" s="145" t="n">
        <v>12</v>
      </c>
      <c r="BC101" s="143" t="n">
        <v>1000</v>
      </c>
      <c r="BD101" s="75" t="inlineStr">
        <is>
          <t>Cotas Subordinadas Junior: R$ 1.000,00 | Cotas Subordinadas Mezanino: R$ 1.000,00 | Série de Cotas Seniores: R$ 1.000,00</t>
        </is>
      </c>
      <c r="BE101" s="75" t="inlineStr">
        <is>
          <t>preço/valor unitário de emissão</t>
        </is>
      </c>
      <c r="BF101" s="75" t="inlineStr">
        <is>
          <t>Cotas Subordinadas Junior | Cotas Subordinadas Mezanino | Série de Cotas Seniores</t>
        </is>
      </c>
      <c r="BG101" s="75" t="inlineStr">
        <is>
          <t>2026-05-11</t>
        </is>
      </c>
      <c r="BH101" s="75" t="inlineStr">
        <is>
          <t>1188501</t>
        </is>
      </c>
      <c r="BI101" s="75" t="inlineStr">
        <is>
          <t>https://fnet.bmfbovespa.com.br/fnet/publico/downloadDocumento?id=1188501</t>
        </is>
      </c>
      <c r="BJ101" s="75" t="inlineStr">
        <is>
          <t>localizado documentalmente — múltiplos valores/classes</t>
        </is>
      </c>
      <c r="BK101" s="75" t="b">
        <v>1</v>
      </c>
      <c r="BL101" s="75" t="inlineStr">
        <is>
          <t>Cantu Store</t>
        </is>
      </c>
      <c r="BM101" s="75" t="inlineStr">
        <is>
          <t>cedente</t>
        </is>
      </c>
      <c r="BN101" s="75" t="inlineStr">
        <is>
          <t>N/D</t>
        </is>
      </c>
      <c r="BO101" s="75" t="inlineStr">
        <is>
          <t>Cantu Store</t>
        </is>
      </c>
      <c r="BP101" s="75" t="inlineStr">
        <is>
          <t>os devedores (sacados), pessoas físicas ou jurídicas, que tenham estabelecido relação de consumo dos Direitos Creditórios com as Cedentes</t>
        </is>
      </c>
      <c r="BQ101" s="75" t="inlineStr">
        <is>
          <t>os direitos creditórios performados (cujos respectivos Produtos foram entregues ou retirados, ou com pedidos emitidos) vincendos, existentes, livres e desimpedidos de quaisquer ônus, gravames ou restrições, de titularidade das Cedentes, originados no âmbito de Operações a Prazo envolvendo Produtos celebradas entre as Cedentes e seus respectivos Devedores, no mercado local, expressos em moeda corrente nacional, cujas respectivas transações sejam sempre representadas por Documentos Comprobatórios</t>
        </is>
      </c>
      <c r="BR101" s="75" t="inlineStr">
        <is>
          <t>cedente: IMG_8707.jpg | sacado_devedor: https://fnet.bmfbovespa.com.br/fnet/publico/downloadDocumento?id=1184844 | tipo_recebivel: https://fnet.bmfbovespa.com.br/fnet/publico/downloadDocumento?id=1184844</t>
        </is>
      </c>
      <c r="BS101" s="75" t="inlineStr">
        <is>
          <t>manual_aplicado</t>
        </is>
      </c>
      <c r="BT101" s="75" t="inlineStr">
        <is>
          <t>N/D</t>
        </is>
      </c>
      <c r="BU101" s="75" t="inlineStr">
        <is>
          <t>1184847</t>
        </is>
      </c>
      <c r="BV101" s="75" t="inlineStr">
        <is>
          <t>2026-05-11</t>
        </is>
      </c>
      <c r="BW101" s="75" t="inlineStr">
        <is>
          <t>49–50</t>
        </is>
      </c>
      <c r="BX101" s="75" t="inlineStr">
        <is>
          <t>revisto — suporte estrutural total localizado</t>
        </is>
      </c>
      <c r="BY101" s="75" t="inlineStr">
        <is>
          <t>FundosNet/B3; documento 1184847; referência 2026-05-11; p. 49–50</t>
        </is>
      </c>
      <c r="BZ101" s="75" t="inlineStr">
        <is>
          <t>N/D</t>
        </is>
      </c>
      <c r="CA101" s="75" t="inlineStr">
        <is>
          <t>originador</t>
        </is>
      </c>
      <c r="CB101" s="75" t="inlineStr">
        <is>
          <t>completo_para_folga</t>
        </is>
      </c>
    </row>
    <row r="102" ht="31.5" customHeight="1">
      <c r="A102" s="74" t="n">
        <v>98</v>
      </c>
      <c r="B102" s="138" t="n">
        <v>65873297000145</v>
      </c>
      <c r="C102" s="74" t="inlineStr">
        <is>
          <t>65.873.297/0001-45</t>
        </is>
      </c>
      <c r="D102" s="74" t="inlineStr">
        <is>
          <t>ARCELORMITTAL VÉRTICE FUNDO DE INVESTIMENTO EM DIREITOS CREDITÓRIOS COMERCIAIS - RESP LIMITADA</t>
        </is>
      </c>
      <c r="E102" s="74" t="inlineStr">
        <is>
          <t>ARCELORMITTAL VERTICE FUNDO DE INVESTIMENTO EM DIREITOS CRED</t>
        </is>
      </c>
      <c r="F102" s="74" t="inlineStr">
        <is>
          <t>Carteira 101</t>
        </is>
      </c>
      <c r="G102" s="74" t="inlineStr">
        <is>
          <t>2026-08</t>
        </is>
      </c>
      <c r="H102" s="74" t="inlineStr">
        <is>
          <t>localizado</t>
        </is>
      </c>
      <c r="I102" s="139" t="n">
        <v>162615517.81</v>
      </c>
      <c r="J102" s="139" t="n">
        <v>162615517.8094126</v>
      </c>
      <c r="K102" s="139" t="n">
        <v>33298654.78989262</v>
      </c>
      <c r="L102" s="140" t="n">
        <v>0.2047692325943873</v>
      </c>
      <c r="M102" s="74" t="inlineStr">
        <is>
          <t>Calculado com classes reportadas e PL oficial reconciliado</t>
        </is>
      </c>
      <c r="N102" s="140" t="n">
        <v>0.12</v>
      </c>
      <c r="O102" s="140" t="inlineStr">
        <is>
          <t>N/D</t>
        </is>
      </c>
      <c r="P102" s="140" t="inlineStr">
        <is>
          <t>N/D</t>
        </is>
      </c>
      <c r="Q102" s="140" t="n">
        <v>0.12</v>
      </c>
      <c r="R102" s="140" t="inlineStr">
        <is>
          <t>N/D</t>
        </is>
      </c>
      <c r="S102" s="140" t="n">
        <v>0.12</v>
      </c>
      <c r="T102" s="74" t="inlineStr">
        <is>
          <t>12,0%</t>
        </is>
      </c>
      <c r="U102" s="74" t="inlineStr">
        <is>
          <t>junior_pl</t>
        </is>
      </c>
      <c r="V102" s="74" t="inlineStr">
        <is>
          <t>direto no regulamento</t>
        </is>
      </c>
      <c r="W102" s="74" t="b">
        <v>1</v>
      </c>
      <c r="X102" s="74" t="inlineStr">
        <is>
          <t>Estrutura com uma única classe subordinada; métrica atual e piso usam o total subordinado sobre o PL.</t>
        </is>
      </c>
      <c r="Y102" s="74" t="b">
        <v>0</v>
      </c>
      <c r="Z102" s="140" t="n">
        <v>0.08476923259438729</v>
      </c>
      <c r="AA102" s="140" t="n">
        <v>0.09632867340271282</v>
      </c>
      <c r="AB102" s="74" t="inlineStr">
        <is>
          <t>acima do mínimo</t>
        </is>
      </c>
      <c r="AC102" s="74" t="inlineStr">
        <is>
          <t>Agro, Indústria e Comércio</t>
        </is>
      </c>
      <c r="AD102" s="74" t="inlineStr">
        <is>
          <t>Recebíveis Comerciais</t>
        </is>
      </c>
      <c r="AE102" s="74" t="inlineStr">
        <is>
          <t>Agro / Revenda</t>
        </is>
      </c>
      <c r="AF102" s="74" t="inlineStr">
        <is>
          <t>Agro / Revenda</t>
        </is>
      </c>
      <c r="AG102" s="74" t="inlineStr">
        <is>
          <t>Agro / Revenda</t>
        </is>
      </c>
      <c r="AH102" s="74" t="inlineStr">
        <is>
          <t>Risco Corporativo</t>
        </is>
      </c>
      <c r="AI102" s="74" t="inlineStr">
        <is>
          <t>Supplier finance, ArcelorMittal como devedora</t>
        </is>
      </c>
      <c r="AJ102" s="74" t="b">
        <v>1</v>
      </c>
      <c r="AK102" s="74" t="inlineStr">
        <is>
          <t>APLICAR_ALTA</t>
        </is>
      </c>
      <c r="AL102" s="74" t="inlineStr">
        <is>
          <t>Fornecedores cedem notas fiscais devidas pela ArcelorMittal</t>
        </is>
      </c>
      <c r="AM102" s="74" t="inlineStr">
        <is>
          <t>regulamento 1226438</t>
        </is>
      </c>
      <c r="AN102" s="74" t="inlineStr">
        <is>
          <t>Não</t>
        </is>
      </c>
      <c r="AO102" s="74" t="inlineStr">
        <is>
          <t>regulamento 1226438</t>
        </is>
      </c>
      <c r="AP102" s="74" t="b">
        <v>0</v>
      </c>
      <c r="AQ102" s="74" t="inlineStr">
        <is>
          <t>Risco Corporativo</t>
        </is>
      </c>
      <c r="AR102" s="74" t="inlineStr">
        <is>
          <t>Agro / Revenda</t>
        </is>
      </c>
      <c r="AS102" s="74" t="b">
        <v>1</v>
      </c>
      <c r="AT102" s="74" t="inlineStr">
        <is>
          <t>regulamento 1226438</t>
        </is>
      </c>
      <c r="AU102" s="74" t="inlineStr">
        <is>
          <t>Fornecedores cedem notas fiscais devidas pela ArcelorMittal</t>
        </is>
      </c>
      <c r="AV102" s="74" t="inlineStr">
        <is>
          <t>20%–35%</t>
        </is>
      </c>
      <c r="AW102" s="74" t="b">
        <v>1</v>
      </c>
      <c r="AX102" s="74" t="inlineStr">
        <is>
          <t>acima do piso</t>
        </is>
      </c>
      <c r="AY102" s="74" t="inlineStr">
        <is>
          <t>sem benchmark confiável</t>
        </is>
      </c>
      <c r="AZ102" s="140" t="inlineStr">
        <is>
          <t>N/D</t>
        </is>
      </c>
      <c r="BA102" s="74" t="b">
        <v>0</v>
      </c>
      <c r="BB102" s="141" t="n">
        <v>0</v>
      </c>
      <c r="BC102" s="139" t="n">
        <v>1000</v>
      </c>
      <c r="BD102" s="74" t="inlineStr">
        <is>
          <t>Cotas Seniores: R$ 1.000,00 | Cotas Subordinadas: R$ 1.000,00</t>
        </is>
      </c>
      <c r="BE102" s="74" t="inlineStr">
        <is>
          <t>preço/valor unitário de emissão</t>
        </is>
      </c>
      <c r="BF102" s="74" t="inlineStr">
        <is>
          <t>Cotas Seniores | Cotas Subordinadas</t>
        </is>
      </c>
      <c r="BG102" s="74" t="inlineStr">
        <is>
          <t>20/05/2026</t>
        </is>
      </c>
      <c r="BH102" s="74" t="inlineStr">
        <is>
          <t>1226438</t>
        </is>
      </c>
      <c r="BI102" s="74" t="inlineStr">
        <is>
          <t>https://fnet.bmfbovespa.com.br/fnet/publico/downloadDocumento?id=1226438</t>
        </is>
      </c>
      <c r="BJ102" s="74" t="inlineStr">
        <is>
          <t>localizado documentalmente — múltiplos valores/classes</t>
        </is>
      </c>
      <c r="BK102" s="74" t="b">
        <v>1</v>
      </c>
      <c r="BL102" s="74" t="inlineStr">
        <is>
          <t>N/D</t>
        </is>
      </c>
      <c r="BM102" s="74" t="inlineStr">
        <is>
          <t>N/D</t>
        </is>
      </c>
      <c r="BN102" s="74" t="inlineStr">
        <is>
          <t>N/D</t>
        </is>
      </c>
      <c r="BO102" s="74" t="inlineStr">
        <is>
          <t>os Fornecedores que cedem Direitos Creditórios à Classe</t>
        </is>
      </c>
      <c r="BP102" s="74" t="inlineStr">
        <is>
          <t>N/D</t>
        </is>
      </c>
      <c r="BQ102" s="74" t="inlineStr">
        <is>
          <t>os direitos creditórios performados, decorrentes das Notas Fiscais, devidos pelas Devedoras, representativos de operações comerciais de venda de produtos ou prestação de serviços pelos Fornecedores às Devedoras, representados pelos Documentos Comprobatórios</t>
        </is>
      </c>
      <c r="BR102" s="74" t="inlineStr">
        <is>
          <t>cedente: https://fnet.bmfbovespa.com.br/fnet/publico/downloadDocumento?id=1226438 | tipo_recebivel: https://fnet.bmfbovespa.com.br/fnet/publico/downloadDocumento?id=1226438</t>
        </is>
      </c>
      <c r="BS102" s="74" t="inlineStr">
        <is>
          <t>sem_overlay</t>
        </is>
      </c>
      <c r="BT102" s="74" t="inlineStr">
        <is>
          <t>N/D</t>
        </is>
      </c>
      <c r="BU102" s="74" t="inlineStr">
        <is>
          <t>1226438</t>
        </is>
      </c>
      <c r="BV102" s="74" t="inlineStr">
        <is>
          <t>2026-05-20</t>
        </is>
      </c>
      <c r="BW102" s="74" t="inlineStr">
        <is>
          <t>34</t>
        </is>
      </c>
      <c r="BX102" s="74" t="inlineStr">
        <is>
          <t>revisto — mínimo júnior localizado</t>
        </is>
      </c>
      <c r="BY102" s="74" t="inlineStr">
        <is>
          <t>FundosNet/B3; documento 1226438; referência 2026-05-20; p. 34</t>
        </is>
      </c>
      <c r="BZ102" s="74" t="inlineStr">
        <is>
          <t>Cotas subordinadas / PL, mínimo de 12,0%; estrutura com uma única classe residual.</t>
        </is>
      </c>
      <c r="CA102" s="74" t="inlineStr">
        <is>
          <t>originador; sacado/devedor</t>
        </is>
      </c>
      <c r="CB102" s="74" t="inlineStr">
        <is>
          <t>completo_para_folga</t>
        </is>
      </c>
    </row>
    <row r="103" ht="31.5" customHeight="1">
      <c r="A103" s="75" t="n">
        <v>99</v>
      </c>
      <c r="B103" s="142" t="n">
        <v>65347578000164</v>
      </c>
      <c r="C103" s="75" t="inlineStr">
        <is>
          <t>65.347.578/0001-64</t>
        </is>
      </c>
      <c r="D103" s="75" t="inlineStr">
        <is>
          <t>ICRED INSS III FUNDO DE INVESTIMENTO EM DIREITOS CREDITÓRIOS RESPONSABILIDADE LIMITADA</t>
        </is>
      </c>
      <c r="E103" s="75" t="inlineStr">
        <is>
          <t>ICRED INSS III FUNDO DE INVESTIMENTO EM DIREITOS CREDITORIOS RESPONSABILIDADE</t>
        </is>
      </c>
      <c r="F103" s="75" t="inlineStr">
        <is>
          <t>Carteira 101</t>
        </is>
      </c>
      <c r="G103" s="75" t="inlineStr">
        <is>
          <t>2026-08</t>
        </is>
      </c>
      <c r="H103" s="75" t="inlineStr">
        <is>
          <t>localizado</t>
        </is>
      </c>
      <c r="I103" s="143" t="n">
        <v>800875167.29</v>
      </c>
      <c r="J103" s="143" t="n">
        <v>800875167.2888583</v>
      </c>
      <c r="K103" s="143" t="n">
        <v>113041386.5797734</v>
      </c>
      <c r="L103" s="144" t="n">
        <v>0.141147323823615</v>
      </c>
      <c r="M103" s="75" t="inlineStr">
        <is>
          <t>Calculado com classes reportadas e PL oficial reconciliado</t>
        </is>
      </c>
      <c r="N103" s="144" t="n">
        <v>0.025</v>
      </c>
      <c r="O103" s="144" t="inlineStr">
        <is>
          <t>N/D</t>
        </is>
      </c>
      <c r="P103" s="144" t="inlineStr">
        <is>
          <t>N/D</t>
        </is>
      </c>
      <c r="Q103" s="144" t="inlineStr">
        <is>
          <t>N/D</t>
        </is>
      </c>
      <c r="R103" s="144" t="inlineStr">
        <is>
          <t>N/D</t>
        </is>
      </c>
      <c r="S103" s="144" t="n">
        <v>0.025</v>
      </c>
      <c r="T103" s="75" t="inlineStr">
        <is>
          <t>N/D</t>
        </is>
      </c>
      <c r="U103" s="75" t="inlineStr">
        <is>
          <t>junior_pl</t>
        </is>
      </c>
      <c r="V103" s="75" t="inlineStr">
        <is>
          <t>direto no regulamento</t>
        </is>
      </c>
      <c r="W103" s="75" t="b">
        <v>0</v>
      </c>
      <c r="X103" s="75" t="inlineStr">
        <is>
          <t>Mínimo júnior isolado; a subordinação atual disponível agrega todas as classes subordinadas.</t>
        </is>
      </c>
      <c r="Y103" s="75" t="b">
        <v>0</v>
      </c>
      <c r="Z103" s="144" t="inlineStr">
        <is>
          <t>N/D</t>
        </is>
      </c>
      <c r="AA103" s="144" t="inlineStr">
        <is>
          <t>N/D</t>
        </is>
      </c>
      <c r="AB103" s="75" t="inlineStr">
        <is>
          <t>não medido</t>
        </is>
      </c>
      <c r="AC103" s="75" t="inlineStr">
        <is>
          <t>Financeiro</t>
        </is>
      </c>
      <c r="AD103" s="75" t="inlineStr">
        <is>
          <t>Multicarteira Financeiro</t>
        </is>
      </c>
      <c r="AE103" s="75" t="inlineStr">
        <is>
          <t>Consignado INSS</t>
        </is>
      </c>
      <c r="AF103" s="75" t="inlineStr">
        <is>
          <t>Consignado INSS</t>
        </is>
      </c>
      <c r="AG103" s="75" t="inlineStr">
        <is>
          <t>Consignado INSS e FGTS</t>
        </is>
      </c>
      <c r="AH103" s="75" t="inlineStr">
        <is>
          <t>Consignado INSS e FGTS</t>
        </is>
      </c>
      <c r="AI103" s="75" t="inlineStr">
        <is>
          <t>N/D</t>
        </is>
      </c>
      <c r="AJ103" s="75" t="b">
        <v>0</v>
      </c>
      <c r="AK103" s="75" t="inlineStr">
        <is>
          <t>fora da revisão Financeiro/Agro</t>
        </is>
      </c>
      <c r="AL103" s="75" t="inlineStr">
        <is>
          <t>N/D</t>
        </is>
      </c>
      <c r="AM103" s="75" t="inlineStr">
        <is>
          <t>N/D</t>
        </is>
      </c>
      <c r="AN103" s="75" t="inlineStr">
        <is>
          <t>N/D</t>
        </is>
      </c>
      <c r="AO103" s="75" t="inlineStr">
        <is>
          <t>N/D</t>
        </is>
      </c>
      <c r="AP103" s="75" t="inlineStr">
        <is>
          <t>N/D</t>
        </is>
      </c>
      <c r="AQ103" s="75" t="inlineStr">
        <is>
          <t>Consignado INSS e FGTS</t>
        </is>
      </c>
      <c r="AR103" s="75" t="inlineStr">
        <is>
          <t>Consignado INSS e FGTS</t>
        </is>
      </c>
      <c r="AS103" s="75" t="b">
        <v>0</v>
      </c>
      <c r="AT103" s="75" t="inlineStr">
        <is>
          <t>N/D</t>
        </is>
      </c>
      <c r="AU103" s="75" t="inlineStr">
        <is>
          <t>N/D</t>
        </is>
      </c>
      <c r="AV103" s="75" t="inlineStr">
        <is>
          <t>10%–15%</t>
        </is>
      </c>
      <c r="AW103" s="75" t="b">
        <v>1</v>
      </c>
      <c r="AX103" s="75" t="inlineStr">
        <is>
          <t>incomparável</t>
        </is>
      </c>
      <c r="AY103" s="75" t="inlineStr">
        <is>
          <t>em linha com o mercado</t>
        </is>
      </c>
      <c r="AZ103" s="144" t="n">
        <v>-0.01874255814005102</v>
      </c>
      <c r="BA103" s="75" t="b">
        <v>1</v>
      </c>
      <c r="BB103" s="145" t="n">
        <v>5</v>
      </c>
      <c r="BC103" s="143" t="n">
        <v>1000</v>
      </c>
      <c r="BD103" s="75" t="inlineStr">
        <is>
          <t>R$ 1.000,00</t>
        </is>
      </c>
      <c r="BE103" s="75" t="inlineStr">
        <is>
          <t>preço/valor unitário de emissão</t>
        </is>
      </c>
      <c r="BF103" s="75" t="inlineStr">
        <is>
          <t>N/D</t>
        </is>
      </c>
      <c r="BG103" s="75" t="inlineStr">
        <is>
          <t>25/05/2026</t>
        </is>
      </c>
      <c r="BH103" s="75" t="inlineStr">
        <is>
          <t>1211821</t>
        </is>
      </c>
      <c r="BI103" s="75" t="inlineStr">
        <is>
          <t>https://fnet.bmfbovespa.com.br/fnet/publico/downloadDocumento?id=1211821</t>
        </is>
      </c>
      <c r="BJ103" s="75" t="inlineStr">
        <is>
          <t>localizado documentalmente</t>
        </is>
      </c>
      <c r="BK103" s="75" t="b">
        <v>1</v>
      </c>
      <c r="BL103" s="75" t="inlineStr">
        <is>
          <t>N/D</t>
        </is>
      </c>
      <c r="BM103" s="75" t="inlineStr">
        <is>
          <t>N/D</t>
        </is>
      </c>
      <c r="BN103" s="75" t="inlineStr">
        <is>
          <t>N/D</t>
        </is>
      </c>
      <c r="BO103" s="75" t="inlineStr">
        <is>
          <t>N/D</t>
        </is>
      </c>
      <c r="BP103" s="75" t="inlineStr">
        <is>
          <t>N/D</t>
        </is>
      </c>
      <c r="BQ103" s="75" t="inlineStr">
        <is>
          <t>N/D</t>
        </is>
      </c>
      <c r="BR103" s="75" t="inlineStr">
        <is>
          <t>N/D</t>
        </is>
      </c>
      <c r="BS103" s="75" t="inlineStr">
        <is>
          <t>sem_overlay</t>
        </is>
      </c>
      <c r="BT103" s="75" t="inlineStr">
        <is>
          <t>N/D</t>
        </is>
      </c>
      <c r="BU103" s="75" t="inlineStr">
        <is>
          <t>1211821</t>
        </is>
      </c>
      <c r="BV103" s="75" t="inlineStr">
        <is>
          <t>2026-05-25</t>
        </is>
      </c>
      <c r="BW103" s="75" t="inlineStr">
        <is>
          <t>186</t>
        </is>
      </c>
      <c r="BX103" s="75" t="inlineStr">
        <is>
          <t>revisto — mínimo júnior localizado</t>
        </is>
      </c>
      <c r="BY103" s="75" t="inlineStr">
        <is>
          <t>FundosNet/B3; documento 1211821; referência 2026-05-25; p. 186</t>
        </is>
      </c>
      <c r="BZ103" s="75" t="inlineStr">
        <is>
          <t>Cotas júnior / PL: mínimo inicial de 2,5%; 4,0% após o índice atingir esse patamar.</t>
        </is>
      </c>
      <c r="CA103" s="75" t="inlineStr">
        <is>
          <t>originador; cedente; sacado/devedor; tipo de recebível</t>
        </is>
      </c>
      <c r="CB103" s="75" t="inlineStr">
        <is>
          <t>estrutura_incomparavel</t>
        </is>
      </c>
    </row>
    <row r="104" ht="31.5" customHeight="1">
      <c r="A104" s="74" t="n">
        <v>100</v>
      </c>
      <c r="B104" s="138" t="n">
        <v>18185812000114</v>
      </c>
      <c r="C104" s="74" t="inlineStr">
        <is>
          <t>18.185.812/0001-14</t>
        </is>
      </c>
      <c r="D104" s="74" t="inlineStr">
        <is>
          <t>GAVEA SUL FUNDO DE INVESTIMENTO EM DIREITOS CREDITÓRIOS MULTISSETORIAL LP</t>
        </is>
      </c>
      <c r="E104" s="74" t="inlineStr">
        <is>
          <t>GAVEA SUL FUNDO DE INVESTIMENTO EM DIREITOS CREDITORIOS MULTISSETORIAL</t>
        </is>
      </c>
      <c r="F104" s="74" t="inlineStr">
        <is>
          <t>Carteira 101</t>
        </is>
      </c>
      <c r="G104" s="74" t="inlineStr">
        <is>
          <t>2026-08</t>
        </is>
      </c>
      <c r="H104" s="74" t="inlineStr">
        <is>
          <t>localizado</t>
        </is>
      </c>
      <c r="I104" s="139" t="n">
        <v>548070996.6799999</v>
      </c>
      <c r="J104" s="139" t="n">
        <v>548070996.7042251</v>
      </c>
      <c r="K104" s="139" t="n">
        <v>265696296.4893388</v>
      </c>
      <c r="L104" s="140" t="n">
        <v>0.4847844496403261</v>
      </c>
      <c r="M104" s="74" t="inlineStr">
        <is>
          <t>Calculado com classes reportadas e PL oficial reconciliado</t>
        </is>
      </c>
      <c r="N104" s="140" t="n">
        <v>0.22</v>
      </c>
      <c r="O104" s="140" t="inlineStr">
        <is>
          <t>N/D</t>
        </is>
      </c>
      <c r="P104" s="140" t="inlineStr">
        <is>
          <t>N/D</t>
        </is>
      </c>
      <c r="Q104" s="140" t="inlineStr">
        <is>
          <t>N/D</t>
        </is>
      </c>
      <c r="R104" s="140" t="inlineStr">
        <is>
          <t>N/D</t>
        </is>
      </c>
      <c r="S104" s="140" t="n">
        <v>0.22</v>
      </c>
      <c r="T104" s="74" t="inlineStr">
        <is>
          <t>N/D</t>
        </is>
      </c>
      <c r="U104" s="74" t="inlineStr">
        <is>
          <t>junior_pl</t>
        </is>
      </c>
      <c r="V104" s="74" t="inlineStr">
        <is>
          <t>direto no regulamento</t>
        </is>
      </c>
      <c r="W104" s="74" t="b">
        <v>0</v>
      </c>
      <c r="X104" s="74" t="inlineStr">
        <is>
          <t>Mínimo júnior isolado; a subordinação atual disponível agrega todas as classes subordinadas.</t>
        </is>
      </c>
      <c r="Y104" s="74" t="b">
        <v>0</v>
      </c>
      <c r="Z104" s="140" t="inlineStr">
        <is>
          <t>N/D</t>
        </is>
      </c>
      <c r="AA104" s="140" t="inlineStr">
        <is>
          <t>N/D</t>
        </is>
      </c>
      <c r="AB104" s="74" t="inlineStr">
        <is>
          <t>não medido</t>
        </is>
      </c>
      <c r="AC104" s="74" t="inlineStr">
        <is>
          <t>Fomento Mercantil</t>
        </is>
      </c>
      <c r="AD104" s="74" t="inlineStr">
        <is>
          <t>Fomento Mercantil</t>
        </is>
      </c>
      <c r="AE104" s="74" t="inlineStr">
        <is>
          <t>Factoring</t>
        </is>
      </c>
      <c r="AF104" s="74" t="inlineStr">
        <is>
          <t>Factoring</t>
        </is>
      </c>
      <c r="AG104" s="74" t="inlineStr">
        <is>
          <t>Factoring</t>
        </is>
      </c>
      <c r="AH104" s="74" t="inlineStr">
        <is>
          <t>Factoring</t>
        </is>
      </c>
      <c r="AI104" s="74" t="inlineStr">
        <is>
          <t>N/D</t>
        </is>
      </c>
      <c r="AJ104" s="74" t="b">
        <v>0</v>
      </c>
      <c r="AK104" s="74" t="inlineStr">
        <is>
          <t>fora da revisão Financeiro/Agro</t>
        </is>
      </c>
      <c r="AL104" s="74" t="inlineStr">
        <is>
          <t>N/D</t>
        </is>
      </c>
      <c r="AM104" s="74" t="inlineStr">
        <is>
          <t>N/D</t>
        </is>
      </c>
      <c r="AN104" s="74" t="inlineStr">
        <is>
          <t>N/D</t>
        </is>
      </c>
      <c r="AO104" s="74" t="inlineStr">
        <is>
          <t>N/D</t>
        </is>
      </c>
      <c r="AP104" s="74" t="inlineStr">
        <is>
          <t>N/D</t>
        </is>
      </c>
      <c r="AQ104" s="74" t="inlineStr">
        <is>
          <t>Factoring</t>
        </is>
      </c>
      <c r="AR104" s="74" t="inlineStr">
        <is>
          <t>Factoring</t>
        </is>
      </c>
      <c r="AS104" s="74" t="b">
        <v>0</v>
      </c>
      <c r="AT104" s="74" t="inlineStr">
        <is>
          <t>N/D</t>
        </is>
      </c>
      <c r="AU104" s="74" t="inlineStr">
        <is>
          <t>N/D</t>
        </is>
      </c>
      <c r="AV104" s="74" t="inlineStr">
        <is>
          <t>35%–60%</t>
        </is>
      </c>
      <c r="AW104" s="74" t="b">
        <v>1</v>
      </c>
      <c r="AX104" s="74" t="inlineStr">
        <is>
          <t>incomparável</t>
        </is>
      </c>
      <c r="AY104" s="74" t="inlineStr">
        <is>
          <t>sem benchmark confiável</t>
        </is>
      </c>
      <c r="AZ104" s="140" t="inlineStr">
        <is>
          <t>N/D</t>
        </is>
      </c>
      <c r="BA104" s="74" t="b">
        <v>0</v>
      </c>
      <c r="BB104" s="141" t="n">
        <v>2</v>
      </c>
      <c r="BC104" s="139" t="n">
        <v>1000</v>
      </c>
      <c r="BD104" s="74" t="inlineStr">
        <is>
          <t>Cotas Seniores: R$ 1.000,00 | Cotas Subordinadas: R$ 1.000,00 | Cotas Subordinadas Mezanino: R$ 1.000,00</t>
        </is>
      </c>
      <c r="BE104" s="74" t="inlineStr">
        <is>
          <t>preço/valor unitário de emissão</t>
        </is>
      </c>
      <c r="BF104" s="74" t="inlineStr">
        <is>
          <t>Cotas Seniores | Cotas Subordinadas | Cotas Subordinadas Mezanino</t>
        </is>
      </c>
      <c r="BG104" s="74" t="inlineStr">
        <is>
          <t>2025-10-13</t>
        </is>
      </c>
      <c r="BH104" s="74" t="inlineStr">
        <is>
          <t>1011996</t>
        </is>
      </c>
      <c r="BI104" s="74" t="inlineStr">
        <is>
          <t>https://fnet.bmfbovespa.com.br/fnet/publico/downloadDocumento?id=1011996</t>
        </is>
      </c>
      <c r="BJ104" s="74" t="inlineStr">
        <is>
          <t>localizado documentalmente — múltiplos valores/classes</t>
        </is>
      </c>
      <c r="BK104" s="74" t="b">
        <v>1</v>
      </c>
      <c r="BL104" s="74" t="inlineStr">
        <is>
          <t>N/D</t>
        </is>
      </c>
      <c r="BM104" s="74" t="inlineStr">
        <is>
          <t>N/D</t>
        </is>
      </c>
      <c r="BN104" s="74" t="inlineStr">
        <is>
          <t>N/D</t>
        </is>
      </c>
      <c r="BO104" s="74" t="inlineStr">
        <is>
          <t>5 outros 4,62% 3,17% 3,03% 2,46% 2,41% 84,29%</t>
        </is>
      </c>
      <c r="BP104" s="74" t="inlineStr">
        <is>
          <t>5 outros Tipo Recebível valor % PL Duplicata 318.392.662,74R$ 68,17% Duplicata de Servico Fisico 27.816.143,36R$ 5,96% Nota Comercial Pós 37.486.768,91R$ 8,03%</t>
        </is>
      </c>
      <c r="BQ104" s="74" t="inlineStr">
        <is>
          <t>N/D</t>
        </is>
      </c>
      <c r="BR104" s="74" t="inlineStr">
        <is>
          <t>cedente: https://fnet.bmfbovespa.com.br/fnet/publico/downloadDocumento?id=1118448 | sacado_devedor: https://fnet.bmfbovespa.com.br/fnet/publico/downloadDocumento?id=1118448</t>
        </is>
      </c>
      <c r="BS104" s="74" t="inlineStr">
        <is>
          <t>sem_overlay</t>
        </is>
      </c>
      <c r="BT104" s="74" t="inlineStr">
        <is>
          <t>N/D</t>
        </is>
      </c>
      <c r="BU104" s="74" t="inlineStr">
        <is>
          <t>1011996</t>
        </is>
      </c>
      <c r="BV104" s="74" t="inlineStr">
        <is>
          <t>2025-10-13</t>
        </is>
      </c>
      <c r="BW104" s="74" t="inlineStr">
        <is>
          <t>53</t>
        </is>
      </c>
      <c r="BX104" s="74" t="inlineStr">
        <is>
          <t>revisto — mínimo júnior localizado</t>
        </is>
      </c>
      <c r="BY104" s="74" t="inlineStr">
        <is>
          <t>FundosNet/B3; documento 1011996; referência 2025-10-13; p. 53</t>
        </is>
      </c>
      <c r="BZ104" s="74" t="inlineStr">
        <is>
          <t>Cotas subordinadas júnior / PL, mínimo de 22,0%.</t>
        </is>
      </c>
      <c r="CA104" s="74" t="inlineStr">
        <is>
          <t>originador; tipo de recebível</t>
        </is>
      </c>
      <c r="CB104" s="74" t="inlineStr">
        <is>
          <t>estrutura_incomparavel</t>
        </is>
      </c>
    </row>
    <row r="105" ht="31.5" customHeight="1">
      <c r="A105" s="75" t="n">
        <v>101</v>
      </c>
      <c r="B105" s="142" t="n">
        <v>49113994000141</v>
      </c>
      <c r="C105" s="75" t="inlineStr">
        <is>
          <t>49.113.994/0001-41</t>
        </is>
      </c>
      <c r="D105" s="75" t="inlineStr">
        <is>
          <t>FUNDO DE INVESTIMENTO EM DIREITOS CREDITÓRIOS CAP - RESPONSABILIDADE LIMITADA</t>
        </is>
      </c>
      <c r="E105" s="75" t="inlineStr">
        <is>
          <t>FUNDO DE INVESTIMENTO EM DIREITOS CREDITORIOS CAP RESPONSABILIDADE LIMITADA</t>
        </is>
      </c>
      <c r="F105" s="75" t="inlineStr">
        <is>
          <t>Carteira 101</t>
        </is>
      </c>
      <c r="G105" s="75" t="inlineStr">
        <is>
          <t>2026-08</t>
        </is>
      </c>
      <c r="H105" s="75" t="inlineStr">
        <is>
          <t>localizado</t>
        </is>
      </c>
      <c r="I105" s="143" t="n">
        <v>106701784.11</v>
      </c>
      <c r="J105" s="143" t="n">
        <v>106701784.0784375</v>
      </c>
      <c r="K105" s="143" t="n">
        <v>47112152.61270887</v>
      </c>
      <c r="L105" s="144" t="n">
        <v>0.4415310672232102</v>
      </c>
      <c r="M105" s="75" t="inlineStr">
        <is>
          <t>Calculado com classes reportadas e PL oficial reconciliado</t>
        </is>
      </c>
      <c r="N105" s="144" t="n">
        <v>0.14</v>
      </c>
      <c r="O105" s="144" t="inlineStr">
        <is>
          <t>N/D</t>
        </is>
      </c>
      <c r="P105" s="144" t="inlineStr">
        <is>
          <t>N/D</t>
        </is>
      </c>
      <c r="Q105" s="144" t="inlineStr">
        <is>
          <t>N/D</t>
        </is>
      </c>
      <c r="R105" s="144" t="inlineStr">
        <is>
          <t>N/D</t>
        </is>
      </c>
      <c r="S105" s="144" t="n">
        <v>0.14</v>
      </c>
      <c r="T105" s="75" t="inlineStr">
        <is>
          <t>N/D</t>
        </is>
      </c>
      <c r="U105" s="75" t="inlineStr">
        <is>
          <t>junior_pl</t>
        </is>
      </c>
      <c r="V105" s="75" t="inlineStr">
        <is>
          <t>direto no regulamento</t>
        </is>
      </c>
      <c r="W105" s="75" t="b">
        <v>0</v>
      </c>
      <c r="X105" s="75" t="inlineStr">
        <is>
          <t>Mínimo júnior isolado; a subordinação atual disponível agrega todas as classes subordinadas.</t>
        </is>
      </c>
      <c r="Y105" s="75" t="b">
        <v>0</v>
      </c>
      <c r="Z105" s="144" t="inlineStr">
        <is>
          <t>N/D</t>
        </is>
      </c>
      <c r="AA105" s="144" t="inlineStr">
        <is>
          <t>N/D</t>
        </is>
      </c>
      <c r="AB105" s="75" t="inlineStr">
        <is>
          <t>não medido</t>
        </is>
      </c>
      <c r="AC105" s="75" t="inlineStr">
        <is>
          <t>Financeiro</t>
        </is>
      </c>
      <c r="AD105" s="75" t="inlineStr">
        <is>
          <t>Crédito Pessoal</t>
        </is>
      </c>
      <c r="AE105" s="75" t="inlineStr">
        <is>
          <t>Financeiro</t>
        </is>
      </c>
      <c r="AF105" s="75" t="inlineStr">
        <is>
          <t>Financeiro</t>
        </is>
      </c>
      <c r="AG105" s="75" t="inlineStr">
        <is>
          <t>Financeiro</t>
        </is>
      </c>
      <c r="AH105" s="75" t="inlineStr">
        <is>
          <t>Financeiro</t>
        </is>
      </c>
      <c r="AI105" s="75" t="inlineStr">
        <is>
          <t>Tipo de crédito não isolado</t>
        </is>
      </c>
      <c r="AJ105" s="75" t="b">
        <v>0</v>
      </c>
      <c r="AK105" s="75" t="inlineStr">
        <is>
          <t>PENDENTE_DOCUMENTAL</t>
        </is>
      </c>
      <c r="AL105" s="75" t="inlineStr">
        <is>
          <t>Nenhum originador, cedente, devedor ou tipo localizado</t>
        </is>
      </c>
      <c r="AM105" s="75" t="inlineStr">
        <is>
          <t>regulamento 788104 apenas estrutural</t>
        </is>
      </c>
      <c r="AN105" s="75" t="inlineStr">
        <is>
          <t>Pendente</t>
        </is>
      </c>
      <c r="AO105" s="75" t="inlineStr">
        <is>
          <t>regulamento 788104 apenas estrutural</t>
        </is>
      </c>
      <c r="AP105" s="75" t="inlineStr">
        <is>
          <t>N/D</t>
        </is>
      </c>
      <c r="AQ105" s="75" t="inlineStr">
        <is>
          <t>Financeiro</t>
        </is>
      </c>
      <c r="AR105" s="75" t="inlineStr">
        <is>
          <t>Financeiro</t>
        </is>
      </c>
      <c r="AS105" s="75" t="b">
        <v>0</v>
      </c>
      <c r="AT105" s="75" t="inlineStr">
        <is>
          <t>N/D</t>
        </is>
      </c>
      <c r="AU105" s="75" t="inlineStr">
        <is>
          <t>N/D</t>
        </is>
      </c>
      <c r="AV105" s="75" t="inlineStr">
        <is>
          <t>35%–60%</t>
        </is>
      </c>
      <c r="AW105" s="75" t="b">
        <v>1</v>
      </c>
      <c r="AX105" s="75" t="inlineStr">
        <is>
          <t>incomparável</t>
        </is>
      </c>
      <c r="AY105" s="75" t="inlineStr">
        <is>
          <t>acima do mercado</t>
        </is>
      </c>
      <c r="AZ105" s="144" t="n">
        <v>0.135337286526726</v>
      </c>
      <c r="BA105" s="75" t="b">
        <v>1</v>
      </c>
      <c r="BB105" s="145" t="n">
        <v>12</v>
      </c>
      <c r="BC105" s="143" t="n">
        <v>1000</v>
      </c>
      <c r="BD105" s="75" t="inlineStr">
        <is>
          <t>Cotas Subordinadas Júnior: R$ 1.000,00</t>
        </is>
      </c>
      <c r="BE105" s="75" t="inlineStr">
        <is>
          <t>preço/valor unitário de emissão</t>
        </is>
      </c>
      <c r="BF105" s="75" t="inlineStr">
        <is>
          <t>Cotas Subordinadas Júnior</t>
        </is>
      </c>
      <c r="BG105" s="75" t="inlineStr">
        <is>
          <t>22/11/2024</t>
        </is>
      </c>
      <c r="BH105" s="75" t="inlineStr">
        <is>
          <t>788104</t>
        </is>
      </c>
      <c r="BI105" s="75" t="inlineStr">
        <is>
          <t>https://fnet.bmfbovespa.com.br/fnet/publico/downloadDocumento?id=788104</t>
        </is>
      </c>
      <c r="BJ105" s="75" t="inlineStr">
        <is>
          <t>localizado documentalmente</t>
        </is>
      </c>
      <c r="BK105" s="75" t="b">
        <v>0</v>
      </c>
      <c r="BL105" s="75" t="inlineStr">
        <is>
          <t>N/D</t>
        </is>
      </c>
      <c r="BM105" s="75" t="inlineStr">
        <is>
          <t>N/D</t>
        </is>
      </c>
      <c r="BN105" s="75" t="inlineStr">
        <is>
          <t>N/D</t>
        </is>
      </c>
      <c r="BO105" s="75" t="inlineStr">
        <is>
          <t>N/D</t>
        </is>
      </c>
      <c r="BP105" s="75" t="inlineStr">
        <is>
          <t>N/D</t>
        </is>
      </c>
      <c r="BQ105" s="75" t="inlineStr">
        <is>
          <t>N/D</t>
        </is>
      </c>
      <c r="BR105" s="75" t="inlineStr">
        <is>
          <t>N/D</t>
        </is>
      </c>
      <c r="BS105" s="75" t="inlineStr">
        <is>
          <t>sem_overlay</t>
        </is>
      </c>
      <c r="BT105" s="75" t="inlineStr">
        <is>
          <t>N/D</t>
        </is>
      </c>
      <c r="BU105" s="75" t="inlineStr">
        <is>
          <t>788104</t>
        </is>
      </c>
      <c r="BV105" s="75" t="inlineStr">
        <is>
          <t>2024-11-22</t>
        </is>
      </c>
      <c r="BW105" s="75" t="inlineStr">
        <is>
          <t>53</t>
        </is>
      </c>
      <c r="BX105" s="75" t="inlineStr">
        <is>
          <t>revisto — mínimo júnior localizado</t>
        </is>
      </c>
      <c r="BY105" s="75" t="inlineStr">
        <is>
          <t>FundosNet/B3; documento 788104; referência 2024-11-22; p. 53</t>
        </is>
      </c>
      <c r="BZ105" s="75" t="inlineStr">
        <is>
          <t>Cotas júnior / PL: mínimo de 14,0%; 15,0% no último dia útil de cada mês.</t>
        </is>
      </c>
      <c r="CA105" s="75" t="inlineStr">
        <is>
          <t>originador; cedente; sacado/devedor; tipo de recebível</t>
        </is>
      </c>
      <c r="CB105" s="75" t="inlineStr">
        <is>
          <t>estrutura_incomparavel</t>
        </is>
      </c>
    </row>
  </sheetData>
  <mergeCells count="13">
    <mergeCell ref="BC3:BK3"/>
    <mergeCell ref="BL3:BT3"/>
    <mergeCell ref="A2:CB2"/>
    <mergeCell ref="A3:H3"/>
    <mergeCell ref="I3:M3"/>
    <mergeCell ref="BU3:BZ3"/>
    <mergeCell ref="CA3:CB3"/>
    <mergeCell ref="AC3:AP3"/>
    <mergeCell ref="A1:CB1"/>
    <mergeCell ref="AQ3:AX3"/>
    <mergeCell ref="W3:AB3"/>
    <mergeCell ref="AY3:BB3"/>
    <mergeCell ref="N3:V3"/>
  </mergeCells>
  <conditionalFormatting sqref="AB5:AB105">
    <cfRule type="containsText" priority="1" operator="containsText" dxfId="0" text="abaixo do mínimo"/>
    <cfRule type="containsText" priority="2" operator="containsText" dxfId="1" text="folga estreita"/>
    <cfRule type="containsText" priority="3" operator="containsText" dxfId="2" text="acima do mínimo"/>
    <cfRule type="containsText" priority="4" operator="containsText" dxfId="3" text="não medido"/>
  </conditionalFormatting>
  <conditionalFormatting sqref="AE5:AE105">
    <cfRule type="containsText" priority="5" operator="containsText" dxfId="4" text="Adquirência"/>
    <cfRule type="containsText" priority="6" operator="containsText" dxfId="5" text="Agro / revenda"/>
    <cfRule type="containsText" priority="7" operator="containsText" dxfId="6" text="Consignado INSS"/>
    <cfRule type="containsText" priority="8" operator="containsText" dxfId="7" text="Consignado FGTS"/>
    <cfRule type="containsText" priority="9" operator="containsText" dxfId="8" text="Consignado CLT"/>
    <cfRule type="containsText" priority="10" operator="containsText" dxfId="9" text="Consignado estadual"/>
    <cfRule type="containsText" priority="11" operator="containsText" dxfId="10" text="Veículos"/>
    <cfRule type="containsText" priority="12" operator="containsText" dxfId="11" text="Cartão consignado"/>
    <cfRule type="containsText" priority="13" operator="containsText" dxfId="12" text="Factoring"/>
    <cfRule type="containsText" priority="14" operator="containsText" dxfId="13" text="Crédito PJ"/>
    <cfRule type="containsText" priority="15" operator="containsText" dxfId="14" text="Financeiro"/>
    <cfRule type="containsText" priority="16" operator="containsText" dxfId="15" text="Outros"/>
  </conditionalFormatting>
  <conditionalFormatting sqref="BS5:BS105">
    <cfRule type="containsText" priority="17" operator="containsText" dxfId="1" text="manual_aplicado"/>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B103"/>
  <sheetViews>
    <sheetView workbookViewId="0">
      <pane xSplit="4" ySplit="4" topLeftCell="E5" activePane="bottomRight" state="frozen"/>
      <selection activeCell="A1" sqref="A1"/>
    </sheetView>
  </sheetViews>
  <sheetFormatPr baseColWidth="8" defaultRowHeight="15"/>
  <cols>
    <col width="8.130000114440918" customWidth="1" min="1" max="1"/>
    <col width="15.63000011444092" customWidth="1" min="2" max="2"/>
    <col width="16.8799991607666" customWidth="1" min="3" max="3"/>
    <col width="45" customWidth="1" min="4" max="4"/>
    <col width="32.5" customWidth="1" min="5" max="5"/>
    <col width="13.13000011444092" customWidth="1" min="6" max="6"/>
    <col width="13.13000011444092" customWidth="1" min="7" max="7"/>
    <col width="19.3799991607666" customWidth="1" min="8" max="8"/>
    <col width="16.25" customWidth="1" min="9" max="9"/>
    <col width="18.1299991607666" customWidth="1" min="10" max="10"/>
    <col width="18.1299991607666" customWidth="1" min="11" max="11"/>
    <col width="13.13000011444092" customWidth="1" min="12" max="12"/>
    <col width="32.5" customWidth="1" min="13" max="13"/>
    <col width="13.75" customWidth="1" min="14" max="14"/>
    <col width="15.63000011444092" customWidth="1" min="15" max="15"/>
    <col width="15" customWidth="1" min="16" max="16"/>
    <col width="13.13000011444092" customWidth="1" min="17" max="17"/>
    <col width="17.5" customWidth="1" min="18" max="18"/>
    <col width="16.8799991607666" customWidth="1" min="19" max="19"/>
    <col width="19.3799991607666" customWidth="1" min="20" max="20"/>
    <col width="21.25" customWidth="1" min="21" max="21"/>
    <col width="26.25" customWidth="1" min="22" max="22"/>
    <col width="11.25" customWidth="1" min="23" max="23"/>
    <col width="52.5" customWidth="1" min="24" max="24"/>
    <col width="10.25" customWidth="1" min="25" max="25"/>
    <col width="13.13000011444092" customWidth="1" min="26" max="26"/>
    <col width="16.8799991607666" customWidth="1" min="27" max="27"/>
    <col width="18.1299991607666" customWidth="1" min="28" max="28"/>
    <col width="18.75" customWidth="1" min="29" max="29"/>
    <col width="23.75" customWidth="1" min="30" max="30"/>
    <col width="22.5" customWidth="1" min="31" max="31"/>
    <col width="22.5" customWidth="1" min="32" max="32"/>
    <col width="23.1299991607666" customWidth="1" min="33" max="33"/>
    <col width="23.75" customWidth="1" min="34" max="34"/>
    <col width="28.75" customWidth="1" min="35" max="35"/>
    <col width="15.63000011444092" customWidth="1" min="36" max="36"/>
    <col width="32.5" customWidth="1" min="37" max="37"/>
    <col width="53.75" customWidth="1" min="38" max="38"/>
    <col width="48.75" customWidth="1" min="39" max="39"/>
    <col width="32.5" customWidth="1" min="40" max="40"/>
    <col width="47.5" customWidth="1" min="41" max="41"/>
    <col width="15" customWidth="1" min="42" max="42"/>
    <col width="23.1299991607666" customWidth="1" min="43" max="43"/>
    <col width="23.1299991607666" customWidth="1" min="44" max="44"/>
    <col width="13.13000011444092" customWidth="1" min="45" max="45"/>
    <col width="48.75" customWidth="1" min="46" max="46"/>
    <col width="52.5" customWidth="1" min="47" max="47"/>
    <col width="15.63000011444092" customWidth="1" min="48" max="48"/>
    <col width="14.38000011444092" customWidth="1" min="49" max="49"/>
    <col width="21.8799991607666" customWidth="1" min="50" max="50"/>
    <col width="23.75" customWidth="1" min="51" max="51"/>
    <col width="15" customWidth="1" min="52" max="52"/>
    <col width="14.38000011444092" customWidth="1" min="53" max="53"/>
    <col width="13.13000011444092" customWidth="1" min="54" max="54"/>
    <col width="18.1299991607666" customWidth="1" min="55" max="55"/>
    <col width="32.5" customWidth="1" min="56" max="56"/>
    <col width="23.75" customWidth="1" min="57" max="57"/>
    <col width="27.5" customWidth="1" min="58" max="58"/>
    <col width="16.25" customWidth="1" min="59" max="59"/>
    <col width="18.1299991607666" customWidth="1" min="60" max="60"/>
    <col width="52.5" customWidth="1" min="61" max="61"/>
    <col width="30" customWidth="1" min="62" max="62"/>
    <col width="13.13000011444092" customWidth="1" min="63" max="63"/>
    <col width="31.25" customWidth="1" min="64" max="64"/>
    <col width="18.75" customWidth="1" min="65" max="65"/>
    <col width="26.25" customWidth="1" min="66" max="66"/>
    <col width="26.25" customWidth="1" min="67" max="67"/>
    <col width="27.5" customWidth="1" min="68" max="68"/>
    <col width="41.25" customWidth="1" min="69" max="69"/>
    <col width="37.5" customWidth="1" min="70" max="70"/>
    <col width="21.8799991607666" customWidth="1" min="71" max="71"/>
    <col width="45" customWidth="1" min="72" max="72"/>
    <col width="16.25" customWidth="1" min="73" max="73"/>
    <col width="14.38000011444092" customWidth="1" min="74" max="74"/>
    <col width="17.5" customWidth="1" min="75" max="75"/>
    <col width="29.3799991607666" customWidth="1" min="76" max="76"/>
    <col width="52.5" customWidth="1" min="77" max="77"/>
    <col width="57.5" customWidth="1" min="78" max="78"/>
    <col width="40" customWidth="1" min="79" max="79"/>
    <col width="23.75" customWidth="1" min="80" max="80"/>
  </cols>
  <sheetData>
    <row r="1" ht="25.5" customHeight="1">
      <c r="A1" s="26" t="inlineStr">
        <is>
          <t>Casos 99 · base manipulável de risco estrutural</t>
        </is>
      </c>
    </row>
    <row r="2" ht="22.5" customHeight="1">
      <c r="A2" s="29" t="inlineStr">
        <is>
          <t>99 CNPJs no universo operacional validável. Os dois CNPJs fora desta visão permanecem na aba Carteira 101, com identidade/perímetro N/D documentados.</t>
        </is>
      </c>
    </row>
    <row r="3" ht="16.5" customHeight="1">
      <c r="A3" s="42" t="inlineStr">
        <is>
          <t>IDENTIFICAÇÃO</t>
        </is>
      </c>
      <c r="I3" s="45" t="inlineStr">
        <is>
          <t>PORTE E SUBORDINAÇÃO ATUAL</t>
        </is>
      </c>
      <c r="N3" s="48" t="inlineStr">
        <is>
          <t>ÍNDICES DOCUMENTAIS</t>
        </is>
      </c>
      <c r="W3" s="52" t="inlineStr">
        <is>
          <t>COMPARABILIDADE E FOLGA</t>
        </is>
      </c>
      <c r="AC3" s="56" t="inlineStr">
        <is>
          <t>TAXONOMIA E REVISÃO DE RISCO</t>
        </is>
      </c>
      <c r="AQ3" s="60" t="inlineStr">
        <is>
          <t>MVP · 6 SLIDES</t>
        </is>
      </c>
      <c r="AY3" s="45" t="inlineStr">
        <is>
          <t>BENCHMARK DE MERCADO</t>
        </is>
      </c>
      <c r="BC3" s="64" t="inlineStr">
        <is>
          <t>PREÇO UNITÁRIO POR COTA</t>
        </is>
      </c>
      <c r="BL3" s="68" t="inlineStr">
        <is>
          <t>PARTES E RECEBÍVEL</t>
        </is>
      </c>
      <c r="BU3" s="72" t="inlineStr">
        <is>
          <t>RASTREABILIDADE</t>
        </is>
      </c>
      <c r="CA3" s="42" t="inlineStr">
        <is>
          <t>LACUNAS</t>
        </is>
      </c>
    </row>
    <row r="4" ht="25.5" customHeight="1">
      <c r="A4" s="32" t="inlineStr">
        <is>
          <t>Ordem</t>
        </is>
      </c>
      <c r="B4" s="32" t="inlineStr">
        <is>
          <t>CNPJ</t>
        </is>
      </c>
      <c r="C4" s="32" t="inlineStr">
        <is>
          <t>CNPJ formatado</t>
        </is>
      </c>
      <c r="D4" s="32" t="inlineStr">
        <is>
          <t>Nome completo do fundo (CVM)</t>
        </is>
      </c>
      <c r="E4" s="32" t="inlineStr">
        <is>
          <t>Nome de referência</t>
        </is>
      </c>
      <c r="F4" s="32" t="inlineStr">
        <is>
          <t>Coorte</t>
        </is>
      </c>
      <c r="G4" s="32" t="inlineStr">
        <is>
          <t>Data de referência</t>
        </is>
      </c>
      <c r="H4" s="32" t="inlineStr">
        <is>
          <t>Status da identidade</t>
        </is>
      </c>
      <c r="I4" s="32" t="inlineStr">
        <is>
          <t>PL atual</t>
        </is>
      </c>
      <c r="J4" s="32" t="inlineStr">
        <is>
          <t>PL das classes reportadas</t>
        </is>
      </c>
      <c r="K4" s="32" t="inlineStr">
        <is>
          <t>PL subordinado atual</t>
        </is>
      </c>
      <c r="L4" s="32" t="inlineStr">
        <is>
          <t>Sub / PL atual</t>
        </is>
      </c>
      <c r="M4" s="32" t="inlineStr">
        <is>
          <t>Status do Sub / PL</t>
        </is>
      </c>
      <c r="N4" s="32" t="inlineStr">
        <is>
          <t>Mínimo Jr literal</t>
        </is>
      </c>
      <c r="O4" s="32" t="inlineStr">
        <is>
          <t>Mínimo Jr calculado*</t>
        </is>
      </c>
      <c r="P4" s="32" t="inlineStr">
        <is>
          <t>Mínimo Jr ajustado*</t>
        </is>
      </c>
      <c r="Q4" s="32" t="inlineStr">
        <is>
          <t>Suporte total*</t>
        </is>
      </c>
      <c r="R4" s="32" t="inlineStr">
        <is>
          <t>Suporte Jr + Mezanino*</t>
        </is>
      </c>
      <c r="S4" s="32" t="inlineStr">
        <is>
          <t>Índice estrutural usado</t>
        </is>
      </c>
      <c r="T4" s="32" t="inlineStr">
        <is>
          <t>Índice estrutural exibido</t>
        </is>
      </c>
      <c r="U4" s="32" t="inlineStr">
        <is>
          <t>Natureza do índice</t>
        </is>
      </c>
      <c r="V4" s="32" t="inlineStr">
        <is>
          <t>Fórmula / regra</t>
        </is>
      </c>
      <c r="W4" s="32" t="inlineStr">
        <is>
          <t>Comparável?</t>
        </is>
      </c>
      <c r="X4" s="32" t="inlineStr">
        <is>
          <t>Motivo da comparabilidade</t>
        </is>
      </c>
      <c r="Y4" s="32" t="inlineStr">
        <is>
          <t>Exceção*</t>
        </is>
      </c>
      <c r="Z4" s="32" t="inlineStr">
        <is>
          <t>Folga / falta</t>
        </is>
      </c>
      <c r="AA4" s="32" t="inlineStr">
        <is>
          <t>Capacidade até o gatilho</t>
        </is>
      </c>
      <c r="AB4" s="32" t="inlineStr">
        <is>
          <t>Situação regulatória</t>
        </is>
      </c>
      <c r="AC4" s="32" t="inlineStr">
        <is>
          <t>Tipo</t>
        </is>
      </c>
      <c r="AD4" s="32" t="inlineStr">
        <is>
          <t>Foco</t>
        </is>
      </c>
      <c r="AE4" s="32" t="inlineStr">
        <is>
          <t>Taxonomia estrutural</t>
        </is>
      </c>
      <c r="AF4" s="32" t="inlineStr">
        <is>
          <t>Grupo de comparação</t>
        </is>
      </c>
      <c r="AG4" s="32" t="inlineStr">
        <is>
          <t>Categoria de risco atual</t>
        </is>
      </c>
      <c r="AH4" s="32" t="inlineStr">
        <is>
          <t>Categoria de risco proposta</t>
        </is>
      </c>
      <c r="AI4" s="32" t="inlineStr">
        <is>
          <t>Subtipo de risco diagnosticado</t>
        </is>
      </c>
      <c r="AJ4" s="32" t="inlineStr">
        <is>
          <t>Reclassificação proposta?</t>
        </is>
      </c>
      <c r="AK4" s="32" t="inlineStr">
        <is>
          <t>Status da avaliação</t>
        </is>
      </c>
      <c r="AL4" s="32" t="inlineStr">
        <is>
          <t>Fundamento da avaliação</t>
        </is>
      </c>
      <c r="AM4" s="32" t="inlineStr">
        <is>
          <t>Fonte da avaliação</t>
        </is>
      </c>
      <c r="AN4" s="32" t="inlineStr">
        <is>
          <t>Middle Market · status</t>
        </is>
      </c>
      <c r="AO4" s="32" t="inlineStr">
        <is>
          <t>Middle Market · evidência</t>
        </is>
      </c>
      <c r="AP4" s="32" t="inlineStr">
        <is>
          <t>Porte documentado?</t>
        </is>
      </c>
      <c r="AQ4" s="32" t="inlineStr">
        <is>
          <t>Categoria MVP</t>
        </is>
      </c>
      <c r="AR4" s="32" t="inlineStr">
        <is>
          <t>Categoria MVP original</t>
        </is>
      </c>
      <c r="AS4" s="32" t="inlineStr">
        <is>
          <t>Override editorial?</t>
        </is>
      </c>
      <c r="AT4" s="32" t="inlineStr">
        <is>
          <t>Fonte do override MVP</t>
        </is>
      </c>
      <c r="AU4" s="32" t="inlineStr">
        <is>
          <t>Motivo do override MVP</t>
        </is>
      </c>
      <c r="AV4" s="32" t="inlineStr">
        <is>
          <t>Faixa de Sub atual · MVP</t>
        </is>
      </c>
      <c r="AW4" s="32" t="inlineStr">
        <is>
          <t>Elegível nos 6 slides?</t>
        </is>
      </c>
      <c r="AX4" s="32" t="inlineStr">
        <is>
          <t>Sinal vs. mínimo estrutural</t>
        </is>
      </c>
      <c r="AY4" s="32" t="inlineStr">
        <is>
          <t>Posição vs. mercado</t>
        </is>
      </c>
      <c r="AZ4" s="32" t="inlineStr">
        <is>
          <t>Excesso vs. mediana</t>
        </is>
      </c>
      <c r="BA4" s="32" t="inlineStr">
        <is>
          <t>Benchmark confiável?</t>
        </is>
      </c>
      <c r="BB4" s="32" t="inlineStr">
        <is>
          <t>Nº de comparáveis</t>
        </is>
      </c>
      <c r="BC4" s="32" t="inlineStr">
        <is>
          <t>Preço unitário numérico</t>
        </is>
      </c>
      <c r="BD4" s="32" t="inlineStr">
        <is>
          <t>Preço por cota · leitura</t>
        </is>
      </c>
      <c r="BE4" s="32" t="inlineStr">
        <is>
          <t>Natureza do preço</t>
        </is>
      </c>
      <c r="BF4" s="32" t="inlineStr">
        <is>
          <t>Classe / série do preço</t>
        </is>
      </c>
      <c r="BG4" s="32" t="inlineStr">
        <is>
          <t>Data do documento de preço</t>
        </is>
      </c>
      <c r="BH4" s="32" t="inlineStr">
        <is>
          <t>Documento do preço</t>
        </is>
      </c>
      <c r="BI4" s="32" t="inlineStr">
        <is>
          <t>Fonte do preço</t>
        </is>
      </c>
      <c r="BJ4" s="32" t="inlineStr">
        <is>
          <t>Status do preço</t>
        </is>
      </c>
      <c r="BK4" s="32" t="inlineStr">
        <is>
          <t>Exceção de preço*</t>
        </is>
      </c>
      <c r="BL4" s="32" t="inlineStr">
        <is>
          <t>Cedente / Originador literal*</t>
        </is>
      </c>
      <c r="BM4" s="32" t="inlineStr">
        <is>
          <t>Papel literal*</t>
        </is>
      </c>
      <c r="BN4" s="32" t="inlineStr">
        <is>
          <t>Originador*</t>
        </is>
      </c>
      <c r="BO4" s="32" t="inlineStr">
        <is>
          <t>Cedente*</t>
        </is>
      </c>
      <c r="BP4" s="32" t="inlineStr">
        <is>
          <t>Sacado / devedor*</t>
        </is>
      </c>
      <c r="BQ4" s="32" t="inlineStr">
        <is>
          <t>Tipo de recebível*</t>
        </is>
      </c>
      <c r="BR4" s="32" t="inlineStr">
        <is>
          <t>Fonte das partes / recebível</t>
        </is>
      </c>
      <c r="BS4" s="32" t="inlineStr">
        <is>
          <t>Status do complemento manual</t>
        </is>
      </c>
      <c r="BT4" s="32" t="inlineStr">
        <is>
          <t>Observação do complemento manual</t>
        </is>
      </c>
      <c r="BU4" s="32" t="inlineStr">
        <is>
          <t>Documento</t>
        </is>
      </c>
      <c r="BV4" s="32" t="inlineStr">
        <is>
          <t>Data do documento</t>
        </is>
      </c>
      <c r="BW4" s="32" t="inlineStr">
        <is>
          <t>Página / cláusula</t>
        </is>
      </c>
      <c r="BX4" s="32" t="inlineStr">
        <is>
          <t>Status da curadoria</t>
        </is>
      </c>
      <c r="BY4" s="32" t="inlineStr">
        <is>
          <t>Fonte documental</t>
        </is>
      </c>
      <c r="BZ4" s="32" t="inlineStr">
        <is>
          <t>Texto do mínimo</t>
        </is>
      </c>
      <c r="CA4" s="32" t="inlineStr">
        <is>
          <t>Campos não preenchidos</t>
        </is>
      </c>
      <c r="CB4" s="32" t="inlineStr">
        <is>
          <t>Status do preenchimento</t>
        </is>
      </c>
    </row>
    <row r="5" ht="31.5" customHeight="1">
      <c r="A5" s="73" t="n">
        <v>1</v>
      </c>
      <c r="B5" s="134" t="n">
        <v>42462306000100</v>
      </c>
      <c r="C5" s="73" t="inlineStr">
        <is>
          <t>42.462.306/0001-00</t>
        </is>
      </c>
      <c r="D5" s="73" t="inlineStr">
        <is>
          <t>IS GREEN SOLFÁCIL II FUNDO DE INVESTIMENTO EM DIREITOS CREDITÓRIOS DE RESPONSABILIDADE LIMITADA</t>
        </is>
      </c>
      <c r="E5" s="73" t="inlineStr">
        <is>
          <t>IS GREEN SOLFACIL II FIDC</t>
        </is>
      </c>
      <c r="F5" s="73" t="inlineStr">
        <is>
          <t>Carteira 101</t>
        </is>
      </c>
      <c r="G5" s="73" t="inlineStr">
        <is>
          <t>2026-08</t>
        </is>
      </c>
      <c r="H5" s="73" t="inlineStr">
        <is>
          <t>localizado</t>
        </is>
      </c>
      <c r="I5" s="135" t="n">
        <v>87853640.33</v>
      </c>
      <c r="J5" s="135" t="n">
        <v>87853640.66977322</v>
      </c>
      <c r="K5" s="135" t="n">
        <v>23060468.81977321</v>
      </c>
      <c r="L5" s="136" t="n">
        <v>0.2624873452386536</v>
      </c>
      <c r="M5" s="73" t="inlineStr">
        <is>
          <t>Calculado com classes reportadas e PL oficial reconciliado</t>
        </is>
      </c>
      <c r="N5" s="136" t="n">
        <v>0.045</v>
      </c>
      <c r="O5" s="136" t="inlineStr">
        <is>
          <t>N/D</t>
        </is>
      </c>
      <c r="P5" s="136" t="inlineStr">
        <is>
          <t>N/D</t>
        </is>
      </c>
      <c r="Q5" s="136" t="inlineStr">
        <is>
          <t>N/D</t>
        </is>
      </c>
      <c r="R5" s="136" t="inlineStr">
        <is>
          <t>N/D</t>
        </is>
      </c>
      <c r="S5" s="136" t="n">
        <v>0.045</v>
      </c>
      <c r="T5" s="73" t="inlineStr">
        <is>
          <t>N/D</t>
        </is>
      </c>
      <c r="U5" s="73" t="inlineStr">
        <is>
          <t>junior_pl</t>
        </is>
      </c>
      <c r="V5" s="73" t="inlineStr">
        <is>
          <t>direto no regulamento</t>
        </is>
      </c>
      <c r="W5" s="73" t="b">
        <v>0</v>
      </c>
      <c r="X5" s="73" t="inlineStr">
        <is>
          <t>Mínimo júnior isolado; a subordinação atual disponível agrega todas as classes subordinadas.</t>
        </is>
      </c>
      <c r="Y5" s="73" t="b">
        <v>0</v>
      </c>
      <c r="Z5" s="136" t="inlineStr">
        <is>
          <t>N/D</t>
        </is>
      </c>
      <c r="AA5" s="136" t="inlineStr">
        <is>
          <t>N/D</t>
        </is>
      </c>
      <c r="AB5" s="73" t="inlineStr">
        <is>
          <t>não medido</t>
        </is>
      </c>
      <c r="AC5" s="73" t="inlineStr">
        <is>
          <t>Financeiro</t>
        </is>
      </c>
      <c r="AD5" s="73" t="inlineStr">
        <is>
          <t>Crédito Pessoal</t>
        </is>
      </c>
      <c r="AE5" s="73" t="inlineStr">
        <is>
          <t>Financeiro</t>
        </is>
      </c>
      <c r="AF5" s="73" t="inlineStr">
        <is>
          <t>Financeiro</t>
        </is>
      </c>
      <c r="AG5" s="73" t="inlineStr">
        <is>
          <t>Financeiro</t>
        </is>
      </c>
      <c r="AH5" s="73" t="inlineStr">
        <is>
          <t>Financeiro</t>
        </is>
      </c>
      <c r="AI5" s="73" t="inlineStr">
        <is>
          <t>Crédito solar / recebíveis para securitização</t>
        </is>
      </c>
      <c r="AJ5" s="73" t="b">
        <v>0</v>
      </c>
      <c r="AK5" s="73" t="inlineStr">
        <is>
          <t>MANTER_ALTA</t>
        </is>
      </c>
      <c r="AL5" s="73" t="inlineStr">
        <is>
          <t>Risco de financiamento solar</t>
        </is>
      </c>
      <c r="AM5" s="73" t="inlineStr">
        <is>
          <t>rating 1023995 + IMG_8704</t>
        </is>
      </c>
      <c r="AN5" s="73" t="inlineStr">
        <is>
          <t>Não</t>
        </is>
      </c>
      <c r="AO5" s="73" t="inlineStr">
        <is>
          <t>rating 1023995 + IMG_8704</t>
        </is>
      </c>
      <c r="AP5" s="73" t="b">
        <v>0</v>
      </c>
      <c r="AQ5" s="73" t="inlineStr">
        <is>
          <t>Financeiro</t>
        </is>
      </c>
      <c r="AR5" s="73" t="inlineStr">
        <is>
          <t>Financeiro</t>
        </is>
      </c>
      <c r="AS5" s="73" t="b">
        <v>0</v>
      </c>
      <c r="AT5" s="73" t="inlineStr">
        <is>
          <t>N/D</t>
        </is>
      </c>
      <c r="AU5" s="73" t="inlineStr">
        <is>
          <t>N/D</t>
        </is>
      </c>
      <c r="AV5" s="73" t="inlineStr">
        <is>
          <t>20%–35%</t>
        </is>
      </c>
      <c r="AW5" s="73" t="b">
        <v>1</v>
      </c>
      <c r="AX5" s="73" t="inlineStr">
        <is>
          <t>incomparável</t>
        </is>
      </c>
      <c r="AY5" s="73" t="inlineStr">
        <is>
          <t>abaixo do mercado</t>
        </is>
      </c>
      <c r="AZ5" s="136" t="n">
        <v>-0.04370643545783054</v>
      </c>
      <c r="BA5" s="73" t="b">
        <v>1</v>
      </c>
      <c r="BB5" s="137" t="n">
        <v>12</v>
      </c>
      <c r="BC5" s="135" t="inlineStr">
        <is>
          <t>N/D</t>
        </is>
      </c>
      <c r="BD5" s="73" t="inlineStr">
        <is>
          <t>N/D</t>
        </is>
      </c>
      <c r="BE5" s="73" t="inlineStr">
        <is>
          <t>N/D</t>
        </is>
      </c>
      <c r="BF5" s="73" t="inlineStr">
        <is>
          <t>N/D</t>
        </is>
      </c>
      <c r="BG5" s="73" t="inlineStr">
        <is>
          <t>N/D</t>
        </is>
      </c>
      <c r="BH5" s="73" t="inlineStr">
        <is>
          <t>N/D</t>
        </is>
      </c>
      <c r="BI5" s="73" t="inlineStr">
        <is>
          <t>N/D</t>
        </is>
      </c>
      <c r="BJ5" s="73" t="inlineStr">
        <is>
          <t>não localizado</t>
        </is>
      </c>
      <c r="BK5" s="73" t="b">
        <v>0</v>
      </c>
      <c r="BL5" s="73" t="inlineStr">
        <is>
          <t>Solfácil</t>
        </is>
      </c>
      <c r="BM5" s="73" t="inlineStr">
        <is>
          <t>cedente</t>
        </is>
      </c>
      <c r="BN5" s="73" t="inlineStr">
        <is>
          <t>Solfácil Energia</t>
        </is>
      </c>
      <c r="BO5" s="73" t="inlineStr">
        <is>
          <t>Solfácil</t>
        </is>
      </c>
      <c r="BP5" s="73" t="inlineStr">
        <is>
          <t>N/D</t>
        </is>
      </c>
      <c r="BQ5" s="73" t="inlineStr">
        <is>
          <t>créditos originados para securitização posterior em CRIs</t>
        </is>
      </c>
      <c r="BR5" s="73" t="inlineStr">
        <is>
          <t>originador: https://fnet.bmfbovespa.com.br/fnet/publico/downloadDocumento?id=1023995 | cedente: IMG_8704.JPG | tipo_recebivel: IMG_8704.JPG</t>
        </is>
      </c>
      <c r="BS5" s="73" t="inlineStr">
        <is>
          <t>manual_aplicado</t>
        </is>
      </c>
      <c r="BT5" s="73" t="inlineStr">
        <is>
          <t>OBS da foto: FIDC warehouse com finalidade de originar créditos para serem securitizados posteriormente em CRIs a mercado; texto final cortado pela foto.</t>
        </is>
      </c>
      <c r="BU5" s="73" t="inlineStr">
        <is>
          <t>896879</t>
        </is>
      </c>
      <c r="BV5" s="73" t="inlineStr">
        <is>
          <t>2025-05-05</t>
        </is>
      </c>
      <c r="BW5" s="73" t="inlineStr">
        <is>
          <t>12</t>
        </is>
      </c>
      <c r="BX5" s="73" t="inlineStr">
        <is>
          <t>revisto — mínimo júnior localizado</t>
        </is>
      </c>
      <c r="BY5" s="73" t="inlineStr">
        <is>
          <t>FundosNet/B3; documento 896879; referência 2025-05-05; p. 12</t>
        </is>
      </c>
      <c r="BZ5" s="73" t="inlineStr">
        <is>
          <t>Cotas subordinadas júnior / PL, mínimo de 4,5%.</t>
        </is>
      </c>
      <c r="CA5" s="73" t="inlineStr">
        <is>
          <t>preço unitário da cota; sacado/devedor</t>
        </is>
      </c>
      <c r="CB5" s="73" t="inlineStr">
        <is>
          <t>estrutura_incomparavel</t>
        </is>
      </c>
    </row>
    <row r="6" ht="31.5" customHeight="1">
      <c r="A6" s="74" t="n">
        <v>2</v>
      </c>
      <c r="B6" s="138" t="n">
        <v>54810968000102</v>
      </c>
      <c r="C6" s="74" t="inlineStr">
        <is>
          <t>54.810.968/0001-02</t>
        </is>
      </c>
      <c r="D6" s="74" t="inlineStr">
        <is>
          <t>ANGÁ FGTS III FUNDO DE INVESTIMENTO EM DIREITOS CREDITÓRIOS</t>
        </is>
      </c>
      <c r="E6" s="74" t="inlineStr">
        <is>
          <t>ANGA FGTS III FUNDO DE INVESTIMENTO EM DIREITOS CR</t>
        </is>
      </c>
      <c r="F6" s="74" t="inlineStr">
        <is>
          <t>Carteira 101</t>
        </is>
      </c>
      <c r="G6" s="74" t="inlineStr">
        <is>
          <t>2026-08</t>
        </is>
      </c>
      <c r="H6" s="74" t="inlineStr">
        <is>
          <t>localizado</t>
        </is>
      </c>
      <c r="I6" s="139" t="n">
        <v>926783405.79</v>
      </c>
      <c r="J6" s="139" t="n">
        <v>926783405.793</v>
      </c>
      <c r="K6" s="139" t="n">
        <v>158995139.3595</v>
      </c>
      <c r="L6" s="140" t="n">
        <v>0.1715558763419711</v>
      </c>
      <c r="M6" s="74" t="inlineStr">
        <is>
          <t>Calculado com classes reportadas e PL oficial reconciliado</t>
        </is>
      </c>
      <c r="N6" s="140" t="n">
        <v>0.05</v>
      </c>
      <c r="O6" s="140" t="inlineStr">
        <is>
          <t>N/D</t>
        </is>
      </c>
      <c r="P6" s="140" t="inlineStr">
        <is>
          <t>N/D</t>
        </is>
      </c>
      <c r="Q6" s="140" t="inlineStr">
        <is>
          <t>N/D</t>
        </is>
      </c>
      <c r="R6" s="140" t="inlineStr">
        <is>
          <t>N/D</t>
        </is>
      </c>
      <c r="S6" s="140" t="n">
        <v>0.05</v>
      </c>
      <c r="T6" s="74" t="inlineStr">
        <is>
          <t>N/D</t>
        </is>
      </c>
      <c r="U6" s="74" t="inlineStr">
        <is>
          <t>junior_pl</t>
        </is>
      </c>
      <c r="V6" s="74" t="inlineStr">
        <is>
          <t>direto no regulamento</t>
        </is>
      </c>
      <c r="W6" s="74" t="b">
        <v>0</v>
      </c>
      <c r="X6" s="74" t="inlineStr">
        <is>
          <t>Mínimo júnior isolado; a subordinação atual disponível agrega todas as classes subordinadas.</t>
        </is>
      </c>
      <c r="Y6" s="74" t="b">
        <v>0</v>
      </c>
      <c r="Z6" s="140" t="inlineStr">
        <is>
          <t>N/D</t>
        </is>
      </c>
      <c r="AA6" s="140" t="inlineStr">
        <is>
          <t>N/D</t>
        </is>
      </c>
      <c r="AB6" s="74" t="inlineStr">
        <is>
          <t>não medido</t>
        </is>
      </c>
      <c r="AC6" s="74" t="inlineStr">
        <is>
          <t>Financeiro</t>
        </is>
      </c>
      <c r="AD6" s="74" t="inlineStr">
        <is>
          <t>Crédito Pessoal</t>
        </is>
      </c>
      <c r="AE6" s="74" t="inlineStr">
        <is>
          <t>Consignado FGTS</t>
        </is>
      </c>
      <c r="AF6" s="74" t="inlineStr">
        <is>
          <t>Consignado FGTS</t>
        </is>
      </c>
      <c r="AG6" s="74" t="inlineStr">
        <is>
          <t>Consignado INSS e FGTS</t>
        </is>
      </c>
      <c r="AH6" s="74" t="inlineStr">
        <is>
          <t>Consignado INSS e FGTS</t>
        </is>
      </c>
      <c r="AI6" s="74" t="inlineStr">
        <is>
          <t>N/D</t>
        </is>
      </c>
      <c r="AJ6" s="74" t="b">
        <v>0</v>
      </c>
      <c r="AK6" s="74" t="inlineStr">
        <is>
          <t>fora da revisão Financeiro/Agro</t>
        </is>
      </c>
      <c r="AL6" s="74" t="inlineStr">
        <is>
          <t>N/D</t>
        </is>
      </c>
      <c r="AM6" s="74" t="inlineStr">
        <is>
          <t>N/D</t>
        </is>
      </c>
      <c r="AN6" s="74" t="inlineStr">
        <is>
          <t>N/D</t>
        </is>
      </c>
      <c r="AO6" s="74" t="inlineStr">
        <is>
          <t>N/D</t>
        </is>
      </c>
      <c r="AP6" s="74" t="inlineStr">
        <is>
          <t>N/D</t>
        </is>
      </c>
      <c r="AQ6" s="74" t="inlineStr">
        <is>
          <t>Consignado INSS e FGTS</t>
        </is>
      </c>
      <c r="AR6" s="74" t="inlineStr">
        <is>
          <t>Consignado INSS e FGTS</t>
        </is>
      </c>
      <c r="AS6" s="74" t="b">
        <v>0</v>
      </c>
      <c r="AT6" s="74" t="inlineStr">
        <is>
          <t>N/D</t>
        </is>
      </c>
      <c r="AU6" s="74" t="inlineStr">
        <is>
          <t>N/D</t>
        </is>
      </c>
      <c r="AV6" s="74" t="inlineStr">
        <is>
          <t>15%–20%</t>
        </is>
      </c>
      <c r="AW6" s="74" t="b">
        <v>1</v>
      </c>
      <c r="AX6" s="74" t="inlineStr">
        <is>
          <t>incomparável</t>
        </is>
      </c>
      <c r="AY6" s="74" t="inlineStr">
        <is>
          <t>em linha com o mercado</t>
        </is>
      </c>
      <c r="AZ6" s="140" t="n">
        <v>-0.01122356481751938</v>
      </c>
      <c r="BA6" s="74" t="b">
        <v>1</v>
      </c>
      <c r="BB6" s="141" t="n">
        <v>5</v>
      </c>
      <c r="BC6" s="139" t="n">
        <v>1000</v>
      </c>
      <c r="BD6" s="74" t="inlineStr">
        <is>
          <t>Cotas Seniores: R$ 1.000,00 | Cotas Subordinadas Junior: R$ 1.000,00 | R$ 1.000,00</t>
        </is>
      </c>
      <c r="BE6" s="74" t="inlineStr">
        <is>
          <t>preço/valor unitário de emissão</t>
        </is>
      </c>
      <c r="BF6" s="74" t="inlineStr">
        <is>
          <t>Cotas Seniores | Cotas Subordinadas Junior</t>
        </is>
      </c>
      <c r="BG6" s="74" t="inlineStr">
        <is>
          <t>2025-04-22</t>
        </is>
      </c>
      <c r="BH6" s="74" t="inlineStr">
        <is>
          <t>937760</t>
        </is>
      </c>
      <c r="BI6" s="74" t="inlineStr">
        <is>
          <t>https://fnet.bmfbovespa.com.br/fnet/publico/downloadDocumento?id=937760</t>
        </is>
      </c>
      <c r="BJ6" s="74" t="inlineStr">
        <is>
          <t>localizado documentalmente — múltiplos valores/classes</t>
        </is>
      </c>
      <c r="BK6" s="74" t="b">
        <v>1</v>
      </c>
      <c r="BL6" s="74" t="inlineStr">
        <is>
          <t>BMG</t>
        </is>
      </c>
      <c r="BM6" s="74" t="inlineStr">
        <is>
          <t>cedente</t>
        </is>
      </c>
      <c r="BN6" s="74" t="inlineStr">
        <is>
          <t>N/D</t>
        </is>
      </c>
      <c r="BO6" s="74" t="inlineStr">
        <is>
          <t>BMG</t>
        </is>
      </c>
      <c r="BP6" s="74" t="inlineStr">
        <is>
          <t>N/D</t>
        </is>
      </c>
      <c r="BQ6" s="74" t="inlineStr">
        <is>
          <t>Crédito FGTS</t>
        </is>
      </c>
      <c r="BR6" s="74" t="inlineStr">
        <is>
          <t>cedente: IMG_8704.JPG | tipo_recebivel: IMG_8704.JPG</t>
        </is>
      </c>
      <c r="BS6" s="74" t="inlineStr">
        <is>
          <t>manual_aplicado</t>
        </is>
      </c>
      <c r="BT6" s="74" t="inlineStr">
        <is>
          <t>Denominação cortada pela largura da coluna na foto.</t>
        </is>
      </c>
      <c r="BU6" s="74" t="inlineStr">
        <is>
          <t>937760</t>
        </is>
      </c>
      <c r="BV6" s="74" t="inlineStr">
        <is>
          <t>2025-04-22</t>
        </is>
      </c>
      <c r="BW6" s="74" t="inlineStr">
        <is>
          <t>16</t>
        </is>
      </c>
      <c r="BX6" s="74" t="inlineStr">
        <is>
          <t>revisto — mínimo júnior localizado</t>
        </is>
      </c>
      <c r="BY6" s="74" t="inlineStr">
        <is>
          <t>FundosNet/B3; documento 937760; referência 2025-04-22; p. 16</t>
        </is>
      </c>
      <c r="BZ6" s="74" t="inlineStr">
        <is>
          <t>Índice de Subordinação Mezanino: cotas júnior / PL, mínimo de 5,0%.</t>
        </is>
      </c>
      <c r="CA6" s="74" t="inlineStr">
        <is>
          <t>originador; sacado/devedor</t>
        </is>
      </c>
      <c r="CB6" s="74" t="inlineStr">
        <is>
          <t>estrutura_incomparavel</t>
        </is>
      </c>
    </row>
    <row r="7" ht="31.5" customHeight="1">
      <c r="A7" s="75" t="n">
        <v>3</v>
      </c>
      <c r="B7" s="142" t="n">
        <v>53270983000142</v>
      </c>
      <c r="C7" s="75" t="inlineStr">
        <is>
          <t>53.270.983/0001-42</t>
        </is>
      </c>
      <c r="D7" s="75" t="inlineStr">
        <is>
          <t>ANGÁ FGTS +AG FUNDO DE INVESTIMENTO EM DIREITOS CREDITÓRIOS - RESPONSABILIDADE LIMITADA</t>
        </is>
      </c>
      <c r="E7" s="75" t="inlineStr">
        <is>
          <t>ANGA FGTS MAIS AG FIDC RESPONSABILIDADE LIMITADA</t>
        </is>
      </c>
      <c r="F7" s="75" t="inlineStr">
        <is>
          <t>Carteira 101</t>
        </is>
      </c>
      <c r="G7" s="75" t="inlineStr">
        <is>
          <t>2026-08</t>
        </is>
      </c>
      <c r="H7" s="75" t="inlineStr">
        <is>
          <t>localizado</t>
        </is>
      </c>
      <c r="I7" s="143" t="n">
        <v>67695100.98999999</v>
      </c>
      <c r="J7" s="143" t="n">
        <v>67695100.98999999</v>
      </c>
      <c r="K7" s="143" t="n">
        <v>13664539.85</v>
      </c>
      <c r="L7" s="144" t="n">
        <v>0.2018541910738643</v>
      </c>
      <c r="M7" s="75" t="inlineStr">
        <is>
          <t>Calculado com classes reportadas e PL oficial reconciliado</t>
        </is>
      </c>
      <c r="N7" s="144" t="n">
        <v>0.08</v>
      </c>
      <c r="O7" s="144" t="inlineStr">
        <is>
          <t>N/D</t>
        </is>
      </c>
      <c r="P7" s="144" t="inlineStr">
        <is>
          <t>N/D</t>
        </is>
      </c>
      <c r="Q7" s="144" t="inlineStr">
        <is>
          <t>N/D</t>
        </is>
      </c>
      <c r="R7" s="144" t="inlineStr">
        <is>
          <t>N/D</t>
        </is>
      </c>
      <c r="S7" s="144" t="n">
        <v>0.08</v>
      </c>
      <c r="T7" s="75" t="inlineStr">
        <is>
          <t>N/D</t>
        </is>
      </c>
      <c r="U7" s="75" t="inlineStr">
        <is>
          <t>junior_pl</t>
        </is>
      </c>
      <c r="V7" s="75" t="inlineStr">
        <is>
          <t>direto no regulamento</t>
        </is>
      </c>
      <c r="W7" s="75" t="b">
        <v>0</v>
      </c>
      <c r="X7" s="75" t="inlineStr">
        <is>
          <t>Mínimo júnior isolado; a subordinação atual disponível agrega todas as classes subordinadas.</t>
        </is>
      </c>
      <c r="Y7" s="75" t="b">
        <v>0</v>
      </c>
      <c r="Z7" s="144" t="inlineStr">
        <is>
          <t>N/D</t>
        </is>
      </c>
      <c r="AA7" s="144" t="inlineStr">
        <is>
          <t>N/D</t>
        </is>
      </c>
      <c r="AB7" s="75" t="inlineStr">
        <is>
          <t>não medido</t>
        </is>
      </c>
      <c r="AC7" s="75" t="inlineStr">
        <is>
          <t>Financeiro</t>
        </is>
      </c>
      <c r="AD7" s="75" t="inlineStr">
        <is>
          <t>Crédito Pessoal</t>
        </is>
      </c>
      <c r="AE7" s="75" t="inlineStr">
        <is>
          <t>Consignado FGTS</t>
        </is>
      </c>
      <c r="AF7" s="75" t="inlineStr">
        <is>
          <t>Consignado FGTS</t>
        </is>
      </c>
      <c r="AG7" s="75" t="inlineStr">
        <is>
          <t>Consignado INSS e FGTS</t>
        </is>
      </c>
      <c r="AH7" s="75" t="inlineStr">
        <is>
          <t>Consignado INSS e FGTS</t>
        </is>
      </c>
      <c r="AI7" s="75" t="inlineStr">
        <is>
          <t>N/D</t>
        </is>
      </c>
      <c r="AJ7" s="75" t="b">
        <v>0</v>
      </c>
      <c r="AK7" s="75" t="inlineStr">
        <is>
          <t>fora da revisão Financeiro/Agro</t>
        </is>
      </c>
      <c r="AL7" s="75" t="inlineStr">
        <is>
          <t>N/D</t>
        </is>
      </c>
      <c r="AM7" s="75" t="inlineStr">
        <is>
          <t>N/D</t>
        </is>
      </c>
      <c r="AN7" s="75" t="inlineStr">
        <is>
          <t>N/D</t>
        </is>
      </c>
      <c r="AO7" s="75" t="inlineStr">
        <is>
          <t>N/D</t>
        </is>
      </c>
      <c r="AP7" s="75" t="inlineStr">
        <is>
          <t>N/D</t>
        </is>
      </c>
      <c r="AQ7" s="75" t="inlineStr">
        <is>
          <t>Consignado INSS e FGTS</t>
        </is>
      </c>
      <c r="AR7" s="75" t="inlineStr">
        <is>
          <t>Consignado INSS e FGTS</t>
        </is>
      </c>
      <c r="AS7" s="75" t="b">
        <v>0</v>
      </c>
      <c r="AT7" s="75" t="inlineStr">
        <is>
          <t>N/D</t>
        </is>
      </c>
      <c r="AU7" s="75" t="inlineStr">
        <is>
          <t>N/D</t>
        </is>
      </c>
      <c r="AV7" s="75" t="inlineStr">
        <is>
          <t>20%–35%</t>
        </is>
      </c>
      <c r="AW7" s="75" t="b">
        <v>1</v>
      </c>
      <c r="AX7" s="75" t="inlineStr">
        <is>
          <t>incomparável</t>
        </is>
      </c>
      <c r="AY7" s="75" t="inlineStr">
        <is>
          <t>em linha com o mercado</t>
        </is>
      </c>
      <c r="AZ7" s="144" t="n">
        <v>0.01907474991437383</v>
      </c>
      <c r="BA7" s="75" t="b">
        <v>1</v>
      </c>
      <c r="BB7" s="145" t="n">
        <v>5</v>
      </c>
      <c r="BC7" s="143" t="n">
        <v>1000</v>
      </c>
      <c r="BD7" s="75" t="inlineStr">
        <is>
          <t>Cotas Seniores: R$ 1.000,00 | Cotas Subordinadas Junior: R$ 1.000,00 | Cotas Subordinadas Mezanino: R$ 1.000,00</t>
        </is>
      </c>
      <c r="BE7" s="75" t="inlineStr">
        <is>
          <t>preço/valor unitário de emissão</t>
        </is>
      </c>
      <c r="BF7" s="75" t="inlineStr">
        <is>
          <t>Cotas Seniores | Cotas Subordinadas Junior | Cotas Subordinadas Mezanino</t>
        </is>
      </c>
      <c r="BG7" s="75" t="inlineStr">
        <is>
          <t>06/03/2024</t>
        </is>
      </c>
      <c r="BH7" s="75" t="inlineStr">
        <is>
          <t>617093</t>
        </is>
      </c>
      <c r="BI7" s="75" t="inlineStr">
        <is>
          <t>https://fnet.bmfbovespa.com.br/fnet/publico/downloadDocumento?id=617093</t>
        </is>
      </c>
      <c r="BJ7" s="75" t="inlineStr">
        <is>
          <t>localizado documentalmente — múltiplos valores/classes</t>
        </is>
      </c>
      <c r="BK7" s="75" t="b">
        <v>1</v>
      </c>
      <c r="BL7" s="75" t="inlineStr">
        <is>
          <t>QI Tech</t>
        </is>
      </c>
      <c r="BM7" s="75" t="inlineStr">
        <is>
          <t>cedente</t>
        </is>
      </c>
      <c r="BN7" s="75" t="inlineStr">
        <is>
          <t>N/D</t>
        </is>
      </c>
      <c r="BO7" s="75" t="inlineStr">
        <is>
          <t>QI Tech</t>
        </is>
      </c>
      <c r="BP7" s="75" t="inlineStr">
        <is>
          <t>N/D</t>
        </is>
      </c>
      <c r="BQ7" s="75" t="inlineStr">
        <is>
          <t>N/D</t>
        </is>
      </c>
      <c r="BR7" s="75" t="inlineStr">
        <is>
          <t>cedente: IMG_8704.JPG</t>
        </is>
      </c>
      <c r="BS7" s="75" t="inlineStr">
        <is>
          <t>manual_aplicado</t>
        </is>
      </c>
      <c r="BT7" s="75" t="inlineStr">
        <is>
          <t>N/D</t>
        </is>
      </c>
      <c r="BU7" s="75" t="inlineStr">
        <is>
          <t>881263</t>
        </is>
      </c>
      <c r="BV7" s="75" t="inlineStr">
        <is>
          <t>2025-04-03</t>
        </is>
      </c>
      <c r="BW7" s="75" t="inlineStr">
        <is>
          <t>14</t>
        </is>
      </c>
      <c r="BX7" s="75" t="inlineStr">
        <is>
          <t>revisto — mínimo júnior localizado</t>
        </is>
      </c>
      <c r="BY7" s="75" t="inlineStr">
        <is>
          <t>FundosNet/B3; documento 881263; referência 2025-04-03; p. 14</t>
        </is>
      </c>
      <c r="BZ7" s="75" t="inlineStr">
        <is>
          <t>Índice de Subordinação Mezanino: cotas júnior / PL, mínimo de 8,0%.</t>
        </is>
      </c>
      <c r="CA7" s="75" t="inlineStr">
        <is>
          <t>originador; sacado/devedor; tipo de recebível</t>
        </is>
      </c>
      <c r="CB7" s="75" t="inlineStr">
        <is>
          <t>estrutura_incomparavel</t>
        </is>
      </c>
    </row>
    <row r="8" ht="31.5" customHeight="1">
      <c r="A8" s="74" t="n">
        <v>4</v>
      </c>
      <c r="B8" s="138" t="n">
        <v>52968533000165</v>
      </c>
      <c r="C8" s="74" t="inlineStr">
        <is>
          <t>52.968.533/0001-65</t>
        </is>
      </c>
      <c r="D8" s="74" t="inlineStr">
        <is>
          <t>MCPO FUNDO DE INVESTIMENTO EM DIREITOS CREDITÓRIOS</t>
        </is>
      </c>
      <c r="E8" s="74" t="inlineStr">
        <is>
          <t>MCPO FUNDO DE INVESTIMENTO EM DIREITOS CREDITORIO</t>
        </is>
      </c>
      <c r="F8" s="74" t="inlineStr">
        <is>
          <t>Carteira 101</t>
        </is>
      </c>
      <c r="G8" s="74" t="inlineStr">
        <is>
          <t>2026-08</t>
        </is>
      </c>
      <c r="H8" s="74" t="inlineStr">
        <is>
          <t>localizado</t>
        </is>
      </c>
      <c r="I8" s="139" t="n">
        <v>102271218.36</v>
      </c>
      <c r="J8" s="139" t="n">
        <v>102271218.3603658</v>
      </c>
      <c r="K8" s="139" t="n">
        <v>0</v>
      </c>
      <c r="L8" s="140" t="n">
        <v>0</v>
      </c>
      <c r="M8" s="74" t="inlineStr">
        <is>
          <t>Calculado com classes reportadas e PL oficial reconciliado</t>
        </is>
      </c>
      <c r="N8" s="140" t="inlineStr">
        <is>
          <t>N/D</t>
        </is>
      </c>
      <c r="O8" s="140" t="inlineStr">
        <is>
          <t>N/D</t>
        </is>
      </c>
      <c r="P8" s="140" t="inlineStr">
        <is>
          <t>N/D</t>
        </is>
      </c>
      <c r="Q8" s="140" t="n">
        <v>0.2</v>
      </c>
      <c r="R8" s="140" t="inlineStr">
        <is>
          <t>N/D</t>
        </is>
      </c>
      <c r="S8" s="140" t="n">
        <v>0.2</v>
      </c>
      <c r="T8" s="74" t="inlineStr">
        <is>
          <t>20,0%*</t>
        </is>
      </c>
      <c r="U8" s="74" t="inlineStr">
        <is>
          <t>suporte_total_pl</t>
        </is>
      </c>
      <c r="V8" s="74" t="inlineStr">
        <is>
          <t>direto no regulamento</t>
        </is>
      </c>
      <c r="W8" s="74" t="b">
        <v>1</v>
      </c>
      <c r="X8" s="74" t="inlineStr">
        <is>
          <t>Suporte total ou combinado; não representa mínimo júnior isolado.</t>
        </is>
      </c>
      <c r="Y8" s="74" t="b">
        <v>1</v>
      </c>
      <c r="Z8" s="140" t="n">
        <v>-0.2</v>
      </c>
      <c r="AA8" s="140" t="n">
        <v>-0.25</v>
      </c>
      <c r="AB8" s="74" t="inlineStr">
        <is>
          <t>abaixo do mínimo</t>
        </is>
      </c>
      <c r="AC8" s="74" t="inlineStr">
        <is>
          <t>Financeiro</t>
        </is>
      </c>
      <c r="AD8" s="74" t="inlineStr">
        <is>
          <t>Multicarteira Financeiro</t>
        </is>
      </c>
      <c r="AE8" s="74" t="inlineStr">
        <is>
          <t>Financeiro</t>
        </is>
      </c>
      <c r="AF8" s="74" t="inlineStr">
        <is>
          <t>Financeiro</t>
        </is>
      </c>
      <c r="AG8" s="74" t="inlineStr">
        <is>
          <t>Financeiro</t>
        </is>
      </c>
      <c r="AH8" s="74" t="inlineStr">
        <is>
          <t>Agro / Revenda</t>
        </is>
      </c>
      <c r="AI8" s="74" t="inlineStr">
        <is>
          <t>Máquinas e implementos agrícolas, vendas e serviços performados</t>
        </is>
      </c>
      <c r="AJ8" s="74" t="b">
        <v>1</v>
      </c>
      <c r="AK8" s="74" t="inlineStr">
        <is>
          <t>APLICAR_ALTA</t>
        </is>
      </c>
      <c r="AL8" s="74" t="inlineStr">
        <is>
          <t>Maqcampo cede vendas e serviços a clientes da cadeia agro</t>
        </is>
      </c>
      <c r="AM8" s="74" t="inlineStr">
        <is>
          <t>regulamento 994391, 106 páginas</t>
        </is>
      </c>
      <c r="AN8" s="74" t="inlineStr">
        <is>
          <t>Não</t>
        </is>
      </c>
      <c r="AO8" s="74" t="inlineStr">
        <is>
          <t>regulamento 994391, 106 páginas</t>
        </is>
      </c>
      <c r="AP8" s="74" t="b">
        <v>0</v>
      </c>
      <c r="AQ8" s="74" t="inlineStr">
        <is>
          <t>Agro / Revenda</t>
        </is>
      </c>
      <c r="AR8" s="74" t="inlineStr">
        <is>
          <t>Financeiro</t>
        </is>
      </c>
      <c r="AS8" s="74" t="b">
        <v>1</v>
      </c>
      <c r="AT8" s="74" t="inlineStr">
        <is>
          <t>regulamento 994391, 106 páginas</t>
        </is>
      </c>
      <c r="AU8" s="74" t="inlineStr">
        <is>
          <t>Maqcampo cede vendas e serviços a clientes da cadeia agro</t>
        </is>
      </c>
      <c r="AV8" s="74" t="inlineStr">
        <is>
          <t>&lt; 10%</t>
        </is>
      </c>
      <c r="AW8" s="74" t="b">
        <v>1</v>
      </c>
      <c r="AX8" s="74" t="inlineStr">
        <is>
          <t>abaixo do piso</t>
        </is>
      </c>
      <c r="AY8" s="74" t="inlineStr">
        <is>
          <t>abaixo do mercado</t>
        </is>
      </c>
      <c r="AZ8" s="140" t="n">
        <v>-0.3061937806964842</v>
      </c>
      <c r="BA8" s="74" t="b">
        <v>1</v>
      </c>
      <c r="BB8" s="141" t="n">
        <v>12</v>
      </c>
      <c r="BC8" s="139" t="n">
        <v>1000</v>
      </c>
      <c r="BD8" s="74" t="inlineStr">
        <is>
          <t>Cotas Subordinadas: R$1.000,00 | Cotas Subordinadas Júnior: R$1.000,00 | R$1.000,00</t>
        </is>
      </c>
      <c r="BE8" s="74" t="inlineStr">
        <is>
          <t>preço/valor unitário de emissão</t>
        </is>
      </c>
      <c r="BF8" s="74" t="inlineStr">
        <is>
          <t>Cotas Subordinadas | Cotas Subordinadas Júnior</t>
        </is>
      </c>
      <c r="BG8" s="74" t="inlineStr">
        <is>
          <t>14/10/2025</t>
        </is>
      </c>
      <c r="BH8" s="74" t="inlineStr">
        <is>
          <t>1049185</t>
        </is>
      </c>
      <c r="BI8" s="74" t="inlineStr">
        <is>
          <t>https://fnet.bmfbovespa.com.br/fnet/publico/downloadDocumento?id=1049185</t>
        </is>
      </c>
      <c r="BJ8" s="74" t="inlineStr">
        <is>
          <t>localizado documentalmente — múltiplos valores/classes</t>
        </is>
      </c>
      <c r="BK8" s="74" t="b">
        <v>1</v>
      </c>
      <c r="BL8" s="74" t="inlineStr">
        <is>
          <t>Maqcampo</t>
        </is>
      </c>
      <c r="BM8" s="74" t="inlineStr">
        <is>
          <t>cedente</t>
        </is>
      </c>
      <c r="BN8" s="74" t="inlineStr">
        <is>
          <t>N/D</t>
        </is>
      </c>
      <c r="BO8" s="74" t="inlineStr">
        <is>
          <t>a MAQCAMPO SOLUÇÕES AGRÍCOLAS S.A. , sociedade por ações, com sede na cidade de Brasília, Distrito Federal, no Docusign Envelope ID: 5A498997-5E9C-4FDB-AAA6-D7EDA05D2564</t>
        </is>
      </c>
      <c r="BP8" s="74" t="inlineStr">
        <is>
          <t>qualquer cliente da Cedente cujos Direitos Creditórios venham a ser cedidos ao Fundo, observadas as características e condições descritas neste Anexo Descritivo</t>
        </is>
      </c>
      <c r="BQ8" s="74" t="inlineStr">
        <is>
          <t>os direitos creditórios performados originados da venda a prazo de Bens, assim como da prestação dos Serviços pela Cedente, representados pelos Documentos Comprobatórios, conforme o caso, detidas pela Cedente contra os Devedores</t>
        </is>
      </c>
      <c r="BR8" s="74" t="inlineStr">
        <is>
          <t>cedente: https://fnet.bmfbovespa.com.br/fnet/publico/downloadDocumento?id=1049185 | sacado_devedor: https://fnet.bmfbovespa.com.br/fnet/publico/downloadDocumento?id=1049185 | tipo_recebivel: https://fnet.bmfbovespa.com.br/fnet/publico/downloadDocumento?id=994391</t>
        </is>
      </c>
      <c r="BS8" s="74" t="inlineStr">
        <is>
          <t>manual_aplicado</t>
        </is>
      </c>
      <c r="BT8" s="74" t="inlineStr">
        <is>
          <t>OBS da foto: atrasos elevados; em discussão de possível solução de parcela dos vencidos.</t>
        </is>
      </c>
      <c r="BU8" s="74" t="inlineStr">
        <is>
          <t>1049185</t>
        </is>
      </c>
      <c r="BV8" s="74" t="inlineStr">
        <is>
          <t>2025-10-14</t>
        </is>
      </c>
      <c r="BW8" s="74" t="inlineStr">
        <is>
          <t>72</t>
        </is>
      </c>
      <c r="BX8" s="74" t="inlineStr">
        <is>
          <t>revisto — suporte estrutural total localizado</t>
        </is>
      </c>
      <c r="BY8" s="74" t="inlineStr">
        <is>
          <t>FundosNet/B3; documento 1049185; referência 2025-10-14; p. 72</t>
        </is>
      </c>
      <c r="BZ8" s="74" t="inlineStr">
        <is>
          <t>N/D</t>
        </is>
      </c>
      <c r="CA8" s="74" t="inlineStr">
        <is>
          <t>originador</t>
        </is>
      </c>
      <c r="CB8" s="74" t="inlineStr">
        <is>
          <t>completo_para_folga</t>
        </is>
      </c>
    </row>
    <row r="9" ht="31.5" customHeight="1">
      <c r="A9" s="75" t="n">
        <v>5</v>
      </c>
      <c r="B9" s="142" t="n">
        <v>52100879000147</v>
      </c>
      <c r="C9" s="75" t="inlineStr">
        <is>
          <t>52.100.879/0001-47</t>
        </is>
      </c>
      <c r="D9" s="75" t="inlineStr">
        <is>
          <t>SOTREQ FUNDO DE INVESTIMENTO EM DIREITOS CREDITÓRIOS - RESPONSABILIDADE LIMITADA</t>
        </is>
      </c>
      <c r="E9" s="75" t="inlineStr">
        <is>
          <t>SOTREQ FUNDO DE INVESTIMENTO EM DIREITOS CREDITORIOS</t>
        </is>
      </c>
      <c r="F9" s="75" t="inlineStr">
        <is>
          <t>Carteira 101</t>
        </is>
      </c>
      <c r="G9" s="75" t="inlineStr">
        <is>
          <t>2026-08</t>
        </is>
      </c>
      <c r="H9" s="75" t="inlineStr">
        <is>
          <t>localizado</t>
        </is>
      </c>
      <c r="I9" s="143" t="n">
        <v>214704733.67</v>
      </c>
      <c r="J9" s="143" t="n">
        <v>214087001.1704569</v>
      </c>
      <c r="K9" s="143" t="n">
        <v>53092077.31795698</v>
      </c>
      <c r="L9" s="144" t="n">
        <v>0.2472794912829412</v>
      </c>
      <c r="M9" s="75" t="inlineStr">
        <is>
          <t>Calculado com classes reportadas e PL oficial reconciliado</t>
        </is>
      </c>
      <c r="N9" s="144" t="inlineStr">
        <is>
          <t>N/D</t>
        </is>
      </c>
      <c r="O9" s="144" t="inlineStr">
        <is>
          <t>N/D</t>
        </is>
      </c>
      <c r="P9" s="144" t="inlineStr">
        <is>
          <t>N/D</t>
        </is>
      </c>
      <c r="Q9" s="144" t="n">
        <v>0.25</v>
      </c>
      <c r="R9" s="144" t="inlineStr">
        <is>
          <t>N/D</t>
        </is>
      </c>
      <c r="S9" s="144" t="n">
        <v>0.25</v>
      </c>
      <c r="T9" s="75" t="inlineStr">
        <is>
          <t>25,0%*</t>
        </is>
      </c>
      <c r="U9" s="75" t="inlineStr">
        <is>
          <t>suporte_total_pl</t>
        </is>
      </c>
      <c r="V9" s="75" t="inlineStr">
        <is>
          <t>direto no regulamento</t>
        </is>
      </c>
      <c r="W9" s="75" t="b">
        <v>1</v>
      </c>
      <c r="X9" s="75" t="inlineStr">
        <is>
          <t>Suporte total ou combinado; não representa mínimo júnior isolado.</t>
        </is>
      </c>
      <c r="Y9" s="75" t="b">
        <v>1</v>
      </c>
      <c r="Z9" s="144" t="n">
        <v>-0.002720508717058756</v>
      </c>
      <c r="AA9" s="144" t="n">
        <v>-0.003627344956078341</v>
      </c>
      <c r="AB9" s="75" t="inlineStr">
        <is>
          <t>abaixo do mínimo</t>
        </is>
      </c>
      <c r="AC9" s="75" t="inlineStr">
        <is>
          <t>Financeiro</t>
        </is>
      </c>
      <c r="AD9" s="75" t="inlineStr">
        <is>
          <t>Multicarteira Financeiro</t>
        </is>
      </c>
      <c r="AE9" s="75" t="inlineStr">
        <is>
          <t>Financeiro</t>
        </is>
      </c>
      <c r="AF9" s="75" t="inlineStr">
        <is>
          <t>Financeiro</t>
        </is>
      </c>
      <c r="AG9" s="75" t="inlineStr">
        <is>
          <t>Financeiro</t>
        </is>
      </c>
      <c r="AH9" s="75" t="inlineStr">
        <is>
          <t>Risco Corporativo</t>
        </is>
      </c>
      <c r="AI9" s="75" t="inlineStr">
        <is>
          <t>Equipamentos e serviços, recebíveis comerciais pulverizados</t>
        </is>
      </c>
      <c r="AJ9" s="75" t="b">
        <v>1</v>
      </c>
      <c r="AK9" s="75" t="inlineStr">
        <is>
          <t>APLICAR_ALTA</t>
        </is>
      </c>
      <c r="AL9" s="75" t="inlineStr">
        <is>
          <t>Sotreq e Somov cedem vendas e serviços a clientes empresariais</t>
        </is>
      </c>
      <c r="AM9" s="75" t="inlineStr">
        <is>
          <t>regulamento 1117315, 244 páginas</t>
        </is>
      </c>
      <c r="AN9" s="75" t="inlineStr">
        <is>
          <t>Candidato</t>
        </is>
      </c>
      <c r="AO9" s="75" t="inlineStr">
        <is>
          <t>regulamento 1117315, 244 páginas</t>
        </is>
      </c>
      <c r="AP9" s="75" t="inlineStr">
        <is>
          <t>N/D</t>
        </is>
      </c>
      <c r="AQ9" s="75" t="inlineStr">
        <is>
          <t>Risco Corporativo</t>
        </is>
      </c>
      <c r="AR9" s="75" t="inlineStr">
        <is>
          <t>Financeiro</t>
        </is>
      </c>
      <c r="AS9" s="75" t="b">
        <v>1</v>
      </c>
      <c r="AT9" s="75" t="inlineStr">
        <is>
          <t>regulamento 1117315, 244 páginas</t>
        </is>
      </c>
      <c r="AU9" s="75" t="inlineStr">
        <is>
          <t>Sotreq e Somov cedem vendas e serviços a clientes empresariais</t>
        </is>
      </c>
      <c r="AV9" s="75" t="inlineStr">
        <is>
          <t>20%–35%</t>
        </is>
      </c>
      <c r="AW9" s="75" t="b">
        <v>1</v>
      </c>
      <c r="AX9" s="75" t="inlineStr">
        <is>
          <t>abaixo do piso</t>
        </is>
      </c>
      <c r="AY9" s="75" t="inlineStr">
        <is>
          <t>abaixo do mercado</t>
        </is>
      </c>
      <c r="AZ9" s="144" t="n">
        <v>-0.05891428941354293</v>
      </c>
      <c r="BA9" s="75" t="b">
        <v>1</v>
      </c>
      <c r="BB9" s="145" t="n">
        <v>12</v>
      </c>
      <c r="BC9" s="143" t="n">
        <v>1000</v>
      </c>
      <c r="BD9" s="75" t="inlineStr">
        <is>
          <t>Cotas Subordinadas: R$1.000,00 | Cotas Subordinadas Júnior: R$1.000,00</t>
        </is>
      </c>
      <c r="BE9" s="75" t="inlineStr">
        <is>
          <t>preço/valor unitário de emissão</t>
        </is>
      </c>
      <c r="BF9" s="75" t="inlineStr">
        <is>
          <t>Cotas Subordinadas | Cotas Subordinadas Júnior</t>
        </is>
      </c>
      <c r="BG9" s="75" t="inlineStr">
        <is>
          <t>17/09/2024</t>
        </is>
      </c>
      <c r="BH9" s="75" t="inlineStr">
        <is>
          <t>740367</t>
        </is>
      </c>
      <c r="BI9" s="75" t="inlineStr">
        <is>
          <t>https://fnet.bmfbovespa.com.br/fnet/publico/downloadDocumento?id=740367</t>
        </is>
      </c>
      <c r="BJ9" s="75" t="inlineStr">
        <is>
          <t>localizado documentalmente — múltiplos valores/classes</t>
        </is>
      </c>
      <c r="BK9" s="75" t="b">
        <v>1</v>
      </c>
      <c r="BL9" s="75" t="inlineStr">
        <is>
          <t>Sotreq</t>
        </is>
      </c>
      <c r="BM9" s="75" t="inlineStr">
        <is>
          <t>cedente</t>
        </is>
      </c>
      <c r="BN9" s="75" t="inlineStr">
        <is>
          <t>N/D</t>
        </is>
      </c>
      <c r="BO9" s="75" t="inlineStr">
        <is>
          <t>a Sotreq e a Somov, na qualidade de cedentes de Direitos Creditórios, por meio de sua matriz ou de suas filiais. - 9 -</t>
        </is>
      </c>
      <c r="BP9" s="75" t="inlineStr">
        <is>
          <t>N/D</t>
        </is>
      </c>
      <c r="BQ9" s="75" t="inlineStr">
        <is>
          <t>N/D</t>
        </is>
      </c>
      <c r="BR9" s="75" t="inlineStr">
        <is>
          <t>cedente: https://fnet.bmfbovespa.com.br/fnet/publico/downloadDocumento?id=740367</t>
        </is>
      </c>
      <c r="BS9" s="75" t="inlineStr">
        <is>
          <t>manual_aplicado</t>
        </is>
      </c>
      <c r="BT9" s="75" t="inlineStr">
        <is>
          <t>Denominação cortada pela largura da coluna na foto.</t>
        </is>
      </c>
      <c r="BU9" s="75" t="inlineStr">
        <is>
          <t>1117315</t>
        </is>
      </c>
      <c r="BV9" s="75" t="inlineStr">
        <is>
          <t>2026-02-06</t>
        </is>
      </c>
      <c r="BW9" s="75" t="inlineStr">
        <is>
          <t>49</t>
        </is>
      </c>
      <c r="BX9" s="75" t="inlineStr">
        <is>
          <t>revisto — suporte estrutural total localizado</t>
        </is>
      </c>
      <c r="BY9" s="75" t="inlineStr">
        <is>
          <t>FundosNet/B3; documento 1117315; referência 2026-02-06; p. 49</t>
        </is>
      </c>
      <c r="BZ9" s="75" t="inlineStr">
        <is>
          <t>N/D</t>
        </is>
      </c>
      <c r="CA9" s="75" t="inlineStr">
        <is>
          <t>originador; sacado/devedor; tipo de recebível</t>
        </is>
      </c>
      <c r="CB9" s="75" t="inlineStr">
        <is>
          <t>completo_para_folga</t>
        </is>
      </c>
    </row>
    <row r="10" ht="31.5" customHeight="1">
      <c r="A10" s="74" t="n">
        <v>6</v>
      </c>
      <c r="B10" s="138" t="n">
        <v>53662209000187</v>
      </c>
      <c r="C10" s="74" t="inlineStr">
        <is>
          <t>53.662.209/0001-87</t>
        </is>
      </c>
      <c r="D10" s="74" t="inlineStr">
        <is>
          <t>PNEUCASH FUNDO DE INVESTIMENTO EM DIREITOS CREDITÓRIOS DE CLASSE ÚNICA FECHADA - RESP LTDA</t>
        </is>
      </c>
      <c r="E10" s="74" t="inlineStr">
        <is>
          <t>PNEUCASH FUNDO DE INVESTIMENTO EM DIREITOS CREDITORIOS</t>
        </is>
      </c>
      <c r="F10" s="74" t="inlineStr">
        <is>
          <t>Carteira 101</t>
        </is>
      </c>
      <c r="G10" s="74" t="inlineStr">
        <is>
          <t>2026-08</t>
        </is>
      </c>
      <c r="H10" s="74" t="inlineStr">
        <is>
          <t>localizado</t>
        </is>
      </c>
      <c r="I10" s="139" t="n">
        <v>243523109.81</v>
      </c>
      <c r="J10" s="139" t="n">
        <v>223229399.6670629</v>
      </c>
      <c r="K10" s="139" t="n">
        <v>65236619.2683814</v>
      </c>
      <c r="L10" s="140" t="inlineStr">
        <is>
          <t>N/D</t>
        </is>
      </c>
      <c r="M10" s="74" t="inlineStr">
        <is>
          <t>N/D — PL oficial diverge das classes acima de 0,5%</t>
        </is>
      </c>
      <c r="N10" s="140" t="inlineStr">
        <is>
          <t>N/D</t>
        </is>
      </c>
      <c r="O10" s="140" t="inlineStr">
        <is>
          <t>N/D</t>
        </is>
      </c>
      <c r="P10" s="140" t="inlineStr">
        <is>
          <t>N/D</t>
        </is>
      </c>
      <c r="Q10" s="140" t="n">
        <v>0.2</v>
      </c>
      <c r="R10" s="140" t="inlineStr">
        <is>
          <t>N/D</t>
        </is>
      </c>
      <c r="S10" s="140" t="n">
        <v>0.2</v>
      </c>
      <c r="T10" s="74" t="inlineStr">
        <is>
          <t>20,0%*</t>
        </is>
      </c>
      <c r="U10" s="74" t="inlineStr">
        <is>
          <t>suporte_total_pl</t>
        </is>
      </c>
      <c r="V10" s="74" t="inlineStr">
        <is>
          <t>direto no regulamento</t>
        </is>
      </c>
      <c r="W10" s="74" t="b">
        <v>1</v>
      </c>
      <c r="X10" s="74" t="inlineStr">
        <is>
          <t>Suporte total ou combinado; não representa mínimo júnior isolado.</t>
        </is>
      </c>
      <c r="Y10" s="74" t="b">
        <v>1</v>
      </c>
      <c r="Z10" s="140" t="inlineStr">
        <is>
          <t>N/D</t>
        </is>
      </c>
      <c r="AA10" s="140" t="inlineStr">
        <is>
          <t>N/D</t>
        </is>
      </c>
      <c r="AB10" s="74" t="inlineStr">
        <is>
          <t>não medido</t>
        </is>
      </c>
      <c r="AC10" s="74" t="inlineStr">
        <is>
          <t>Fomento Mercantil</t>
        </is>
      </c>
      <c r="AD10" s="74" t="inlineStr">
        <is>
          <t>Fomento Mercantil</t>
        </is>
      </c>
      <c r="AE10" s="74" t="inlineStr">
        <is>
          <t>Factoring</t>
        </is>
      </c>
      <c r="AF10" s="74" t="inlineStr">
        <is>
          <t>Factoring</t>
        </is>
      </c>
      <c r="AG10" s="74" t="inlineStr">
        <is>
          <t>Factoring</t>
        </is>
      </c>
      <c r="AH10" s="74" t="inlineStr">
        <is>
          <t>Factoring</t>
        </is>
      </c>
      <c r="AI10" s="74" t="inlineStr">
        <is>
          <t>N/D</t>
        </is>
      </c>
      <c r="AJ10" s="74" t="b">
        <v>0</v>
      </c>
      <c r="AK10" s="74" t="inlineStr">
        <is>
          <t>fora da revisão Financeiro/Agro</t>
        </is>
      </c>
      <c r="AL10" s="74" t="inlineStr">
        <is>
          <t>N/D</t>
        </is>
      </c>
      <c r="AM10" s="74" t="inlineStr">
        <is>
          <t>N/D</t>
        </is>
      </c>
      <c r="AN10" s="74" t="inlineStr">
        <is>
          <t>N/D</t>
        </is>
      </c>
      <c r="AO10" s="74" t="inlineStr">
        <is>
          <t>N/D</t>
        </is>
      </c>
      <c r="AP10" s="74" t="inlineStr">
        <is>
          <t>N/D</t>
        </is>
      </c>
      <c r="AQ10" s="74" t="inlineStr">
        <is>
          <t>Factoring</t>
        </is>
      </c>
      <c r="AR10" s="74" t="inlineStr">
        <is>
          <t>Factoring</t>
        </is>
      </c>
      <c r="AS10" s="74" t="b">
        <v>0</v>
      </c>
      <c r="AT10" s="74" t="inlineStr">
        <is>
          <t>N/D</t>
        </is>
      </c>
      <c r="AU10" s="74" t="inlineStr">
        <is>
          <t>N/D</t>
        </is>
      </c>
      <c r="AV10" s="74" t="inlineStr">
        <is>
          <t>N/D</t>
        </is>
      </c>
      <c r="AW10" s="74" t="b">
        <v>0</v>
      </c>
      <c r="AX10" s="74" t="inlineStr">
        <is>
          <t>N/D</t>
        </is>
      </c>
      <c r="AY10" s="74" t="inlineStr">
        <is>
          <t>sem benchmark confiável</t>
        </is>
      </c>
      <c r="AZ10" s="140" t="inlineStr">
        <is>
          <t>N/D</t>
        </is>
      </c>
      <c r="BA10" s="74" t="b">
        <v>0</v>
      </c>
      <c r="BB10" s="141" t="n">
        <v>2</v>
      </c>
      <c r="BC10" s="139" t="n">
        <v>1000</v>
      </c>
      <c r="BD10" s="74" t="inlineStr">
        <is>
          <t>Cotas Subordinadas Junior: R$ 1.000,00 | Cotas Subordinadas Mezanino: R$ 1.000,00 | Série Cotas Seniores: R$ 1.000,00</t>
        </is>
      </c>
      <c r="BE10" s="74" t="inlineStr">
        <is>
          <t>preço/valor unitário de emissão</t>
        </is>
      </c>
      <c r="BF10" s="74" t="inlineStr">
        <is>
          <t>Cotas Subordinadas Junior | Cotas Subordinadas Mezanino | Série Cotas Seniores</t>
        </is>
      </c>
      <c r="BG10" s="74" t="inlineStr">
        <is>
          <t>30/06/2026</t>
        </is>
      </c>
      <c r="BH10" s="74" t="inlineStr">
        <is>
          <t>1239751</t>
        </is>
      </c>
      <c r="BI10" s="74" t="inlineStr">
        <is>
          <t>https://fnet.bmfbovespa.com.br/fnet/publico/downloadDocumento?id=1239751</t>
        </is>
      </c>
      <c r="BJ10" s="74" t="inlineStr">
        <is>
          <t>localizado documentalmente — múltiplos valores/classes</t>
        </is>
      </c>
      <c r="BK10" s="74" t="b">
        <v>1</v>
      </c>
      <c r="BL10" s="74" t="inlineStr">
        <is>
          <t>Cantu Store</t>
        </is>
      </c>
      <c r="BM10" s="74" t="inlineStr">
        <is>
          <t>cedente</t>
        </is>
      </c>
      <c r="BN10" s="74" t="inlineStr">
        <is>
          <t>N/D</t>
        </is>
      </c>
      <c r="BO10" s="74" t="inlineStr">
        <is>
          <t>Cantu Store</t>
        </is>
      </c>
      <c r="BP10" s="74" t="inlineStr">
        <is>
          <t>os devedores (sacados), pessoas físicas ou jurídicas, que tenham estabelecido relação de consumo dos Direitos Creditórios com as Cedentes</t>
        </is>
      </c>
      <c r="BQ10" s="74" t="inlineStr">
        <is>
          <t>N/D</t>
        </is>
      </c>
      <c r="BR10" s="74" t="inlineStr">
        <is>
          <t>cedente: IMG_8704.JPG | sacado_devedor: https://fnet.bmfbovespa.com.br/fnet/publico/downloadDocumento?id=1239751</t>
        </is>
      </c>
      <c r="BS10" s="74" t="inlineStr">
        <is>
          <t>manual_aplicado</t>
        </is>
      </c>
      <c r="BT10" s="74" t="inlineStr">
        <is>
          <t>OBS da foto: FIDC pulverizado com 20% de subordinação e baixa inadimplência.</t>
        </is>
      </c>
      <c r="BU10" s="74" t="inlineStr">
        <is>
          <t>1239751</t>
        </is>
      </c>
      <c r="BV10" s="74" t="inlineStr">
        <is>
          <t>2026-06-30</t>
        </is>
      </c>
      <c r="BW10" s="74" t="inlineStr">
        <is>
          <t>49</t>
        </is>
      </c>
      <c r="BX10" s="74" t="inlineStr">
        <is>
          <t>revisto — suporte estrutural total localizado</t>
        </is>
      </c>
      <c r="BY10" s="74" t="inlineStr">
        <is>
          <t>FundosNet/B3; documento 1239751; referência 2026-06-30; p. 49</t>
        </is>
      </c>
      <c r="BZ10" s="74" t="inlineStr">
        <is>
          <t>N/D</t>
        </is>
      </c>
      <c r="CA10" s="74" t="inlineStr">
        <is>
          <t>Sub/PL atual; originador; tipo de recebível</t>
        </is>
      </c>
      <c r="CB10" s="74" t="inlineStr">
        <is>
          <t>sub_pl_atual_ausente</t>
        </is>
      </c>
    </row>
    <row r="11" ht="31.5" customHeight="1">
      <c r="A11" s="75" t="n">
        <v>7</v>
      </c>
      <c r="B11" s="142" t="n">
        <v>53577135000180</v>
      </c>
      <c r="C11" s="75" t="inlineStr">
        <is>
          <t>53.577.135/0001-80</t>
        </is>
      </c>
      <c r="D11" s="75" t="inlineStr">
        <is>
          <t>ANGÁ FGTS II FUNDO DE INVESTIMENTO EM DIREITOS CREDITÓRIOS - RESPONSABILIDADE LIMITADA</t>
        </is>
      </c>
      <c r="E11" s="75" t="inlineStr">
        <is>
          <t>ANGA FGTS II FUNDO DE INVESTIMENTO EM DIREITOS CR</t>
        </is>
      </c>
      <c r="F11" s="75" t="inlineStr">
        <is>
          <t>Carteira 101</t>
        </is>
      </c>
      <c r="G11" s="75" t="inlineStr">
        <is>
          <t>2026-08</t>
        </is>
      </c>
      <c r="H11" s="75" t="inlineStr">
        <is>
          <t>localizado</t>
        </is>
      </c>
      <c r="I11" s="143" t="n">
        <v>236600544.72</v>
      </c>
      <c r="J11" s="143" t="n">
        <v>236600544.7212134</v>
      </c>
      <c r="K11" s="143" t="n">
        <v>56750307.62844241</v>
      </c>
      <c r="L11" s="144" t="n">
        <v>0.2398570455347107</v>
      </c>
      <c r="M11" s="75" t="inlineStr">
        <is>
          <t>Calculado com classes reportadas e PL oficial reconciliado</t>
        </is>
      </c>
      <c r="N11" s="144" t="n">
        <v>0.15</v>
      </c>
      <c r="O11" s="144" t="inlineStr">
        <is>
          <t>N/D</t>
        </is>
      </c>
      <c r="P11" s="144" t="inlineStr">
        <is>
          <t>N/D</t>
        </is>
      </c>
      <c r="Q11" s="144" t="inlineStr">
        <is>
          <t>N/D</t>
        </is>
      </c>
      <c r="R11" s="144" t="inlineStr">
        <is>
          <t>N/D</t>
        </is>
      </c>
      <c r="S11" s="144" t="n">
        <v>0.15</v>
      </c>
      <c r="T11" s="75" t="inlineStr">
        <is>
          <t>N/D</t>
        </is>
      </c>
      <c r="U11" s="75" t="inlineStr">
        <is>
          <t>junior_pl</t>
        </is>
      </c>
      <c r="V11" s="75" t="inlineStr">
        <is>
          <t>direto no regulamento</t>
        </is>
      </c>
      <c r="W11" s="75" t="b">
        <v>0</v>
      </c>
      <c r="X11" s="75" t="inlineStr">
        <is>
          <t>Mínimo júnior isolado; a subordinação atual disponível agrega todas as classes subordinadas.</t>
        </is>
      </c>
      <c r="Y11" s="75" t="b">
        <v>0</v>
      </c>
      <c r="Z11" s="144" t="inlineStr">
        <is>
          <t>N/D</t>
        </is>
      </c>
      <c r="AA11" s="144" t="inlineStr">
        <is>
          <t>N/D</t>
        </is>
      </c>
      <c r="AB11" s="75" t="inlineStr">
        <is>
          <t>não medido</t>
        </is>
      </c>
      <c r="AC11" s="75" t="inlineStr">
        <is>
          <t>Financeiro</t>
        </is>
      </c>
      <c r="AD11" s="75" t="inlineStr">
        <is>
          <t>Crédito Pessoal</t>
        </is>
      </c>
      <c r="AE11" s="75" t="inlineStr">
        <is>
          <t>Consignado FGTS</t>
        </is>
      </c>
      <c r="AF11" s="75" t="inlineStr">
        <is>
          <t>Consignado FGTS</t>
        </is>
      </c>
      <c r="AG11" s="75" t="inlineStr">
        <is>
          <t>Consignado INSS e FGTS</t>
        </is>
      </c>
      <c r="AH11" s="75" t="inlineStr">
        <is>
          <t>Consignado INSS e FGTS</t>
        </is>
      </c>
      <c r="AI11" s="75" t="inlineStr">
        <is>
          <t>N/D</t>
        </is>
      </c>
      <c r="AJ11" s="75" t="b">
        <v>0</v>
      </c>
      <c r="AK11" s="75" t="inlineStr">
        <is>
          <t>fora da revisão Financeiro/Agro</t>
        </is>
      </c>
      <c r="AL11" s="75" t="inlineStr">
        <is>
          <t>N/D</t>
        </is>
      </c>
      <c r="AM11" s="75" t="inlineStr">
        <is>
          <t>N/D</t>
        </is>
      </c>
      <c r="AN11" s="75" t="inlineStr">
        <is>
          <t>N/D</t>
        </is>
      </c>
      <c r="AO11" s="75" t="inlineStr">
        <is>
          <t>N/D</t>
        </is>
      </c>
      <c r="AP11" s="75" t="inlineStr">
        <is>
          <t>N/D</t>
        </is>
      </c>
      <c r="AQ11" s="75" t="inlineStr">
        <is>
          <t>Consignado INSS e FGTS</t>
        </is>
      </c>
      <c r="AR11" s="75" t="inlineStr">
        <is>
          <t>Consignado INSS e FGTS</t>
        </is>
      </c>
      <c r="AS11" s="75" t="b">
        <v>0</v>
      </c>
      <c r="AT11" s="75" t="inlineStr">
        <is>
          <t>N/D</t>
        </is>
      </c>
      <c r="AU11" s="75" t="inlineStr">
        <is>
          <t>N/D</t>
        </is>
      </c>
      <c r="AV11" s="75" t="inlineStr">
        <is>
          <t>20%–35%</t>
        </is>
      </c>
      <c r="AW11" s="75" t="b">
        <v>1</v>
      </c>
      <c r="AX11" s="75" t="inlineStr">
        <is>
          <t>incomparável</t>
        </is>
      </c>
      <c r="AY11" s="75" t="inlineStr">
        <is>
          <t>acima do mercado</t>
        </is>
      </c>
      <c r="AZ11" s="144" t="n">
        <v>0.0570776043752203</v>
      </c>
      <c r="BA11" s="75" t="b">
        <v>1</v>
      </c>
      <c r="BB11" s="145" t="n">
        <v>5</v>
      </c>
      <c r="BC11" s="143" t="n">
        <v>1000</v>
      </c>
      <c r="BD11" s="75" t="inlineStr">
        <is>
          <t>Cotas Seniores: R$ 1.000,00 | Cotas Subordinadas Junior: R$ 1.000,00 | Cotas Subordinadas Mezanino: R$ 1.000,00</t>
        </is>
      </c>
      <c r="BE11" s="75" t="inlineStr">
        <is>
          <t>preço/valor unitário de emissão</t>
        </is>
      </c>
      <c r="BF11" s="75" t="inlineStr">
        <is>
          <t>Cotas Seniores | Cotas Subordinadas Junior | Cotas Subordinadas Mezanino</t>
        </is>
      </c>
      <c r="BG11" s="75" t="inlineStr">
        <is>
          <t>18/06/2026</t>
        </is>
      </c>
      <c r="BH11" s="75" t="inlineStr">
        <is>
          <t>1224059</t>
        </is>
      </c>
      <c r="BI11" s="75" t="inlineStr">
        <is>
          <t>https://fnet.bmfbovespa.com.br/fnet/publico/downloadDocumento?id=1224059</t>
        </is>
      </c>
      <c r="BJ11" s="75" t="inlineStr">
        <is>
          <t>localizado documentalmente — múltiplos valores/classes</t>
        </is>
      </c>
      <c r="BK11" s="75" t="b">
        <v>1</v>
      </c>
      <c r="BL11" s="75" t="inlineStr">
        <is>
          <t>QI Tech</t>
        </is>
      </c>
      <c r="BM11" s="75" t="inlineStr">
        <is>
          <t>cedente</t>
        </is>
      </c>
      <c r="BN11" s="75" t="inlineStr">
        <is>
          <t>N/D</t>
        </is>
      </c>
      <c r="BO11" s="75" t="inlineStr">
        <is>
          <t>QI Tech</t>
        </is>
      </c>
      <c r="BP11" s="75" t="inlineStr">
        <is>
          <t>N/D</t>
        </is>
      </c>
      <c r="BQ11" s="75" t="inlineStr">
        <is>
          <t>Crédito FGTS</t>
        </is>
      </c>
      <c r="BR11" s="75" t="inlineStr">
        <is>
          <t>cedente: IMG_8704.JPG | tipo_recebivel: IMG_8704.JPG</t>
        </is>
      </c>
      <c r="BS11" s="75" t="inlineStr">
        <is>
          <t>manual_aplicado</t>
        </is>
      </c>
      <c r="BT11" s="75" t="inlineStr">
        <is>
          <t>Denominação cortada pela largura da coluna na foto.</t>
        </is>
      </c>
      <c r="BU11" s="75" t="inlineStr">
        <is>
          <t>1224059</t>
        </is>
      </c>
      <c r="BV11" s="75" t="inlineStr">
        <is>
          <t>2026-06-18</t>
        </is>
      </c>
      <c r="BW11" s="75" t="inlineStr">
        <is>
          <t>17</t>
        </is>
      </c>
      <c r="BX11" s="75" t="inlineStr">
        <is>
          <t>revisto — mínimo júnior localizado</t>
        </is>
      </c>
      <c r="BY11" s="75" t="inlineStr">
        <is>
          <t>FundosNet/B3; documento 1224059; referência 2026-06-18; p. 17</t>
        </is>
      </c>
      <c r="BZ11" s="75" t="inlineStr">
        <is>
          <t>Índice de Subordinação Mezanino: cotas júnior / PL, mínimo de 15,0%.</t>
        </is>
      </c>
      <c r="CA11" s="75" t="inlineStr">
        <is>
          <t>originador; sacado/devedor</t>
        </is>
      </c>
      <c r="CB11" s="75" t="inlineStr">
        <is>
          <t>estrutura_incomparavel</t>
        </is>
      </c>
    </row>
    <row r="12" ht="31.5" customHeight="1">
      <c r="A12" s="74" t="n">
        <v>8</v>
      </c>
      <c r="B12" s="138" t="n">
        <v>62626887000185</v>
      </c>
      <c r="C12" s="74" t="inlineStr">
        <is>
          <t>62.626.887/0001-85</t>
        </is>
      </c>
      <c r="D12" s="74" t="inlineStr">
        <is>
          <t>SUMUP SMART IV FIDC SEGMENTO MEIOS DE PAGAMENTO DE RESPONSABILIDADE LIMITADA</t>
        </is>
      </c>
      <c r="E12" s="74" t="inlineStr">
        <is>
          <t>TOP 2025 C FIDC RESP LTDA</t>
        </is>
      </c>
      <c r="F12" s="74" t="inlineStr">
        <is>
          <t>Carteira 101</t>
        </is>
      </c>
      <c r="G12" s="74" t="inlineStr">
        <is>
          <t>2026-08</t>
        </is>
      </c>
      <c r="H12" s="74" t="inlineStr">
        <is>
          <t>localizado</t>
        </is>
      </c>
      <c r="I12" s="139" t="n">
        <v>358462032.54</v>
      </c>
      <c r="J12" s="139" t="n">
        <v>358462032.547115</v>
      </c>
      <c r="K12" s="139" t="n">
        <v>15864230.86962</v>
      </c>
      <c r="L12" s="140" t="n">
        <v>0.04425637704838306</v>
      </c>
      <c r="M12" s="74" t="inlineStr">
        <is>
          <t>Calculado com classes reportadas e PL oficial reconciliado</t>
        </is>
      </c>
      <c r="N12" s="140" t="n">
        <v>0.029</v>
      </c>
      <c r="O12" s="140" t="inlineStr">
        <is>
          <t>N/D</t>
        </is>
      </c>
      <c r="P12" s="140" t="inlineStr">
        <is>
          <t>N/D</t>
        </is>
      </c>
      <c r="Q12" s="140" t="inlineStr">
        <is>
          <t>N/D</t>
        </is>
      </c>
      <c r="R12" s="140" t="inlineStr">
        <is>
          <t>N/D</t>
        </is>
      </c>
      <c r="S12" s="140" t="n">
        <v>0.029</v>
      </c>
      <c r="T12" s="74" t="inlineStr">
        <is>
          <t>N/D</t>
        </is>
      </c>
      <c r="U12" s="74" t="inlineStr">
        <is>
          <t>junior_pl</t>
        </is>
      </c>
      <c r="V12" s="74" t="inlineStr">
        <is>
          <t>direto no regulamento</t>
        </is>
      </c>
      <c r="W12" s="74" t="b">
        <v>0</v>
      </c>
      <c r="X12" s="74" t="inlineStr">
        <is>
          <t>Mínimo júnior isolado; a subordinação atual disponível agrega todas as classes subordinadas.</t>
        </is>
      </c>
      <c r="Y12" s="74" t="b">
        <v>0</v>
      </c>
      <c r="Z12" s="140" t="inlineStr">
        <is>
          <t>N/D</t>
        </is>
      </c>
      <c r="AA12" s="140" t="inlineStr">
        <is>
          <t>N/D</t>
        </is>
      </c>
      <c r="AB12" s="74" t="inlineStr">
        <is>
          <t>não medido</t>
        </is>
      </c>
      <c r="AC12" s="74" t="inlineStr">
        <is>
          <t>Agro, Indústria e Comércio</t>
        </is>
      </c>
      <c r="AD12" s="74" t="inlineStr">
        <is>
          <t>Recebíveis Comerciais</t>
        </is>
      </c>
      <c r="AE12" s="74" t="inlineStr">
        <is>
          <t>Agro / Revenda</t>
        </is>
      </c>
      <c r="AF12" s="74" t="inlineStr">
        <is>
          <t>Agro / Revenda</t>
        </is>
      </c>
      <c r="AG12" s="74" t="inlineStr">
        <is>
          <t>Adquirência</t>
        </is>
      </c>
      <c r="AH12" s="74" t="inlineStr">
        <is>
          <t>Adquirência</t>
        </is>
      </c>
      <c r="AI12" s="74" t="inlineStr">
        <is>
          <t>N/D</t>
        </is>
      </c>
      <c r="AJ12" s="74" t="b">
        <v>0</v>
      </c>
      <c r="AK12" s="74" t="inlineStr">
        <is>
          <t>fora da revisão Financeiro/Agro</t>
        </is>
      </c>
      <c r="AL12" s="74" t="inlineStr">
        <is>
          <t>N/D</t>
        </is>
      </c>
      <c r="AM12" s="74" t="inlineStr">
        <is>
          <t>N/D</t>
        </is>
      </c>
      <c r="AN12" s="74" t="inlineStr">
        <is>
          <t>N/D</t>
        </is>
      </c>
      <c r="AO12" s="74" t="inlineStr">
        <is>
          <t>N/D</t>
        </is>
      </c>
      <c r="AP12" s="74" t="inlineStr">
        <is>
          <t>N/D</t>
        </is>
      </c>
      <c r="AQ12" s="74" t="inlineStr">
        <is>
          <t>Adquirência</t>
        </is>
      </c>
      <c r="AR12" s="74" t="inlineStr">
        <is>
          <t>Agro / Revenda</t>
        </is>
      </c>
      <c r="AS12" s="74" t="b">
        <v>1</v>
      </c>
      <c r="AT12" s="74" t="inlineStr">
        <is>
          <t>FundosNet/B3 doc. 1152823, p. 93; IMG_8704.JPG</t>
        </is>
      </c>
      <c r="AU12" s="74" t="inlineStr">
        <is>
          <t>Transações com instrumentos de pagamento operacionalizadas pelo Sistema SumUp; devedores são os emissores.</t>
        </is>
      </c>
      <c r="AV12" s="74" t="inlineStr">
        <is>
          <t>&lt; 10%</t>
        </is>
      </c>
      <c r="AW12" s="74" t="b">
        <v>1</v>
      </c>
      <c r="AX12" s="74" t="inlineStr">
        <is>
          <t>incomparável</t>
        </is>
      </c>
      <c r="AY12" s="74" t="inlineStr">
        <is>
          <t>sem benchmark confiável</t>
        </is>
      </c>
      <c r="AZ12" s="140" t="inlineStr">
        <is>
          <t>N/D</t>
        </is>
      </c>
      <c r="BA12" s="74" t="b">
        <v>0</v>
      </c>
      <c r="BB12" s="141" t="n">
        <v>0</v>
      </c>
      <c r="BC12" s="139" t="n">
        <v>1000</v>
      </c>
      <c r="BD12" s="74" t="inlineStr">
        <is>
          <t>Cotas Seniores: R$1.000,00 | Cotas Subordinadas Junior: R$1.000,00</t>
        </is>
      </c>
      <c r="BE12" s="74" t="inlineStr">
        <is>
          <t>valor nominal unitário (VNU)</t>
        </is>
      </c>
      <c r="BF12" s="74" t="inlineStr">
        <is>
          <t>Cotas Seniores | Cotas Subordinadas Junior</t>
        </is>
      </c>
      <c r="BG12" s="74" t="inlineStr">
        <is>
          <t>2026-03-31</t>
        </is>
      </c>
      <c r="BH12" s="74" t="inlineStr">
        <is>
          <t>1152823</t>
        </is>
      </c>
      <c r="BI12" s="74" t="inlineStr">
        <is>
          <t>https://fnet.bmfbovespa.com.br/fnet/publico/downloadDocumento?id=1152823</t>
        </is>
      </c>
      <c r="BJ12" s="74" t="inlineStr">
        <is>
          <t>localizado documentalmente — múltiplos valores/classes</t>
        </is>
      </c>
      <c r="BK12" s="74" t="b">
        <v>1</v>
      </c>
      <c r="BL12" s="74" t="inlineStr">
        <is>
          <t>Sumup IP</t>
        </is>
      </c>
      <c r="BM12" s="74" t="inlineStr">
        <is>
          <t>cedente</t>
        </is>
      </c>
      <c r="BN12" s="74" t="inlineStr">
        <is>
          <t>N/D</t>
        </is>
      </c>
      <c r="BO12" s="74" t="inlineStr">
        <is>
          <t>a SUMUP INSTITUIÇÃO DE PAGAMENTO BRASIL LTDA., sociedade limitada com sede na Cidade e Estado de São Paulo, na Rua Gilberto Sabino, nº 215, 10º andar, Pinheiros, CEP: 05425-020, inscrita no CNPJ/MF sob o nº 16.668.076/0001-20</t>
        </is>
      </c>
      <c r="BP12" s="74" t="inlineStr">
        <is>
          <t>os Emissores</t>
        </is>
      </c>
      <c r="BQ12" s="74"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BR12" s="74" t="inlineStr">
        <is>
          <t>cedente: https://fnet.bmfbovespa.com.br/fnet/publico/downloadDocumento?id=1152823 | sacado_devedor: https://fnet.bmfbovespa.com.br/fnet/publico/downloadDocumento?id=1152823 | tipo_recebivel: https://fnet.bmfbovespa.com.br/fnet/publico/downloadDocumento?id=1152823</t>
        </is>
      </c>
      <c r="BS12" s="74" t="inlineStr">
        <is>
          <t>manual_aplicado</t>
        </is>
      </c>
      <c r="BT12" s="74" t="inlineStr">
        <is>
          <t>OBS da foto: Risco Banco Emissor Itaú.</t>
        </is>
      </c>
      <c r="BU12" s="74" t="inlineStr">
        <is>
          <t>1152823</t>
        </is>
      </c>
      <c r="BV12" s="74" t="inlineStr">
        <is>
          <t>2026-03-31</t>
        </is>
      </c>
      <c r="BW12" s="74" t="inlineStr">
        <is>
          <t>96</t>
        </is>
      </c>
      <c r="BX12" s="74" t="inlineStr">
        <is>
          <t>revisto — mínimo júnior localizado</t>
        </is>
      </c>
      <c r="BY12" s="74" t="inlineStr">
        <is>
          <t>FundosNet/B3; documento 1152823; referência 2026-03-31; p. 96</t>
        </is>
      </c>
      <c r="BZ12" s="74" t="inlineStr">
        <is>
          <t>Cotas subordinadas júnior / PL, mínimo de 2,90%.</t>
        </is>
      </c>
      <c r="CA12" s="74" t="inlineStr">
        <is>
          <t>originador</t>
        </is>
      </c>
      <c r="CB12" s="74" t="inlineStr">
        <is>
          <t>estrutura_incomparavel</t>
        </is>
      </c>
    </row>
    <row r="13" ht="31.5" customHeight="1">
      <c r="A13" s="75" t="n">
        <v>9</v>
      </c>
      <c r="B13" s="142" t="n">
        <v>50098465000103</v>
      </c>
      <c r="C13" s="75" t="inlineStr">
        <is>
          <t>50.098.465/0001-03</t>
        </is>
      </c>
      <c r="D13" s="75" t="inlineStr">
        <is>
          <t>CHEMICAL XIII - FUNDO DE INVESTIMENTO EM DIREITOS CREDITÓRIOS - INDÚSTRIA PETROQUÍMICA</t>
        </is>
      </c>
      <c r="E13" s="75" t="inlineStr">
        <is>
          <t>CHEMICAL XIII FUNDO DE INVESTIMENTO EM DIREITOS</t>
        </is>
      </c>
      <c r="F13" s="75" t="inlineStr">
        <is>
          <t>Carteira 101</t>
        </is>
      </c>
      <c r="G13" s="75" t="inlineStr">
        <is>
          <t>2026-08</t>
        </is>
      </c>
      <c r="H13" s="75" t="inlineStr">
        <is>
          <t>localizado</t>
        </is>
      </c>
      <c r="I13" s="143" t="inlineStr">
        <is>
          <t>N/D</t>
        </is>
      </c>
      <c r="J13" s="143" t="inlineStr">
        <is>
          <t>N/D</t>
        </is>
      </c>
      <c r="K13" s="143" t="inlineStr">
        <is>
          <t>N/D</t>
        </is>
      </c>
      <c r="L13" s="144" t="inlineStr">
        <is>
          <t>N/D</t>
        </is>
      </c>
      <c r="M13" s="75" t="inlineStr">
        <is>
          <t>PL oficial ausente em 2026-08</t>
        </is>
      </c>
      <c r="N13" s="144" t="inlineStr">
        <is>
          <t>N/D</t>
        </is>
      </c>
      <c r="O13" s="144" t="inlineStr">
        <is>
          <t>N/D</t>
        </is>
      </c>
      <c r="P13" s="144" t="inlineStr">
        <is>
          <t>N/D</t>
        </is>
      </c>
      <c r="Q13" s="144" t="inlineStr">
        <is>
          <t>N/D</t>
        </is>
      </c>
      <c r="R13" s="144" t="n">
        <v>0.092</v>
      </c>
      <c r="S13" s="144" t="n">
        <v>0.092</v>
      </c>
      <c r="T13" s="75" t="inlineStr">
        <is>
          <t>9,2%*</t>
        </is>
      </c>
      <c r="U13" s="75" t="inlineStr">
        <is>
          <t>suporte_combinado_pl</t>
        </is>
      </c>
      <c r="V13" s="75" t="inlineStr">
        <is>
          <t>direto no regulamento</t>
        </is>
      </c>
      <c r="W13" s="75" t="b">
        <v>1</v>
      </c>
      <c r="X13" s="75" t="inlineStr">
        <is>
          <t>Suporte total ou combinado; não representa mínimo júnior isolado.</t>
        </is>
      </c>
      <c r="Y13" s="75" t="b">
        <v>1</v>
      </c>
      <c r="Z13" s="144" t="inlineStr">
        <is>
          <t>N/D</t>
        </is>
      </c>
      <c r="AA13" s="144" t="inlineStr">
        <is>
          <t>N/D</t>
        </is>
      </c>
      <c r="AB13" s="75" t="inlineStr">
        <is>
          <t>não medido</t>
        </is>
      </c>
      <c r="AC13" s="75" t="inlineStr">
        <is>
          <t>Agro, Indústria e Comércio</t>
        </is>
      </c>
      <c r="AD13" s="75" t="inlineStr">
        <is>
          <t>N/D</t>
        </is>
      </c>
      <c r="AE13" s="75" t="inlineStr">
        <is>
          <t>Agro / Revenda</t>
        </is>
      </c>
      <c r="AF13" s="75" t="inlineStr">
        <is>
          <t>Agro / Revenda</t>
        </is>
      </c>
      <c r="AG13" s="75" t="inlineStr">
        <is>
          <t>Agro / Revenda</t>
        </is>
      </c>
      <c r="AH13" s="75" t="inlineStr">
        <is>
          <t>Agro / Revenda</t>
        </is>
      </c>
      <c r="AI13" s="75" t="inlineStr">
        <is>
          <t>Exposição Braskem, lastro específico pendente</t>
        </is>
      </c>
      <c r="AJ13" s="75" t="b">
        <v>0</v>
      </c>
      <c r="AK13" s="75" t="inlineStr">
        <is>
          <t>PENDENTE_TIPO_LASTRO</t>
        </is>
      </c>
      <c r="AL13" s="75" t="inlineStr">
        <is>
          <t>Braskem identificada, sem instrumento ou devedor isolado</t>
        </is>
      </c>
      <c r="AM13" s="75" t="inlineStr">
        <is>
          <t>rating 903310 + regulamento 690567</t>
        </is>
      </c>
      <c r="AN13" s="75" t="inlineStr">
        <is>
          <t>Pendente</t>
        </is>
      </c>
      <c r="AO13" s="75" t="inlineStr">
        <is>
          <t>rating 903310 + regulamento 690567</t>
        </is>
      </c>
      <c r="AP13" s="75" t="inlineStr">
        <is>
          <t>N/D</t>
        </is>
      </c>
      <c r="AQ13" s="75" t="inlineStr">
        <is>
          <t>Agro / Revenda</t>
        </is>
      </c>
      <c r="AR13" s="75" t="inlineStr">
        <is>
          <t>Agro / Revenda</t>
        </is>
      </c>
      <c r="AS13" s="75" t="b">
        <v>0</v>
      </c>
      <c r="AT13" s="75" t="inlineStr">
        <is>
          <t>N/D</t>
        </is>
      </c>
      <c r="AU13" s="75" t="inlineStr">
        <is>
          <t>N/D</t>
        </is>
      </c>
      <c r="AV13" s="75" t="inlineStr">
        <is>
          <t>N/D</t>
        </is>
      </c>
      <c r="AW13" s="75" t="b">
        <v>0</v>
      </c>
      <c r="AX13" s="75" t="inlineStr">
        <is>
          <t>N/D</t>
        </is>
      </c>
      <c r="AY13" s="75" t="inlineStr">
        <is>
          <t>sem benchmark confiável</t>
        </is>
      </c>
      <c r="AZ13" s="144" t="inlineStr">
        <is>
          <t>N/D</t>
        </is>
      </c>
      <c r="BA13" s="75" t="b">
        <v>0</v>
      </c>
      <c r="BB13" s="145" t="n">
        <v>0</v>
      </c>
      <c r="BC13" s="143" t="n">
        <v>1000</v>
      </c>
      <c r="BD13" s="75" t="inlineStr">
        <is>
          <t>R$1.000,00</t>
        </is>
      </c>
      <c r="BE13" s="75" t="inlineStr">
        <is>
          <t>preço/valor unitário de emissão</t>
        </is>
      </c>
      <c r="BF13" s="75" t="inlineStr">
        <is>
          <t>N/D</t>
        </is>
      </c>
      <c r="BG13" s="75" t="inlineStr">
        <is>
          <t>01/07/2024</t>
        </is>
      </c>
      <c r="BH13" s="75" t="inlineStr">
        <is>
          <t>690567</t>
        </is>
      </c>
      <c r="BI13" s="75" t="inlineStr">
        <is>
          <t>https://fnet.bmfbovespa.com.br/fnet/publico/downloadDocumento?id=690567</t>
        </is>
      </c>
      <c r="BJ13" s="75" t="inlineStr">
        <is>
          <t>localizado documentalmente</t>
        </is>
      </c>
      <c r="BK13" s="75" t="b">
        <v>1</v>
      </c>
      <c r="BL13" s="75" t="inlineStr">
        <is>
          <t>Braskem</t>
        </is>
      </c>
      <c r="BM13" s="75" t="inlineStr">
        <is>
          <t>cedente</t>
        </is>
      </c>
      <c r="BN13" s="75" t="inlineStr">
        <is>
          <t>Braskem S .A.</t>
        </is>
      </c>
      <c r="BO13" s="75" t="inlineStr">
        <is>
          <t>Braskem</t>
        </is>
      </c>
      <c r="BP13" s="75" t="inlineStr">
        <is>
          <t>N/D</t>
        </is>
      </c>
      <c r="BQ13" s="75" t="inlineStr">
        <is>
          <t>N/D</t>
        </is>
      </c>
      <c r="BR13" s="75" t="inlineStr">
        <is>
          <t>originador: https://fnet.bmfbovespa.com.br/fnet/publico/downloadDocumento?id=903310 | cedente: IMG_8704.JPG</t>
        </is>
      </c>
      <c r="BS13" s="75" t="inlineStr">
        <is>
          <t>manual_aplicado</t>
        </is>
      </c>
      <c r="BT13" s="75" t="inlineStr">
        <is>
          <t>OBS da foto: baixo nível de inadimplência (0% Over90 nos últimos meses). Denominação cortada.</t>
        </is>
      </c>
      <c r="BU13" s="75" t="inlineStr">
        <is>
          <t>690567</t>
        </is>
      </c>
      <c r="BV13" s="75" t="inlineStr">
        <is>
          <t>2024-07-01</t>
        </is>
      </c>
      <c r="BW13" s="75" t="inlineStr">
        <is>
          <t>15</t>
        </is>
      </c>
      <c r="BX13" s="75" t="inlineStr">
        <is>
          <t>revisto — suporte estrutural total localizado</t>
        </is>
      </c>
      <c r="BY13" s="75" t="inlineStr">
        <is>
          <t>FundosNet/B3; documento 690567; referência 2024-07-01; p. 15</t>
        </is>
      </c>
      <c r="BZ13" s="75" t="inlineStr">
        <is>
          <t>N/D</t>
        </is>
      </c>
      <c r="CA13" s="75" t="inlineStr">
        <is>
          <t>PL atual; Sub/PL atual; sacado/devedor; tipo de recebível</t>
        </is>
      </c>
      <c r="CB13" s="75" t="inlineStr">
        <is>
          <t>sub_pl_atual_ausente</t>
        </is>
      </c>
    </row>
    <row r="14" ht="31.5" customHeight="1">
      <c r="A14" s="74" t="n">
        <v>10</v>
      </c>
      <c r="B14" s="138" t="n">
        <v>48967719000122</v>
      </c>
      <c r="C14" s="74" t="inlineStr">
        <is>
          <t>48.967.719/0001-22</t>
        </is>
      </c>
      <c r="D14" s="74" t="inlineStr">
        <is>
          <t>SOULPAY FUNDO DE INVESTIMENTO EM DIREITOS CREDITÓRIOS</t>
        </is>
      </c>
      <c r="E14" s="74" t="inlineStr">
        <is>
          <t>SOULPAY FIDC</t>
        </is>
      </c>
      <c r="F14" s="74" t="inlineStr">
        <is>
          <t>Carteira 101</t>
        </is>
      </c>
      <c r="G14" s="74" t="inlineStr">
        <is>
          <t>2026-08</t>
        </is>
      </c>
      <c r="H14" s="74" t="inlineStr">
        <is>
          <t>localizado</t>
        </is>
      </c>
      <c r="I14" s="139" t="n">
        <v>109837131.37</v>
      </c>
      <c r="J14" s="139" t="n">
        <v>109837131.369685</v>
      </c>
      <c r="K14" s="139" t="n">
        <v>6088072.399986479</v>
      </c>
      <c r="L14" s="140" t="n">
        <v>0.0554281810172013</v>
      </c>
      <c r="M14" s="74" t="inlineStr">
        <is>
          <t>Calculado com classes reportadas e PL oficial reconciliado</t>
        </is>
      </c>
      <c r="N14" s="140" t="n">
        <v>0.05</v>
      </c>
      <c r="O14" s="140" t="inlineStr">
        <is>
          <t>N/D</t>
        </is>
      </c>
      <c r="P14" s="140" t="inlineStr">
        <is>
          <t>N/D</t>
        </is>
      </c>
      <c r="Q14" s="140" t="n">
        <v>0.05</v>
      </c>
      <c r="R14" s="140" t="inlineStr">
        <is>
          <t>N/D</t>
        </is>
      </c>
      <c r="S14" s="140" t="n">
        <v>0.05</v>
      </c>
      <c r="T14" s="74" t="inlineStr">
        <is>
          <t>5,0%</t>
        </is>
      </c>
      <c r="U14" s="74" t="inlineStr">
        <is>
          <t>junior_pl</t>
        </is>
      </c>
      <c r="V14" s="74" t="inlineStr">
        <is>
          <t>direto no regulamento</t>
        </is>
      </c>
      <c r="W14" s="74" t="b">
        <v>1</v>
      </c>
      <c r="X14" s="74" t="inlineStr">
        <is>
          <t>Estrutura com uma única classe subordinada; métrica atual e piso usam o total subordinado sobre o PL.</t>
        </is>
      </c>
      <c r="Y14" s="74" t="b">
        <v>0</v>
      </c>
      <c r="Z14" s="140" t="n">
        <v>0.005428181017201293</v>
      </c>
      <c r="AA14" s="140" t="n">
        <v>0.00571387475494873</v>
      </c>
      <c r="AB14" s="74" t="inlineStr">
        <is>
          <t>folga estreita</t>
        </is>
      </c>
      <c r="AC14" s="74" t="inlineStr">
        <is>
          <t>Agro, Indústria e Comércio</t>
        </is>
      </c>
      <c r="AD14" s="74" t="inlineStr">
        <is>
          <t>Recebíveis Comerciais</t>
        </is>
      </c>
      <c r="AE14" s="74" t="inlineStr">
        <is>
          <t>Agro / Revenda</t>
        </is>
      </c>
      <c r="AF14" s="74" t="inlineStr">
        <is>
          <t>Agro / Revenda</t>
        </is>
      </c>
      <c r="AG14" s="74" t="inlineStr">
        <is>
          <t>Adquirência</t>
        </is>
      </c>
      <c r="AH14" s="74" t="inlineStr">
        <is>
          <t>Adquirência</t>
        </is>
      </c>
      <c r="AI14" s="74" t="inlineStr">
        <is>
          <t>N/D</t>
        </is>
      </c>
      <c r="AJ14" s="74" t="b">
        <v>0</v>
      </c>
      <c r="AK14" s="74" t="inlineStr">
        <is>
          <t>fora da revisão Financeiro/Agro</t>
        </is>
      </c>
      <c r="AL14" s="74" t="inlineStr">
        <is>
          <t>N/D</t>
        </is>
      </c>
      <c r="AM14" s="74" t="inlineStr">
        <is>
          <t>N/D</t>
        </is>
      </c>
      <c r="AN14" s="74" t="inlineStr">
        <is>
          <t>N/D</t>
        </is>
      </c>
      <c r="AO14" s="74" t="inlineStr">
        <is>
          <t>N/D</t>
        </is>
      </c>
      <c r="AP14" s="74" t="inlineStr">
        <is>
          <t>N/D</t>
        </is>
      </c>
      <c r="AQ14" s="74" t="inlineStr">
        <is>
          <t>Adquirência</t>
        </is>
      </c>
      <c r="AR14" s="74" t="inlineStr">
        <is>
          <t>Agro / Revenda</t>
        </is>
      </c>
      <c r="AS14" s="74" t="b">
        <v>1</v>
      </c>
      <c r="AT14" s="74" t="inlineStr">
        <is>
          <t>FundosNet/B3 doc. 785770, p. 14; IMG_8704.JPG</t>
        </is>
      </c>
      <c r="AU14" s="74" t="inlineStr">
        <is>
          <t>Soulpay atua como subcredenciadora; créditos contra Redecard decorrem de transações com instrumentos de pagamento.</t>
        </is>
      </c>
      <c r="AV14" s="74" t="inlineStr">
        <is>
          <t>&lt; 10%</t>
        </is>
      </c>
      <c r="AW14" s="74" t="b">
        <v>1</v>
      </c>
      <c r="AX14" s="74" t="inlineStr">
        <is>
          <t>até 2 p.p. acima</t>
        </is>
      </c>
      <c r="AY14" s="74" t="inlineStr">
        <is>
          <t>sem benchmark confiável</t>
        </is>
      </c>
      <c r="AZ14" s="140" t="inlineStr">
        <is>
          <t>N/D</t>
        </is>
      </c>
      <c r="BA14" s="74" t="b">
        <v>0</v>
      </c>
      <c r="BB14" s="141" t="n">
        <v>0</v>
      </c>
      <c r="BC14" s="139" t="n">
        <v>1000</v>
      </c>
      <c r="BD14" s="74" t="inlineStr">
        <is>
          <t>Cotas Seniores: R$1.000,00</t>
        </is>
      </c>
      <c r="BE14" s="74" t="inlineStr">
        <is>
          <t>valor nominal unitário (VNU)</t>
        </is>
      </c>
      <c r="BF14" s="74" t="inlineStr">
        <is>
          <t>Cotas Seniores</t>
        </is>
      </c>
      <c r="BG14" s="74" t="inlineStr">
        <is>
          <t>12/04/2023</t>
        </is>
      </c>
      <c r="BH14" s="74" t="inlineStr">
        <is>
          <t>445363</t>
        </is>
      </c>
      <c r="BI14" s="74" t="inlineStr">
        <is>
          <t>https://fnet.bmfbovespa.com.br/fnet/publico/downloadDocumento?id=445363</t>
        </is>
      </c>
      <c r="BJ14" s="74" t="inlineStr">
        <is>
          <t>localizado documentalmente</t>
        </is>
      </c>
      <c r="BK14" s="74" t="b">
        <v>0</v>
      </c>
      <c r="BL14" s="74" t="inlineStr">
        <is>
          <t>Soulpay Soluções de Pagamentos</t>
        </is>
      </c>
      <c r="BM14" s="74" t="inlineStr">
        <is>
          <t>cedente</t>
        </is>
      </c>
      <c r="BN14" s="74" t="inlineStr">
        <is>
          <t>N/D</t>
        </is>
      </c>
      <c r="BO14" s="74" t="inlineStr">
        <is>
          <t>Soulpay Soluções de Pagamentos</t>
        </is>
      </c>
      <c r="BP14" s="74" t="inlineStr">
        <is>
          <t>N/D</t>
        </is>
      </c>
      <c r="BQ14" s="74" t="inlineStr">
        <is>
          <t>N/D</t>
        </is>
      </c>
      <c r="BR14" s="74" t="inlineStr">
        <is>
          <t>cedente: IMG_8704.JPG</t>
        </is>
      </c>
      <c r="BS14" s="74" t="inlineStr">
        <is>
          <t>manual_aplicado</t>
        </is>
      </c>
      <c r="BT14" s="74" t="inlineStr">
        <is>
          <t>OBS da foto: Risco Rede.</t>
        </is>
      </c>
      <c r="BU14" s="74" t="inlineStr">
        <is>
          <t>785770</t>
        </is>
      </c>
      <c r="BV14" s="74" t="inlineStr">
        <is>
          <t>2024-11-22</t>
        </is>
      </c>
      <c r="BW14" s="74" t="inlineStr">
        <is>
          <t>82</t>
        </is>
      </c>
      <c r="BX14" s="74" t="inlineStr">
        <is>
          <t>revisto — mínimo júnior localizado</t>
        </is>
      </c>
      <c r="BY14" s="74" t="inlineStr">
        <is>
          <t>FundosNet/B3; documento 785770; referência 2024-11-22; p. 82</t>
        </is>
      </c>
      <c r="BZ14" s="74" t="inlineStr">
        <is>
          <t>Cotas subordinadas júnior / PL, mínimo de 5,0%.</t>
        </is>
      </c>
      <c r="CA14" s="74" t="inlineStr">
        <is>
          <t>originador; sacado/devedor; tipo de recebível</t>
        </is>
      </c>
      <c r="CB14" s="74" t="inlineStr">
        <is>
          <t>completo_para_folga</t>
        </is>
      </c>
    </row>
    <row r="15" ht="31.5" customHeight="1">
      <c r="A15" s="75" t="n">
        <v>11</v>
      </c>
      <c r="B15" s="142" t="n">
        <v>37645417000111</v>
      </c>
      <c r="C15" s="75" t="inlineStr">
        <is>
          <t>37.645.417/0001-11</t>
        </is>
      </c>
      <c r="D15" s="75" t="inlineStr">
        <is>
          <t>UBYFOL AGRO III FUNDO DE INVESTIMENTO NAS CADEIAS PRODUTIVAS DO AGRONEGÓCIO - RESP LIMITADA</t>
        </is>
      </c>
      <c r="E15" s="75" t="inlineStr">
        <is>
          <t>UBYFOL AGRO FIDC III</t>
        </is>
      </c>
      <c r="F15" s="75" t="inlineStr">
        <is>
          <t>Carteira 101</t>
        </is>
      </c>
      <c r="G15" s="75" t="inlineStr">
        <is>
          <t>2026-08</t>
        </is>
      </c>
      <c r="H15" s="75" t="inlineStr">
        <is>
          <t>localizado</t>
        </is>
      </c>
      <c r="I15" s="143" t="inlineStr">
        <is>
          <t>N/D</t>
        </is>
      </c>
      <c r="J15" s="143" t="inlineStr">
        <is>
          <t>N/D</t>
        </is>
      </c>
      <c r="K15" s="143" t="inlineStr">
        <is>
          <t>N/D</t>
        </is>
      </c>
      <c r="L15" s="144" t="inlineStr">
        <is>
          <t>N/D</t>
        </is>
      </c>
      <c r="M15" s="75" t="inlineStr">
        <is>
          <t>PL oficial ausente em 2026-08</t>
        </is>
      </c>
      <c r="N15" s="144" t="n">
        <v>0.1</v>
      </c>
      <c r="O15" s="144" t="inlineStr">
        <is>
          <t>N/D</t>
        </is>
      </c>
      <c r="P15" s="144" t="inlineStr">
        <is>
          <t>N/D</t>
        </is>
      </c>
      <c r="Q15" s="144" t="inlineStr">
        <is>
          <t>N/D</t>
        </is>
      </c>
      <c r="R15" s="144" t="inlineStr">
        <is>
          <t>N/D</t>
        </is>
      </c>
      <c r="S15" s="144" t="n">
        <v>0.1</v>
      </c>
      <c r="T15" s="75" t="inlineStr">
        <is>
          <t>N/D</t>
        </is>
      </c>
      <c r="U15" s="75" t="inlineStr">
        <is>
          <t>junior_pl</t>
        </is>
      </c>
      <c r="V15" s="75" t="inlineStr">
        <is>
          <t>direto no regulamento</t>
        </is>
      </c>
      <c r="W15" s="75" t="b">
        <v>0</v>
      </c>
      <c r="X15" s="75" t="inlineStr">
        <is>
          <t>Mínimo júnior isolado; a subordinação atual disponível agrega todas as classes subordinadas.</t>
        </is>
      </c>
      <c r="Y15" s="75" t="b">
        <v>0</v>
      </c>
      <c r="Z15" s="144" t="inlineStr">
        <is>
          <t>N/D</t>
        </is>
      </c>
      <c r="AA15" s="144" t="inlineStr">
        <is>
          <t>N/D</t>
        </is>
      </c>
      <c r="AB15" s="75" t="inlineStr">
        <is>
          <t>não medido</t>
        </is>
      </c>
      <c r="AC15" s="75" t="inlineStr">
        <is>
          <t>Agro, Indústria e Comércio</t>
        </is>
      </c>
      <c r="AD15" s="75" t="inlineStr">
        <is>
          <t>Multicarteira Agro, Indústria e Comércio</t>
        </is>
      </c>
      <c r="AE15" s="75" t="inlineStr">
        <is>
          <t>Agro / Revenda</t>
        </is>
      </c>
      <c r="AF15" s="75" t="inlineStr">
        <is>
          <t>Agro / Revenda</t>
        </is>
      </c>
      <c r="AG15" s="75" t="inlineStr">
        <is>
          <t>Agro / Revenda</t>
        </is>
      </c>
      <c r="AH15" s="75" t="inlineStr">
        <is>
          <t>Agro / Revenda</t>
        </is>
      </c>
      <c r="AI15" s="75" t="inlineStr">
        <is>
          <t>Insumos agrícolas, prazo safra</t>
        </is>
      </c>
      <c r="AJ15" s="75" t="b">
        <v>0</v>
      </c>
      <c r="AK15" s="75" t="inlineStr">
        <is>
          <t>MANTER_ALTA</t>
        </is>
      </c>
      <c r="AL15" s="75" t="inlineStr">
        <is>
          <t>Cedente Uby Agroquímica e lastro agro</t>
        </is>
      </c>
      <c r="AM15" s="75" t="inlineStr">
        <is>
          <t>IMG_8704</t>
        </is>
      </c>
      <c r="AN15" s="75" t="inlineStr">
        <is>
          <t>Não</t>
        </is>
      </c>
      <c r="AO15" s="75" t="inlineStr">
        <is>
          <t>IMG_8704</t>
        </is>
      </c>
      <c r="AP15" s="75" t="b">
        <v>0</v>
      </c>
      <c r="AQ15" s="75" t="inlineStr">
        <is>
          <t>Agro / Revenda</t>
        </is>
      </c>
      <c r="AR15" s="75" t="inlineStr">
        <is>
          <t>Agro / Revenda</t>
        </is>
      </c>
      <c r="AS15" s="75" t="b">
        <v>0</v>
      </c>
      <c r="AT15" s="75" t="inlineStr">
        <is>
          <t>N/D</t>
        </is>
      </c>
      <c r="AU15" s="75" t="inlineStr">
        <is>
          <t>N/D</t>
        </is>
      </c>
      <c r="AV15" s="75" t="inlineStr">
        <is>
          <t>N/D</t>
        </is>
      </c>
      <c r="AW15" s="75" t="b">
        <v>0</v>
      </c>
      <c r="AX15" s="75" t="inlineStr">
        <is>
          <t>N/D</t>
        </is>
      </c>
      <c r="AY15" s="75" t="inlineStr">
        <is>
          <t>sem benchmark confiável</t>
        </is>
      </c>
      <c r="AZ15" s="144" t="inlineStr">
        <is>
          <t>N/D</t>
        </is>
      </c>
      <c r="BA15" s="75" t="b">
        <v>0</v>
      </c>
      <c r="BB15" s="145" t="n">
        <v>0</v>
      </c>
      <c r="BC15" s="143" t="inlineStr">
        <is>
          <t>N/D</t>
        </is>
      </c>
      <c r="BD15" s="75" t="inlineStr">
        <is>
          <t>N/D</t>
        </is>
      </c>
      <c r="BE15" s="75" t="inlineStr">
        <is>
          <t>N/D</t>
        </is>
      </c>
      <c r="BF15" s="75" t="inlineStr">
        <is>
          <t>N/D</t>
        </is>
      </c>
      <c r="BG15" s="75" t="inlineStr">
        <is>
          <t>N/D</t>
        </is>
      </c>
      <c r="BH15" s="75" t="inlineStr">
        <is>
          <t>N/D</t>
        </is>
      </c>
      <c r="BI15" s="75" t="inlineStr">
        <is>
          <t>N/D</t>
        </is>
      </c>
      <c r="BJ15" s="75" t="inlineStr">
        <is>
          <t>não localizado</t>
        </is>
      </c>
      <c r="BK15" s="75" t="b">
        <v>0</v>
      </c>
      <c r="BL15" s="75" t="inlineStr">
        <is>
          <t>Ubyfol</t>
        </is>
      </c>
      <c r="BM15" s="75" t="inlineStr">
        <is>
          <t>cedente</t>
        </is>
      </c>
      <c r="BN15" s="75" t="inlineStr">
        <is>
          <t>N/D</t>
        </is>
      </c>
      <c r="BO15" s="75" t="inlineStr">
        <is>
          <t>Uby Agroquímica</t>
        </is>
      </c>
      <c r="BP15" s="75" t="inlineStr">
        <is>
          <t>N/D</t>
        </is>
      </c>
      <c r="BQ15" s="75" t="inlineStr">
        <is>
          <t>Insumos Agrícolas - prazo Safra</t>
        </is>
      </c>
      <c r="BR15" s="75" t="inlineStr">
        <is>
          <t>cedente: https://fnet.bmfbovespa.com.br/fnet/publico/downloadDocumento?id=779236 | tipo_recebivel: IMG_8704.JPG</t>
        </is>
      </c>
      <c r="BS15" s="75" t="inlineStr">
        <is>
          <t>manual_aplicado</t>
        </is>
      </c>
      <c r="BT15" s="75" t="inlineStr">
        <is>
          <t>N/D</t>
        </is>
      </c>
      <c r="BU15" s="75" t="inlineStr">
        <is>
          <t>1016909</t>
        </is>
      </c>
      <c r="BV15" s="75" t="inlineStr">
        <is>
          <t>2025-10-16</t>
        </is>
      </c>
      <c r="BW15" s="75" t="inlineStr">
        <is>
          <t>12</t>
        </is>
      </c>
      <c r="BX15" s="75" t="inlineStr">
        <is>
          <t>revisto — mínimo júnior localizado</t>
        </is>
      </c>
      <c r="BY15" s="75" t="inlineStr">
        <is>
          <t>FundosNet/B3; documento 1016909; referência 2025-10-16; p. 12</t>
        </is>
      </c>
      <c r="BZ15" s="75" t="inlineStr">
        <is>
          <t>Índice de Subordinação Mínima Mezanino: cotas júnior / PL, mínimo de 10,0%.</t>
        </is>
      </c>
      <c r="CA15" s="75" t="inlineStr">
        <is>
          <t>PL atual; Sub/PL atual; preço unitário da cota; originador; sacado/devedor</t>
        </is>
      </c>
      <c r="CB15" s="75" t="inlineStr">
        <is>
          <t>sub_pl_atual_ausente</t>
        </is>
      </c>
    </row>
    <row r="16" ht="31.5" customHeight="1">
      <c r="A16" s="74" t="n">
        <v>12</v>
      </c>
      <c r="B16" s="138" t="n">
        <v>50832746000130</v>
      </c>
      <c r="C16" s="74" t="inlineStr">
        <is>
          <t>50.832.746/0001-30</t>
        </is>
      </c>
      <c r="D16" s="74" t="inlineStr">
        <is>
          <t>BOASAFRA FUNDO DE INVESTIMENTO EM DIREITOS CREDITÓRIOS DO AGRONEGÓCIO RESPONSABILIDADE LIMITADA</t>
        </is>
      </c>
      <c r="E16" s="74" t="inlineStr">
        <is>
          <t>BOASAFRA FIDC DO AGRONEGOCIO</t>
        </is>
      </c>
      <c r="F16" s="74" t="inlineStr">
        <is>
          <t>Carteira 101</t>
        </is>
      </c>
      <c r="G16" s="74" t="inlineStr">
        <is>
          <t>2026-08</t>
        </is>
      </c>
      <c r="H16" s="74" t="inlineStr">
        <is>
          <t>localizado</t>
        </is>
      </c>
      <c r="I16" s="139" t="inlineStr">
        <is>
          <t>N/D</t>
        </is>
      </c>
      <c r="J16" s="139" t="inlineStr">
        <is>
          <t>N/D</t>
        </is>
      </c>
      <c r="K16" s="139" t="inlineStr">
        <is>
          <t>N/D</t>
        </is>
      </c>
      <c r="L16" s="140" t="inlineStr">
        <is>
          <t>N/D</t>
        </is>
      </c>
      <c r="M16" s="74" t="inlineStr">
        <is>
          <t>PL oficial ausente em 2026-08</t>
        </is>
      </c>
      <c r="N16" s="140" t="n">
        <v>0.2</v>
      </c>
      <c r="O16" s="140" t="inlineStr">
        <is>
          <t>N/D</t>
        </is>
      </c>
      <c r="P16" s="140" t="inlineStr">
        <is>
          <t>N/D</t>
        </is>
      </c>
      <c r="Q16" s="140" t="n">
        <v>0.3</v>
      </c>
      <c r="R16" s="140" t="inlineStr">
        <is>
          <t>N/D</t>
        </is>
      </c>
      <c r="S16" s="140" t="n">
        <v>0.3</v>
      </c>
      <c r="T16" s="74" t="inlineStr">
        <is>
          <t>30,0%*</t>
        </is>
      </c>
      <c r="U16" s="74" t="inlineStr">
        <is>
          <t>junior_pl</t>
        </is>
      </c>
      <c r="V16" s="74" t="inlineStr">
        <is>
          <t>direto no regulamento</t>
        </is>
      </c>
      <c r="W16" s="74" t="b">
        <v>0</v>
      </c>
      <c r="X16" s="74" t="inlineStr">
        <is>
          <t>Mínimo júnior isolado; a subordinação atual disponível agrega mais de uma classe subordinada ou usa denominador distinto.</t>
        </is>
      </c>
      <c r="Y16" s="74" t="b">
        <v>0</v>
      </c>
      <c r="Z16" s="140" t="inlineStr">
        <is>
          <t>N/D</t>
        </is>
      </c>
      <c r="AA16" s="140" t="inlineStr">
        <is>
          <t>N/D</t>
        </is>
      </c>
      <c r="AB16" s="74" t="inlineStr">
        <is>
          <t>não medido</t>
        </is>
      </c>
      <c r="AC16" s="74" t="inlineStr">
        <is>
          <t>Agro, Indústria e Comércio</t>
        </is>
      </c>
      <c r="AD16" s="74" t="inlineStr">
        <is>
          <t>N/D</t>
        </is>
      </c>
      <c r="AE16" s="74" t="inlineStr">
        <is>
          <t>Agro / Revenda</t>
        </is>
      </c>
      <c r="AF16" s="74" t="inlineStr">
        <is>
          <t>Agro / Revenda</t>
        </is>
      </c>
      <c r="AG16" s="74" t="inlineStr">
        <is>
          <t>Agro / Revenda</t>
        </is>
      </c>
      <c r="AH16" s="74" t="inlineStr">
        <is>
          <t>Agro / Revenda</t>
        </is>
      </c>
      <c r="AI16" s="74" t="inlineStr">
        <is>
          <t>Insumos agrícolas, prazo safra</t>
        </is>
      </c>
      <c r="AJ16" s="74" t="b">
        <v>0</v>
      </c>
      <c r="AK16" s="74" t="inlineStr">
        <is>
          <t>MANTER_ALTA</t>
        </is>
      </c>
      <c r="AL16" s="74" t="inlineStr">
        <is>
          <t>Cedente Boasafra e lastro agro</t>
        </is>
      </c>
      <c r="AM16" s="74" t="inlineStr">
        <is>
          <t>IMG_8704</t>
        </is>
      </c>
      <c r="AN16" s="74" t="inlineStr">
        <is>
          <t>Não</t>
        </is>
      </c>
      <c r="AO16" s="74" t="inlineStr">
        <is>
          <t>IMG_8704</t>
        </is>
      </c>
      <c r="AP16" s="74" t="b">
        <v>0</v>
      </c>
      <c r="AQ16" s="74" t="inlineStr">
        <is>
          <t>Agro / Revenda</t>
        </is>
      </c>
      <c r="AR16" s="74" t="inlineStr">
        <is>
          <t>Agro / Revenda</t>
        </is>
      </c>
      <c r="AS16" s="74" t="b">
        <v>0</v>
      </c>
      <c r="AT16" s="74" t="inlineStr">
        <is>
          <t>N/D</t>
        </is>
      </c>
      <c r="AU16" s="74" t="inlineStr">
        <is>
          <t>N/D</t>
        </is>
      </c>
      <c r="AV16" s="74" t="inlineStr">
        <is>
          <t>N/D</t>
        </is>
      </c>
      <c r="AW16" s="74" t="b">
        <v>0</v>
      </c>
      <c r="AX16" s="74" t="inlineStr">
        <is>
          <t>N/D</t>
        </is>
      </c>
      <c r="AY16" s="74" t="inlineStr">
        <is>
          <t>sem benchmark confiável</t>
        </is>
      </c>
      <c r="AZ16" s="140" t="inlineStr">
        <is>
          <t>N/D</t>
        </is>
      </c>
      <c r="BA16" s="74" t="b">
        <v>0</v>
      </c>
      <c r="BB16" s="141" t="n">
        <v>0</v>
      </c>
      <c r="BC16" s="139" t="n">
        <v>1000</v>
      </c>
      <c r="BD16" s="74" t="inlineStr">
        <is>
          <t>Cotas Seniores: R$1.000,00</t>
        </is>
      </c>
      <c r="BE16" s="74" t="inlineStr">
        <is>
          <t>valor nominal unitário (VNU)</t>
        </is>
      </c>
      <c r="BF16" s="74" t="inlineStr">
        <is>
          <t>Cotas Seniores</t>
        </is>
      </c>
      <c r="BG16" s="74" t="inlineStr">
        <is>
          <t>18/03/2024</t>
        </is>
      </c>
      <c r="BH16" s="74" t="inlineStr">
        <is>
          <t>622509</t>
        </is>
      </c>
      <c r="BI16" s="74" t="inlineStr">
        <is>
          <t>https://fnet.bmfbovespa.com.br/fnet/publico/downloadDocumento?id=622509</t>
        </is>
      </c>
      <c r="BJ16" s="74" t="inlineStr">
        <is>
          <t>localizado documentalmente</t>
        </is>
      </c>
      <c r="BK16" s="74" t="b">
        <v>0</v>
      </c>
      <c r="BL16" s="74" t="inlineStr">
        <is>
          <t>Boasafra (ID 5662361)</t>
        </is>
      </c>
      <c r="BM16" s="74" t="inlineStr">
        <is>
          <t>cedente</t>
        </is>
      </c>
      <c r="BN16" s="74" t="inlineStr">
        <is>
          <t>N/D</t>
        </is>
      </c>
      <c r="BO16" s="74" t="inlineStr">
        <is>
          <t>Boasafra</t>
        </is>
      </c>
      <c r="BP16" s="74" t="inlineStr">
        <is>
          <t>N/D</t>
        </is>
      </c>
      <c r="BQ16" s="74" t="inlineStr">
        <is>
          <t>Insumos Agrícolas - prazo Safra</t>
        </is>
      </c>
      <c r="BR16" s="74" t="inlineStr">
        <is>
          <t>cedente: https://fnet.bmfbovespa.com.br/fnet/publico/downloadDocumento?id=932142 | tipo_recebivel: IMG_8704.JPG</t>
        </is>
      </c>
      <c r="BS16" s="74" t="inlineStr">
        <is>
          <t>manual_aplicado</t>
        </is>
      </c>
      <c r="BT16" s="74" t="inlineStr">
        <is>
          <t>N/D</t>
        </is>
      </c>
      <c r="BU16" s="74" t="inlineStr">
        <is>
          <t>791780</t>
        </is>
      </c>
      <c r="BV16" s="74" t="inlineStr">
        <is>
          <t>2024-11-28</t>
        </is>
      </c>
      <c r="BW16" s="74" t="inlineStr">
        <is>
          <t>44</t>
        </is>
      </c>
      <c r="BX16" s="74" t="inlineStr">
        <is>
          <t>revisto — mínimo júnior localizado</t>
        </is>
      </c>
      <c r="BY16" s="74" t="inlineStr">
        <is>
          <t>FundosNet/B3; documento 791780; referência 2024-11-28; p. 44</t>
        </is>
      </c>
      <c r="BZ16" s="74" t="inlineStr">
        <is>
          <t>Cotas júnior / PL, mínimo de 20,0%; suporte subordinado total mínimo de 30,0%.</t>
        </is>
      </c>
      <c r="CA16" s="74" t="inlineStr">
        <is>
          <t>PL atual; Sub/PL atual; originador; sacado/devedor</t>
        </is>
      </c>
      <c r="CB16" s="74" t="inlineStr">
        <is>
          <t>sub_pl_atual_ausente</t>
        </is>
      </c>
    </row>
    <row r="17" ht="31.5" customHeight="1">
      <c r="A17" s="75" t="n">
        <v>13</v>
      </c>
      <c r="B17" s="142" t="n">
        <v>33076242000118</v>
      </c>
      <c r="C17" s="75" t="inlineStr">
        <is>
          <t>33.076.242/0001-18</t>
        </is>
      </c>
      <c r="D17" s="75" t="inlineStr">
        <is>
          <t>WORKCAP AGRO FUNDO DE INVESTIMENTO EM DIREITOS CREDITORIOS RESPONSABILIDADE LIMITADA</t>
        </is>
      </c>
      <c r="E17" s="75" t="inlineStr">
        <is>
          <t>FUNDO DE INVESTIMENTO EM DIREITOS CREDITORIOS ALBA</t>
        </is>
      </c>
      <c r="F17" s="75" t="inlineStr">
        <is>
          <t>Carteira 101</t>
        </is>
      </c>
      <c r="G17" s="75" t="inlineStr">
        <is>
          <t>2026-08</t>
        </is>
      </c>
      <c r="H17" s="75" t="inlineStr">
        <is>
          <t>localizado</t>
        </is>
      </c>
      <c r="I17" s="143" t="n">
        <v>444983236.36</v>
      </c>
      <c r="J17" s="143" t="n">
        <v>444983236.3582025</v>
      </c>
      <c r="K17" s="143" t="n">
        <v>87970677.92885245</v>
      </c>
      <c r="L17" s="144" t="n">
        <v>0.1976943640584305</v>
      </c>
      <c r="M17" s="75" t="inlineStr">
        <is>
          <t>Calculado com classes reportadas e PL oficial reconciliado</t>
        </is>
      </c>
      <c r="N17" s="144" t="n">
        <v>0.2</v>
      </c>
      <c r="O17" s="144" t="inlineStr">
        <is>
          <t>N/D</t>
        </is>
      </c>
      <c r="P17" s="144" t="inlineStr">
        <is>
          <t>N/D</t>
        </is>
      </c>
      <c r="Q17" s="144" t="n">
        <v>0.2</v>
      </c>
      <c r="R17" s="144" t="inlineStr">
        <is>
          <t>N/D</t>
        </is>
      </c>
      <c r="S17" s="144" t="n">
        <v>0.2</v>
      </c>
      <c r="T17" s="75" t="inlineStr">
        <is>
          <t>20,0%</t>
        </is>
      </c>
      <c r="U17" s="75" t="inlineStr">
        <is>
          <t>junior_pl</t>
        </is>
      </c>
      <c r="V17" s="75" t="inlineStr">
        <is>
          <t>direto no regulamento</t>
        </is>
      </c>
      <c r="W17" s="75" t="b">
        <v>1</v>
      </c>
      <c r="X17" s="75" t="inlineStr">
        <is>
          <t>Estrutura com uma única classe subordinada; métrica atual e piso usam o total subordinado sobre o PL.</t>
        </is>
      </c>
      <c r="Y17" s="75" t="b">
        <v>0</v>
      </c>
      <c r="Z17" s="144" t="n">
        <v>-0.002305635941569545</v>
      </c>
      <c r="AA17" s="144" t="n">
        <v>-0.002882044926961931</v>
      </c>
      <c r="AB17" s="75" t="inlineStr">
        <is>
          <t>abaixo do mínimo</t>
        </is>
      </c>
      <c r="AC17" s="75" t="inlineStr">
        <is>
          <t>Agro, Indústria e Comércio</t>
        </is>
      </c>
      <c r="AD17" s="75" t="inlineStr">
        <is>
          <t>Recebíveis Comerciais</t>
        </is>
      </c>
      <c r="AE17" s="75" t="inlineStr">
        <is>
          <t>Agro / Revenda</t>
        </is>
      </c>
      <c r="AF17" s="75" t="inlineStr">
        <is>
          <t>Agro / Revenda</t>
        </is>
      </c>
      <c r="AG17" s="75" t="inlineStr">
        <is>
          <t>Agro / Revenda</t>
        </is>
      </c>
      <c r="AH17" s="75" t="inlineStr">
        <is>
          <t>Agro / Revenda</t>
        </is>
      </c>
      <c r="AI17" s="75" t="inlineStr">
        <is>
          <t>Recebíveis Albaugh, insumos agro</t>
        </is>
      </c>
      <c r="AJ17" s="75" t="b">
        <v>0</v>
      </c>
      <c r="AK17" s="75" t="inlineStr">
        <is>
          <t>MANTER_ASTERISCO</t>
        </is>
      </c>
      <c r="AL17" s="75" t="inlineStr">
        <is>
          <t>Cedente Albaugh, com tipo literal ainda não isolado</t>
        </is>
      </c>
      <c r="AM17" s="75" t="inlineStr">
        <is>
          <t>auditoria documental</t>
        </is>
      </c>
      <c r="AN17" s="75" t="inlineStr">
        <is>
          <t>Não</t>
        </is>
      </c>
      <c r="AO17" s="75" t="inlineStr">
        <is>
          <t>auditoria documental</t>
        </is>
      </c>
      <c r="AP17" s="75" t="b">
        <v>0</v>
      </c>
      <c r="AQ17" s="75" t="inlineStr">
        <is>
          <t>Agro / Revenda</t>
        </is>
      </c>
      <c r="AR17" s="75" t="inlineStr">
        <is>
          <t>Agro / Revenda</t>
        </is>
      </c>
      <c r="AS17" s="75" t="b">
        <v>0</v>
      </c>
      <c r="AT17" s="75" t="inlineStr">
        <is>
          <t>N/D</t>
        </is>
      </c>
      <c r="AU17" s="75" t="inlineStr">
        <is>
          <t>N/D</t>
        </is>
      </c>
      <c r="AV17" s="75" t="inlineStr">
        <is>
          <t>15%–20%</t>
        </is>
      </c>
      <c r="AW17" s="75" t="b">
        <v>1</v>
      </c>
      <c r="AX17" s="75" t="inlineStr">
        <is>
          <t>abaixo do piso</t>
        </is>
      </c>
      <c r="AY17" s="75" t="inlineStr">
        <is>
          <t>sem benchmark confiável</t>
        </is>
      </c>
      <c r="AZ17" s="144" t="inlineStr">
        <is>
          <t>N/D</t>
        </is>
      </c>
      <c r="BA17" s="75" t="b">
        <v>0</v>
      </c>
      <c r="BB17" s="145" t="n">
        <v>0</v>
      </c>
      <c r="BC17" s="143" t="inlineStr">
        <is>
          <t>N/D</t>
        </is>
      </c>
      <c r="BD17" s="75" t="inlineStr">
        <is>
          <t>N/D</t>
        </is>
      </c>
      <c r="BE17" s="75" t="inlineStr">
        <is>
          <t>N/D</t>
        </is>
      </c>
      <c r="BF17" s="75" t="inlineStr">
        <is>
          <t>N/D</t>
        </is>
      </c>
      <c r="BG17" s="75" t="inlineStr">
        <is>
          <t>N/D</t>
        </is>
      </c>
      <c r="BH17" s="75" t="inlineStr">
        <is>
          <t>N/D</t>
        </is>
      </c>
      <c r="BI17" s="75" t="inlineStr">
        <is>
          <t>N/D</t>
        </is>
      </c>
      <c r="BJ17" s="75" t="inlineStr">
        <is>
          <t>não localizado</t>
        </is>
      </c>
      <c r="BK17" s="75" t="b">
        <v>0</v>
      </c>
      <c r="BL17" s="75" t="inlineStr">
        <is>
          <t>Albaugh</t>
        </is>
      </c>
      <c r="BM17" s="75" t="inlineStr">
        <is>
          <t>cedente</t>
        </is>
      </c>
      <c r="BN17" s="75" t="inlineStr">
        <is>
          <t>N/D</t>
        </is>
      </c>
      <c r="BO17" s="75" t="inlineStr">
        <is>
          <t>Albaugh Agro</t>
        </is>
      </c>
      <c r="BP17" s="75" t="inlineStr">
        <is>
          <t>N/D</t>
        </is>
      </c>
      <c r="BQ17" s="75" t="inlineStr">
        <is>
          <t>N/D</t>
        </is>
      </c>
      <c r="BR17" s="75" t="inlineStr">
        <is>
          <t>cedente: https://fnet.bmfbovespa.com.br/fnet/publico/downloadDocumento?id=978141</t>
        </is>
      </c>
      <c r="BS17" s="75" t="inlineStr">
        <is>
          <t>manual_aplicado</t>
        </is>
      </c>
      <c r="BT17" s="75" t="inlineStr">
        <is>
          <t>OBS legível: evento de avaliação por não pagamento de juros; o identificador de concentração e o restante do texto exigem revisão.</t>
        </is>
      </c>
      <c r="BU17" s="75" t="inlineStr">
        <is>
          <t>1060211</t>
        </is>
      </c>
      <c r="BV17" s="75" t="inlineStr">
        <is>
          <t>2025-12-12</t>
        </is>
      </c>
      <c r="BW17" s="75" t="inlineStr">
        <is>
          <t>61</t>
        </is>
      </c>
      <c r="BX17" s="75" t="inlineStr">
        <is>
          <t>revisto — mínimo júnior localizado</t>
        </is>
      </c>
      <c r="BY17" s="75" t="inlineStr">
        <is>
          <t>FundosNet/B3; documento 1060211; referência 2025-12-12; p. 61</t>
        </is>
      </c>
      <c r="BZ17" s="75" t="inlineStr">
        <is>
          <t>Cotas subordinadas / PL, mínimo de 20,0%; estrutura com uma única classe residual.</t>
        </is>
      </c>
      <c r="CA17" s="75" t="inlineStr">
        <is>
          <t>preço unitário da cota; originador; sacado/devedor; tipo de recebível</t>
        </is>
      </c>
      <c r="CB17" s="75" t="inlineStr">
        <is>
          <t>completo_para_folga</t>
        </is>
      </c>
    </row>
    <row r="18" ht="31.5" customHeight="1">
      <c r="A18" s="74" t="n">
        <v>14</v>
      </c>
      <c r="B18" s="138" t="n">
        <v>44173467000109</v>
      </c>
      <c r="C18" s="74" t="inlineStr">
        <is>
          <t>44.173.467/0001-09</t>
        </is>
      </c>
      <c r="D18" s="74" t="inlineStr">
        <is>
          <t>MT INSS RECEIVABLES III FUNDO DE INVESTIMENTO EM DIREITOS CREDITÓRIOS RESPONSABILIDADE</t>
        </is>
      </c>
      <c r="E18" s="74" t="inlineStr">
        <is>
          <t>RECEIVABLES 48 FUNDO DE INVEST INSS MEU TUDO</t>
        </is>
      </c>
      <c r="F18" s="74" t="inlineStr">
        <is>
          <t>Carteira 101</t>
        </is>
      </c>
      <c r="G18" s="74" t="inlineStr">
        <is>
          <t>2026-08</t>
        </is>
      </c>
      <c r="H18" s="74" t="inlineStr">
        <is>
          <t>localizado</t>
        </is>
      </c>
      <c r="I18" s="139" t="n">
        <v>25878515.55</v>
      </c>
      <c r="J18" s="139" t="n">
        <v>25878516.16340993</v>
      </c>
      <c r="K18" s="139" t="n">
        <v>2894853.600058563</v>
      </c>
      <c r="L18" s="140" t="n">
        <v>0.1118632015219498</v>
      </c>
      <c r="M18" s="74" t="inlineStr">
        <is>
          <t>Calculado com classes reportadas e PL oficial reconciliado</t>
        </is>
      </c>
      <c r="N18" s="140" t="inlineStr">
        <is>
          <t>N/D</t>
        </is>
      </c>
      <c r="O18" s="140" t="n">
        <v>0.01</v>
      </c>
      <c r="P18" s="140" t="inlineStr">
        <is>
          <t>N/D</t>
        </is>
      </c>
      <c r="Q18" s="140" t="n">
        <v>0.1</v>
      </c>
      <c r="R18" s="140" t="inlineStr">
        <is>
          <t>N/D</t>
        </is>
      </c>
      <c r="S18" s="140" t="n">
        <v>0.1</v>
      </c>
      <c r="T18" s="74" t="inlineStr">
        <is>
          <t>10,0%*</t>
        </is>
      </c>
      <c r="U18" s="74" t="inlineStr">
        <is>
          <t>junior_pl_calculado</t>
        </is>
      </c>
      <c r="V18" s="74" t="inlineStr">
        <is>
          <t>calculado: 10,0% × 10,0%</t>
        </is>
      </c>
      <c r="W18" s="74" t="b">
        <v>0</v>
      </c>
      <c r="X18" s="74" t="inlineStr">
        <is>
          <t>Mínimo júnior isolado; a subordinação atual disponível agrega mais de uma classe subordinada ou usa denominador distinto.</t>
        </is>
      </c>
      <c r="Y18" s="74" t="b">
        <v>1</v>
      </c>
      <c r="Z18" s="140" t="inlineStr">
        <is>
          <t>N/D</t>
        </is>
      </c>
      <c r="AA18" s="140" t="inlineStr">
        <is>
          <t>N/D</t>
        </is>
      </c>
      <c r="AB18" s="74" t="inlineStr">
        <is>
          <t>não medido</t>
        </is>
      </c>
      <c r="AC18" s="74" t="inlineStr">
        <is>
          <t>Financeiro</t>
        </is>
      </c>
      <c r="AD18" s="74" t="inlineStr">
        <is>
          <t>Crédito Consignado</t>
        </is>
      </c>
      <c r="AE18" s="74" t="inlineStr">
        <is>
          <t>Consignado INSS</t>
        </is>
      </c>
      <c r="AF18" s="74" t="inlineStr">
        <is>
          <t>Consignado INSS</t>
        </is>
      </c>
      <c r="AG18" s="74" t="inlineStr">
        <is>
          <t>Consignado INSS e FGTS</t>
        </is>
      </c>
      <c r="AH18" s="74" t="inlineStr">
        <is>
          <t>Consignado INSS e FGTS</t>
        </is>
      </c>
      <c r="AI18" s="74" t="inlineStr">
        <is>
          <t>N/D</t>
        </is>
      </c>
      <c r="AJ18" s="74" t="b">
        <v>0</v>
      </c>
      <c r="AK18" s="74" t="inlineStr">
        <is>
          <t>fora da revisão Financeiro/Agro</t>
        </is>
      </c>
      <c r="AL18" s="74" t="inlineStr">
        <is>
          <t>N/D</t>
        </is>
      </c>
      <c r="AM18" s="74" t="inlineStr">
        <is>
          <t>N/D</t>
        </is>
      </c>
      <c r="AN18" s="74" t="inlineStr">
        <is>
          <t>N/D</t>
        </is>
      </c>
      <c r="AO18" s="74" t="inlineStr">
        <is>
          <t>N/D</t>
        </is>
      </c>
      <c r="AP18" s="74" t="inlineStr">
        <is>
          <t>N/D</t>
        </is>
      </c>
      <c r="AQ18" s="74" t="inlineStr">
        <is>
          <t>Consignado INSS e FGTS</t>
        </is>
      </c>
      <c r="AR18" s="74" t="inlineStr">
        <is>
          <t>Consignado INSS e FGTS</t>
        </is>
      </c>
      <c r="AS18" s="74" t="b">
        <v>0</v>
      </c>
      <c r="AT18" s="74" t="inlineStr">
        <is>
          <t>N/D</t>
        </is>
      </c>
      <c r="AU18" s="74" t="inlineStr">
        <is>
          <t>N/D</t>
        </is>
      </c>
      <c r="AV18" s="74" t="inlineStr">
        <is>
          <t>10%–15%</t>
        </is>
      </c>
      <c r="AW18" s="74" t="b">
        <v>1</v>
      </c>
      <c r="AX18" s="74" t="inlineStr">
        <is>
          <t>incomparável</t>
        </is>
      </c>
      <c r="AY18" s="74" t="inlineStr">
        <is>
          <t>abaixo do mercado</t>
        </is>
      </c>
      <c r="AZ18" s="140" t="n">
        <v>-0.04802668044171615</v>
      </c>
      <c r="BA18" s="74" t="b">
        <v>1</v>
      </c>
      <c r="BB18" s="141" t="n">
        <v>5</v>
      </c>
      <c r="BC18" s="139" t="n">
        <v>1000</v>
      </c>
      <c r="BD18" s="74" t="inlineStr">
        <is>
          <t>Cotas Seniores: R$ 1.000,00 | Cotas Subordinadas Júnior: R$ 1.000,00 | Cotas Subordinadas Mezanino: R$ 1.000,00</t>
        </is>
      </c>
      <c r="BE18" s="74" t="inlineStr">
        <is>
          <t>preço/valor unitário de emissão</t>
        </is>
      </c>
      <c r="BF18" s="74" t="inlineStr">
        <is>
          <t>Cotas Seniores | Cotas Subordinadas Júnior | Cotas Subordinadas Mezanino</t>
        </is>
      </c>
      <c r="BG18" s="74" t="inlineStr">
        <is>
          <t>2024-11-28</t>
        </is>
      </c>
      <c r="BH18" s="74" t="inlineStr">
        <is>
          <t>791513</t>
        </is>
      </c>
      <c r="BI18" s="74" t="inlineStr">
        <is>
          <t>https://fnet.bmfbovespa.com.br/fnet/publico/downloadDocumento?id=791513</t>
        </is>
      </c>
      <c r="BJ18" s="74" t="inlineStr">
        <is>
          <t>localizado documentalmente — múltiplos valores/classes</t>
        </is>
      </c>
      <c r="BK18" s="74" t="b">
        <v>1</v>
      </c>
      <c r="BL18" s="74" t="inlineStr">
        <is>
          <t>Parati</t>
        </is>
      </c>
      <c r="BM18" s="74" t="inlineStr">
        <is>
          <t>cedente</t>
        </is>
      </c>
      <c r="BN18" s="74" t="inlineStr">
        <is>
          <t>N/D</t>
        </is>
      </c>
      <c r="BO18" s="74" t="inlineStr">
        <is>
          <t>Parati</t>
        </is>
      </c>
      <c r="BP18" s="74" t="inlineStr">
        <is>
          <t>N/D</t>
        </is>
      </c>
      <c r="BQ18" s="74" t="inlineStr">
        <is>
          <t>Crédito consignado INSS</t>
        </is>
      </c>
      <c r="BR18" s="74" t="inlineStr">
        <is>
          <t>cedente: IMG_8704.JPG | tipo_recebivel: IMG_8704.JPG</t>
        </is>
      </c>
      <c r="BS18" s="74" t="inlineStr">
        <is>
          <t>manual_aplicado</t>
        </is>
      </c>
      <c r="BT18" s="74" t="inlineStr">
        <is>
          <t>OBS da foto: Rating atual Baa1; se ajustar o rating na base, pode considerar perspectiva estável.</t>
        </is>
      </c>
      <c r="BU18" s="74" t="inlineStr">
        <is>
          <t>791513</t>
        </is>
      </c>
      <c r="BV18" s="74" t="inlineStr">
        <is>
          <t>2024-11-28</t>
        </is>
      </c>
      <c r="BW18" s="74" t="inlineStr">
        <is>
          <t>19</t>
        </is>
      </c>
      <c r="BX18" s="74" t="inlineStr">
        <is>
          <t>revisto — mínimo júnior localizado</t>
        </is>
      </c>
      <c r="BY18" s="74" t="inlineStr">
        <is>
          <t>FundosNet/B3; documento 791513; referência 2024-11-28; p. 19</t>
        </is>
      </c>
      <c r="BZ18" s="74" t="inlineStr">
        <is>
          <t>Mínimo júnior calculado: subordinadas = 10,0% do PL e júnior = 10,0% das subordinadas.</t>
        </is>
      </c>
      <c r="CA18" s="74" t="inlineStr">
        <is>
          <t>originador; sacado/devedor</t>
        </is>
      </c>
      <c r="CB18" s="74" t="inlineStr">
        <is>
          <t>estrutura_incomparavel</t>
        </is>
      </c>
    </row>
    <row r="19" ht="31.5" customHeight="1">
      <c r="A19" s="75" t="n">
        <v>15</v>
      </c>
      <c r="B19" s="142" t="n">
        <v>54252144000164</v>
      </c>
      <c r="C19" s="75" t="inlineStr">
        <is>
          <t>54.252.144/0001-64</t>
        </is>
      </c>
      <c r="D19" s="75" t="inlineStr">
        <is>
          <t>J17 FGTS FUNDO DE INVESTIMENTO EM DIREITOS CREDITÓRIOS FINANCEIRO - RESPONSABILIDADE LIMITADA</t>
        </is>
      </c>
      <c r="E19" s="75" t="inlineStr">
        <is>
          <t>J17 FGTS FUNDO DE INVESTIMENTO</t>
        </is>
      </c>
      <c r="F19" s="75" t="inlineStr">
        <is>
          <t>Carteira 101</t>
        </is>
      </c>
      <c r="G19" s="75" t="inlineStr">
        <is>
          <t>2026-08</t>
        </is>
      </c>
      <c r="H19" s="75" t="inlineStr">
        <is>
          <t>localizado</t>
        </is>
      </c>
      <c r="I19" s="143" t="n">
        <v>203278751.81</v>
      </c>
      <c r="J19" s="143" t="n">
        <v>203278751.8102072</v>
      </c>
      <c r="K19" s="143" t="n">
        <v>30845877.30995766</v>
      </c>
      <c r="L19" s="144" t="n">
        <v>0.1517417685582239</v>
      </c>
      <c r="M19" s="75" t="inlineStr">
        <is>
          <t>Calculado com classes reportadas e PL oficial reconciliado</t>
        </is>
      </c>
      <c r="N19" s="144" t="n">
        <v>0.05</v>
      </c>
      <c r="O19" s="144" t="inlineStr">
        <is>
          <t>N/D</t>
        </is>
      </c>
      <c r="P19" s="144" t="inlineStr">
        <is>
          <t>N/D</t>
        </is>
      </c>
      <c r="Q19" s="144" t="inlineStr">
        <is>
          <t>N/D</t>
        </is>
      </c>
      <c r="R19" s="144" t="inlineStr">
        <is>
          <t>N/D</t>
        </is>
      </c>
      <c r="S19" s="144" t="n">
        <v>0.05</v>
      </c>
      <c r="T19" s="75" t="inlineStr">
        <is>
          <t>N/D</t>
        </is>
      </c>
      <c r="U19" s="75" t="inlineStr">
        <is>
          <t>junior_pl</t>
        </is>
      </c>
      <c r="V19" s="75" t="inlineStr">
        <is>
          <t>direto no regulamento</t>
        </is>
      </c>
      <c r="W19" s="75" t="b">
        <v>0</v>
      </c>
      <c r="X19" s="75" t="inlineStr">
        <is>
          <t>Mínimo júnior isolado; a subordinação atual disponível agrega todas as classes subordinadas.</t>
        </is>
      </c>
      <c r="Y19" s="75" t="b">
        <v>0</v>
      </c>
      <c r="Z19" s="144" t="inlineStr">
        <is>
          <t>N/D</t>
        </is>
      </c>
      <c r="AA19" s="144" t="inlineStr">
        <is>
          <t>N/D</t>
        </is>
      </c>
      <c r="AB19" s="75" t="inlineStr">
        <is>
          <t>não medido</t>
        </is>
      </c>
      <c r="AC19" s="75" t="inlineStr">
        <is>
          <t>Financeiro</t>
        </is>
      </c>
      <c r="AD19" s="75" t="inlineStr">
        <is>
          <t>Crédito Pessoal</t>
        </is>
      </c>
      <c r="AE19" s="75" t="inlineStr">
        <is>
          <t>Consignado FGTS</t>
        </is>
      </c>
      <c r="AF19" s="75" t="inlineStr">
        <is>
          <t>Consignado FGTS</t>
        </is>
      </c>
      <c r="AG19" s="75" t="inlineStr">
        <is>
          <t>Consignado INSS e FGTS</t>
        </is>
      </c>
      <c r="AH19" s="75" t="inlineStr">
        <is>
          <t>Consignado INSS e FGTS</t>
        </is>
      </c>
      <c r="AI19" s="75" t="inlineStr">
        <is>
          <t>N/D</t>
        </is>
      </c>
      <c r="AJ19" s="75" t="b">
        <v>0</v>
      </c>
      <c r="AK19" s="75" t="inlineStr">
        <is>
          <t>fora da revisão Financeiro/Agro</t>
        </is>
      </c>
      <c r="AL19" s="75" t="inlineStr">
        <is>
          <t>N/D</t>
        </is>
      </c>
      <c r="AM19" s="75" t="inlineStr">
        <is>
          <t>N/D</t>
        </is>
      </c>
      <c r="AN19" s="75" t="inlineStr">
        <is>
          <t>N/D</t>
        </is>
      </c>
      <c r="AO19" s="75" t="inlineStr">
        <is>
          <t>N/D</t>
        </is>
      </c>
      <c r="AP19" s="75" t="inlineStr">
        <is>
          <t>N/D</t>
        </is>
      </c>
      <c r="AQ19" s="75" t="inlineStr">
        <is>
          <t>Consignado INSS e FGTS</t>
        </is>
      </c>
      <c r="AR19" s="75" t="inlineStr">
        <is>
          <t>Consignado INSS e FGTS</t>
        </is>
      </c>
      <c r="AS19" s="75" t="b">
        <v>0</v>
      </c>
      <c r="AT19" s="75" t="inlineStr">
        <is>
          <t>N/D</t>
        </is>
      </c>
      <c r="AU19" s="75" t="inlineStr">
        <is>
          <t>N/D</t>
        </is>
      </c>
      <c r="AV19" s="75" t="inlineStr">
        <is>
          <t>15%–20%</t>
        </is>
      </c>
      <c r="AW19" s="75" t="b">
        <v>1</v>
      </c>
      <c r="AX19" s="75" t="inlineStr">
        <is>
          <t>incomparável</t>
        </is>
      </c>
      <c r="AY19" s="75" t="inlineStr">
        <is>
          <t>abaixo do mercado</t>
        </is>
      </c>
      <c r="AZ19" s="144" t="n">
        <v>-0.03103767260126652</v>
      </c>
      <c r="BA19" s="75" t="b">
        <v>1</v>
      </c>
      <c r="BB19" s="145" t="n">
        <v>5</v>
      </c>
      <c r="BC19" s="143" t="n">
        <v>1000</v>
      </c>
      <c r="BD19" s="75" t="inlineStr">
        <is>
          <t>Cotas Seniores: R$ 1.000,00 | Cotas Subordinadas Júnior: R$ 1.000,00 | Cotas Subordinadas Mezanino: R$1.000,00</t>
        </is>
      </c>
      <c r="BE19" s="75" t="inlineStr">
        <is>
          <t>preço/valor unitário de emissão</t>
        </is>
      </c>
      <c r="BF19" s="75" t="inlineStr">
        <is>
          <t>Cotas Seniores | Cotas Subordinadas Júnior | Cotas Subordinadas Mezanino</t>
        </is>
      </c>
      <c r="BG19" s="75" t="inlineStr">
        <is>
          <t>2025-12-29</t>
        </is>
      </c>
      <c r="BH19" s="75" t="inlineStr">
        <is>
          <t>1072289</t>
        </is>
      </c>
      <c r="BI19" s="75" t="inlineStr">
        <is>
          <t>https://fnet.bmfbovespa.com.br/fnet/publico/downloadDocumento?id=1072289</t>
        </is>
      </c>
      <c r="BJ19" s="75" t="inlineStr">
        <is>
          <t>localizado documentalmente — múltiplos valores/classes</t>
        </is>
      </c>
      <c r="BK19" s="75" t="b">
        <v>1</v>
      </c>
      <c r="BL19" s="75" t="inlineStr">
        <is>
          <t>J17</t>
        </is>
      </c>
      <c r="BM19" s="75" t="inlineStr">
        <is>
          <t>cedente</t>
        </is>
      </c>
      <c r="BN19" s="75" t="inlineStr">
        <is>
          <t>GRANDINO LTDA.</t>
        </is>
      </c>
      <c r="BO19" s="75" t="inlineStr">
        <is>
          <t>a J17 e, apenas para a s Aquisições Iniciais, o Metropolitana FIDC-NP</t>
        </is>
      </c>
      <c r="BP19"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BQ19" s="75" t="inlineStr">
        <is>
          <t>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t>
        </is>
      </c>
      <c r="BR19" s="75" t="inlineStr">
        <is>
          <t>originador: https://fnet.bmfbovespa.com.br/fnet/publico/downloadDocumento?id=990257 | cedente: https://fnet.bmfbovespa.com.br/fnet/publico/downloadDocumento?id=1072289 | sacado_devedor: https://fnet.bmfbovespa.com.br/fnet/publico/downloadDocumento?id=1072289 | tipo_recebivel: https://fnet.bmfbovespa.com.br/fnet/publico/downloadDocumento?id=1072289</t>
        </is>
      </c>
      <c r="BS19" s="75" t="inlineStr">
        <is>
          <t>manual_aplicado</t>
        </is>
      </c>
      <c r="BT19" s="75" t="inlineStr">
        <is>
          <t>Denominação cortada pela largura da coluna na foto.</t>
        </is>
      </c>
      <c r="BU19" s="75" t="inlineStr">
        <is>
          <t>1223382</t>
        </is>
      </c>
      <c r="BV19" s="75" t="inlineStr">
        <is>
          <t>2026-06-08</t>
        </is>
      </c>
      <c r="BW19" s="75" t="inlineStr">
        <is>
          <t>109</t>
        </is>
      </c>
      <c r="BX19" s="75" t="inlineStr">
        <is>
          <t>revisto — mínimo júnior localizado</t>
        </is>
      </c>
      <c r="BY19" s="75" t="inlineStr">
        <is>
          <t>FundosNet/B3; documento 1223382; referência 2026-06-08; p. 109</t>
        </is>
      </c>
      <c r="BZ19" s="75" t="inlineStr">
        <is>
          <t>Índice de Subordinação Mezanino: cotas júnior / PL, mínimo de 5,0%.</t>
        </is>
      </c>
      <c r="CA19" s="75" t="inlineStr">
        <is>
          <t>Nenhum</t>
        </is>
      </c>
      <c r="CB19" s="75" t="inlineStr">
        <is>
          <t>estrutura_incomparavel</t>
        </is>
      </c>
    </row>
    <row r="20" ht="31.5" customHeight="1">
      <c r="A20" s="74" t="n">
        <v>16</v>
      </c>
      <c r="B20" s="138" t="n">
        <v>48313595000161</v>
      </c>
      <c r="C20" s="74" t="inlineStr">
        <is>
          <t>48.313.595/0001-61</t>
        </is>
      </c>
      <c r="D20" s="74" t="inlineStr">
        <is>
          <t>IBBA AGRO BR FUNDO DE INVESTIMENTO EM DIREITOS CREDITÓRIOS</t>
        </is>
      </c>
      <c r="E20" s="74" t="inlineStr">
        <is>
          <t>IBBA AGRO BR FUNDO DE INVESTIMENTO EM DIREITOS CRE</t>
        </is>
      </c>
      <c r="F20" s="74" t="inlineStr">
        <is>
          <t>Carteira 101</t>
        </is>
      </c>
      <c r="G20" s="74" t="inlineStr">
        <is>
          <t>2026-08</t>
        </is>
      </c>
      <c r="H20" s="74" t="inlineStr">
        <is>
          <t>localizado</t>
        </is>
      </c>
      <c r="I20" s="139" t="n">
        <v>0</v>
      </c>
      <c r="J20" s="139" t="n">
        <v>0</v>
      </c>
      <c r="K20" s="139" t="n">
        <v>0</v>
      </c>
      <c r="L20" s="140" t="inlineStr">
        <is>
          <t>N/D</t>
        </is>
      </c>
      <c r="M20" s="74" t="inlineStr">
        <is>
          <t>N/D — PL oficial reportado zero em 2026-08; razão não calculável</t>
        </is>
      </c>
      <c r="N20" s="140" t="inlineStr">
        <is>
          <t>N/D</t>
        </is>
      </c>
      <c r="O20" s="140" t="inlineStr">
        <is>
          <t>N/D</t>
        </is>
      </c>
      <c r="P20" s="140" t="inlineStr">
        <is>
          <t>N/D</t>
        </is>
      </c>
      <c r="Q20" s="140" t="inlineStr">
        <is>
          <t>N/D</t>
        </is>
      </c>
      <c r="R20" s="140" t="inlineStr">
        <is>
          <t>N/D</t>
        </is>
      </c>
      <c r="S20" s="140" t="inlineStr">
        <is>
          <t>N/D</t>
        </is>
      </c>
      <c r="T20" s="74" t="inlineStr">
        <is>
          <t>N/D</t>
        </is>
      </c>
      <c r="U20" s="74" t="inlineStr">
        <is>
          <t>sem_indice</t>
        </is>
      </c>
      <c r="V20" s="74" t="inlineStr">
        <is>
          <t>N/D</t>
        </is>
      </c>
      <c r="W20" s="74" t="b">
        <v>0</v>
      </c>
      <c r="X20" s="74" t="inlineStr">
        <is>
          <t>Regulamento revisado sem índice percentual isolável.</t>
        </is>
      </c>
      <c r="Y20" s="74" t="b">
        <v>1</v>
      </c>
      <c r="Z20" s="140" t="inlineStr">
        <is>
          <t>N/D</t>
        </is>
      </c>
      <c r="AA20" s="140" t="inlineStr">
        <is>
          <t>N/D</t>
        </is>
      </c>
      <c r="AB20" s="74" t="inlineStr">
        <is>
          <t>não medido</t>
        </is>
      </c>
      <c r="AC20" s="74" t="inlineStr">
        <is>
          <t>Agro, Indústria e Comércio</t>
        </is>
      </c>
      <c r="AD20" s="74" t="inlineStr">
        <is>
          <t>Agronegócio</t>
        </is>
      </c>
      <c r="AE20" s="74" t="inlineStr">
        <is>
          <t>Agro / Revenda</t>
        </is>
      </c>
      <c r="AF20" s="74" t="inlineStr">
        <is>
          <t>Agro / Revenda</t>
        </is>
      </c>
      <c r="AG20" s="74" t="inlineStr">
        <is>
          <t>Agro / Revenda</t>
        </is>
      </c>
      <c r="AH20" s="74" t="inlineStr">
        <is>
          <t>Agro / Revenda</t>
        </is>
      </c>
      <c r="AI20" s="74" t="inlineStr">
        <is>
          <t>Multicedente agro, lastro específico pendente</t>
        </is>
      </c>
      <c r="AJ20" s="74" t="b">
        <v>0</v>
      </c>
      <c r="AK20" s="74" t="inlineStr">
        <is>
          <t>PENDENTE_DOCUMENTAL</t>
        </is>
      </c>
      <c r="AL20" s="74" t="inlineStr">
        <is>
          <t>Cedentes genéricos, sem devedor ou recebível identificado</t>
        </is>
      </c>
      <c r="AM20" s="74" t="inlineStr">
        <is>
          <t>regulamento da curadoria</t>
        </is>
      </c>
      <c r="AN20" s="74" t="inlineStr">
        <is>
          <t>Pendente</t>
        </is>
      </c>
      <c r="AO20" s="74" t="inlineStr">
        <is>
          <t>regulamento da curadoria</t>
        </is>
      </c>
      <c r="AP20" s="74" t="inlineStr">
        <is>
          <t>N/D</t>
        </is>
      </c>
      <c r="AQ20" s="74" t="inlineStr">
        <is>
          <t>Agro / Revenda</t>
        </is>
      </c>
      <c r="AR20" s="74" t="inlineStr">
        <is>
          <t>Agro / Revenda</t>
        </is>
      </c>
      <c r="AS20" s="74" t="b">
        <v>0</v>
      </c>
      <c r="AT20" s="74" t="inlineStr">
        <is>
          <t>N/D</t>
        </is>
      </c>
      <c r="AU20" s="74" t="inlineStr">
        <is>
          <t>N/D</t>
        </is>
      </c>
      <c r="AV20" s="74" t="inlineStr">
        <is>
          <t>N/D</t>
        </is>
      </c>
      <c r="AW20" s="74" t="b">
        <v>0</v>
      </c>
      <c r="AX20" s="74" t="inlineStr">
        <is>
          <t>N/D</t>
        </is>
      </c>
      <c r="AY20" s="74" t="inlineStr">
        <is>
          <t>sem benchmark confiável</t>
        </is>
      </c>
      <c r="AZ20" s="140" t="inlineStr">
        <is>
          <t>N/D</t>
        </is>
      </c>
      <c r="BA20" s="74" t="b">
        <v>0</v>
      </c>
      <c r="BB20" s="141" t="n">
        <v>0</v>
      </c>
      <c r="BC20" s="139" t="n">
        <v>1000</v>
      </c>
      <c r="BD20" s="74" t="inlineStr">
        <is>
          <t>Cotas Seniores: R$1.000,00 | Cotas Subordinadas Mezanino: R$1.000,00</t>
        </is>
      </c>
      <c r="BE20" s="74" t="inlineStr">
        <is>
          <t>valor nominal unitário (VNU)</t>
        </is>
      </c>
      <c r="BF20" s="74" t="inlineStr">
        <is>
          <t>Cotas Seniores | Cotas Subordinadas Mezanino</t>
        </is>
      </c>
      <c r="BG20" s="74" t="inlineStr">
        <is>
          <t>22/08/2025</t>
        </is>
      </c>
      <c r="BH20" s="74" t="inlineStr">
        <is>
          <t>976737</t>
        </is>
      </c>
      <c r="BI20" s="74" t="inlineStr">
        <is>
          <t>https://fnet.bmfbovespa.com.br/fnet/publico/downloadDocumento?id=976737</t>
        </is>
      </c>
      <c r="BJ20" s="74" t="inlineStr">
        <is>
          <t>localizado documentalmente — múltiplos valores/classes</t>
        </is>
      </c>
      <c r="BK20" s="74" t="b">
        <v>1</v>
      </c>
      <c r="BL20" s="74" t="inlineStr">
        <is>
          <t>Multicedentes</t>
        </is>
      </c>
      <c r="BM20" s="74" t="inlineStr">
        <is>
          <t>cedente</t>
        </is>
      </c>
      <c r="BN20" s="74" t="inlineStr">
        <is>
          <t>N/D</t>
        </is>
      </c>
      <c r="BO20" s="74" t="inlineStr">
        <is>
          <t>as sociedades, identificadas nos respectivos Contratos de Cessão, que cedem, em caráter irrevogável e irretratável, os Direitos Creditórios Adquiridos listados nos respectivos Contratos de Cessão e Termos de Cessão, conforme aplicável, observados os requisitos da Política de Concessão de Créditos</t>
        </is>
      </c>
      <c r="BP20" s="74" t="inlineStr">
        <is>
          <t>N/D</t>
        </is>
      </c>
      <c r="BQ20" s="74" t="inlineStr">
        <is>
          <t>N/D</t>
        </is>
      </c>
      <c r="BR20" s="74" t="inlineStr">
        <is>
          <t>cedente: https://fnet.bmfbovespa.com.br/fnet/publico/downloadDocumento?id=976737</t>
        </is>
      </c>
      <c r="BS20" s="74" t="inlineStr">
        <is>
          <t>manual_aplicado</t>
        </is>
      </c>
      <c r="BT20" s="74" t="inlineStr">
        <is>
          <t>OBS da foto: Cota Jr 100% consumida; revisão de rating em out/25; fomos 100% resgatados na SR. Denominação cortada.</t>
        </is>
      </c>
      <c r="BU20" s="74" t="inlineStr">
        <is>
          <t>976737</t>
        </is>
      </c>
      <c r="BV20" s="74" t="inlineStr">
        <is>
          <t>2025-08-22</t>
        </is>
      </c>
      <c r="BW20" s="74" t="inlineStr">
        <is>
          <t>42</t>
        </is>
      </c>
      <c r="BX20" s="74" t="inlineStr">
        <is>
          <t>revisto — regulamento sem índice percentual isolável</t>
        </is>
      </c>
      <c r="BY20" s="74" t="inlineStr">
        <is>
          <t>FundosNet/B3; documento 976737; referência 2025-08-22; p. 42</t>
        </is>
      </c>
      <c r="BZ20" s="74" t="inlineStr">
        <is>
          <t>N/D</t>
        </is>
      </c>
      <c r="CA20" s="74" t="inlineStr">
        <is>
          <t>Sub/PL atual; mínimo estrutural comparável; originador; sacado/devedor; tipo de recebível</t>
        </is>
      </c>
      <c r="CB20" s="74" t="inlineStr">
        <is>
          <t>sub_pl_atual_ausente</t>
        </is>
      </c>
    </row>
    <row r="21" ht="31.5" customHeight="1">
      <c r="A21" s="75" t="n">
        <v>17</v>
      </c>
      <c r="B21" s="142" t="n">
        <v>32526025000110</v>
      </c>
      <c r="C21" s="75" t="inlineStr">
        <is>
          <t>32.526.025/0001-10</t>
        </is>
      </c>
      <c r="D21" s="75" t="inlineStr">
        <is>
          <t>COBUCCIO FUNDO DE INVESTIMENTO EM DIREITOS CREDITÓRIOS DE CLASSE ÚNICA FECHADA DE RESPONS LIMITADA</t>
        </is>
      </c>
      <c r="E21" s="75" t="inlineStr">
        <is>
          <t>COBUCCIO FUNDO I F D C NAO P</t>
        </is>
      </c>
      <c r="F21" s="75" t="inlineStr">
        <is>
          <t>Carteira 101</t>
        </is>
      </c>
      <c r="G21" s="75" t="inlineStr">
        <is>
          <t>2026-08</t>
        </is>
      </c>
      <c r="H21" s="75" t="inlineStr">
        <is>
          <t>localizado</t>
        </is>
      </c>
      <c r="I21" s="143" t="n">
        <v>1695951362.31</v>
      </c>
      <c r="J21" s="143" t="n">
        <v>1695951362.309823</v>
      </c>
      <c r="K21" s="143" t="n">
        <v>1286045934.589909</v>
      </c>
      <c r="L21" s="144" t="n">
        <v>0.7583035475959804</v>
      </c>
      <c r="M21" s="75" t="inlineStr">
        <is>
          <t>Calculado com classes reportadas e PL oficial reconciliado</t>
        </is>
      </c>
      <c r="N21" s="144" t="n">
        <v>0.75</v>
      </c>
      <c r="O21" s="144" t="inlineStr">
        <is>
          <t>N/D</t>
        </is>
      </c>
      <c r="P21" s="144" t="inlineStr">
        <is>
          <t>N/D</t>
        </is>
      </c>
      <c r="Q21" s="144" t="inlineStr">
        <is>
          <t>N/D</t>
        </is>
      </c>
      <c r="R21" s="144" t="inlineStr">
        <is>
          <t>N/D</t>
        </is>
      </c>
      <c r="S21" s="144" t="n">
        <v>0.75</v>
      </c>
      <c r="T21" s="75" t="inlineStr">
        <is>
          <t>N/D</t>
        </is>
      </c>
      <c r="U21" s="75" t="inlineStr">
        <is>
          <t>junior_pl</t>
        </is>
      </c>
      <c r="V21" s="75" t="inlineStr">
        <is>
          <t>direto no regulamento</t>
        </is>
      </c>
      <c r="W21" s="75" t="b">
        <v>0</v>
      </c>
      <c r="X21" s="75" t="inlineStr">
        <is>
          <t>Mínimo júnior isolado; a subordinação atual disponível agrega todas as classes subordinadas.</t>
        </is>
      </c>
      <c r="Y21" s="75" t="b">
        <v>0</v>
      </c>
      <c r="Z21" s="144" t="inlineStr">
        <is>
          <t>N/D</t>
        </is>
      </c>
      <c r="AA21" s="144" t="inlineStr">
        <is>
          <t>N/D</t>
        </is>
      </c>
      <c r="AB21" s="75" t="inlineStr">
        <is>
          <t>não medido</t>
        </is>
      </c>
      <c r="AC21" s="75" t="inlineStr">
        <is>
          <t>Financeiro</t>
        </is>
      </c>
      <c r="AD21" s="75" t="inlineStr">
        <is>
          <t>Multicarteira Financeiro</t>
        </is>
      </c>
      <c r="AE21" s="75" t="inlineStr">
        <is>
          <t>Financeiro</t>
        </is>
      </c>
      <c r="AF21" s="75" t="inlineStr">
        <is>
          <t>Financeiro</t>
        </is>
      </c>
      <c r="AG21" s="75" t="inlineStr">
        <is>
          <t>Financeiro</t>
        </is>
      </c>
      <c r="AH21" s="75" t="inlineStr">
        <is>
          <t>Financeiro</t>
        </is>
      </c>
      <c r="AI21" s="75" t="inlineStr">
        <is>
          <t>Cartão e CCB PF, recebíveis de pagamento</t>
        </is>
      </c>
      <c r="AJ21" s="75" t="b">
        <v>0</v>
      </c>
      <c r="AK21" s="75" t="inlineStr">
        <is>
          <t>MANTER_ALTA</t>
        </is>
      </c>
      <c r="AL21" s="75" t="inlineStr">
        <is>
          <t>Combina financiamento Brasil Card e recebíveis Bolt Card</t>
        </is>
      </c>
      <c r="AM21" s="75" t="inlineStr">
        <is>
          <t>regulamento 1186789, 96 páginas</t>
        </is>
      </c>
      <c r="AN21" s="75" t="inlineStr">
        <is>
          <t>Não</t>
        </is>
      </c>
      <c r="AO21" s="75" t="inlineStr">
        <is>
          <t>regulamento 1186789, 96 páginas</t>
        </is>
      </c>
      <c r="AP21" s="75" t="b">
        <v>0</v>
      </c>
      <c r="AQ21" s="75" t="inlineStr">
        <is>
          <t>Financeiro</t>
        </is>
      </c>
      <c r="AR21" s="75" t="inlineStr">
        <is>
          <t>Financeiro</t>
        </is>
      </c>
      <c r="AS21" s="75" t="b">
        <v>0</v>
      </c>
      <c r="AT21" s="75" t="inlineStr">
        <is>
          <t>N/D</t>
        </is>
      </c>
      <c r="AU21" s="75" t="inlineStr">
        <is>
          <t>N/D</t>
        </is>
      </c>
      <c r="AV21" s="75" t="inlineStr">
        <is>
          <t>≥ 60%</t>
        </is>
      </c>
      <c r="AW21" s="75" t="b">
        <v>1</v>
      </c>
      <c r="AX21" s="75" t="inlineStr">
        <is>
          <t>incomparável</t>
        </is>
      </c>
      <c r="AY21" s="75" t="inlineStr">
        <is>
          <t>acima do mercado</t>
        </is>
      </c>
      <c r="AZ21" s="144" t="n">
        <v>0.4521097668994962</v>
      </c>
      <c r="BA21" s="75" t="b">
        <v>1</v>
      </c>
      <c r="BB21" s="145" t="n">
        <v>12</v>
      </c>
      <c r="BC21" s="143" t="n">
        <v>1000</v>
      </c>
      <c r="BD21" s="75" t="inlineStr">
        <is>
          <t>8ª Série de Cotas Seniores: R$1.000,00 | Cotas Seniores: R$1.000,00</t>
        </is>
      </c>
      <c r="BE21" s="75" t="inlineStr">
        <is>
          <t>valor nominal unitário (VNU)</t>
        </is>
      </c>
      <c r="BF21" s="75" t="inlineStr">
        <is>
          <t>8ª Série de Cotas Seniores | Cotas Seniores</t>
        </is>
      </c>
      <c r="BG21" s="75" t="inlineStr">
        <is>
          <t>12/03/2026</t>
        </is>
      </c>
      <c r="BH21" s="75" t="inlineStr">
        <is>
          <t>1134299</t>
        </is>
      </c>
      <c r="BI21" s="75" t="inlineStr">
        <is>
          <t>https://fnet.bmfbovespa.com.br/fnet/publico/downloadDocumento?id=1134299</t>
        </is>
      </c>
      <c r="BJ21" s="75" t="inlineStr">
        <is>
          <t>localizado documentalmente — múltiplos valores/classes</t>
        </is>
      </c>
      <c r="BK21" s="75" t="b">
        <v>1</v>
      </c>
      <c r="BL21" s="75" t="inlineStr">
        <is>
          <t>N/D</t>
        </is>
      </c>
      <c r="BM21" s="75" t="inlineStr">
        <is>
          <t>N/D</t>
        </is>
      </c>
      <c r="BN21" s="75" t="inlineStr">
        <is>
          <t>N/D</t>
        </is>
      </c>
      <c r="BO21" s="75" t="inlineStr">
        <is>
          <t>N/D</t>
        </is>
      </c>
      <c r="BP21" s="75" t="inlineStr">
        <is>
          <t>N/D</t>
        </is>
      </c>
      <c r="BQ21" s="75" t="inlineStr">
        <is>
          <t>N/D</t>
        </is>
      </c>
      <c r="BR21" s="75" t="inlineStr">
        <is>
          <t>N/D</t>
        </is>
      </c>
      <c r="BS21" s="75" t="inlineStr">
        <is>
          <t>sem_overlay</t>
        </is>
      </c>
      <c r="BT21" s="75" t="inlineStr">
        <is>
          <t>N/D</t>
        </is>
      </c>
      <c r="BU21" s="75" t="inlineStr">
        <is>
          <t>1186789</t>
        </is>
      </c>
      <c r="BV21" s="75" t="inlineStr">
        <is>
          <t>2026-05-12</t>
        </is>
      </c>
      <c r="BW21" s="75" t="inlineStr">
        <is>
          <t>57</t>
        </is>
      </c>
      <c r="BX21" s="75" t="inlineStr">
        <is>
          <t>revisto — mínimo júnior localizado</t>
        </is>
      </c>
      <c r="BY21" s="75" t="inlineStr">
        <is>
          <t>FundosNet/B3; documento 1186789; referência 2026-05-12; p. 57</t>
        </is>
      </c>
      <c r="BZ21" s="75" t="inlineStr">
        <is>
          <t>Enquanto não houver cota mezanino, cotas júnior / PL, mínimo de 75,0%.</t>
        </is>
      </c>
      <c r="CA21" s="75" t="inlineStr">
        <is>
          <t>originador; cedente; sacado/devedor; tipo de recebível</t>
        </is>
      </c>
      <c r="CB21" s="75" t="inlineStr">
        <is>
          <t>estrutura_incomparavel</t>
        </is>
      </c>
    </row>
    <row r="22" ht="31.5" customHeight="1">
      <c r="A22" s="74" t="n">
        <v>18</v>
      </c>
      <c r="B22" s="138" t="n">
        <v>45523699000102</v>
      </c>
      <c r="C22" s="74" t="inlineStr">
        <is>
          <t>45.523.699/0001-02</t>
        </is>
      </c>
      <c r="D22" s="74" t="inlineStr">
        <is>
          <t>VIXTRA FUNDO DE INVESTIMENTO EM DIREITOS CREDITÓRIOS RESPONSABILIDADE LIMITADA</t>
        </is>
      </c>
      <c r="E22" s="74" t="inlineStr">
        <is>
          <t>VIXTRA FUNDO DE INVE E D C RL</t>
        </is>
      </c>
      <c r="F22" s="74" t="inlineStr">
        <is>
          <t>Carteira 101</t>
        </is>
      </c>
      <c r="G22" s="74" t="inlineStr">
        <is>
          <t>2026-08</t>
        </is>
      </c>
      <c r="H22" s="74" t="inlineStr">
        <is>
          <t>localizado</t>
        </is>
      </c>
      <c r="I22" s="139" t="n">
        <v>249320835.66</v>
      </c>
      <c r="J22" s="139" t="n">
        <v>249320835.6550394</v>
      </c>
      <c r="K22" s="139" t="n">
        <v>89160661.37900165</v>
      </c>
      <c r="L22" s="140" t="n">
        <v>0.3576141606575973</v>
      </c>
      <c r="M22" s="74" t="inlineStr">
        <is>
          <t>Calculado com classes reportadas e PL oficial reconciliado</t>
        </is>
      </c>
      <c r="N22" s="140" t="n">
        <v>0.1</v>
      </c>
      <c r="O22" s="140" t="inlineStr">
        <is>
          <t>N/D</t>
        </is>
      </c>
      <c r="P22" s="140" t="inlineStr">
        <is>
          <t>N/D</t>
        </is>
      </c>
      <c r="Q22" s="140" t="inlineStr">
        <is>
          <t>N/D</t>
        </is>
      </c>
      <c r="R22" s="140" t="inlineStr">
        <is>
          <t>N/D</t>
        </is>
      </c>
      <c r="S22" s="140" t="n">
        <v>0.1</v>
      </c>
      <c r="T22" s="74" t="inlineStr">
        <is>
          <t>N/D</t>
        </is>
      </c>
      <c r="U22" s="74" t="inlineStr">
        <is>
          <t>junior_pl</t>
        </is>
      </c>
      <c r="V22" s="74" t="inlineStr">
        <is>
          <t>direto no regulamento</t>
        </is>
      </c>
      <c r="W22" s="74" t="b">
        <v>0</v>
      </c>
      <c r="X22" s="74" t="inlineStr">
        <is>
          <t>Mínimo júnior isolado; a subordinação atual disponível agrega todas as classes subordinadas.</t>
        </is>
      </c>
      <c r="Y22" s="74" t="b">
        <v>0</v>
      </c>
      <c r="Z22" s="140" t="inlineStr">
        <is>
          <t>N/D</t>
        </is>
      </c>
      <c r="AA22" s="140" t="inlineStr">
        <is>
          <t>N/D</t>
        </is>
      </c>
      <c r="AB22" s="74" t="inlineStr">
        <is>
          <t>não medido</t>
        </is>
      </c>
      <c r="AC22" s="74" t="inlineStr">
        <is>
          <t>Agro, Indústria e Comércio</t>
        </is>
      </c>
      <c r="AD22" s="74" t="inlineStr">
        <is>
          <t>Recebíveis Comerciais</t>
        </is>
      </c>
      <c r="AE22" s="74" t="inlineStr">
        <is>
          <t>Agro / Revenda</t>
        </is>
      </c>
      <c r="AF22" s="74" t="inlineStr">
        <is>
          <t>Agro / Revenda</t>
        </is>
      </c>
      <c r="AG22" s="74" t="inlineStr">
        <is>
          <t>Agro / Revenda</t>
        </is>
      </c>
      <c r="AH22" s="74" t="inlineStr">
        <is>
          <t>Agro / Revenda</t>
        </is>
      </c>
      <c r="AI22" s="74" t="inlineStr">
        <is>
          <t>Trade finance / recebíveis comerciais</t>
        </is>
      </c>
      <c r="AJ22" s="74" t="b">
        <v>0</v>
      </c>
      <c r="AK22" s="74" t="inlineStr">
        <is>
          <t>PENDENTE_FONTE_PRIMARIA</t>
        </is>
      </c>
      <c r="AL22" s="74" t="inlineStr">
        <is>
          <t>Planilha informa FIDC Trading, sem cláusula primária de lastro</t>
        </is>
      </c>
      <c r="AM22" s="74" t="inlineStr">
        <is>
          <t>IMG_8704</t>
        </is>
      </c>
      <c r="AN22" s="74" t="inlineStr">
        <is>
          <t>Candidato</t>
        </is>
      </c>
      <c r="AO22" s="74" t="inlineStr">
        <is>
          <t>IMG_8704</t>
        </is>
      </c>
      <c r="AP22" s="74" t="inlineStr">
        <is>
          <t>N/D</t>
        </is>
      </c>
      <c r="AQ22" s="74" t="inlineStr">
        <is>
          <t>Agro / Revenda</t>
        </is>
      </c>
      <c r="AR22" s="74" t="inlineStr">
        <is>
          <t>Agro / Revenda</t>
        </is>
      </c>
      <c r="AS22" s="74" t="b">
        <v>0</v>
      </c>
      <c r="AT22" s="74" t="inlineStr">
        <is>
          <t>N/D</t>
        </is>
      </c>
      <c r="AU22" s="74" t="inlineStr">
        <is>
          <t>N/D</t>
        </is>
      </c>
      <c r="AV22" s="74" t="inlineStr">
        <is>
          <t>35%–60%</t>
        </is>
      </c>
      <c r="AW22" s="74" t="b">
        <v>1</v>
      </c>
      <c r="AX22" s="74" t="inlineStr">
        <is>
          <t>incomparável</t>
        </is>
      </c>
      <c r="AY22" s="74" t="inlineStr">
        <is>
          <t>sem benchmark confiável</t>
        </is>
      </c>
      <c r="AZ22" s="140" t="inlineStr">
        <is>
          <t>N/D</t>
        </is>
      </c>
      <c r="BA22" s="74" t="b">
        <v>0</v>
      </c>
      <c r="BB22" s="141" t="n">
        <v>0</v>
      </c>
      <c r="BC22" s="139" t="n">
        <v>1000</v>
      </c>
      <c r="BD22" s="74" t="inlineStr">
        <is>
          <t>R$ 1.000,00</t>
        </is>
      </c>
      <c r="BE22" s="74" t="inlineStr">
        <is>
          <t>preço/valor unitário de emissão</t>
        </is>
      </c>
      <c r="BF22" s="74" t="inlineStr">
        <is>
          <t>N/D</t>
        </is>
      </c>
      <c r="BG22" s="74" t="inlineStr">
        <is>
          <t>2025-10-30</t>
        </is>
      </c>
      <c r="BH22" s="74" t="inlineStr">
        <is>
          <t>1024756</t>
        </is>
      </c>
      <c r="BI22" s="74" t="inlineStr">
        <is>
          <t>https://fnet.bmfbovespa.com.br/fnet/publico/downloadDocumento?id=1024756</t>
        </is>
      </c>
      <c r="BJ22" s="74" t="inlineStr">
        <is>
          <t>localizado documentalmente</t>
        </is>
      </c>
      <c r="BK22" s="74" t="b">
        <v>1</v>
      </c>
      <c r="BL22" s="74" t="inlineStr">
        <is>
          <t>Vixtra Tecnologia e Serviços Financeiros</t>
        </is>
      </c>
      <c r="BM22" s="74" t="inlineStr">
        <is>
          <t>cedente</t>
        </is>
      </c>
      <c r="BN22" s="74" t="inlineStr">
        <is>
          <t>N/D</t>
        </is>
      </c>
      <c r="BO22" s="74" t="inlineStr">
        <is>
          <t>Vixtra Tecnologia e Serviços Financeiros</t>
        </is>
      </c>
      <c r="BP22" s="74" t="inlineStr">
        <is>
          <t>N/D</t>
        </is>
      </c>
      <c r="BQ22" s="74" t="inlineStr">
        <is>
          <t>FIDC Trading</t>
        </is>
      </c>
      <c r="BR22" s="74" t="inlineStr">
        <is>
          <t>cedente: IMG_8704.JPG | tipo_recebivel: IMG_8704.JPG</t>
        </is>
      </c>
      <c r="BS22" s="74" t="inlineStr">
        <is>
          <t>manual_aplicado</t>
        </is>
      </c>
      <c r="BT22" s="74" t="inlineStr">
        <is>
          <t>N/D</t>
        </is>
      </c>
      <c r="BU22" s="74" t="inlineStr">
        <is>
          <t>1024756</t>
        </is>
      </c>
      <c r="BV22" s="74" t="inlineStr">
        <is>
          <t>2025-10-30</t>
        </is>
      </c>
      <c r="BW22" s="74" t="inlineStr">
        <is>
          <t>26</t>
        </is>
      </c>
      <c r="BX22" s="74" t="inlineStr">
        <is>
          <t>revisto — mínimo júnior localizado</t>
        </is>
      </c>
      <c r="BY22" s="74" t="inlineStr">
        <is>
          <t>FundosNet/B3; documento 1024756; referência 2025-10-30; p. 26</t>
        </is>
      </c>
      <c r="BZ22" s="74" t="inlineStr">
        <is>
          <t>Cotas subordinadas júnior / PL, mínimo de 10,0%.</t>
        </is>
      </c>
      <c r="CA22" s="74" t="inlineStr">
        <is>
          <t>originador; sacado/devedor</t>
        </is>
      </c>
      <c r="CB22" s="74" t="inlineStr">
        <is>
          <t>estrutura_incomparavel</t>
        </is>
      </c>
    </row>
    <row r="23" ht="31.5" customHeight="1">
      <c r="A23" s="75" t="n">
        <v>19</v>
      </c>
      <c r="B23" s="142" t="n">
        <v>54083697000130</v>
      </c>
      <c r="C23" s="75" t="inlineStr">
        <is>
          <t>54.083.697/0001-30</t>
        </is>
      </c>
      <c r="D23" s="75" t="inlineStr">
        <is>
          <t>PERNAMBUCANAS FIDC DE RESPONSABILIDADE LIMITADA</t>
        </is>
      </c>
      <c r="E23" s="75" t="inlineStr">
        <is>
          <t>PERNAMBUCANAS FIDC DE RESPONSABILIDADE LIMITADA</t>
        </is>
      </c>
      <c r="F23" s="75" t="inlineStr">
        <is>
          <t>Carteira 101</t>
        </is>
      </c>
      <c r="G23" s="75" t="inlineStr">
        <is>
          <t>2026-08</t>
        </is>
      </c>
      <c r="H23" s="75" t="inlineStr">
        <is>
          <t>localizado</t>
        </is>
      </c>
      <c r="I23" s="143" t="n">
        <v>228990981.18</v>
      </c>
      <c r="J23" s="143" t="n">
        <v>228990981.1799838</v>
      </c>
      <c r="K23" s="143" t="n">
        <v>24439726.82998375</v>
      </c>
      <c r="L23" s="144" t="n">
        <v>0.1067279012651277</v>
      </c>
      <c r="M23" s="75" t="inlineStr">
        <is>
          <t>Calculado com classes reportadas e PL oficial reconciliado</t>
        </is>
      </c>
      <c r="N23" s="144" t="n">
        <v>0.1</v>
      </c>
      <c r="O23" s="144" t="inlineStr">
        <is>
          <t>N/D</t>
        </is>
      </c>
      <c r="P23" s="144" t="inlineStr">
        <is>
          <t>N/D</t>
        </is>
      </c>
      <c r="Q23" s="144" t="n">
        <v>0.1</v>
      </c>
      <c r="R23" s="144" t="inlineStr">
        <is>
          <t>N/D</t>
        </is>
      </c>
      <c r="S23" s="144" t="n">
        <v>0.1</v>
      </c>
      <c r="T23" s="75" t="inlineStr">
        <is>
          <t>10,0%</t>
        </is>
      </c>
      <c r="U23" s="75" t="inlineStr">
        <is>
          <t>junior_pl</t>
        </is>
      </c>
      <c r="V23" s="75" t="inlineStr">
        <is>
          <t>direto no regulamento</t>
        </is>
      </c>
      <c r="W23" s="75" t="b">
        <v>1</v>
      </c>
      <c r="X23" s="75" t="inlineStr">
        <is>
          <t>Estrutura com uma única classe subordinada; métrica atual e piso usam o total subordinado sobre o PL.</t>
        </is>
      </c>
      <c r="Y23" s="75" t="b">
        <v>0</v>
      </c>
      <c r="Z23" s="144" t="n">
        <v>0.006727901265127664</v>
      </c>
      <c r="AA23" s="144" t="n">
        <v>0.007475445850141849</v>
      </c>
      <c r="AB23" s="75" t="inlineStr">
        <is>
          <t>folga estreita</t>
        </is>
      </c>
      <c r="AC23" s="75" t="inlineStr">
        <is>
          <t>Agro, Indústria e Comércio</t>
        </is>
      </c>
      <c r="AD23" s="75" t="inlineStr">
        <is>
          <t>Multicarteira Agro, Indústria e Comércio</t>
        </is>
      </c>
      <c r="AE23" s="75" t="inlineStr">
        <is>
          <t>Agro / Revenda</t>
        </is>
      </c>
      <c r="AF23" s="75" t="inlineStr">
        <is>
          <t>Agro / Revenda</t>
        </is>
      </c>
      <c r="AG23" s="75" t="inlineStr">
        <is>
          <t>Agro / Revenda</t>
        </is>
      </c>
      <c r="AH23" s="75" t="inlineStr">
        <is>
          <t>Adquirência</t>
        </is>
      </c>
      <c r="AI23" s="75" t="inlineStr">
        <is>
          <t>Recebíveis de transações de pagamento Pernambucanas</t>
        </is>
      </c>
      <c r="AJ23" s="75" t="b">
        <v>1</v>
      </c>
      <c r="AK23" s="75" t="inlineStr">
        <is>
          <t>APLICAR_ALTA</t>
        </is>
      </c>
      <c r="AL23" s="75" t="inlineStr">
        <is>
          <t>Contratos de adquirência, bandeiras, emissores e transações de pagamento</t>
        </is>
      </c>
      <c r="AM23" s="75" t="inlineStr">
        <is>
          <t>regulamento 640301, 119 páginas</t>
        </is>
      </c>
      <c r="AN23" s="75" t="inlineStr">
        <is>
          <t>Não</t>
        </is>
      </c>
      <c r="AO23" s="75" t="inlineStr">
        <is>
          <t>regulamento 640301, 119 páginas</t>
        </is>
      </c>
      <c r="AP23" s="75" t="b">
        <v>0</v>
      </c>
      <c r="AQ23" s="75" t="inlineStr">
        <is>
          <t>Adquirência</t>
        </is>
      </c>
      <c r="AR23" s="75" t="inlineStr">
        <is>
          <t>Agro / Revenda</t>
        </is>
      </c>
      <c r="AS23" s="75" t="b">
        <v>1</v>
      </c>
      <c r="AT23" s="75" t="inlineStr">
        <is>
          <t>regulamento 640301, 119 páginas</t>
        </is>
      </c>
      <c r="AU23" s="75" t="inlineStr">
        <is>
          <t>Contratos de adquirência, bandeiras, emissores e transações de pagamento</t>
        </is>
      </c>
      <c r="AV23" s="75" t="inlineStr">
        <is>
          <t>10%–15%</t>
        </is>
      </c>
      <c r="AW23" s="75" t="b">
        <v>1</v>
      </c>
      <c r="AX23" s="75" t="inlineStr">
        <is>
          <t>até 2 p.p. acima</t>
        </is>
      </c>
      <c r="AY23" s="75" t="inlineStr">
        <is>
          <t>sem benchmark confiável</t>
        </is>
      </c>
      <c r="AZ23" s="144" t="inlineStr">
        <is>
          <t>N/D</t>
        </is>
      </c>
      <c r="BA23" s="75" t="b">
        <v>0</v>
      </c>
      <c r="BB23" s="145" t="n">
        <v>0</v>
      </c>
      <c r="BC23" s="143" t="inlineStr">
        <is>
          <t>N/D</t>
        </is>
      </c>
      <c r="BD23" s="75" t="inlineStr">
        <is>
          <t>N/D</t>
        </is>
      </c>
      <c r="BE23" s="75" t="inlineStr">
        <is>
          <t>N/D</t>
        </is>
      </c>
      <c r="BF23" s="75" t="inlineStr">
        <is>
          <t>N/D</t>
        </is>
      </c>
      <c r="BG23" s="75" t="inlineStr">
        <is>
          <t>N/D</t>
        </is>
      </c>
      <c r="BH23" s="75" t="inlineStr">
        <is>
          <t>N/D</t>
        </is>
      </c>
      <c r="BI23" s="75" t="inlineStr">
        <is>
          <t>N/D</t>
        </is>
      </c>
      <c r="BJ23" s="75" t="inlineStr">
        <is>
          <t>não localizado</t>
        </is>
      </c>
      <c r="BK23" s="75" t="b">
        <v>0</v>
      </c>
      <c r="BL23" s="75" t="inlineStr">
        <is>
          <t>Pernambucanas</t>
        </is>
      </c>
      <c r="BM23" s="75" t="inlineStr">
        <is>
          <t>cedente</t>
        </is>
      </c>
      <c r="BN23" s="75" t="inlineStr">
        <is>
          <t>N/D</t>
        </is>
      </c>
      <c r="BO23" s="75" t="inlineStr">
        <is>
          <t>a ARTHUR LUNDGREN TECIDOS S.A CASAS PERNAMBUCANAS, sociedade anônima, sem registro de companhia aberta perante à CVM, com sede na Cidade de São Paulo, Estado de São Paulo, na Rua da Consolação, 2.411, 2387, Consolação, CEP 01301-100, inscrita no CNPJ sob o nº 61.09 9.834/0001-90, sendo certo que transações realizadas sob o CNPJ de quaisquer filiais estão abrangidas nesta definição</t>
        </is>
      </c>
      <c r="BP23" s="75" t="inlineStr">
        <is>
          <t>N/D</t>
        </is>
      </c>
      <c r="BQ23" s="75" t="inlineStr">
        <is>
          <t>N/D</t>
        </is>
      </c>
      <c r="BR23" s="75" t="inlineStr">
        <is>
          <t>cedente: https://fnet.bmfbovespa.com.br/fnet/publico/downloadDocumento?id=628851</t>
        </is>
      </c>
      <c r="BS23" s="75" t="inlineStr">
        <is>
          <t>manual_aplicado</t>
        </is>
      </c>
      <c r="BT23" s="75" t="inlineStr">
        <is>
          <t>N/D</t>
        </is>
      </c>
      <c r="BU23" s="75" t="inlineStr">
        <is>
          <t>640301</t>
        </is>
      </c>
      <c r="BV23" s="75" t="inlineStr">
        <is>
          <t>2024-04-12</t>
        </is>
      </c>
      <c r="BW23" s="75" t="inlineStr">
        <is>
          <t>84</t>
        </is>
      </c>
      <c r="BX23" s="75" t="inlineStr">
        <is>
          <t>revisto — mínimo júnior localizado</t>
        </is>
      </c>
      <c r="BY23" s="75" t="inlineStr">
        <is>
          <t>FundosNet/B3; documento 640301; referência 2024-04-12; p. 84</t>
        </is>
      </c>
      <c r="BZ23" s="75" t="inlineStr">
        <is>
          <t>Cotas subordinadas júnior / PL, mínimo de 10,0%.</t>
        </is>
      </c>
      <c r="CA23" s="75" t="inlineStr">
        <is>
          <t>preço unitário da cota; originador; sacado/devedor; tipo de recebível</t>
        </is>
      </c>
      <c r="CB23" s="75" t="inlineStr">
        <is>
          <t>completo_para_folga</t>
        </is>
      </c>
    </row>
    <row r="24" ht="31.5" customHeight="1">
      <c r="A24" s="74" t="n">
        <v>20</v>
      </c>
      <c r="B24" s="138" t="n">
        <v>56936116000191</v>
      </c>
      <c r="C24" s="74" t="inlineStr">
        <is>
          <t>56.936.116/0001-91</t>
        </is>
      </c>
      <c r="D24" s="74" t="inlineStr">
        <is>
          <t>FATOR TARKEN FIAGRO</t>
        </is>
      </c>
      <c r="E24" s="74" t="inlineStr">
        <is>
          <t>FATOR TARKEN FUNDO DE INVESTIMENTO EM DIREITOS CRE</t>
        </is>
      </c>
      <c r="F24" s="74" t="inlineStr">
        <is>
          <t>Carteira 101</t>
        </is>
      </c>
      <c r="G24" s="74" t="inlineStr">
        <is>
          <t>2026-08</t>
        </is>
      </c>
      <c r="H24" s="74" t="inlineStr">
        <is>
          <t>localizado</t>
        </is>
      </c>
      <c r="I24" s="139" t="inlineStr">
        <is>
          <t>N/D</t>
        </is>
      </c>
      <c r="J24" s="139" t="inlineStr">
        <is>
          <t>N/D</t>
        </is>
      </c>
      <c r="K24" s="139" t="inlineStr">
        <is>
          <t>N/D</t>
        </is>
      </c>
      <c r="L24" s="140" t="inlineStr">
        <is>
          <t>N/D</t>
        </is>
      </c>
      <c r="M24" s="74" t="inlineStr">
        <is>
          <t>PL oficial ausente em 2026-08</t>
        </is>
      </c>
      <c r="N24" s="140" t="n">
        <v>0.03</v>
      </c>
      <c r="O24" s="140" t="inlineStr">
        <is>
          <t>N/D</t>
        </is>
      </c>
      <c r="P24" s="140" t="inlineStr">
        <is>
          <t>N/D</t>
        </is>
      </c>
      <c r="Q24" s="140" t="inlineStr">
        <is>
          <t>N/D</t>
        </is>
      </c>
      <c r="R24" s="140" t="inlineStr">
        <is>
          <t>N/D</t>
        </is>
      </c>
      <c r="S24" s="140" t="n">
        <v>0.03</v>
      </c>
      <c r="T24" s="74" t="inlineStr">
        <is>
          <t>N/D</t>
        </is>
      </c>
      <c r="U24" s="74" t="inlineStr">
        <is>
          <t>junior_pl</t>
        </is>
      </c>
      <c r="V24" s="74" t="inlineStr">
        <is>
          <t>direto no regulamento</t>
        </is>
      </c>
      <c r="W24" s="74" t="b">
        <v>0</v>
      </c>
      <c r="X24" s="74" t="inlineStr">
        <is>
          <t>Mínimo júnior isolado; a subordinação atual disponível agrega todas as classes subordinadas.</t>
        </is>
      </c>
      <c r="Y24" s="74" t="b">
        <v>0</v>
      </c>
      <c r="Z24" s="140" t="inlineStr">
        <is>
          <t>N/D</t>
        </is>
      </c>
      <c r="AA24" s="140" t="inlineStr">
        <is>
          <t>N/D</t>
        </is>
      </c>
      <c r="AB24" s="74" t="inlineStr">
        <is>
          <t>não medido</t>
        </is>
      </c>
      <c r="AC24" s="74" t="inlineStr">
        <is>
          <t>Agro, Indústria e Comércio</t>
        </is>
      </c>
      <c r="AD24" s="74" t="inlineStr">
        <is>
          <t>Recebíveis Comerciais</t>
        </is>
      </c>
      <c r="AE24" s="74" t="inlineStr">
        <is>
          <t>Agro / Revenda</t>
        </is>
      </c>
      <c r="AF24" s="74" t="inlineStr">
        <is>
          <t>Agro / Revenda</t>
        </is>
      </c>
      <c r="AG24" s="74" t="inlineStr">
        <is>
          <t>Agro / Revenda</t>
        </is>
      </c>
      <c r="AH24" s="74" t="inlineStr">
        <is>
          <t>Agro / Revenda</t>
        </is>
      </c>
      <c r="AI24" s="74" t="inlineStr">
        <is>
          <t>Multicedente/multisacado, recebível comercial a confirmar</t>
        </is>
      </c>
      <c r="AJ24" s="74" t="b">
        <v>0</v>
      </c>
      <c r="AK24" s="74" t="inlineStr">
        <is>
          <t>PENDENTE_TIPO_LASTRO</t>
        </is>
      </c>
      <c r="AL24" s="74" t="inlineStr">
        <is>
          <t>Cedentes e devedores genéricos, sem natureza contratual isolada</t>
        </is>
      </c>
      <c r="AM24" s="74" t="inlineStr">
        <is>
          <t>documento 950915 + regulamento 1023213</t>
        </is>
      </c>
      <c r="AN24" s="74" t="inlineStr">
        <is>
          <t>Candidato</t>
        </is>
      </c>
      <c r="AO24" s="74" t="inlineStr">
        <is>
          <t>documento 950915 + regulamento 1023213</t>
        </is>
      </c>
      <c r="AP24" s="74" t="inlineStr">
        <is>
          <t>N/D</t>
        </is>
      </c>
      <c r="AQ24" s="74" t="inlineStr">
        <is>
          <t>Agro / Revenda</t>
        </is>
      </c>
      <c r="AR24" s="74" t="inlineStr">
        <is>
          <t>Agro / Revenda</t>
        </is>
      </c>
      <c r="AS24" s="74" t="b">
        <v>0</v>
      </c>
      <c r="AT24" s="74" t="inlineStr">
        <is>
          <t>N/D</t>
        </is>
      </c>
      <c r="AU24" s="74" t="inlineStr">
        <is>
          <t>N/D</t>
        </is>
      </c>
      <c r="AV24" s="74" t="inlineStr">
        <is>
          <t>N/D</t>
        </is>
      </c>
      <c r="AW24" s="74" t="b">
        <v>0</v>
      </c>
      <c r="AX24" s="74" t="inlineStr">
        <is>
          <t>N/D</t>
        </is>
      </c>
      <c r="AY24" s="74" t="inlineStr">
        <is>
          <t>sem benchmark confiável</t>
        </is>
      </c>
      <c r="AZ24" s="140" t="inlineStr">
        <is>
          <t>N/D</t>
        </is>
      </c>
      <c r="BA24" s="74" t="b">
        <v>0</v>
      </c>
      <c r="BB24" s="141" t="n">
        <v>0</v>
      </c>
      <c r="BC24" s="139" t="inlineStr">
        <is>
          <t>N/D</t>
        </is>
      </c>
      <c r="BD24" s="74" t="inlineStr">
        <is>
          <t>Cotas Subordinadas Júnior: R$ 658,96 | Cotas Subordinadas Mezanino: R$ 1.000,00</t>
        </is>
      </c>
      <c r="BE24" s="74" t="inlineStr">
        <is>
          <t>valor nominal unitário (VNU)</t>
        </is>
      </c>
      <c r="BF24" s="74" t="inlineStr">
        <is>
          <t>Cotas Subordinadas Júnior | Cotas Subordinadas Mezanino</t>
        </is>
      </c>
      <c r="BG24" s="74" t="inlineStr">
        <is>
          <t>06/11/2025</t>
        </is>
      </c>
      <c r="BH24" s="74" t="inlineStr">
        <is>
          <t>1030090</t>
        </is>
      </c>
      <c r="BI24" s="74" t="inlineStr">
        <is>
          <t>https://fnet.bmfbovespa.com.br/fnet/publico/downloadDocumento?id=1030090</t>
        </is>
      </c>
      <c r="BJ24" s="74" t="inlineStr">
        <is>
          <t>localizado documentalmente — múltiplos valores/classes</t>
        </is>
      </c>
      <c r="BK24" s="74" t="b">
        <v>1</v>
      </c>
      <c r="BL24" s="74" t="inlineStr">
        <is>
          <t>Multicedente</t>
        </is>
      </c>
      <c r="BM24" s="74" t="inlineStr">
        <is>
          <t>cedente</t>
        </is>
      </c>
      <c r="BN24" s="74" t="inlineStr">
        <is>
          <t>N/D</t>
        </is>
      </c>
      <c r="BO24" s="74" t="inlineStr">
        <is>
          <t>um titular de Direitos Creditórios , que realiza transferência do referido Direito Creditório ao Fundo</t>
        </is>
      </c>
      <c r="BP24" s="74" t="inlineStr">
        <is>
          <t>os devedores dos Direitos Creditórios</t>
        </is>
      </c>
      <c r="BQ24" s="74" t="inlineStr">
        <is>
          <t>N/D</t>
        </is>
      </c>
      <c r="BR24" s="74" t="inlineStr">
        <is>
          <t>cedente: https://fnet.bmfbovespa.com.br/fnet/publico/downloadDocumento?id=950915 | sacado_devedor: https://fnet.bmfbovespa.com.br/fnet/publico/downloadDocumento?id=950915</t>
        </is>
      </c>
      <c r="BS24" s="74" t="inlineStr">
        <is>
          <t>manual_aplicado</t>
        </is>
      </c>
      <c r="BT24" s="74" t="inlineStr">
        <is>
          <t>OBS da foto: conta com seguro de crédito. Denominação cortada.</t>
        </is>
      </c>
      <c r="BU24" s="74" t="inlineStr">
        <is>
          <t>1023213</t>
        </is>
      </c>
      <c r="BV24" s="74" t="inlineStr">
        <is>
          <t>2025-10-27</t>
        </is>
      </c>
      <c r="BW24" s="74" t="inlineStr">
        <is>
          <t>61</t>
        </is>
      </c>
      <c r="BX24" s="74" t="inlineStr">
        <is>
          <t>revisto — mínimo júnior localizado</t>
        </is>
      </c>
      <c r="BY24" s="74" t="inlineStr">
        <is>
          <t>FundosNet/B3; documento 1023213; referência 2025-10-27; p. 61</t>
        </is>
      </c>
      <c r="BZ24" s="74" t="inlineStr">
        <is>
          <t>Índice de Subordinação Mezanino: cotas júnior / PL, mínimo de 3,0%.</t>
        </is>
      </c>
      <c r="CA24" s="74" t="inlineStr">
        <is>
          <t>PL atual; Sub/PL atual; originador; tipo de recebível</t>
        </is>
      </c>
      <c r="CB24" s="74" t="inlineStr">
        <is>
          <t>sub_pl_atual_ausente</t>
        </is>
      </c>
    </row>
    <row r="25" ht="31.5" customHeight="1">
      <c r="A25" s="75" t="n">
        <v>21</v>
      </c>
      <c r="B25" s="142" t="n">
        <v>50089559000108</v>
      </c>
      <c r="C25" s="75" t="inlineStr">
        <is>
          <t>50.089.559/0001-08</t>
        </is>
      </c>
      <c r="D25" s="75" t="inlineStr">
        <is>
          <t>AGRICONNECTION FIAGRO</t>
        </is>
      </c>
      <c r="E25" s="75" t="inlineStr">
        <is>
          <t>AGRICONNECTION FIAGRO DIREITOS CREDITORIOS</t>
        </is>
      </c>
      <c r="F25" s="75" t="inlineStr">
        <is>
          <t>Carteira 101</t>
        </is>
      </c>
      <c r="G25" s="75" t="inlineStr">
        <is>
          <t>2026-08</t>
        </is>
      </c>
      <c r="H25" s="75" t="inlineStr">
        <is>
          <t>localizado</t>
        </is>
      </c>
      <c r="I25" s="143" t="inlineStr">
        <is>
          <t>N/D</t>
        </is>
      </c>
      <c r="J25" s="143" t="inlineStr">
        <is>
          <t>N/D</t>
        </is>
      </c>
      <c r="K25" s="143" t="inlineStr">
        <is>
          <t>N/D</t>
        </is>
      </c>
      <c r="L25" s="144" t="inlineStr">
        <is>
          <t>N/D</t>
        </is>
      </c>
      <c r="M25" s="75" t="inlineStr">
        <is>
          <t>PL oficial ausente em 2026-08</t>
        </is>
      </c>
      <c r="N25" s="144" t="n">
        <v>0.15</v>
      </c>
      <c r="O25" s="144" t="inlineStr">
        <is>
          <t>N/D</t>
        </is>
      </c>
      <c r="P25" s="144" t="inlineStr">
        <is>
          <t>N/D</t>
        </is>
      </c>
      <c r="Q25" s="144" t="inlineStr">
        <is>
          <t>N/D</t>
        </is>
      </c>
      <c r="R25" s="144" t="inlineStr">
        <is>
          <t>N/D</t>
        </is>
      </c>
      <c r="S25" s="144" t="n">
        <v>0.15</v>
      </c>
      <c r="T25" s="75" t="inlineStr">
        <is>
          <t>N/D</t>
        </is>
      </c>
      <c r="U25" s="75" t="inlineStr">
        <is>
          <t>junior_pl</t>
        </is>
      </c>
      <c r="V25" s="75" t="inlineStr">
        <is>
          <t>direto no regulamento</t>
        </is>
      </c>
      <c r="W25" s="75" t="b">
        <v>0</v>
      </c>
      <c r="X25" s="75" t="inlineStr">
        <is>
          <t>Mínimo júnior isolado; a subordinação atual disponível agrega todas as classes subordinadas.</t>
        </is>
      </c>
      <c r="Y25" s="75" t="b">
        <v>0</v>
      </c>
      <c r="Z25" s="144" t="inlineStr">
        <is>
          <t>N/D</t>
        </is>
      </c>
      <c r="AA25" s="144" t="inlineStr">
        <is>
          <t>N/D</t>
        </is>
      </c>
      <c r="AB25" s="75" t="inlineStr">
        <is>
          <t>não medido</t>
        </is>
      </c>
      <c r="AC25" s="75" t="inlineStr">
        <is>
          <t>Agro, Indústria e Comércio</t>
        </is>
      </c>
      <c r="AD25" s="75" t="inlineStr">
        <is>
          <t>Agronegócio</t>
        </is>
      </c>
      <c r="AE25" s="75" t="inlineStr">
        <is>
          <t>Agro / Revenda</t>
        </is>
      </c>
      <c r="AF25" s="75" t="inlineStr">
        <is>
          <t>Agro / Revenda</t>
        </is>
      </c>
      <c r="AG25" s="75" t="inlineStr">
        <is>
          <t>Agro / Revenda</t>
        </is>
      </c>
      <c r="AH25" s="75" t="inlineStr">
        <is>
          <t>Agro / Revenda</t>
        </is>
      </c>
      <c r="AI25" s="75" t="inlineStr">
        <is>
          <t>Insumos agrícolas, prazo safra</t>
        </is>
      </c>
      <c r="AJ25" s="75" t="b">
        <v>0</v>
      </c>
      <c r="AK25" s="75" t="inlineStr">
        <is>
          <t>MANTER_ALTA</t>
        </is>
      </c>
      <c r="AL25" s="75" t="inlineStr">
        <is>
          <t>Agriconnection e parceiros cedem créditos da cadeia agro</t>
        </is>
      </c>
      <c r="AM25" s="75" t="inlineStr">
        <is>
          <t>regulamento + IMG_8704</t>
        </is>
      </c>
      <c r="AN25" s="75" t="inlineStr">
        <is>
          <t>Não</t>
        </is>
      </c>
      <c r="AO25" s="75" t="inlineStr">
        <is>
          <t>regulamento + IMG_8704</t>
        </is>
      </c>
      <c r="AP25" s="75" t="b">
        <v>0</v>
      </c>
      <c r="AQ25" s="75" t="inlineStr">
        <is>
          <t>Agro / Revenda</t>
        </is>
      </c>
      <c r="AR25" s="75" t="inlineStr">
        <is>
          <t>Agro / Revenda</t>
        </is>
      </c>
      <c r="AS25" s="75" t="b">
        <v>0</v>
      </c>
      <c r="AT25" s="75" t="inlineStr">
        <is>
          <t>N/D</t>
        </is>
      </c>
      <c r="AU25" s="75" t="inlineStr">
        <is>
          <t>N/D</t>
        </is>
      </c>
      <c r="AV25" s="75" t="inlineStr">
        <is>
          <t>N/D</t>
        </is>
      </c>
      <c r="AW25" s="75" t="b">
        <v>0</v>
      </c>
      <c r="AX25" s="75" t="inlineStr">
        <is>
          <t>N/D</t>
        </is>
      </c>
      <c r="AY25" s="75" t="inlineStr">
        <is>
          <t>sem benchmark confiável</t>
        </is>
      </c>
      <c r="AZ25" s="144" t="inlineStr">
        <is>
          <t>N/D</t>
        </is>
      </c>
      <c r="BA25" s="75" t="b">
        <v>0</v>
      </c>
      <c r="BB25" s="145" t="n">
        <v>0</v>
      </c>
      <c r="BC25" s="143" t="n">
        <v>1000</v>
      </c>
      <c r="BD25" s="75" t="inlineStr">
        <is>
          <t>Cotas Subordinadas Júnior: R$1.000,00</t>
        </is>
      </c>
      <c r="BE25" s="75" t="inlineStr">
        <is>
          <t>valor nominal unitário (VNU)</t>
        </is>
      </c>
      <c r="BF25" s="75" t="inlineStr">
        <is>
          <t>Cotas Subordinadas Júnior</t>
        </is>
      </c>
      <c r="BG25" s="75" t="inlineStr">
        <is>
          <t>27/11/2024 11:00</t>
        </is>
      </c>
      <c r="BH25" s="75" t="inlineStr">
        <is>
          <t>789349</t>
        </is>
      </c>
      <c r="BI25" s="75" t="inlineStr">
        <is>
          <t>https://fnet.bmfbovespa.com.br/fnet/publico/downloadDocumento?id=789349</t>
        </is>
      </c>
      <c r="BJ25" s="75" t="inlineStr">
        <is>
          <t>localizado documentalmente</t>
        </is>
      </c>
      <c r="BK25" s="75" t="b">
        <v>0</v>
      </c>
      <c r="BL25" s="75" t="inlineStr">
        <is>
          <t>Agriconnection</t>
        </is>
      </c>
      <c r="BM25" s="75" t="inlineStr">
        <is>
          <t>cedente</t>
        </is>
      </c>
      <c r="BN25" s="75" t="inlineStr">
        <is>
          <t>N/D</t>
        </is>
      </c>
      <c r="BO25" s="75" t="inlineStr">
        <is>
          <t>a Agriconnection e, as Empresas do Grupo Econômico da Agriconnection, os Cedentes Parceiros A e os Cedentes Parceiros B quando mencionados em conjunto</t>
        </is>
      </c>
      <c r="BP25" s="75" t="inlineStr">
        <is>
          <t>os devedores dos Direitos Creditórios, os quais são clientes de uma das Cedentes</t>
        </is>
      </c>
      <c r="BQ25" s="75" t="inlineStr">
        <is>
          <t>Insumos Agrícolas - prazo Safra</t>
        </is>
      </c>
      <c r="BR25" s="75" t="inlineStr">
        <is>
          <t>cedente: https://fnet.bmfbovespa.com.br/fnet/publico/downloadDocumento?id=882388 | sacado_devedor: https://fnet.bmfbovespa.com.br/fnet/publico/downloadDocumento?id=999633 | tipo_recebivel: IMG_8704.JPG</t>
        </is>
      </c>
      <c r="BS25" s="75" t="inlineStr">
        <is>
          <t>manual_aplicado</t>
        </is>
      </c>
      <c r="BT25" s="75" t="inlineStr">
        <is>
          <t>N/D</t>
        </is>
      </c>
      <c r="BU25" s="75" t="inlineStr">
        <is>
          <t>999633</t>
        </is>
      </c>
      <c r="BV25" s="75" t="inlineStr">
        <is>
          <t>2025-09-26</t>
        </is>
      </c>
      <c r="BW25" s="75" t="inlineStr">
        <is>
          <t>52</t>
        </is>
      </c>
      <c r="BX25" s="75" t="inlineStr">
        <is>
          <t>revisto — mínimo júnior localizado</t>
        </is>
      </c>
      <c r="BY25" s="75" t="inlineStr">
        <is>
          <t>FundosNet/B3; documento 999633; referência 2025-09-26; p. 52</t>
        </is>
      </c>
      <c r="BZ25" s="75" t="inlineStr">
        <is>
          <t>Índice de Subordinação Júnior: cotas júnior / PL, mínimo de 15,0%.</t>
        </is>
      </c>
      <c r="CA25" s="75" t="inlineStr">
        <is>
          <t>PL atual; Sub/PL atual; originador</t>
        </is>
      </c>
      <c r="CB25" s="75" t="inlineStr">
        <is>
          <t>sub_pl_atual_ausente</t>
        </is>
      </c>
    </row>
    <row r="26" ht="31.5" customHeight="1">
      <c r="A26" s="74" t="n">
        <v>22</v>
      </c>
      <c r="B26" s="138" t="n">
        <v>57131490000182</v>
      </c>
      <c r="C26" s="74" t="inlineStr">
        <is>
          <t>57.131.490/0001-82</t>
        </is>
      </c>
      <c r="D26" s="74" t="inlineStr">
        <is>
          <t>PONTO RURAL FIAGRO RESPONSABILIDADE LIMITADA</t>
        </is>
      </c>
      <c r="E26" s="74" t="inlineStr">
        <is>
          <t>PONTO RURAL FIAGRO FIDC LTDA</t>
        </is>
      </c>
      <c r="F26" s="74" t="inlineStr">
        <is>
          <t>Carteira 101</t>
        </is>
      </c>
      <c r="G26" s="74" t="inlineStr">
        <is>
          <t>2026-08</t>
        </is>
      </c>
      <c r="H26" s="74" t="inlineStr">
        <is>
          <t>localizado</t>
        </is>
      </c>
      <c r="I26" s="139" t="inlineStr">
        <is>
          <t>N/D</t>
        </is>
      </c>
      <c r="J26" s="139" t="inlineStr">
        <is>
          <t>N/D</t>
        </is>
      </c>
      <c r="K26" s="139" t="inlineStr">
        <is>
          <t>N/D</t>
        </is>
      </c>
      <c r="L26" s="140" t="inlineStr">
        <is>
          <t>N/D</t>
        </is>
      </c>
      <c r="M26" s="74" t="inlineStr">
        <is>
          <t>PL oficial ausente em 2026-08</t>
        </is>
      </c>
      <c r="N26" s="140" t="inlineStr">
        <is>
          <t>N/D</t>
        </is>
      </c>
      <c r="O26" s="140" t="inlineStr">
        <is>
          <t>N/D</t>
        </is>
      </c>
      <c r="P26" s="140" t="inlineStr">
        <is>
          <t>N/D</t>
        </is>
      </c>
      <c r="Q26" s="140" t="n">
        <v>0.5</v>
      </c>
      <c r="R26" s="140" t="inlineStr">
        <is>
          <t>N/D</t>
        </is>
      </c>
      <c r="S26" s="140" t="n">
        <v>0.5</v>
      </c>
      <c r="T26" s="74" t="inlineStr">
        <is>
          <t>50,0%*</t>
        </is>
      </c>
      <c r="U26" s="74" t="inlineStr">
        <is>
          <t>suporte_total_pl</t>
        </is>
      </c>
      <c r="V26" s="74" t="inlineStr">
        <is>
          <t>direto no regulamento</t>
        </is>
      </c>
      <c r="W26" s="74" t="b">
        <v>1</v>
      </c>
      <c r="X26" s="74" t="inlineStr">
        <is>
          <t>Suporte total ou combinado; não representa mínimo júnior isolado.</t>
        </is>
      </c>
      <c r="Y26" s="74" t="b">
        <v>1</v>
      </c>
      <c r="Z26" s="140" t="inlineStr">
        <is>
          <t>N/D</t>
        </is>
      </c>
      <c r="AA26" s="140" t="inlineStr">
        <is>
          <t>N/D</t>
        </is>
      </c>
      <c r="AB26" s="74" t="inlineStr">
        <is>
          <t>não medido</t>
        </is>
      </c>
      <c r="AC26" s="74" t="inlineStr">
        <is>
          <t>Agro, Indústria e Comércio</t>
        </is>
      </c>
      <c r="AD26" s="74" t="inlineStr">
        <is>
          <t>Recebíveis Comerciais</t>
        </is>
      </c>
      <c r="AE26" s="74" t="inlineStr">
        <is>
          <t>Agro / Revenda</t>
        </is>
      </c>
      <c r="AF26" s="74" t="inlineStr">
        <is>
          <t>Agro / Revenda</t>
        </is>
      </c>
      <c r="AG26" s="74" t="inlineStr">
        <is>
          <t>Agro / Revenda</t>
        </is>
      </c>
      <c r="AH26" s="74" t="inlineStr">
        <is>
          <t>Agro / Revenda</t>
        </is>
      </c>
      <c r="AI26" s="74" t="inlineStr">
        <is>
          <t>Insumos agrícolas, prazo safra</t>
        </is>
      </c>
      <c r="AJ26" s="74" t="b">
        <v>0</v>
      </c>
      <c r="AK26" s="74" t="inlineStr">
        <is>
          <t>MANTER_ALTA</t>
        </is>
      </c>
      <c r="AL26" s="74" t="inlineStr">
        <is>
          <t>Ponto Rural e grupo cedem créditos de clientes agro</t>
        </is>
      </c>
      <c r="AM26" s="74" t="inlineStr">
        <is>
          <t>regulamento + IMG_8704</t>
        </is>
      </c>
      <c r="AN26" s="74" t="inlineStr">
        <is>
          <t>Não</t>
        </is>
      </c>
      <c r="AO26" s="74" t="inlineStr">
        <is>
          <t>regulamento + IMG_8704</t>
        </is>
      </c>
      <c r="AP26" s="74" t="b">
        <v>0</v>
      </c>
      <c r="AQ26" s="74" t="inlineStr">
        <is>
          <t>Agro / Revenda</t>
        </is>
      </c>
      <c r="AR26" s="74" t="inlineStr">
        <is>
          <t>Agro / Revenda</t>
        </is>
      </c>
      <c r="AS26" s="74" t="b">
        <v>0</v>
      </c>
      <c r="AT26" s="74" t="inlineStr">
        <is>
          <t>N/D</t>
        </is>
      </c>
      <c r="AU26" s="74" t="inlineStr">
        <is>
          <t>N/D</t>
        </is>
      </c>
      <c r="AV26" s="74" t="inlineStr">
        <is>
          <t>N/D</t>
        </is>
      </c>
      <c r="AW26" s="74" t="b">
        <v>0</v>
      </c>
      <c r="AX26" s="74" t="inlineStr">
        <is>
          <t>N/D</t>
        </is>
      </c>
      <c r="AY26" s="74" t="inlineStr">
        <is>
          <t>sem benchmark confiável</t>
        </is>
      </c>
      <c r="AZ26" s="140" t="inlineStr">
        <is>
          <t>N/D</t>
        </is>
      </c>
      <c r="BA26" s="74" t="b">
        <v>0</v>
      </c>
      <c r="BB26" s="141" t="n">
        <v>0</v>
      </c>
      <c r="BC26" s="139" t="inlineStr">
        <is>
          <t>N/D</t>
        </is>
      </c>
      <c r="BD26" s="74" t="inlineStr">
        <is>
          <t>N/D</t>
        </is>
      </c>
      <c r="BE26" s="74" t="inlineStr">
        <is>
          <t>N/D</t>
        </is>
      </c>
      <c r="BF26" s="74" t="inlineStr">
        <is>
          <t>N/D</t>
        </is>
      </c>
      <c r="BG26" s="74" t="inlineStr">
        <is>
          <t>N/D</t>
        </is>
      </c>
      <c r="BH26" s="74" t="inlineStr">
        <is>
          <t>N/D</t>
        </is>
      </c>
      <c r="BI26" s="74" t="inlineStr">
        <is>
          <t>N/D</t>
        </is>
      </c>
      <c r="BJ26" s="74" t="inlineStr">
        <is>
          <t>não localizado</t>
        </is>
      </c>
      <c r="BK26" s="74" t="b">
        <v>0</v>
      </c>
      <c r="BL26" s="74" t="inlineStr">
        <is>
          <t>PONTO RURAL</t>
        </is>
      </c>
      <c r="BM26" s="74" t="inlineStr">
        <is>
          <t>cedente</t>
        </is>
      </c>
      <c r="BN26" s="74" t="inlineStr">
        <is>
          <t>N/D</t>
        </is>
      </c>
      <c r="BO26" s="74" t="inlineStr">
        <is>
          <t>a Ponto Rural e as Empresas do Grupo Econômico da Ponto Rural, quando mencionadas em conjunto</t>
        </is>
      </c>
      <c r="BP26" s="74" t="inlineStr">
        <is>
          <t>os devedores dos Direitos Creditórios , os quais são clientes de uma das Cedentes</t>
        </is>
      </c>
      <c r="BQ26" s="74" t="inlineStr">
        <is>
          <t>Insumos Agrícolas - prazo Safra</t>
        </is>
      </c>
      <c r="BR26" s="74" t="inlineStr">
        <is>
          <t>cedente: https://fnet.bmfbovespa.com.br/fnet/publico/downloadDocumento?id=995970 | sacado_devedor: https://fnet.bmfbovespa.com.br/fnet/publico/downloadDocumento?id=995970 | tipo_recebivel: IMG_8704.JPG</t>
        </is>
      </c>
      <c r="BS26" s="74" t="inlineStr">
        <is>
          <t>manual_aplicado</t>
        </is>
      </c>
      <c r="BT26" s="74" t="inlineStr">
        <is>
          <t>N/D</t>
        </is>
      </c>
      <c r="BU26" s="74" t="inlineStr">
        <is>
          <t>995970</t>
        </is>
      </c>
      <c r="BV26" s="74" t="inlineStr">
        <is>
          <t>2025-09-23</t>
        </is>
      </c>
      <c r="BW26" s="74" t="inlineStr">
        <is>
          <t>39</t>
        </is>
      </c>
      <c r="BX26" s="74" t="inlineStr">
        <is>
          <t>revisto — suporte estrutural total localizado</t>
        </is>
      </c>
      <c r="BY26" s="74" t="inlineStr">
        <is>
          <t>FundosNet/B3; documento 995970; referência 2025-09-23; p. 39</t>
        </is>
      </c>
      <c r="BZ26" s="74" t="inlineStr">
        <is>
          <t>N/D</t>
        </is>
      </c>
      <c r="CA26" s="74" t="inlineStr">
        <is>
          <t>PL atual; Sub/PL atual; preço unitário da cota; originador</t>
        </is>
      </c>
      <c r="CB26" s="74" t="inlineStr">
        <is>
          <t>sub_pl_atual_ausente</t>
        </is>
      </c>
    </row>
    <row r="27" ht="31.5" customHeight="1">
      <c r="A27" s="75" t="n">
        <v>23</v>
      </c>
      <c r="B27" s="142" t="n">
        <v>47151680000108</v>
      </c>
      <c r="C27" s="75" t="inlineStr">
        <is>
          <t>47.151.680/0001-08</t>
        </is>
      </c>
      <c r="D27" s="75" t="inlineStr">
        <is>
          <t>FARM TECH IBBA I FUNDO DE INVESTIMENTO EM DIREITOS CREDITÓRIOS RESPONSABILIDADE LIMITADA</t>
        </is>
      </c>
      <c r="E27" s="75" t="inlineStr">
        <is>
          <t>FARM TECH IBBA I FUNDO DE INVESTIMENTO EM DIREITOS</t>
        </is>
      </c>
      <c r="F27" s="75" t="inlineStr">
        <is>
          <t>Carteira 101</t>
        </is>
      </c>
      <c r="G27" s="75" t="inlineStr">
        <is>
          <t>2026-08</t>
        </is>
      </c>
      <c r="H27" s="75" t="inlineStr">
        <is>
          <t>localizado</t>
        </is>
      </c>
      <c r="I27" s="143" t="n">
        <v>4700128.59</v>
      </c>
      <c r="J27" s="143" t="n">
        <v>4709628.59115</v>
      </c>
      <c r="K27" s="143" t="n">
        <v>4709628.59115</v>
      </c>
      <c r="L27" s="144" t="n">
        <v>1.002021221540664</v>
      </c>
      <c r="M27" s="75" t="inlineStr">
        <is>
          <t>Calculado com classes reportadas e PL oficial reconciliado</t>
        </is>
      </c>
      <c r="N27" s="144" t="inlineStr">
        <is>
          <t>N/D</t>
        </is>
      </c>
      <c r="O27" s="144" t="inlineStr">
        <is>
          <t>N/D</t>
        </is>
      </c>
      <c r="P27" s="144" t="inlineStr">
        <is>
          <t>N/D</t>
        </is>
      </c>
      <c r="Q27" s="144" t="n">
        <v>0.2</v>
      </c>
      <c r="R27" s="144" t="inlineStr">
        <is>
          <t>N/D</t>
        </is>
      </c>
      <c r="S27" s="144" t="n">
        <v>0.2</v>
      </c>
      <c r="T27" s="75" t="inlineStr">
        <is>
          <t>20,0%*</t>
        </is>
      </c>
      <c r="U27" s="75" t="inlineStr">
        <is>
          <t>suporte_total_pl</t>
        </is>
      </c>
      <c r="V27" s="75" t="inlineStr">
        <is>
          <t>calculado: 1 − 1/1,25</t>
        </is>
      </c>
      <c r="W27" s="75" t="b">
        <v>1</v>
      </c>
      <c r="X27" s="75" t="inlineStr">
        <is>
          <t>Suporte total ou combinado; não representa mínimo júnior isolado.</t>
        </is>
      </c>
      <c r="Y27" s="75" t="b">
        <v>1</v>
      </c>
      <c r="Z27" s="144" t="n">
        <v>0.8020212215406644</v>
      </c>
      <c r="AA27" s="144" t="n">
        <v>1.00252652692583</v>
      </c>
      <c r="AB27" s="75" t="inlineStr">
        <is>
          <t>acima do mínimo</t>
        </is>
      </c>
      <c r="AC27" s="75" t="inlineStr">
        <is>
          <t>Agro, Indústria e Comércio</t>
        </is>
      </c>
      <c r="AD27" s="75" t="inlineStr">
        <is>
          <t>Recebíveis Comerciais</t>
        </is>
      </c>
      <c r="AE27" s="75" t="inlineStr">
        <is>
          <t>Agro / Revenda</t>
        </is>
      </c>
      <c r="AF27" s="75" t="inlineStr">
        <is>
          <t>Agro / Revenda</t>
        </is>
      </c>
      <c r="AG27" s="75" t="inlineStr">
        <is>
          <t>Agro / Revenda</t>
        </is>
      </c>
      <c r="AH27" s="75" t="inlineStr">
        <is>
          <t>Agro / Revenda</t>
        </is>
      </c>
      <c r="AI27" s="75" t="inlineStr">
        <is>
          <t>Multicedente agro, lastro específico pendente</t>
        </is>
      </c>
      <c r="AJ27" s="75" t="b">
        <v>0</v>
      </c>
      <c r="AK27" s="75" t="inlineStr">
        <is>
          <t>PENDENTE_DOCUMENTAL</t>
        </is>
      </c>
      <c r="AL27" s="75" t="inlineStr">
        <is>
          <t>Tipo e devedor não localizados</t>
        </is>
      </c>
      <c r="AM27" s="75" t="inlineStr">
        <is>
          <t>IMG_8704 + regulamento 993922, timeout online</t>
        </is>
      </c>
      <c r="AN27" s="75" t="inlineStr">
        <is>
          <t>Pendente</t>
        </is>
      </c>
      <c r="AO27" s="75" t="inlineStr">
        <is>
          <t>IMG_8704 + regulamento 993922, timeout online</t>
        </is>
      </c>
      <c r="AP27" s="75" t="inlineStr">
        <is>
          <t>N/D</t>
        </is>
      </c>
      <c r="AQ27" s="75" t="inlineStr">
        <is>
          <t>Agro / Revenda</t>
        </is>
      </c>
      <c r="AR27" s="75" t="inlineStr">
        <is>
          <t>Agro / Revenda</t>
        </is>
      </c>
      <c r="AS27" s="75" t="b">
        <v>0</v>
      </c>
      <c r="AT27" s="75" t="inlineStr">
        <is>
          <t>N/D</t>
        </is>
      </c>
      <c r="AU27" s="75" t="inlineStr">
        <is>
          <t>N/D</t>
        </is>
      </c>
      <c r="AV27" s="75" t="inlineStr">
        <is>
          <t>≥ 60%</t>
        </is>
      </c>
      <c r="AW27" s="75" t="b">
        <v>1</v>
      </c>
      <c r="AX27" s="75" t="inlineStr">
        <is>
          <t>acima do piso</t>
        </is>
      </c>
      <c r="AY27" s="75" t="inlineStr">
        <is>
          <t>sem benchmark confiável</t>
        </is>
      </c>
      <c r="AZ27" s="144" t="inlineStr">
        <is>
          <t>N/D</t>
        </is>
      </c>
      <c r="BA27" s="75" t="b">
        <v>0</v>
      </c>
      <c r="BB27" s="145" t="n">
        <v>0</v>
      </c>
      <c r="BC27" s="143" t="inlineStr">
        <is>
          <t>N/D</t>
        </is>
      </c>
      <c r="BD27" s="75" t="inlineStr">
        <is>
          <t>N/D</t>
        </is>
      </c>
      <c r="BE27" s="75" t="inlineStr">
        <is>
          <t>N/D</t>
        </is>
      </c>
      <c r="BF27" s="75" t="inlineStr">
        <is>
          <t>N/D</t>
        </is>
      </c>
      <c r="BG27" s="75" t="inlineStr">
        <is>
          <t>N/D</t>
        </is>
      </c>
      <c r="BH27" s="75" t="inlineStr">
        <is>
          <t>N/D</t>
        </is>
      </c>
      <c r="BI27" s="75" t="inlineStr">
        <is>
          <t>N/D</t>
        </is>
      </c>
      <c r="BJ27" s="75" t="inlineStr">
        <is>
          <t>não localizado</t>
        </is>
      </c>
      <c r="BK27" s="75" t="b">
        <v>0</v>
      </c>
      <c r="BL27" s="75" t="inlineStr">
        <is>
          <t>Multicedentes</t>
        </is>
      </c>
      <c r="BM27" s="75" t="inlineStr">
        <is>
          <t>cedente</t>
        </is>
      </c>
      <c r="BN27" s="75" t="inlineStr">
        <is>
          <t>N/D</t>
        </is>
      </c>
      <c r="BO27" s="75" t="inlineStr">
        <is>
          <t>Multicedentes</t>
        </is>
      </c>
      <c r="BP27" s="75" t="inlineStr">
        <is>
          <t>N/D</t>
        </is>
      </c>
      <c r="BQ27" s="75" t="inlineStr">
        <is>
          <t>N/D</t>
        </is>
      </c>
      <c r="BR27" s="75" t="inlineStr">
        <is>
          <t>cedente: IMG_8704.JPG</t>
        </is>
      </c>
      <c r="BS27" s="75" t="inlineStr">
        <is>
          <t>manual_aplicado</t>
        </is>
      </c>
      <c r="BT27" s="75" t="inlineStr">
        <is>
          <t>OBS da foto: Multicedente análise FARM; fomos 100% resgatados em out/25. Denominação cortada.</t>
        </is>
      </c>
      <c r="BU27" s="75" t="inlineStr">
        <is>
          <t>993922</t>
        </is>
      </c>
      <c r="BV27" s="75" t="inlineStr">
        <is>
          <t>2025-07-22</t>
        </is>
      </c>
      <c r="BW27" s="75" t="inlineStr">
        <is>
          <t>6</t>
        </is>
      </c>
      <c r="BX27" s="75" t="inlineStr">
        <is>
          <t>revisto — suporte estrutural total localizado</t>
        </is>
      </c>
      <c r="BY27" s="75" t="inlineStr">
        <is>
          <t>FundosNet/B3; documento 993922; referência 2025-07-22; p. 6</t>
        </is>
      </c>
      <c r="BZ27" s="75" t="inlineStr">
        <is>
          <t>N/D</t>
        </is>
      </c>
      <c r="CA27" s="75" t="inlineStr">
        <is>
          <t>preço unitário da cota; originador; sacado/devedor; tipo de recebível</t>
        </is>
      </c>
      <c r="CB27" s="75" t="inlineStr">
        <is>
          <t>completo_para_folga</t>
        </is>
      </c>
    </row>
    <row r="28" ht="31.5" customHeight="1">
      <c r="A28" s="74" t="n">
        <v>24</v>
      </c>
      <c r="B28" s="138" t="n">
        <v>43309233000183</v>
      </c>
      <c r="C28" s="74" t="inlineStr">
        <is>
          <t>43.309.233/0001-83</t>
        </is>
      </c>
      <c r="D28" s="74" t="inlineStr">
        <is>
          <t>FUNDO DE INVESTIMENTO EM DIREITOS CREDITÓRIOS LIVERPOOL RESPONSABILIDADE LIMITADA</t>
        </is>
      </c>
      <c r="E28" s="74" t="inlineStr">
        <is>
          <t>FUNDO DE INVESTIMENTO EM DIREITOS CREDITORIOS LIVERPOOL</t>
        </is>
      </c>
      <c r="F28" s="74" t="inlineStr">
        <is>
          <t>Carteira 101</t>
        </is>
      </c>
      <c r="G28" s="74" t="inlineStr">
        <is>
          <t>2026-08</t>
        </is>
      </c>
      <c r="H28" s="74" t="inlineStr">
        <is>
          <t>localizado</t>
        </is>
      </c>
      <c r="I28" s="139" t="inlineStr">
        <is>
          <t>N/D</t>
        </is>
      </c>
      <c r="J28" s="139" t="inlineStr">
        <is>
          <t>N/D</t>
        </is>
      </c>
      <c r="K28" s="139" t="inlineStr">
        <is>
          <t>N/D</t>
        </is>
      </c>
      <c r="L28" s="140" t="inlineStr">
        <is>
          <t>N/D</t>
        </is>
      </c>
      <c r="M28" s="74" t="inlineStr">
        <is>
          <t>PL oficial ausente em 2026-08</t>
        </is>
      </c>
      <c r="N28" s="140" t="inlineStr">
        <is>
          <t>N/D</t>
        </is>
      </c>
      <c r="O28" s="140" t="inlineStr">
        <is>
          <t>N/D</t>
        </is>
      </c>
      <c r="P28" s="140" t="inlineStr">
        <is>
          <t>N/D</t>
        </is>
      </c>
      <c r="Q28" s="140" t="n">
        <v>0.15</v>
      </c>
      <c r="R28" s="140" t="inlineStr">
        <is>
          <t>N/D</t>
        </is>
      </c>
      <c r="S28" s="140" t="n">
        <v>0.15</v>
      </c>
      <c r="T28" s="74" t="inlineStr">
        <is>
          <t>15,0%*</t>
        </is>
      </c>
      <c r="U28" s="74" t="inlineStr">
        <is>
          <t>suporte_total_pl</t>
        </is>
      </c>
      <c r="V28" s="74" t="inlineStr">
        <is>
          <t>calculado: 1 − 1/1,1764</t>
        </is>
      </c>
      <c r="W28" s="74" t="b">
        <v>1</v>
      </c>
      <c r="X28" s="74" t="inlineStr">
        <is>
          <t>Suporte total ou combinado; não representa mínimo júnior isolado.</t>
        </is>
      </c>
      <c r="Y28" s="74" t="b">
        <v>1</v>
      </c>
      <c r="Z28" s="140" t="inlineStr">
        <is>
          <t>N/D</t>
        </is>
      </c>
      <c r="AA28" s="140" t="inlineStr">
        <is>
          <t>N/D</t>
        </is>
      </c>
      <c r="AB28" s="74" t="inlineStr">
        <is>
          <t>não medido</t>
        </is>
      </c>
      <c r="AC28" s="74" t="inlineStr">
        <is>
          <t>Agro, Indústria e Comércio</t>
        </is>
      </c>
      <c r="AD28" s="74" t="inlineStr">
        <is>
          <t>Agronegócio</t>
        </is>
      </c>
      <c r="AE28" s="74" t="inlineStr">
        <is>
          <t>Agro / Revenda</t>
        </is>
      </c>
      <c r="AF28" s="74" t="inlineStr">
        <is>
          <t>Agro / Revenda</t>
        </is>
      </c>
      <c r="AG28" s="74" t="inlineStr">
        <is>
          <t>Agro / Revenda</t>
        </is>
      </c>
      <c r="AH28" s="74" t="inlineStr">
        <is>
          <t>Agro / Revenda</t>
        </is>
      </c>
      <c r="AI28" s="74" t="inlineStr">
        <is>
          <t>CPR-F, CDCA e recebíveis de distribuidores Adama</t>
        </is>
      </c>
      <c r="AJ28" s="74" t="b">
        <v>0</v>
      </c>
      <c r="AK28" s="74" t="inlineStr">
        <is>
          <t>MANTER_ALTA</t>
        </is>
      </c>
      <c r="AL28" s="74" t="inlineStr">
        <is>
          <t>Instrumentos e devedores agro explícitos</t>
        </is>
      </c>
      <c r="AM28" s="74" t="inlineStr">
        <is>
          <t>regulamento 943032</t>
        </is>
      </c>
      <c r="AN28" s="74" t="inlineStr">
        <is>
          <t>Não</t>
        </is>
      </c>
      <c r="AO28" s="74" t="inlineStr">
        <is>
          <t>regulamento 943032</t>
        </is>
      </c>
      <c r="AP28" s="74" t="b">
        <v>0</v>
      </c>
      <c r="AQ28" s="74" t="inlineStr">
        <is>
          <t>Agro / Revenda</t>
        </is>
      </c>
      <c r="AR28" s="74" t="inlineStr">
        <is>
          <t>Agro / Revenda</t>
        </is>
      </c>
      <c r="AS28" s="74" t="b">
        <v>0</v>
      </c>
      <c r="AT28" s="74" t="inlineStr">
        <is>
          <t>N/D</t>
        </is>
      </c>
      <c r="AU28" s="74" t="inlineStr">
        <is>
          <t>N/D</t>
        </is>
      </c>
      <c r="AV28" s="74" t="inlineStr">
        <is>
          <t>N/D</t>
        </is>
      </c>
      <c r="AW28" s="74" t="b">
        <v>0</v>
      </c>
      <c r="AX28" s="74" t="inlineStr">
        <is>
          <t>N/D</t>
        </is>
      </c>
      <c r="AY28" s="74" t="inlineStr">
        <is>
          <t>sem benchmark confiável</t>
        </is>
      </c>
      <c r="AZ28" s="140" t="inlineStr">
        <is>
          <t>N/D</t>
        </is>
      </c>
      <c r="BA28" s="74" t="b">
        <v>0</v>
      </c>
      <c r="BB28" s="141" t="n">
        <v>0</v>
      </c>
      <c r="BC28" s="139" t="n">
        <v>1000</v>
      </c>
      <c r="BD28" s="74" t="inlineStr">
        <is>
          <t>Cotas Subordinadas: R$ 1.000,00</t>
        </is>
      </c>
      <c r="BE28" s="74" t="inlineStr">
        <is>
          <t>preço/valor unitário de emissão</t>
        </is>
      </c>
      <c r="BF28" s="74" t="inlineStr">
        <is>
          <t>Cotas Subordinadas</t>
        </is>
      </c>
      <c r="BG28" s="74" t="inlineStr">
        <is>
          <t>09/07/2025</t>
        </is>
      </c>
      <c r="BH28" s="74" t="inlineStr">
        <is>
          <t>943032</t>
        </is>
      </c>
      <c r="BI28" s="74" t="inlineStr">
        <is>
          <t>https://fnet.bmfbovespa.com.br/fnet/publico/downloadDocumento?id=943032</t>
        </is>
      </c>
      <c r="BJ28" s="74" t="inlineStr">
        <is>
          <t>localizado documentalmente</t>
        </is>
      </c>
      <c r="BK28" s="74" t="b">
        <v>0</v>
      </c>
      <c r="BL28" s="74" t="inlineStr">
        <is>
          <t>Adama</t>
        </is>
      </c>
      <c r="BM28" s="74" t="inlineStr">
        <is>
          <t>cedente</t>
        </is>
      </c>
      <c r="BN28" s="74" t="inlineStr">
        <is>
          <t>a Adama e/ou qualquer outro originador indicado pelo Gestor e aprovado pela Assembleia de Cotistas na forma do presente Regulamento</t>
        </is>
      </c>
      <c r="BO28" s="74" t="inlineStr">
        <is>
          <t>(i) a Adama, cujas cessões não contarão com coobrigação</t>
        </is>
      </c>
      <c r="BP28" s="74" t="inlineStr">
        <is>
          <t>(i) no caso das CPR -F, os produtores rurais, pessoas físicas e/ou jurídicas, cooperativas de produtores rurais e a associação de produtores rurais que tenha por objeto a produção, comercialização e a industrialização dos produtos rurais, indicados pelo Origina dor ou por um Distribuidor de Produtos, nos termos dos Contratos de Cessão, e que sejam, em ambos os casos, previamente aprovados pelo Gestor; (ii) no caso de CDCA, os Emissores que são os Distribuidores de Produtos, indicados pelo Origin</t>
        </is>
      </c>
      <c r="BQ28" s="74" t="inlineStr">
        <is>
          <t>os CDCA, as CPR -F, os Direitos Creditórios Distribuidores e os Direitos Creditórios Adama, incluindo todos os valores devidos a título de contraprestação, reajustes monetários, indexações à moeda estrangeira (somente caso permitido na forma da legislação e regulamentação aplicáveis), juros, encargos e quaisquer multas ou penalidades de qualquer natureza devidos pelos Devedores, bem como todos e quaisquer direitos, eventuais garantias que sejam soli citadas pelo Gestor, nos termos previstos neste Regulamento, nos Contratos de Cessão, na CPR-F ou CDCA, conforme o caso, privilégios, preferências, prerrogativas e ações relacionados aos Direitos Creditórios, sem prejuízo dos procedimentos de cob</t>
        </is>
      </c>
      <c r="BR28" s="74" t="inlineStr">
        <is>
          <t>originador: https://fnet.bmfbovespa.com.br/fnet/publico/downloadDocumento?id=943032 | cedente: https://fnet.bmfbovespa.com.br/fnet/publico/downloadDocumento?id=943032 | sacado_devedor: https://fnet.bmfbovespa.com.br/fnet/publico/downloadDocumento?id=943032 | tipo_recebivel: https://fnet.bmfbovespa.com.br/fnet/publico/downloadDocumento?id=943032</t>
        </is>
      </c>
      <c r="BS28" s="74" t="inlineStr">
        <is>
          <t>manual_aplicado</t>
        </is>
      </c>
      <c r="BT28" s="74" t="inlineStr">
        <is>
          <t>OBS da foto: fomos 100% resgatados em out/25.</t>
        </is>
      </c>
      <c r="BU28" s="74" t="inlineStr">
        <is>
          <t>943032</t>
        </is>
      </c>
      <c r="BV28" s="74" t="inlineStr">
        <is>
          <t>2025-07-09</t>
        </is>
      </c>
      <c r="BW28" s="74" t="inlineStr">
        <is>
          <t>30</t>
        </is>
      </c>
      <c r="BX28" s="74" t="inlineStr">
        <is>
          <t>revisto — suporte estrutural total localizado</t>
        </is>
      </c>
      <c r="BY28" s="74" t="inlineStr">
        <is>
          <t>FundosNet/B3; documento 943032; referência 2025-07-09; p. 30</t>
        </is>
      </c>
      <c r="BZ28" s="74" t="inlineStr">
        <is>
          <t>N/D</t>
        </is>
      </c>
      <c r="CA28" s="74" t="inlineStr">
        <is>
          <t>PL atual; Sub/PL atual</t>
        </is>
      </c>
      <c r="CB28" s="74" t="inlineStr">
        <is>
          <t>sub_pl_atual_ausente</t>
        </is>
      </c>
    </row>
    <row r="29" ht="31.5" customHeight="1">
      <c r="A29" s="75" t="n">
        <v>25</v>
      </c>
      <c r="B29" s="142" t="n">
        <v>43616659000180</v>
      </c>
      <c r="C29" s="75" t="inlineStr">
        <is>
          <t>43.616.659/0001-80</t>
        </is>
      </c>
      <c r="D29" s="75" t="inlineStr">
        <is>
          <t>TALÓ 1 FUNDO DE INVESTIMENTO EM DIREITOS CREDITÓRIOS RESPONSABILIDADE LIMITADA</t>
        </is>
      </c>
      <c r="E29" s="75" t="inlineStr">
        <is>
          <t>TALO 1 FUNDO DE INVESTIMENTO EM DIREITOS CREDITORIOS</t>
        </is>
      </c>
      <c r="F29" s="75" t="inlineStr">
        <is>
          <t>Carteira 101</t>
        </is>
      </c>
      <c r="G29" s="75" t="inlineStr">
        <is>
          <t>2026-08</t>
        </is>
      </c>
      <c r="H29" s="75" t="inlineStr">
        <is>
          <t>localizado</t>
        </is>
      </c>
      <c r="I29" s="143" t="n">
        <v>4084678.08</v>
      </c>
      <c r="J29" s="143" t="n">
        <v>4084678.080040646</v>
      </c>
      <c r="K29" s="143" t="n">
        <v>4084678.080040646</v>
      </c>
      <c r="L29" s="144" t="n">
        <v>1.000000000009951</v>
      </c>
      <c r="M29" s="75" t="inlineStr">
        <is>
          <t>Calculado com classes reportadas e PL oficial reconciliado</t>
        </is>
      </c>
      <c r="N29" s="144" t="inlineStr">
        <is>
          <t>N/D</t>
        </is>
      </c>
      <c r="O29" s="144" t="inlineStr">
        <is>
          <t>N/D</t>
        </is>
      </c>
      <c r="P29" s="144" t="inlineStr">
        <is>
          <t>N/D</t>
        </is>
      </c>
      <c r="Q29" s="144" t="n">
        <v>0.25</v>
      </c>
      <c r="R29" s="144" t="inlineStr">
        <is>
          <t>N/D</t>
        </is>
      </c>
      <c r="S29" s="144" t="n">
        <v>0.25</v>
      </c>
      <c r="T29" s="75" t="inlineStr">
        <is>
          <t>25,0%*</t>
        </is>
      </c>
      <c r="U29" s="75" t="inlineStr">
        <is>
          <t>suporte_total_pl</t>
        </is>
      </c>
      <c r="V29" s="75" t="inlineStr">
        <is>
          <t>calculado: 1 − 1/1,3333</t>
        </is>
      </c>
      <c r="W29" s="75" t="b">
        <v>1</v>
      </c>
      <c r="X29" s="75" t="inlineStr">
        <is>
          <t>Suporte total ou combinado; não representa mínimo júnior isolado.</t>
        </is>
      </c>
      <c r="Y29" s="75" t="b">
        <v>1</v>
      </c>
      <c r="Z29" s="144" t="n">
        <v>0.7500000000099507</v>
      </c>
      <c r="AA29" s="144" t="n">
        <v>1.000000000013268</v>
      </c>
      <c r="AB29" s="75" t="inlineStr">
        <is>
          <t>acima do mínimo</t>
        </is>
      </c>
      <c r="AC29" s="75" t="inlineStr">
        <is>
          <t>Agro, Indústria e Comércio</t>
        </is>
      </c>
      <c r="AD29" s="75" t="inlineStr">
        <is>
          <t>Agronegócio</t>
        </is>
      </c>
      <c r="AE29" s="75" t="inlineStr">
        <is>
          <t>Agro / Revenda</t>
        </is>
      </c>
      <c r="AF29" s="75" t="inlineStr">
        <is>
          <t>Agro / Revenda</t>
        </is>
      </c>
      <c r="AG29" s="75" t="inlineStr">
        <is>
          <t>Agro / Revenda</t>
        </is>
      </c>
      <c r="AH29" s="75" t="inlineStr">
        <is>
          <t>Agro / Revenda</t>
        </is>
      </c>
      <c r="AI29" s="75" t="inlineStr">
        <is>
          <t>Recebíveis de insumos Yara</t>
        </is>
      </c>
      <c r="AJ29" s="75" t="b">
        <v>0</v>
      </c>
      <c r="AK29" s="75" t="inlineStr">
        <is>
          <t>MANTER_ALTA</t>
        </is>
      </c>
      <c r="AL29" s="75" t="inlineStr">
        <is>
          <t>Yara é originadora/cedente de fertilizantes</t>
        </is>
      </c>
      <c r="AM29" s="75" t="inlineStr">
        <is>
          <t>regulamento</t>
        </is>
      </c>
      <c r="AN29" s="75" t="inlineStr">
        <is>
          <t>Não</t>
        </is>
      </c>
      <c r="AO29" s="75" t="inlineStr">
        <is>
          <t>regulamento</t>
        </is>
      </c>
      <c r="AP29" s="75" t="b">
        <v>0</v>
      </c>
      <c r="AQ29" s="75" t="inlineStr">
        <is>
          <t>Agro / Revenda</t>
        </is>
      </c>
      <c r="AR29" s="75" t="inlineStr">
        <is>
          <t>Agro / Revenda</t>
        </is>
      </c>
      <c r="AS29" s="75" t="b">
        <v>0</v>
      </c>
      <c r="AT29" s="75" t="inlineStr">
        <is>
          <t>N/D</t>
        </is>
      </c>
      <c r="AU29" s="75" t="inlineStr">
        <is>
          <t>N/D</t>
        </is>
      </c>
      <c r="AV29" s="75" t="inlineStr">
        <is>
          <t>≥ 60%</t>
        </is>
      </c>
      <c r="AW29" s="75" t="b">
        <v>1</v>
      </c>
      <c r="AX29" s="75" t="inlineStr">
        <is>
          <t>acima do piso</t>
        </is>
      </c>
      <c r="AY29" s="75" t="inlineStr">
        <is>
          <t>sem benchmark confiável</t>
        </is>
      </c>
      <c r="AZ29" s="144" t="inlineStr">
        <is>
          <t>N/D</t>
        </is>
      </c>
      <c r="BA29" s="75" t="b">
        <v>0</v>
      </c>
      <c r="BB29" s="145" t="n">
        <v>0</v>
      </c>
      <c r="BC29" s="143" t="n">
        <v>1000</v>
      </c>
      <c r="BD29" s="75" t="inlineStr">
        <is>
          <t>Cotas Subordinadas: R$ 1.000,00</t>
        </is>
      </c>
      <c r="BE29" s="75" t="inlineStr">
        <is>
          <t>preço/valor unitário de emissão</t>
        </is>
      </c>
      <c r="BF29" s="75" t="inlineStr">
        <is>
          <t>Cotas Subordinadas</t>
        </is>
      </c>
      <c r="BG29" s="75" t="inlineStr">
        <is>
          <t>28/11/2024</t>
        </is>
      </c>
      <c r="BH29" s="75" t="inlineStr">
        <is>
          <t>791844</t>
        </is>
      </c>
      <c r="BI29" s="75" t="inlineStr">
        <is>
          <t>https://fnet.bmfbovespa.com.br/fnet/publico/downloadDocumento?id=791844</t>
        </is>
      </c>
      <c r="BJ29" s="75" t="inlineStr">
        <is>
          <t>localizado documentalmente</t>
        </is>
      </c>
      <c r="BK29" s="75" t="b">
        <v>0</v>
      </c>
      <c r="BL29" s="75" t="inlineStr">
        <is>
          <t>Yara</t>
        </is>
      </c>
      <c r="BM29" s="75" t="inlineStr">
        <is>
          <t>cedente</t>
        </is>
      </c>
      <c r="BN29" s="75" t="inlineStr">
        <is>
          <t>Yara Fertilizantes/Yara</t>
        </is>
      </c>
      <c r="BO29" s="75" t="inlineStr">
        <is>
          <t>(i) a Yara, cujas cessões não contarão com coobrigação</t>
        </is>
      </c>
      <c r="BP29" s="75" t="inlineStr">
        <is>
          <t>N/D</t>
        </is>
      </c>
      <c r="BQ29" s="75" t="inlineStr">
        <is>
          <t>N/D</t>
        </is>
      </c>
      <c r="BR29" s="75" t="inlineStr">
        <is>
          <t>originador: https://fnet.bmfbovespa.com.br/fnet/publico/downloadDocumento?id=851085 | cedente: https://fnet.bmfbovespa.com.br/fnet/publico/downloadDocumento?id=400836</t>
        </is>
      </c>
      <c r="BS29" s="75" t="inlineStr">
        <is>
          <t>manual_aplicado</t>
        </is>
      </c>
      <c r="BT29" s="75" t="inlineStr">
        <is>
          <t>OBS da foto: subordinação mínima próxima ao limiar (atual Baa3). Denominação cortada.</t>
        </is>
      </c>
      <c r="BU29" s="75" t="inlineStr">
        <is>
          <t>791844</t>
        </is>
      </c>
      <c r="BV29" s="75" t="inlineStr">
        <is>
          <t>2024-11-28</t>
        </is>
      </c>
      <c r="BW29" s="75" t="inlineStr">
        <is>
          <t>7</t>
        </is>
      </c>
      <c r="BX29" s="75" t="inlineStr">
        <is>
          <t>revisto — suporte estrutural total localizado</t>
        </is>
      </c>
      <c r="BY29" s="75" t="inlineStr">
        <is>
          <t>FundosNet/B3; documento 791844; referência 2024-11-28; p. 7</t>
        </is>
      </c>
      <c r="BZ29" s="75" t="inlineStr">
        <is>
          <t>N/D</t>
        </is>
      </c>
      <c r="CA29" s="75" t="inlineStr">
        <is>
          <t>sacado/devedor; tipo de recebível</t>
        </is>
      </c>
      <c r="CB29" s="75" t="inlineStr">
        <is>
          <t>completo_para_folga</t>
        </is>
      </c>
    </row>
    <row r="30" ht="31.5" customHeight="1">
      <c r="A30" s="74" t="n">
        <v>26</v>
      </c>
      <c r="B30" s="138" t="n">
        <v>52343195000176</v>
      </c>
      <c r="C30" s="74" t="inlineStr">
        <is>
          <t>52.343.195/0001-76</t>
        </is>
      </c>
      <c r="D30" s="74" t="inlineStr">
        <is>
          <t>FARMTECH SYNGENTA FUNDO DE INVESTIMENTO EM DIREITOS CREDITÓRIOS RESPONSABILIDADE LIMITADA</t>
        </is>
      </c>
      <c r="E30" s="74" t="inlineStr">
        <is>
          <t>FARMTECH SYNGENTA FUNDO DE INVESTIMENTO EM DIREITO</t>
        </is>
      </c>
      <c r="F30" s="74" t="inlineStr">
        <is>
          <t>Carteira 101</t>
        </is>
      </c>
      <c r="G30" s="74" t="inlineStr">
        <is>
          <t>2026-08</t>
        </is>
      </c>
      <c r="H30" s="74" t="inlineStr">
        <is>
          <t>localizado</t>
        </is>
      </c>
      <c r="I30" s="139" t="inlineStr">
        <is>
          <t>N/D</t>
        </is>
      </c>
      <c r="J30" s="139" t="inlineStr">
        <is>
          <t>N/D</t>
        </is>
      </c>
      <c r="K30" s="139" t="inlineStr">
        <is>
          <t>N/D</t>
        </is>
      </c>
      <c r="L30" s="140" t="inlineStr">
        <is>
          <t>N/D</t>
        </is>
      </c>
      <c r="M30" s="74" t="inlineStr">
        <is>
          <t>PL oficial ausente em 2026-08</t>
        </is>
      </c>
      <c r="N30" s="140" t="inlineStr">
        <is>
          <t>N/D</t>
        </is>
      </c>
      <c r="O30" s="140" t="inlineStr">
        <is>
          <t>N/D</t>
        </is>
      </c>
      <c r="P30" s="140" t="inlineStr">
        <is>
          <t>N/D</t>
        </is>
      </c>
      <c r="Q30" s="140" t="n">
        <v>0.15</v>
      </c>
      <c r="R30" s="140" t="inlineStr">
        <is>
          <t>N/D</t>
        </is>
      </c>
      <c r="S30" s="140" t="n">
        <v>0.15</v>
      </c>
      <c r="T30" s="74" t="inlineStr">
        <is>
          <t>15,0%*</t>
        </is>
      </c>
      <c r="U30" s="74" t="inlineStr">
        <is>
          <t>suporte_total_pl</t>
        </is>
      </c>
      <c r="V30" s="74" t="inlineStr">
        <is>
          <t>calculado: 1 − 1/1,1765</t>
        </is>
      </c>
      <c r="W30" s="74" t="b">
        <v>1</v>
      </c>
      <c r="X30" s="74" t="inlineStr">
        <is>
          <t>Suporte total ou combinado; não representa mínimo júnior isolado.</t>
        </is>
      </c>
      <c r="Y30" s="74" t="b">
        <v>1</v>
      </c>
      <c r="Z30" s="140" t="inlineStr">
        <is>
          <t>N/D</t>
        </is>
      </c>
      <c r="AA30" s="140" t="inlineStr">
        <is>
          <t>N/D</t>
        </is>
      </c>
      <c r="AB30" s="74" t="inlineStr">
        <is>
          <t>não medido</t>
        </is>
      </c>
      <c r="AC30" s="74" t="inlineStr">
        <is>
          <t>Agro, Indústria e Comércio</t>
        </is>
      </c>
      <c r="AD30" s="74" t="inlineStr">
        <is>
          <t>N/D</t>
        </is>
      </c>
      <c r="AE30" s="74" t="inlineStr">
        <is>
          <t>Agro / Revenda</t>
        </is>
      </c>
      <c r="AF30" s="74" t="inlineStr">
        <is>
          <t>Agro / Revenda</t>
        </is>
      </c>
      <c r="AG30" s="74" t="inlineStr">
        <is>
          <t>Agro / Revenda</t>
        </is>
      </c>
      <c r="AH30" s="74" t="inlineStr">
        <is>
          <t>Agro / Revenda</t>
        </is>
      </c>
      <c r="AI30" s="74" t="inlineStr">
        <is>
          <t>Multicedente Syngenta, lastro específico pendente</t>
        </is>
      </c>
      <c r="AJ30" s="74" t="b">
        <v>0</v>
      </c>
      <c r="AK30" s="74" t="inlineStr">
        <is>
          <t>PENDENTE_DOCUMENTAL</t>
        </is>
      </c>
      <c r="AL30" s="74" t="inlineStr">
        <is>
          <t>Devedor e tipo literal não isolados</t>
        </is>
      </c>
      <c r="AM30" s="74" t="inlineStr">
        <is>
          <t>IMG_8704 + regulamento 791944</t>
        </is>
      </c>
      <c r="AN30" s="74" t="inlineStr">
        <is>
          <t>Pendente</t>
        </is>
      </c>
      <c r="AO30" s="74" t="inlineStr">
        <is>
          <t>IMG_8704 + regulamento 791944</t>
        </is>
      </c>
      <c r="AP30" s="74" t="inlineStr">
        <is>
          <t>N/D</t>
        </is>
      </c>
      <c r="AQ30" s="74" t="inlineStr">
        <is>
          <t>Agro / Revenda</t>
        </is>
      </c>
      <c r="AR30" s="74" t="inlineStr">
        <is>
          <t>Agro / Revenda</t>
        </is>
      </c>
      <c r="AS30" s="74" t="b">
        <v>0</v>
      </c>
      <c r="AT30" s="74" t="inlineStr">
        <is>
          <t>N/D</t>
        </is>
      </c>
      <c r="AU30" s="74" t="inlineStr">
        <is>
          <t>N/D</t>
        </is>
      </c>
      <c r="AV30" s="74" t="inlineStr">
        <is>
          <t>N/D</t>
        </is>
      </c>
      <c r="AW30" s="74" t="b">
        <v>0</v>
      </c>
      <c r="AX30" s="74" t="inlineStr">
        <is>
          <t>N/D</t>
        </is>
      </c>
      <c r="AY30" s="74" t="inlineStr">
        <is>
          <t>sem benchmark confiável</t>
        </is>
      </c>
      <c r="AZ30" s="140" t="inlineStr">
        <is>
          <t>N/D</t>
        </is>
      </c>
      <c r="BA30" s="74" t="b">
        <v>0</v>
      </c>
      <c r="BB30" s="141" t="n">
        <v>0</v>
      </c>
      <c r="BC30" s="139" t="n">
        <v>1000</v>
      </c>
      <c r="BD30" s="74" t="inlineStr">
        <is>
          <t>Cotas Subordinadas: R$ 1.000,00</t>
        </is>
      </c>
      <c r="BE30" s="74" t="inlineStr">
        <is>
          <t>preço/valor unitário de emissão</t>
        </is>
      </c>
      <c r="BF30" s="74" t="inlineStr">
        <is>
          <t>Cotas Subordinadas</t>
        </is>
      </c>
      <c r="BG30" s="74" t="inlineStr">
        <is>
          <t>27/11/2024</t>
        </is>
      </c>
      <c r="BH30" s="74" t="inlineStr">
        <is>
          <t>791944</t>
        </is>
      </c>
      <c r="BI30" s="74" t="inlineStr">
        <is>
          <t>https://fnet.bmfbovespa.com.br/fnet/publico/downloadDocumento?id=791944</t>
        </is>
      </c>
      <c r="BJ30" s="74" t="inlineStr">
        <is>
          <t>localizado documentalmente</t>
        </is>
      </c>
      <c r="BK30" s="74" t="b">
        <v>0</v>
      </c>
      <c r="BL30" s="74" t="inlineStr">
        <is>
          <t>Multicedentes</t>
        </is>
      </c>
      <c r="BM30" s="74" t="inlineStr">
        <is>
          <t>cedente</t>
        </is>
      </c>
      <c r="BN30" s="74" t="inlineStr">
        <is>
          <t>N/D</t>
        </is>
      </c>
      <c r="BO30" s="74" t="inlineStr">
        <is>
          <t>Multicedentes</t>
        </is>
      </c>
      <c r="BP30" s="74" t="inlineStr">
        <is>
          <t>N/D</t>
        </is>
      </c>
      <c r="BQ30" s="74" t="inlineStr">
        <is>
          <t>N/D</t>
        </is>
      </c>
      <c r="BR30" s="74" t="inlineStr">
        <is>
          <t>cedente: IMG_8704.JPG</t>
        </is>
      </c>
      <c r="BS30" s="74" t="inlineStr">
        <is>
          <t>manual_aplicado</t>
        </is>
      </c>
      <c r="BT30" s="74" t="inlineStr">
        <is>
          <t>OBS da foto: Multicedente análise FARM. Denominação cortada.</t>
        </is>
      </c>
      <c r="BU30" s="74" t="inlineStr">
        <is>
          <t>791944</t>
        </is>
      </c>
      <c r="BV30" s="74" t="inlineStr">
        <is>
          <t>2024-11-27</t>
        </is>
      </c>
      <c r="BW30" s="74" t="inlineStr">
        <is>
          <t>7</t>
        </is>
      </c>
      <c r="BX30" s="74" t="inlineStr">
        <is>
          <t>revisto — suporte estrutural total localizado</t>
        </is>
      </c>
      <c r="BY30" s="74" t="inlineStr">
        <is>
          <t>FundosNet/B3; documento 791944; referência 2024-11-27; p. 7</t>
        </is>
      </c>
      <c r="BZ30" s="74" t="inlineStr">
        <is>
          <t>N/D</t>
        </is>
      </c>
      <c r="CA30" s="74" t="inlineStr">
        <is>
          <t>PL atual; Sub/PL atual; originador; sacado/devedor; tipo de recebível</t>
        </is>
      </c>
      <c r="CB30" s="74" t="inlineStr">
        <is>
          <t>sub_pl_atual_ausente</t>
        </is>
      </c>
    </row>
    <row r="31" ht="31.5" customHeight="1">
      <c r="A31" s="75" t="n">
        <v>27</v>
      </c>
      <c r="B31" s="142" t="n">
        <v>44574361000117</v>
      </c>
      <c r="C31" s="75" t="inlineStr">
        <is>
          <t>44.574.361/0001-17</t>
        </is>
      </c>
      <c r="D31" s="75" t="inlineStr">
        <is>
          <t>FUNDO DE INVESTIMENTO EM DIREITOS CREDITORIOS UPL 02 - RESPONSABILIDADE LIMITADA</t>
        </is>
      </c>
      <c r="E31" s="75" t="inlineStr">
        <is>
          <t>FUNDO DE INVESTIMENTO EM DIREITOS CREDITORIOS UPL</t>
        </is>
      </c>
      <c r="F31" s="75" t="inlineStr">
        <is>
          <t>Carteira 101</t>
        </is>
      </c>
      <c r="G31" s="75" t="inlineStr">
        <is>
          <t>2026-08</t>
        </is>
      </c>
      <c r="H31" s="75" t="inlineStr">
        <is>
          <t>localizado</t>
        </is>
      </c>
      <c r="I31" s="143" t="n">
        <v>481931001.55</v>
      </c>
      <c r="J31" s="143" t="n">
        <v>463543552.307551</v>
      </c>
      <c r="K31" s="143" t="n">
        <v>57077990.72535096</v>
      </c>
      <c r="L31" s="144" t="inlineStr">
        <is>
          <t>N/D</t>
        </is>
      </c>
      <c r="M31" s="75" t="inlineStr">
        <is>
          <t>N/D — PL oficial diverge das classes acima de 0,5%</t>
        </is>
      </c>
      <c r="N31" s="144" t="inlineStr">
        <is>
          <t>N/D</t>
        </is>
      </c>
      <c r="O31" s="144" t="inlineStr">
        <is>
          <t>N/D</t>
        </is>
      </c>
      <c r="P31" s="144" t="inlineStr">
        <is>
          <t>N/D</t>
        </is>
      </c>
      <c r="Q31" s="144" t="n">
        <v>0.15</v>
      </c>
      <c r="R31" s="144" t="inlineStr">
        <is>
          <t>N/D</t>
        </is>
      </c>
      <c r="S31" s="144" t="n">
        <v>0.15</v>
      </c>
      <c r="T31" s="75" t="inlineStr">
        <is>
          <t>15,0%*</t>
        </is>
      </c>
      <c r="U31" s="75" t="inlineStr">
        <is>
          <t>suporte_total_pl</t>
        </is>
      </c>
      <c r="V31" s="75" t="inlineStr">
        <is>
          <t>calculado: 1 − 1/1,1764</t>
        </is>
      </c>
      <c r="W31" s="75" t="b">
        <v>1</v>
      </c>
      <c r="X31" s="75" t="inlineStr">
        <is>
          <t>Suporte total ou combinado; não representa mínimo júnior isolado.</t>
        </is>
      </c>
      <c r="Y31" s="75" t="b">
        <v>1</v>
      </c>
      <c r="Z31" s="144" t="inlineStr">
        <is>
          <t>N/D</t>
        </is>
      </c>
      <c r="AA31" s="144" t="inlineStr">
        <is>
          <t>N/D</t>
        </is>
      </c>
      <c r="AB31" s="75" t="inlineStr">
        <is>
          <t>não medido</t>
        </is>
      </c>
      <c r="AC31" s="75" t="inlineStr">
        <is>
          <t>Agro, Indústria e Comércio</t>
        </is>
      </c>
      <c r="AD31" s="75" t="inlineStr">
        <is>
          <t>Multicarteira Agro, Indústria e Comércio</t>
        </is>
      </c>
      <c r="AE31" s="75" t="inlineStr">
        <is>
          <t>Agro / Revenda</t>
        </is>
      </c>
      <c r="AF31" s="75" t="inlineStr">
        <is>
          <t>Agro / Revenda</t>
        </is>
      </c>
      <c r="AG31" s="75" t="inlineStr">
        <is>
          <t>Agro / Revenda</t>
        </is>
      </c>
      <c r="AH31" s="75" t="inlineStr">
        <is>
          <t>Agro / Revenda</t>
        </is>
      </c>
      <c r="AI31" s="75" t="inlineStr">
        <is>
          <t>Insumos agrícolas, prazo safra</t>
        </is>
      </c>
      <c r="AJ31" s="75" t="b">
        <v>0</v>
      </c>
      <c r="AK31" s="75" t="inlineStr">
        <is>
          <t>MANTER_ALTA</t>
        </is>
      </c>
      <c r="AL31" s="75" t="inlineStr">
        <is>
          <t>UPL e insumos agrícolas</t>
        </is>
      </c>
      <c r="AM31" s="75" t="inlineStr">
        <is>
          <t>IMG_8704</t>
        </is>
      </c>
      <c r="AN31" s="75" t="inlineStr">
        <is>
          <t>Não</t>
        </is>
      </c>
      <c r="AO31" s="75" t="inlineStr">
        <is>
          <t>IMG_8704</t>
        </is>
      </c>
      <c r="AP31" s="75" t="b">
        <v>0</v>
      </c>
      <c r="AQ31" s="75" t="inlineStr">
        <is>
          <t>Agro / Revenda</t>
        </is>
      </c>
      <c r="AR31" s="75" t="inlineStr">
        <is>
          <t>Agro / Revenda</t>
        </is>
      </c>
      <c r="AS31" s="75" t="b">
        <v>0</v>
      </c>
      <c r="AT31" s="75" t="inlineStr">
        <is>
          <t>N/D</t>
        </is>
      </c>
      <c r="AU31" s="75" t="inlineStr">
        <is>
          <t>N/D</t>
        </is>
      </c>
      <c r="AV31" s="75" t="inlineStr">
        <is>
          <t>N/D</t>
        </is>
      </c>
      <c r="AW31" s="75" t="b">
        <v>0</v>
      </c>
      <c r="AX31" s="75" t="inlineStr">
        <is>
          <t>N/D</t>
        </is>
      </c>
      <c r="AY31" s="75" t="inlineStr">
        <is>
          <t>sem benchmark confiável</t>
        </is>
      </c>
      <c r="AZ31" s="144" t="inlineStr">
        <is>
          <t>N/D</t>
        </is>
      </c>
      <c r="BA31" s="75" t="b">
        <v>0</v>
      </c>
      <c r="BB31" s="145" t="n">
        <v>0</v>
      </c>
      <c r="BC31" s="143" t="n">
        <v>1000</v>
      </c>
      <c r="BD31" s="75" t="inlineStr">
        <is>
          <t>Cotas Subordinadas: R$ 1.000,00</t>
        </is>
      </c>
      <c r="BE31" s="75" t="inlineStr">
        <is>
          <t>preço/valor unitário de emissão</t>
        </is>
      </c>
      <c r="BF31" s="75" t="inlineStr">
        <is>
          <t>Cotas Subordinadas</t>
        </is>
      </c>
      <c r="BG31" s="75" t="inlineStr">
        <is>
          <t>16/04/2025</t>
        </is>
      </c>
      <c r="BH31" s="75" t="inlineStr">
        <is>
          <t>883109</t>
        </is>
      </c>
      <c r="BI31" s="75" t="inlineStr">
        <is>
          <t>https://fnet.bmfbovespa.com.br/fnet/publico/downloadDocumento?id=883109</t>
        </is>
      </c>
      <c r="BJ31" s="75" t="inlineStr">
        <is>
          <t>localizado documentalmente</t>
        </is>
      </c>
      <c r="BK31" s="75" t="b">
        <v>0</v>
      </c>
      <c r="BL31" s="75" t="inlineStr">
        <is>
          <t>UPL</t>
        </is>
      </c>
      <c r="BM31" s="75" t="inlineStr">
        <is>
          <t>cedente</t>
        </is>
      </c>
      <c r="BN31" s="75" t="inlineStr">
        <is>
          <t>UPL Brasil/UPL</t>
        </is>
      </c>
      <c r="BO31" s="75" t="inlineStr">
        <is>
          <t>UPL</t>
        </is>
      </c>
      <c r="BP31" s="75" t="inlineStr">
        <is>
          <t>N/D</t>
        </is>
      </c>
      <c r="BQ31" s="75" t="inlineStr">
        <is>
          <t>Insumos Agrícolas - prazo Safra</t>
        </is>
      </c>
      <c r="BR31" s="75" t="inlineStr">
        <is>
          <t>originador: https://fnet.bmfbovespa.com.br/fnet/publico/downloadDocumento?id=1126517 | cedente: IMG_8704.JPG | tipo_recebivel: IMG_8704.JPG</t>
        </is>
      </c>
      <c r="BS31" s="75" t="inlineStr">
        <is>
          <t>manual_aplicado</t>
        </is>
      </c>
      <c r="BT31" s="75" t="inlineStr">
        <is>
          <t>N/D</t>
        </is>
      </c>
      <c r="BU31" s="75" t="inlineStr">
        <is>
          <t>928360</t>
        </is>
      </c>
      <c r="BV31" s="75" t="inlineStr">
        <is>
          <t>2025-06-12</t>
        </is>
      </c>
      <c r="BW31" s="75" t="inlineStr">
        <is>
          <t>133</t>
        </is>
      </c>
      <c r="BX31" s="75" t="inlineStr">
        <is>
          <t>revisto — suporte estrutural total localizado</t>
        </is>
      </c>
      <c r="BY31" s="75" t="inlineStr">
        <is>
          <t>FundosNet/B3; documento 928360; referência 2025-06-12; p. 133</t>
        </is>
      </c>
      <c r="BZ31" s="75" t="inlineStr">
        <is>
          <t>N/D</t>
        </is>
      </c>
      <c r="CA31" s="75" t="inlineStr">
        <is>
          <t>Sub/PL atual; sacado/devedor</t>
        </is>
      </c>
      <c r="CB31" s="75" t="inlineStr">
        <is>
          <t>sub_pl_atual_ausente</t>
        </is>
      </c>
    </row>
    <row r="32" ht="31.5" customHeight="1">
      <c r="A32" s="74" t="n">
        <v>29</v>
      </c>
      <c r="B32" s="138" t="n">
        <v>50857998000113</v>
      </c>
      <c r="C32" s="74" t="inlineStr">
        <is>
          <t>50.857.998/0001-13</t>
        </is>
      </c>
      <c r="D32" s="74" t="inlineStr">
        <is>
          <t>LEO MADEIRAS FIDC SEGMENTO MEIOS DE PAGAMENTO DE RESPONSABILIDADE LIMITADA</t>
        </is>
      </c>
      <c r="E32" s="74" t="inlineStr">
        <is>
          <t>LEO I FUNDO INV DIR CREDITORIOS</t>
        </is>
      </c>
      <c r="F32" s="74" t="inlineStr">
        <is>
          <t>Carteira 101</t>
        </is>
      </c>
      <c r="G32" s="74" t="inlineStr">
        <is>
          <t>2026-08</t>
        </is>
      </c>
      <c r="H32" s="74" t="inlineStr">
        <is>
          <t>localizado</t>
        </is>
      </c>
      <c r="I32" s="139" t="n">
        <v>166222508.55</v>
      </c>
      <c r="J32" s="139" t="n">
        <v>166222508.5494739</v>
      </c>
      <c r="K32" s="139" t="n">
        <v>23377228.35976638</v>
      </c>
      <c r="L32" s="140" t="n">
        <v>0.1406381636499877</v>
      </c>
      <c r="M32" s="74" t="inlineStr">
        <is>
          <t>Calculado com classes reportadas e PL oficial reconciliado</t>
        </is>
      </c>
      <c r="N32" s="140" t="n">
        <v>0.05</v>
      </c>
      <c r="O32" s="140" t="inlineStr">
        <is>
          <t>N/D</t>
        </is>
      </c>
      <c r="P32" s="140" t="inlineStr">
        <is>
          <t>N/D</t>
        </is>
      </c>
      <c r="Q32" s="140" t="inlineStr">
        <is>
          <t>N/D</t>
        </is>
      </c>
      <c r="R32" s="140" t="inlineStr">
        <is>
          <t>N/D</t>
        </is>
      </c>
      <c r="S32" s="140" t="n">
        <v>0.05</v>
      </c>
      <c r="T32" s="74" t="inlineStr">
        <is>
          <t>N/D</t>
        </is>
      </c>
      <c r="U32" s="74" t="inlineStr">
        <is>
          <t>junior_pl</t>
        </is>
      </c>
      <c r="V32" s="74" t="inlineStr">
        <is>
          <t>direto no regulamento</t>
        </is>
      </c>
      <c r="W32" s="74" t="b">
        <v>0</v>
      </c>
      <c r="X32" s="74" t="inlineStr">
        <is>
          <t>Mínimo júnior isolado; a subordinação atual disponível agrega todas as classes subordinadas.</t>
        </is>
      </c>
      <c r="Y32" s="74" t="b">
        <v>0</v>
      </c>
      <c r="Z32" s="140" t="inlineStr">
        <is>
          <t>N/D</t>
        </is>
      </c>
      <c r="AA32" s="140" t="inlineStr">
        <is>
          <t>N/D</t>
        </is>
      </c>
      <c r="AB32" s="74" t="inlineStr">
        <is>
          <t>não medido</t>
        </is>
      </c>
      <c r="AC32" s="74" t="inlineStr">
        <is>
          <t>Agro, Indústria e Comércio</t>
        </is>
      </c>
      <c r="AD32" s="74" t="inlineStr">
        <is>
          <t>Recebíveis Comerciais</t>
        </is>
      </c>
      <c r="AE32" s="74" t="inlineStr">
        <is>
          <t>Agro / Revenda</t>
        </is>
      </c>
      <c r="AF32" s="74" t="inlineStr">
        <is>
          <t>Agro / Revenda</t>
        </is>
      </c>
      <c r="AG32" s="74" t="inlineStr">
        <is>
          <t>Agro / Revenda</t>
        </is>
      </c>
      <c r="AH32" s="74" t="inlineStr">
        <is>
          <t>Adquirência</t>
        </is>
      </c>
      <c r="AI32" s="74" t="inlineStr">
        <is>
          <t>Recebíveis de pagamento, subcredenciadora como devedora</t>
        </is>
      </c>
      <c r="AJ32" s="74" t="b">
        <v>1</v>
      </c>
      <c r="AK32" s="74" t="inlineStr">
        <is>
          <t>APLICAR_ALTA</t>
        </is>
      </c>
      <c r="AL32" s="74" t="inlineStr">
        <is>
          <t>Devedora é a subcredenciadora da Rede Leo</t>
        </is>
      </c>
      <c r="AM32" s="74" t="inlineStr">
        <is>
          <t>regulamento e auditoria documental</t>
        </is>
      </c>
      <c r="AN32" s="74" t="inlineStr">
        <is>
          <t>Não</t>
        </is>
      </c>
      <c r="AO32" s="74" t="inlineStr">
        <is>
          <t>regulamento e auditoria documental</t>
        </is>
      </c>
      <c r="AP32" s="74" t="b">
        <v>0</v>
      </c>
      <c r="AQ32" s="74" t="inlineStr">
        <is>
          <t>Adquirência</t>
        </is>
      </c>
      <c r="AR32" s="74" t="inlineStr">
        <is>
          <t>Agro / Revenda</t>
        </is>
      </c>
      <c r="AS32" s="74" t="b">
        <v>1</v>
      </c>
      <c r="AT32" s="74" t="inlineStr">
        <is>
          <t>regulamento e auditoria documental</t>
        </is>
      </c>
      <c r="AU32" s="74" t="inlineStr">
        <is>
          <t>Devedora é a subcredenciadora da Rede Leo</t>
        </is>
      </c>
      <c r="AV32" s="74" t="inlineStr">
        <is>
          <t>10%–15%</t>
        </is>
      </c>
      <c r="AW32" s="74" t="b">
        <v>1</v>
      </c>
      <c r="AX32" s="74" t="inlineStr">
        <is>
          <t>incomparável</t>
        </is>
      </c>
      <c r="AY32" s="74" t="inlineStr">
        <is>
          <t>sem benchmark confiável</t>
        </is>
      </c>
      <c r="AZ32" s="140" t="inlineStr">
        <is>
          <t>N/D</t>
        </is>
      </c>
      <c r="BA32" s="74" t="b">
        <v>0</v>
      </c>
      <c r="BB32" s="141" t="n">
        <v>0</v>
      </c>
      <c r="BC32" s="139" t="n">
        <v>1000</v>
      </c>
      <c r="BD32" s="74" t="inlineStr">
        <is>
          <t>Cotas Seniores: R$1.000,00</t>
        </is>
      </c>
      <c r="BE32" s="74" t="inlineStr">
        <is>
          <t>valor nominal unitário (VNU)</t>
        </is>
      </c>
      <c r="BF32" s="74" t="inlineStr">
        <is>
          <t>Cotas Seniores</t>
        </is>
      </c>
      <c r="BG32" s="74" t="inlineStr">
        <is>
          <t>22/05/2025</t>
        </is>
      </c>
      <c r="BH32" s="74" t="inlineStr">
        <is>
          <t>910444</t>
        </is>
      </c>
      <c r="BI32" s="74" t="inlineStr">
        <is>
          <t>https://fnet.bmfbovespa.com.br/fnet/publico/downloadDocumento?id=910444</t>
        </is>
      </c>
      <c r="BJ32" s="74" t="inlineStr">
        <is>
          <t>localizado documentalmente</t>
        </is>
      </c>
      <c r="BK32" s="74" t="b">
        <v>0</v>
      </c>
      <c r="BL32" s="74" t="inlineStr">
        <is>
          <t>N/D</t>
        </is>
      </c>
      <c r="BM32" s="74" t="inlineStr">
        <is>
          <t>N/D</t>
        </is>
      </c>
      <c r="BN32" s="74" t="inlineStr">
        <is>
          <t>N/D</t>
        </is>
      </c>
      <c r="BO32" s="74" t="inlineStr">
        <is>
          <t>os Marceneiros e as Entidades da Rede Leo, que, a seu exclusivo critério, cedem a totalidade ou parte de seus respectivos Direitos Creditórios Elegíveis à Classe e, para tanto, tenham realizado e/ou venham a realizar Formalização(ões) Eletrônica(s) de Cessão com a Classe, sendo os Marceneiros e as Entidades da Rede Leo (que não a Leo Madeiras) representados pelo Agente de Formalização, na qualidade de sua mandatária, nos termos dos Termos do Sistema Leo</t>
        </is>
      </c>
      <c r="BP32" s="74" t="inlineStr">
        <is>
          <t>a Subcredenciadora, na qualidade de devedora dos Direitos Creditórios</t>
        </is>
      </c>
      <c r="BQ32" s="74" t="inlineStr">
        <is>
          <t>N/D</t>
        </is>
      </c>
      <c r="BR32" s="74" t="inlineStr">
        <is>
          <t>cedente: https://fnet.bmfbovespa.com.br/fnet/publico/downloadDocumento?id=910444 | sacado_devedor: https://fnet.bmfbovespa.com.br/fnet/publico/downloadDocumento?id=910444</t>
        </is>
      </c>
      <c r="BS32" s="74" t="inlineStr">
        <is>
          <t>sem_overlay</t>
        </is>
      </c>
      <c r="BT32" s="74" t="inlineStr">
        <is>
          <t>N/D</t>
        </is>
      </c>
      <c r="BU32" s="74" t="inlineStr">
        <is>
          <t>1017825</t>
        </is>
      </c>
      <c r="BV32" s="74" t="inlineStr">
        <is>
          <t>2025-10-06</t>
        </is>
      </c>
      <c r="BW32" s="74" t="inlineStr">
        <is>
          <t>62</t>
        </is>
      </c>
      <c r="BX32" s="74" t="inlineStr">
        <is>
          <t>revisto — mínimo júnior localizado</t>
        </is>
      </c>
      <c r="BY32" s="74" t="inlineStr">
        <is>
          <t>FundosNet/B3; documento 1017825; referência 2025-10-06; p. 62</t>
        </is>
      </c>
      <c r="BZ32" s="74" t="inlineStr">
        <is>
          <t>Índice de Subordinação Mezanino: cotas júnior / PL, mínimo de 5,0%.</t>
        </is>
      </c>
      <c r="CA32" s="74" t="inlineStr">
        <is>
          <t>originador; tipo de recebível</t>
        </is>
      </c>
      <c r="CB32" s="74" t="inlineStr">
        <is>
          <t>estrutura_incomparavel</t>
        </is>
      </c>
    </row>
    <row r="33" ht="31.5" customHeight="1">
      <c r="A33" s="75" t="n">
        <v>30</v>
      </c>
      <c r="B33" s="142" t="n">
        <v>38376526000143</v>
      </c>
      <c r="C33" s="75" t="inlineStr">
        <is>
          <t>38.376.526/0001-43</t>
        </is>
      </c>
      <c r="D33" s="75" t="inlineStr">
        <is>
          <t>HOTFUND FUNDO DE INVESTIMENTO EM DIREITOS CREDITÓRIOS SEGMENTO MEIOS DE PAGAMENTO DE RESPONSABILIDAD</t>
        </is>
      </c>
      <c r="E33" s="75" t="inlineStr">
        <is>
          <t>HOTFUND FIDC</t>
        </is>
      </c>
      <c r="F33" s="75" t="inlineStr">
        <is>
          <t>Carteira 101</t>
        </is>
      </c>
      <c r="G33" s="75" t="inlineStr">
        <is>
          <t>2026-08</t>
        </is>
      </c>
      <c r="H33" s="75" t="inlineStr">
        <is>
          <t>localizado</t>
        </is>
      </c>
      <c r="I33" s="143" t="n">
        <v>1596122150.92</v>
      </c>
      <c r="J33" s="143" t="n">
        <v>1596122150.917644</v>
      </c>
      <c r="K33" s="143" t="n">
        <v>1195893429.068644</v>
      </c>
      <c r="L33" s="144" t="n">
        <v>0.7492493155234607</v>
      </c>
      <c r="M33" s="75" t="inlineStr">
        <is>
          <t>Calculado com classes reportadas e PL oficial reconciliado</t>
        </is>
      </c>
      <c r="N33" s="144" t="n">
        <v>0.21</v>
      </c>
      <c r="O33" s="144" t="inlineStr">
        <is>
          <t>N/D</t>
        </is>
      </c>
      <c r="P33" s="144" t="inlineStr">
        <is>
          <t>N/D</t>
        </is>
      </c>
      <c r="Q33" s="144" t="inlineStr">
        <is>
          <t>N/D</t>
        </is>
      </c>
      <c r="R33" s="144" t="inlineStr">
        <is>
          <t>N/D</t>
        </is>
      </c>
      <c r="S33" s="144" t="n">
        <v>0.21</v>
      </c>
      <c r="T33" s="75" t="inlineStr">
        <is>
          <t>N/D</t>
        </is>
      </c>
      <c r="U33" s="75" t="inlineStr">
        <is>
          <t>junior_pl</t>
        </is>
      </c>
      <c r="V33" s="75" t="inlineStr">
        <is>
          <t>direto no regulamento</t>
        </is>
      </c>
      <c r="W33" s="75" t="b">
        <v>0</v>
      </c>
      <c r="X33" s="75" t="inlineStr">
        <is>
          <t>Mínimo júnior isolado; a subordinação atual disponível agrega todas as classes subordinadas.</t>
        </is>
      </c>
      <c r="Y33" s="75" t="b">
        <v>0</v>
      </c>
      <c r="Z33" s="144" t="inlineStr">
        <is>
          <t>N/D</t>
        </is>
      </c>
      <c r="AA33" s="144" t="inlineStr">
        <is>
          <t>N/D</t>
        </is>
      </c>
      <c r="AB33" s="75" t="inlineStr">
        <is>
          <t>não medido</t>
        </is>
      </c>
      <c r="AC33" s="75" t="inlineStr">
        <is>
          <t>Financeiro</t>
        </is>
      </c>
      <c r="AD33" s="75" t="inlineStr">
        <is>
          <t>Adquirência</t>
        </is>
      </c>
      <c r="AE33" s="75" t="inlineStr">
        <is>
          <t>Financeiro</t>
        </is>
      </c>
      <c r="AF33" s="75" t="inlineStr">
        <is>
          <t>Financeiro</t>
        </is>
      </c>
      <c r="AG33" s="75" t="inlineStr">
        <is>
          <t>Financeiro</t>
        </is>
      </c>
      <c r="AH33" s="75" t="inlineStr">
        <is>
          <t>Adquirência</t>
        </is>
      </c>
      <c r="AI33" s="75" t="inlineStr">
        <is>
          <t>Recebíveis de cartão / Hotmart</t>
        </is>
      </c>
      <c r="AJ33" s="75" t="b">
        <v>1</v>
      </c>
      <c r="AK33" s="75" t="inlineStr">
        <is>
          <t>APLICAR_ALTA</t>
        </is>
      </c>
      <c r="AL33" s="75" t="inlineStr">
        <is>
          <t>Hotmart é devedora dos direitos de cartões</t>
        </is>
      </c>
      <c r="AM33" s="75" t="inlineStr">
        <is>
          <t>regulamento 948252</t>
        </is>
      </c>
      <c r="AN33" s="75" t="inlineStr">
        <is>
          <t>Não</t>
        </is>
      </c>
      <c r="AO33" s="75" t="inlineStr">
        <is>
          <t>regulamento 948252</t>
        </is>
      </c>
      <c r="AP33" s="75" t="b">
        <v>0</v>
      </c>
      <c r="AQ33" s="75" t="inlineStr">
        <is>
          <t>Adquirência</t>
        </is>
      </c>
      <c r="AR33" s="75" t="inlineStr">
        <is>
          <t>Financeiro</t>
        </is>
      </c>
      <c r="AS33" s="75" t="b">
        <v>1</v>
      </c>
      <c r="AT33" s="75" t="inlineStr">
        <is>
          <t>regulamento 948252</t>
        </is>
      </c>
      <c r="AU33" s="75" t="inlineStr">
        <is>
          <t>Hotmart é devedora dos direitos de cartões</t>
        </is>
      </c>
      <c r="AV33" s="75" t="inlineStr">
        <is>
          <t>≥ 60%</t>
        </is>
      </c>
      <c r="AW33" s="75" t="b">
        <v>1</v>
      </c>
      <c r="AX33" s="75" t="inlineStr">
        <is>
          <t>incomparável</t>
        </is>
      </c>
      <c r="AY33" s="75" t="inlineStr">
        <is>
          <t>acima do mercado</t>
        </is>
      </c>
      <c r="AZ33" s="144" t="n">
        <v>0.4430555348269766</v>
      </c>
      <c r="BA33" s="75" t="b">
        <v>1</v>
      </c>
      <c r="BB33" s="145" t="n">
        <v>12</v>
      </c>
      <c r="BC33" s="143" t="n">
        <v>1000</v>
      </c>
      <c r="BD33" s="75" t="inlineStr">
        <is>
          <t>Cotas Subordinadas Júnior: R$ 1.000,00</t>
        </is>
      </c>
      <c r="BE33" s="75" t="inlineStr">
        <is>
          <t>valor nominal unitário (VNU)</t>
        </is>
      </c>
      <c r="BF33" s="75" t="inlineStr">
        <is>
          <t>Cotas Subordinadas Júnior</t>
        </is>
      </c>
      <c r="BG33" s="75" t="inlineStr">
        <is>
          <t>02/07/2025</t>
        </is>
      </c>
      <c r="BH33" s="75" t="inlineStr">
        <is>
          <t>948252</t>
        </is>
      </c>
      <c r="BI33" s="75" t="inlineStr">
        <is>
          <t>https://fnet.bmfbovespa.com.br/fnet/publico/downloadDocumento?id=948252</t>
        </is>
      </c>
      <c r="BJ33" s="75" t="inlineStr">
        <is>
          <t>localizado documentalmente</t>
        </is>
      </c>
      <c r="BK33" s="75" t="b">
        <v>0</v>
      </c>
      <c r="BL33" s="75" t="inlineStr">
        <is>
          <t>Hotmart</t>
        </is>
      </c>
      <c r="BM33" s="75" t="inlineStr">
        <is>
          <t>cedente</t>
        </is>
      </c>
      <c r="BN33" s="75" t="inlineStr">
        <is>
          <t>N/D</t>
        </is>
      </c>
      <c r="BO33" s="75" t="inlineStr">
        <is>
          <t>os Produtores, que, a seu exclusivo critério, cedem a totalidade ou parte de seus respectivos Direitos Creditórios Elegíveis à Classe e, para tanto, tenham realizado e/ou venham a realizar Formalização(ões) Eletrônica(s) de Cessão com a Classe, representados pela Hotmart, na qualidade de sua mandatária, nos termos dos Termos de Uso Hotmart</t>
        </is>
      </c>
      <c r="BP33" s="75" t="inlineStr">
        <is>
          <t>a Hotmart, na qualidade de devedora dos Direitos Creditórios Cartões</t>
        </is>
      </c>
      <c r="BQ33" s="75" t="inlineStr">
        <is>
          <t>os Direitos Creditórios Cartões e os Direitos Creditórios Recebíveis a Prazo, quando referidos em conjunto ou indistintamente</t>
        </is>
      </c>
      <c r="BR33" s="75" t="inlineStr">
        <is>
          <t>cedente: https://fnet.bmfbovespa.com.br/fnet/publico/downloadDocumento?id=948252 | sacado_devedor: https://fnet.bmfbovespa.com.br/fnet/publico/downloadDocumento?id=948252 | tipo_recebivel: https://fnet.bmfbovespa.com.br/fnet/publico/downloadDocumento?id=948252</t>
        </is>
      </c>
      <c r="BS33" s="75" t="inlineStr">
        <is>
          <t>manual_aplicado</t>
        </is>
      </c>
      <c r="BT33" s="75" t="inlineStr">
        <is>
          <t>OBS parcialmente legível: FIDC antecipa recebíveis de funding para a Hotmart antecipar parcelas aos criadores de conteúdo; final cortado pela foto.</t>
        </is>
      </c>
      <c r="BU33" s="75" t="inlineStr">
        <is>
          <t>948252</t>
        </is>
      </c>
      <c r="BV33" s="75" t="inlineStr">
        <is>
          <t>2025-07-02</t>
        </is>
      </c>
      <c r="BW33" s="75" t="inlineStr">
        <is>
          <t>68</t>
        </is>
      </c>
      <c r="BX33" s="75" t="inlineStr">
        <is>
          <t>revisto — mínimo júnior localizado</t>
        </is>
      </c>
      <c r="BY33" s="75" t="inlineStr">
        <is>
          <t>FundosNet/B3; documento 948252; referência 2025-07-02; p. 68</t>
        </is>
      </c>
      <c r="BZ33" s="75" t="inlineStr">
        <is>
          <t>Cotas subordinadas júnior / PL, mínimo de 21,0%.</t>
        </is>
      </c>
      <c r="CA33" s="75" t="inlineStr">
        <is>
          <t>originador</t>
        </is>
      </c>
      <c r="CB33" s="75" t="inlineStr">
        <is>
          <t>estrutura_incomparavel</t>
        </is>
      </c>
    </row>
    <row r="34" ht="31.5" customHeight="1">
      <c r="A34" s="74" t="n">
        <v>31</v>
      </c>
      <c r="B34" s="138" t="n">
        <v>45598747000121</v>
      </c>
      <c r="C34" s="74" t="inlineStr">
        <is>
          <t>45.598.747/0001-21</t>
        </is>
      </c>
      <c r="D34" s="74" t="inlineStr">
        <is>
          <t>SUMUP SOLO FUNDO DE INVESTIMENTO EM DIREITOS CREDITÓRIOS SEGMENTO MEIOS DE PAGAMENTO DE RESPONSABILI</t>
        </is>
      </c>
      <c r="E34" s="74" t="inlineStr">
        <is>
          <t>FIDC SUMUP</t>
        </is>
      </c>
      <c r="F34" s="74" t="inlineStr">
        <is>
          <t>Carteira 101</t>
        </is>
      </c>
      <c r="G34" s="74" t="inlineStr">
        <is>
          <t>2026-08</t>
        </is>
      </c>
      <c r="H34" s="74" t="inlineStr">
        <is>
          <t>localizado</t>
        </is>
      </c>
      <c r="I34" s="139" t="n">
        <v>377416791.58</v>
      </c>
      <c r="J34" s="139" t="n">
        <v>377416791.6480582</v>
      </c>
      <c r="K34" s="139" t="n">
        <v>29513451.74995815</v>
      </c>
      <c r="L34" s="140" t="n">
        <v>0.07819856563987103</v>
      </c>
      <c r="M34" s="74" t="inlineStr">
        <is>
          <t>Calculado com classes reportadas e PL oficial reconciliado</t>
        </is>
      </c>
      <c r="N34" s="140" t="inlineStr">
        <is>
          <t>N/D</t>
        </is>
      </c>
      <c r="O34" s="140" t="n">
        <v>0.047619047619</v>
      </c>
      <c r="P34" s="140" t="inlineStr">
        <is>
          <t>N/D</t>
        </is>
      </c>
      <c r="Q34" s="140" t="n">
        <v>0.047619047619</v>
      </c>
      <c r="R34" s="140" t="inlineStr">
        <is>
          <t>N/D</t>
        </is>
      </c>
      <c r="S34" s="140" t="n">
        <v>0.047619047619</v>
      </c>
      <c r="T34" s="74" t="inlineStr">
        <is>
          <t>4,76%*</t>
        </is>
      </c>
      <c r="U34" s="74" t="inlineStr">
        <is>
          <t>junior_pl_calculado</t>
        </is>
      </c>
      <c r="V34" s="74" t="inlineStr">
        <is>
          <t>calculado: 1 − 1/1,05</t>
        </is>
      </c>
      <c r="W34" s="74" t="b">
        <v>1</v>
      </c>
      <c r="X34" s="74" t="inlineStr">
        <is>
          <t>Estrutura com uma única classe subordinada; métrica atual e piso usam o total subordinado sobre o PL.</t>
        </is>
      </c>
      <c r="Y34" s="74" t="b">
        <v>1</v>
      </c>
      <c r="Z34" s="140" t="n">
        <v>0.03057951802087103</v>
      </c>
      <c r="AA34" s="140" t="n">
        <v>0.03210849392191297</v>
      </c>
      <c r="AB34" s="74" t="inlineStr">
        <is>
          <t>acima do mínimo</t>
        </is>
      </c>
      <c r="AC34" s="74" t="inlineStr">
        <is>
          <t>Agro, Indústria e Comércio</t>
        </is>
      </c>
      <c r="AD34" s="74" t="inlineStr">
        <is>
          <t>Recebíveis Comerciais</t>
        </is>
      </c>
      <c r="AE34" s="74" t="inlineStr">
        <is>
          <t>Agro / Revenda</t>
        </is>
      </c>
      <c r="AF34" s="74" t="inlineStr">
        <is>
          <t>Agro / Revenda</t>
        </is>
      </c>
      <c r="AG34" s="74" t="inlineStr">
        <is>
          <t>Adquirência</t>
        </is>
      </c>
      <c r="AH34" s="74" t="inlineStr">
        <is>
          <t>Adquirência</t>
        </is>
      </c>
      <c r="AI34" s="74" t="inlineStr">
        <is>
          <t>N/D</t>
        </is>
      </c>
      <c r="AJ34" s="74" t="b">
        <v>0</v>
      </c>
      <c r="AK34" s="74" t="inlineStr">
        <is>
          <t>fora da revisão Financeiro/Agro</t>
        </is>
      </c>
      <c r="AL34" s="74" t="inlineStr">
        <is>
          <t>N/D</t>
        </is>
      </c>
      <c r="AM34" s="74" t="inlineStr">
        <is>
          <t>N/D</t>
        </is>
      </c>
      <c r="AN34" s="74" t="inlineStr">
        <is>
          <t>N/D</t>
        </is>
      </c>
      <c r="AO34" s="74" t="inlineStr">
        <is>
          <t>N/D</t>
        </is>
      </c>
      <c r="AP34" s="74" t="inlineStr">
        <is>
          <t>N/D</t>
        </is>
      </c>
      <c r="AQ34" s="74" t="inlineStr">
        <is>
          <t>Adquirência</t>
        </is>
      </c>
      <c r="AR34" s="74" t="inlineStr">
        <is>
          <t>Agro / Revenda</t>
        </is>
      </c>
      <c r="AS34" s="74" t="b">
        <v>1</v>
      </c>
      <c r="AT34" s="74" t="inlineStr">
        <is>
          <t>FundosNet/B3 doc. 883977; IMG_8705.JPG</t>
        </is>
      </c>
      <c r="AU34" s="74" t="inlineStr">
        <is>
          <t>Créditos contra emissores derivados de transações de pagamento processadas pelo Sistema SumUp.</t>
        </is>
      </c>
      <c r="AV34" s="74" t="inlineStr">
        <is>
          <t>&lt; 10%</t>
        </is>
      </c>
      <c r="AW34" s="74" t="b">
        <v>1</v>
      </c>
      <c r="AX34" s="74" t="inlineStr">
        <is>
          <t>acima do piso</t>
        </is>
      </c>
      <c r="AY34" s="74" t="inlineStr">
        <is>
          <t>sem benchmark confiável</t>
        </is>
      </c>
      <c r="AZ34" s="140" t="inlineStr">
        <is>
          <t>N/D</t>
        </is>
      </c>
      <c r="BA34" s="74" t="b">
        <v>0</v>
      </c>
      <c r="BB34" s="141" t="n">
        <v>0</v>
      </c>
      <c r="BC34" s="139" t="n">
        <v>1</v>
      </c>
      <c r="BD34" s="74" t="inlineStr">
        <is>
          <t>Cotas Subordinadas Junior: R$1</t>
        </is>
      </c>
      <c r="BE34" s="74" t="inlineStr">
        <is>
          <t>preço/valor unitário de emissão</t>
        </is>
      </c>
      <c r="BF34" s="74" t="inlineStr">
        <is>
          <t>Cotas Subordinadas Junior</t>
        </is>
      </c>
      <c r="BG34" s="74" t="inlineStr">
        <is>
          <t>2025-04-22</t>
        </is>
      </c>
      <c r="BH34" s="74" t="inlineStr">
        <is>
          <t>883977</t>
        </is>
      </c>
      <c r="BI34" s="74" t="inlineStr">
        <is>
          <t>https://fnet.bmfbovespa.com.br/fnet/publico/downloadDocumento?id=883977</t>
        </is>
      </c>
      <c r="BJ34" s="74" t="inlineStr">
        <is>
          <t>localizado documentalmente</t>
        </is>
      </c>
      <c r="BK34" s="74" t="b">
        <v>0</v>
      </c>
      <c r="BL34" s="74" t="inlineStr">
        <is>
          <t>Sumup IP</t>
        </is>
      </c>
      <c r="BM34" s="74" t="inlineStr">
        <is>
          <t>cedente</t>
        </is>
      </c>
      <c r="BN34" s="74" t="inlineStr">
        <is>
          <t>N/D</t>
        </is>
      </c>
      <c r="BO34" s="74" t="inlineStr">
        <is>
          <t>a SUMUP INSTITUIÇÃO DE PAGAMENTO BRASIL LTDA., sociedade limitada com sede na Cidade e Estado de São Paulo, na Rua Gilberto Sabino, nº 215, 10º andar, Pinheiros, CEP: 05425-020, inscrita no CNPJ/MF sob o nº 16.668.076/0001-20</t>
        </is>
      </c>
      <c r="BP34" s="74" t="inlineStr">
        <is>
          <t>os Emissores</t>
        </is>
      </c>
      <c r="BQ34" s="74"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BR34" s="74" t="inlineStr">
        <is>
          <t>cedente: https://fnet.bmfbovespa.com.br/fnet/publico/downloadDocumento?id=883977 | sacado_devedor: https://fnet.bmfbovespa.com.br/fnet/publico/downloadDocumento?id=883977 | tipo_recebivel: https://fnet.bmfbovespa.com.br/fnet/publico/downloadDocumento?id=883977</t>
        </is>
      </c>
      <c r="BS34" s="74" t="inlineStr">
        <is>
          <t>manual_aplicado</t>
        </is>
      </c>
      <c r="BT34" s="74" t="inlineStr">
        <is>
          <t>OBS da foto: Risco Banco Emissor Itaú.</t>
        </is>
      </c>
      <c r="BU34" s="74" t="inlineStr">
        <is>
          <t>883977</t>
        </is>
      </c>
      <c r="BV34" s="74" t="inlineStr">
        <is>
          <t>2025-04-22</t>
        </is>
      </c>
      <c r="BW34" s="74" t="inlineStr">
        <is>
          <t>95</t>
        </is>
      </c>
      <c r="BX34" s="74" t="inlineStr">
        <is>
          <t>revisto — mínimo júnior localizado</t>
        </is>
      </c>
      <c r="BY34" s="74" t="inlineStr">
        <is>
          <t>FundosNet/B3; documento 883977; referência 2025-04-22; p. 95</t>
        </is>
      </c>
      <c r="BZ34" s="74" t="inlineStr">
        <is>
          <t>Mínimo júnior implícito na relação PL / cotas seniores de 105,0%.</t>
        </is>
      </c>
      <c r="CA34" s="74" t="inlineStr">
        <is>
          <t>originador</t>
        </is>
      </c>
      <c r="CB34" s="74" t="inlineStr">
        <is>
          <t>completo_para_folga</t>
        </is>
      </c>
    </row>
    <row r="35" ht="31.5" customHeight="1">
      <c r="A35" s="75" t="n">
        <v>32</v>
      </c>
      <c r="B35" s="142" t="n">
        <v>41197066000109</v>
      </c>
      <c r="C35" s="75" t="inlineStr">
        <is>
          <t>41.197.066/0001-09</t>
        </is>
      </c>
      <c r="D35" s="75" t="inlineStr">
        <is>
          <t>IFOOD PAGO CRÉDITO I FUNDO DE INVESTIMENTO EM DIREITOS CREDITÓRIOS FINANCEIRO DE RESP LIMITADA</t>
        </is>
      </c>
      <c r="E35" s="75" t="inlineStr">
        <is>
          <t>MOVILEPAY CREDITO I FIDC SEGMENTO FINANCEIRO DE RE</t>
        </is>
      </c>
      <c r="F35" s="75" t="inlineStr">
        <is>
          <t>Carteira 101</t>
        </is>
      </c>
      <c r="G35" s="75" t="inlineStr">
        <is>
          <t>2026-08</t>
        </is>
      </c>
      <c r="H35" s="75" t="inlineStr">
        <is>
          <t>localizado</t>
        </is>
      </c>
      <c r="I35" s="143" t="n">
        <v>599497792.78</v>
      </c>
      <c r="J35" s="143" t="n">
        <v>599497792.7802087</v>
      </c>
      <c r="K35" s="143" t="n">
        <v>224665403.4904837</v>
      </c>
      <c r="L35" s="144" t="n">
        <v>0.3747560144444602</v>
      </c>
      <c r="M35" s="75" t="inlineStr">
        <is>
          <t>Calculado com classes reportadas e PL oficial reconciliado</t>
        </is>
      </c>
      <c r="N35" s="144" t="n">
        <v>0.1</v>
      </c>
      <c r="O35" s="144" t="inlineStr">
        <is>
          <t>N/D</t>
        </is>
      </c>
      <c r="P35" s="144" t="inlineStr">
        <is>
          <t>N/D</t>
        </is>
      </c>
      <c r="Q35" s="144" t="inlineStr">
        <is>
          <t>N/D</t>
        </is>
      </c>
      <c r="R35" s="144" t="inlineStr">
        <is>
          <t>N/D</t>
        </is>
      </c>
      <c r="S35" s="144" t="n">
        <v>0.1</v>
      </c>
      <c r="T35" s="75" t="inlineStr">
        <is>
          <t>N/D</t>
        </is>
      </c>
      <c r="U35" s="75" t="inlineStr">
        <is>
          <t>junior_pl</t>
        </is>
      </c>
      <c r="V35" s="75" t="inlineStr">
        <is>
          <t>direto no regulamento</t>
        </is>
      </c>
      <c r="W35" s="75" t="b">
        <v>0</v>
      </c>
      <c r="X35" s="75" t="inlineStr">
        <is>
          <t>Mínimo júnior isolado; a subordinação atual disponível agrega todas as classes subordinadas.</t>
        </is>
      </c>
      <c r="Y35" s="75" t="b">
        <v>0</v>
      </c>
      <c r="Z35" s="144" t="inlineStr">
        <is>
          <t>N/D</t>
        </is>
      </c>
      <c r="AA35" s="144" t="inlineStr">
        <is>
          <t>N/D</t>
        </is>
      </c>
      <c r="AB35" s="75" t="inlineStr">
        <is>
          <t>não medido</t>
        </is>
      </c>
      <c r="AC35" s="75" t="inlineStr">
        <is>
          <t>Financeiro</t>
        </is>
      </c>
      <c r="AD35" s="75" t="inlineStr">
        <is>
          <t>Crédito Pessoal</t>
        </is>
      </c>
      <c r="AE35" s="75" t="inlineStr">
        <is>
          <t>Financeiro</t>
        </is>
      </c>
      <c r="AF35" s="75" t="inlineStr">
        <is>
          <t>Financeiro</t>
        </is>
      </c>
      <c r="AG35" s="75" t="inlineStr">
        <is>
          <t>Financeiro</t>
        </is>
      </c>
      <c r="AH35" s="75" t="inlineStr">
        <is>
          <t>Financeiro</t>
        </is>
      </c>
      <c r="AI35" s="75" t="inlineStr">
        <is>
          <t>Crédito embedded PF/PJ, CCBs no ecossistema iFood</t>
        </is>
      </c>
      <c r="AJ35" s="75" t="b">
        <v>0</v>
      </c>
      <c r="AK35" s="75" t="inlineStr">
        <is>
          <t>MANTER_ALTA</t>
        </is>
      </c>
      <c r="AL35" s="75" t="inlineStr">
        <is>
          <t>Operações de crédito formalizadas por CCB</t>
        </is>
      </c>
      <c r="AM35" s="75" t="inlineStr">
        <is>
          <t>regulamento 1076481</t>
        </is>
      </c>
      <c r="AN35" s="75" t="inlineStr">
        <is>
          <t>Não</t>
        </is>
      </c>
      <c r="AO35" s="75" t="inlineStr">
        <is>
          <t>regulamento 1076481</t>
        </is>
      </c>
      <c r="AP35" s="75" t="b">
        <v>0</v>
      </c>
      <c r="AQ35" s="75" t="inlineStr">
        <is>
          <t>Financeiro</t>
        </is>
      </c>
      <c r="AR35" s="75" t="inlineStr">
        <is>
          <t>Financeiro</t>
        </is>
      </c>
      <c r="AS35" s="75" t="b">
        <v>0</v>
      </c>
      <c r="AT35" s="75" t="inlineStr">
        <is>
          <t>N/D</t>
        </is>
      </c>
      <c r="AU35" s="75" t="inlineStr">
        <is>
          <t>N/D</t>
        </is>
      </c>
      <c r="AV35" s="75" t="inlineStr">
        <is>
          <t>35%–60%</t>
        </is>
      </c>
      <c r="AW35" s="75" t="b">
        <v>1</v>
      </c>
      <c r="AX35" s="75" t="inlineStr">
        <is>
          <t>incomparável</t>
        </is>
      </c>
      <c r="AY35" s="75" t="inlineStr">
        <is>
          <t>acima do mercado</t>
        </is>
      </c>
      <c r="AZ35" s="144" t="n">
        <v>0.06856223374797604</v>
      </c>
      <c r="BA35" s="75" t="b">
        <v>1</v>
      </c>
      <c r="BB35" s="145" t="n">
        <v>12</v>
      </c>
      <c r="BC35" s="143" t="inlineStr">
        <is>
          <t>N/D</t>
        </is>
      </c>
      <c r="BD35" s="75" t="inlineStr">
        <is>
          <t>N/D</t>
        </is>
      </c>
      <c r="BE35" s="75" t="inlineStr">
        <is>
          <t>N/D</t>
        </is>
      </c>
      <c r="BF35" s="75" t="inlineStr">
        <is>
          <t>N/D</t>
        </is>
      </c>
      <c r="BG35" s="75" t="inlineStr">
        <is>
          <t>N/D</t>
        </is>
      </c>
      <c r="BH35" s="75" t="inlineStr">
        <is>
          <t>N/D</t>
        </is>
      </c>
      <c r="BI35" s="75" t="inlineStr">
        <is>
          <t>N/D</t>
        </is>
      </c>
      <c r="BJ35" s="75" t="inlineStr">
        <is>
          <t>não localizado</t>
        </is>
      </c>
      <c r="BK35" s="75" t="b">
        <v>0</v>
      </c>
      <c r="BL35" s="75" t="inlineStr">
        <is>
          <t>MovilePay / iFood</t>
        </is>
      </c>
      <c r="BM35" s="75" t="inlineStr">
        <is>
          <t>cedente</t>
        </is>
      </c>
      <c r="BN35" s="75" t="inlineStr">
        <is>
          <t>N/D</t>
        </is>
      </c>
      <c r="BO35" s="75" t="inlineStr">
        <is>
          <t>MovilePay / iFood</t>
        </is>
      </c>
      <c r="BP35" s="75" t="inlineStr">
        <is>
          <t>a pessoa que assume a responsabilidade solidária pelo cumprimento de quaisquer das obrigações principais, acessórias e/ou moratórias, presentes e/ou futuras, no seu vencimento original ou antecipado, assumidas ou que venham a ser assumidas Docusign Envelope ID: 68026EB4-05F6-4277-97D7-D8C28DC37303</t>
        </is>
      </c>
      <c r="BQ35" s="75" t="inlineStr">
        <is>
          <t>todos os direitos creditórios originários de operações de crédito contratadas pelos Devedores Elegíveis, na qualidade de Devedores, com as Instituições Financeiras Parceiras, formalizadas por meio da emissão de CCBs pelos respectivos Devedores Elegíveis em favor das Instituições Financeiras Parceiras</t>
        </is>
      </c>
      <c r="BR35" s="75" t="inlineStr">
        <is>
          <t>cedente: IMG_8705.JPG | sacado_devedor: https://fnet.bmfbovespa.com.br/fnet/publico/downloadDocumento?id=1076481 | tipo_recebivel: https://fnet.bmfbovespa.com.br/fnet/publico/downloadDocumento?id=1076481</t>
        </is>
      </c>
      <c r="BS35" s="75" t="inlineStr">
        <is>
          <t>manual_aplicado</t>
        </is>
      </c>
      <c r="BT35" s="75" t="inlineStr">
        <is>
          <t>Denominação cortada pela largura da coluna na foto.</t>
        </is>
      </c>
      <c r="BU35" s="75" t="inlineStr">
        <is>
          <t>1076481</t>
        </is>
      </c>
      <c r="BV35" s="75" t="inlineStr">
        <is>
          <t>2025-12-30</t>
        </is>
      </c>
      <c r="BW35" s="75" t="inlineStr">
        <is>
          <t>89</t>
        </is>
      </c>
      <c r="BX35" s="75" t="inlineStr">
        <is>
          <t>revisto — mínimo júnior localizado</t>
        </is>
      </c>
      <c r="BY35" s="75" t="inlineStr">
        <is>
          <t>FundosNet/B3; documento 1076481; referência 2025-12-30; p. 89</t>
        </is>
      </c>
      <c r="BZ35" s="75" t="inlineStr">
        <is>
          <t>Cotas júnior / PL: 10,0% até o gatilho contratual e 20,0% depois de atingido o novo patamar.</t>
        </is>
      </c>
      <c r="CA35" s="75" t="inlineStr">
        <is>
          <t>preço unitário da cota; originador</t>
        </is>
      </c>
      <c r="CB35" s="75" t="inlineStr">
        <is>
          <t>estrutura_incomparavel</t>
        </is>
      </c>
    </row>
    <row r="36" ht="31.5" customHeight="1">
      <c r="A36" s="74" t="n">
        <v>33</v>
      </c>
      <c r="B36" s="138" t="n">
        <v>44124617000194</v>
      </c>
      <c r="C36" s="74" t="inlineStr">
        <is>
          <t>44.124.617/0001-94</t>
        </is>
      </c>
      <c r="D36" s="74" t="inlineStr">
        <is>
          <t>CLOUDWALK AKIRA II FIDC SEGMENTO MEIOS DE PAGAMENTO</t>
        </is>
      </c>
      <c r="E36" s="74" t="inlineStr">
        <is>
          <t>CLOUDWALK AKIRA II FUNDO DE INVESTIMENTO EM DIREITO</t>
        </is>
      </c>
      <c r="F36" s="74" t="inlineStr">
        <is>
          <t>Carteira 101</t>
        </is>
      </c>
      <c r="G36" s="74" t="inlineStr">
        <is>
          <t>2026-08</t>
        </is>
      </c>
      <c r="H36" s="74" t="inlineStr">
        <is>
          <t>localizado</t>
        </is>
      </c>
      <c r="I36" s="139" t="inlineStr">
        <is>
          <t>N/D</t>
        </is>
      </c>
      <c r="J36" s="139" t="inlineStr">
        <is>
          <t>N/D</t>
        </is>
      </c>
      <c r="K36" s="139" t="inlineStr">
        <is>
          <t>N/D</t>
        </is>
      </c>
      <c r="L36" s="140" t="inlineStr">
        <is>
          <t>N/D</t>
        </is>
      </c>
      <c r="M36" s="74" t="inlineStr">
        <is>
          <t>PL oficial ausente em 2026-08</t>
        </is>
      </c>
      <c r="N36" s="140" t="n">
        <v>0.05</v>
      </c>
      <c r="O36" s="140" t="inlineStr">
        <is>
          <t>N/D</t>
        </is>
      </c>
      <c r="P36" s="140" t="inlineStr">
        <is>
          <t>N/D</t>
        </is>
      </c>
      <c r="Q36" s="140" t="n">
        <v>0.05</v>
      </c>
      <c r="R36" s="140" t="inlineStr">
        <is>
          <t>N/D</t>
        </is>
      </c>
      <c r="S36" s="140" t="n">
        <v>0.05</v>
      </c>
      <c r="T36" s="74" t="inlineStr">
        <is>
          <t>5,0%</t>
        </is>
      </c>
      <c r="U36" s="74" t="inlineStr">
        <is>
          <t>junior_pl</t>
        </is>
      </c>
      <c r="V36" s="74" t="inlineStr">
        <is>
          <t>direto no regulamento</t>
        </is>
      </c>
      <c r="W36" s="74" t="b">
        <v>1</v>
      </c>
      <c r="X36" s="74" t="inlineStr">
        <is>
          <t>Estrutura com uma única classe subordinada; métrica atual e piso usam o total subordinado sobre o PL.</t>
        </is>
      </c>
      <c r="Y36" s="74" t="b">
        <v>0</v>
      </c>
      <c r="Z36" s="140" t="inlineStr">
        <is>
          <t>N/D</t>
        </is>
      </c>
      <c r="AA36" s="140" t="inlineStr">
        <is>
          <t>N/D</t>
        </is>
      </c>
      <c r="AB36" s="74" t="inlineStr">
        <is>
          <t>não medido</t>
        </is>
      </c>
      <c r="AC36" s="74" t="inlineStr">
        <is>
          <t>Financeiro</t>
        </is>
      </c>
      <c r="AD36" s="74" t="inlineStr">
        <is>
          <t>Adquirência</t>
        </is>
      </c>
      <c r="AE36" s="74" t="inlineStr">
        <is>
          <t>Adquirência</t>
        </is>
      </c>
      <c r="AF36" s="74" t="inlineStr">
        <is>
          <t>Adquirência</t>
        </is>
      </c>
      <c r="AG36" s="74" t="inlineStr">
        <is>
          <t>Adquirência</t>
        </is>
      </c>
      <c r="AH36" s="74" t="inlineStr">
        <is>
          <t>Adquirência</t>
        </is>
      </c>
      <c r="AI36" s="74" t="inlineStr">
        <is>
          <t>N/D</t>
        </is>
      </c>
      <c r="AJ36" s="74" t="b">
        <v>0</v>
      </c>
      <c r="AK36" s="74" t="inlineStr">
        <is>
          <t>fora da revisão Financeiro/Agro</t>
        </is>
      </c>
      <c r="AL36" s="74" t="inlineStr">
        <is>
          <t>N/D</t>
        </is>
      </c>
      <c r="AM36" s="74" t="inlineStr">
        <is>
          <t>N/D</t>
        </is>
      </c>
      <c r="AN36" s="74" t="inlineStr">
        <is>
          <t>N/D</t>
        </is>
      </c>
      <c r="AO36" s="74" t="inlineStr">
        <is>
          <t>N/D</t>
        </is>
      </c>
      <c r="AP36" s="74" t="inlineStr">
        <is>
          <t>N/D</t>
        </is>
      </c>
      <c r="AQ36" s="74" t="inlineStr">
        <is>
          <t>Adquirência</t>
        </is>
      </c>
      <c r="AR36" s="74" t="inlineStr">
        <is>
          <t>Adquirência</t>
        </is>
      </c>
      <c r="AS36" s="74" t="b">
        <v>0</v>
      </c>
      <c r="AT36" s="74" t="inlineStr">
        <is>
          <t>N/D</t>
        </is>
      </c>
      <c r="AU36" s="74" t="inlineStr">
        <is>
          <t>N/D</t>
        </is>
      </c>
      <c r="AV36" s="74" t="inlineStr">
        <is>
          <t>N/D</t>
        </is>
      </c>
      <c r="AW36" s="74" t="b">
        <v>0</v>
      </c>
      <c r="AX36" s="74" t="inlineStr">
        <is>
          <t>N/D</t>
        </is>
      </c>
      <c r="AY36" s="74" t="inlineStr">
        <is>
          <t>sem benchmark confiável</t>
        </is>
      </c>
      <c r="AZ36" s="140" t="inlineStr">
        <is>
          <t>N/D</t>
        </is>
      </c>
      <c r="BA36" s="74" t="b">
        <v>1</v>
      </c>
      <c r="BB36" s="141" t="n">
        <v>14</v>
      </c>
      <c r="BC36" s="139" t="n">
        <v>1000</v>
      </c>
      <c r="BD36" s="74" t="inlineStr">
        <is>
          <t>Cotas Seniores: R$1.000</t>
        </is>
      </c>
      <c r="BE36" s="74" t="inlineStr">
        <is>
          <t>valor nominal unitário (VNU)</t>
        </is>
      </c>
      <c r="BF36" s="74" t="inlineStr">
        <is>
          <t>Cotas Seniores</t>
        </is>
      </c>
      <c r="BG36" s="74" t="inlineStr">
        <is>
          <t>2025-02-28</t>
        </is>
      </c>
      <c r="BH36" s="74" t="inlineStr">
        <is>
          <t>851798</t>
        </is>
      </c>
      <c r="BI36" s="74" t="inlineStr">
        <is>
          <t>https://fnet.bmfbovespa.com.br/fnet/publico/downloadDocumento?id=851798</t>
        </is>
      </c>
      <c r="BJ36" s="74" t="inlineStr">
        <is>
          <t>localizado documentalmente</t>
        </is>
      </c>
      <c r="BK36" s="74" t="b">
        <v>0</v>
      </c>
      <c r="BL36" s="74" t="inlineStr">
        <is>
          <t>Cloudwalk</t>
        </is>
      </c>
      <c r="BM36" s="74" t="inlineStr">
        <is>
          <t>cedente</t>
        </is>
      </c>
      <c r="BN36" s="74" t="inlineStr">
        <is>
          <t>N/D</t>
        </is>
      </c>
      <c r="BO36" s="74" t="inlineStr">
        <is>
          <t>a CloudWalk que, de tempos em tempos, nos termos do Contrato de Cessão, cede seus respectivos Direitos Creditórios Elegíveis ao Fundo</t>
        </is>
      </c>
      <c r="BP36" s="74" t="inlineStr">
        <is>
          <t>cada Devedor de Direitos Creditórios Cedidos que represente 5% ( cinco por cento) ou mais do Patrimônio Líquido do Fundo</t>
        </is>
      </c>
      <c r="BQ36" s="74" t="inlineStr">
        <is>
          <t>os direitos creditórios de tempos em tempos detidos pela Cedente em face dos Devedores, conforme as regras dos Arranjos de Pagamentos, decorrentes de Transações de Pagamento realizadas por Usuários-Finais com a utilização de Instrumentos de Pagamento, operacionalizadas pelo Sistema CloudWalk , para a aquisição de bens ou serviços no s Estabelecimentos Credenciados, equivalentes ao valor remanescente das Transações de Pagamento após o desconto das Taxas Aplicáveis</t>
        </is>
      </c>
      <c r="BR36" s="74" t="inlineStr">
        <is>
          <t>cedente: https://fnet.bmfbovespa.com.br/fnet/publico/downloadDocumento?id=851798 | sacado_devedor: https://fnet.bmfbovespa.com.br/fnet/publico/downloadDocumento?id=851798 | tipo_recebivel: https://fnet.bmfbovespa.com.br/fnet/publico/downloadDocumento?id=851798</t>
        </is>
      </c>
      <c r="BS36" s="74" t="inlineStr">
        <is>
          <t>manual_aplicado</t>
        </is>
      </c>
      <c r="BT36" s="74" t="inlineStr">
        <is>
          <t>OBS da foto: Alongamento discutido recentemente (mas com run-off). Denominação cortada.</t>
        </is>
      </c>
      <c r="BU36" s="74" t="inlineStr">
        <is>
          <t>851798</t>
        </is>
      </c>
      <c r="BV36" s="74" t="inlineStr">
        <is>
          <t>2025-02-28</t>
        </is>
      </c>
      <c r="BW36" s="74" t="inlineStr">
        <is>
          <t>101–102</t>
        </is>
      </c>
      <c r="BX36" s="74" t="inlineStr">
        <is>
          <t>revisto — mínimo júnior localizado</t>
        </is>
      </c>
      <c r="BY36" s="74" t="inlineStr">
        <is>
          <t>FundosNet/B3; documento 851798; referência 2025-02-28; p. 101–102</t>
        </is>
      </c>
      <c r="BZ36" s="74" t="inlineStr">
        <is>
          <t>Cotas subordinadas / PL, mínimo de 5,0%; estrutura com uma única classe residual.</t>
        </is>
      </c>
      <c r="CA36" s="74" t="inlineStr">
        <is>
          <t>PL atual; Sub/PL atual; originador</t>
        </is>
      </c>
      <c r="CB36" s="74" t="inlineStr">
        <is>
          <t>sub_pl_atual_ausente</t>
        </is>
      </c>
    </row>
    <row r="37" ht="31.5" customHeight="1">
      <c r="A37" s="75" t="n">
        <v>34</v>
      </c>
      <c r="B37" s="142" t="n">
        <v>42085816000105</v>
      </c>
      <c r="C37" s="75" t="inlineStr">
        <is>
          <t>42.085.816/0001-05</t>
        </is>
      </c>
      <c r="D37" s="75" t="inlineStr">
        <is>
          <t>CLOUDWALK KICK ASS I FUNDO DE INVESTIMENTO EM DIREITOS CREDITÓRIOS SEGMENTO MEIOS DE PAGAMENTO</t>
        </is>
      </c>
      <c r="E37" s="75" t="inlineStr">
        <is>
          <t>CLOUDWALK KICK ASS I FUNDO DE INVESTIMENTO EM DIRE</t>
        </is>
      </c>
      <c r="F37" s="75" t="inlineStr">
        <is>
          <t>Carteira 101</t>
        </is>
      </c>
      <c r="G37" s="75" t="inlineStr">
        <is>
          <t>2026-08</t>
        </is>
      </c>
      <c r="H37" s="75" t="inlineStr">
        <is>
          <t>localizado</t>
        </is>
      </c>
      <c r="I37" s="143" t="inlineStr">
        <is>
          <t>N/D</t>
        </is>
      </c>
      <c r="J37" s="143" t="inlineStr">
        <is>
          <t>N/D</t>
        </is>
      </c>
      <c r="K37" s="143" t="inlineStr">
        <is>
          <t>N/D</t>
        </is>
      </c>
      <c r="L37" s="144" t="inlineStr">
        <is>
          <t>N/D</t>
        </is>
      </c>
      <c r="M37" s="75" t="inlineStr">
        <is>
          <t>PL oficial ausente em 2026-08</t>
        </is>
      </c>
      <c r="N37" s="144" t="n">
        <v>0.048</v>
      </c>
      <c r="O37" s="144" t="inlineStr">
        <is>
          <t>N/D</t>
        </is>
      </c>
      <c r="P37" s="144" t="inlineStr">
        <is>
          <t>N/D</t>
        </is>
      </c>
      <c r="Q37" s="144" t="n">
        <v>0.048</v>
      </c>
      <c r="R37" s="144" t="inlineStr">
        <is>
          <t>N/D</t>
        </is>
      </c>
      <c r="S37" s="144" t="n">
        <v>0.048</v>
      </c>
      <c r="T37" s="75" t="inlineStr">
        <is>
          <t>4,8%</t>
        </is>
      </c>
      <c r="U37" s="75" t="inlineStr">
        <is>
          <t>junior_pl</t>
        </is>
      </c>
      <c r="V37" s="75" t="inlineStr">
        <is>
          <t>direto no regulamento</t>
        </is>
      </c>
      <c r="W37" s="75" t="b">
        <v>1</v>
      </c>
      <c r="X37" s="75" t="inlineStr">
        <is>
          <t>Estrutura com uma única classe subordinada; métrica atual e piso usam o total subordinado sobre o PL.</t>
        </is>
      </c>
      <c r="Y37" s="75" t="b">
        <v>0</v>
      </c>
      <c r="Z37" s="144" t="inlineStr">
        <is>
          <t>N/D</t>
        </is>
      </c>
      <c r="AA37" s="144" t="inlineStr">
        <is>
          <t>N/D</t>
        </is>
      </c>
      <c r="AB37" s="75" t="inlineStr">
        <is>
          <t>não medido</t>
        </is>
      </c>
      <c r="AC37" s="75" t="inlineStr">
        <is>
          <t>Financeiro</t>
        </is>
      </c>
      <c r="AD37" s="75" t="inlineStr">
        <is>
          <t>Adquirência</t>
        </is>
      </c>
      <c r="AE37" s="75" t="inlineStr">
        <is>
          <t>Adquirência</t>
        </is>
      </c>
      <c r="AF37" s="75" t="inlineStr">
        <is>
          <t>Adquirência</t>
        </is>
      </c>
      <c r="AG37" s="75" t="inlineStr">
        <is>
          <t>Adquirência</t>
        </is>
      </c>
      <c r="AH37" s="75" t="inlineStr">
        <is>
          <t>Adquirência</t>
        </is>
      </c>
      <c r="AI37" s="75" t="inlineStr">
        <is>
          <t>N/D</t>
        </is>
      </c>
      <c r="AJ37" s="75" t="b">
        <v>0</v>
      </c>
      <c r="AK37" s="75" t="inlineStr">
        <is>
          <t>fora da revisão Financeiro/Agro</t>
        </is>
      </c>
      <c r="AL37" s="75" t="inlineStr">
        <is>
          <t>N/D</t>
        </is>
      </c>
      <c r="AM37" s="75" t="inlineStr">
        <is>
          <t>N/D</t>
        </is>
      </c>
      <c r="AN37" s="75" t="inlineStr">
        <is>
          <t>N/D</t>
        </is>
      </c>
      <c r="AO37" s="75" t="inlineStr">
        <is>
          <t>N/D</t>
        </is>
      </c>
      <c r="AP37" s="75" t="inlineStr">
        <is>
          <t>N/D</t>
        </is>
      </c>
      <c r="AQ37" s="75" t="inlineStr">
        <is>
          <t>Adquirência</t>
        </is>
      </c>
      <c r="AR37" s="75" t="inlineStr">
        <is>
          <t>Adquirência</t>
        </is>
      </c>
      <c r="AS37" s="75" t="b">
        <v>0</v>
      </c>
      <c r="AT37" s="75" t="inlineStr">
        <is>
          <t>N/D</t>
        </is>
      </c>
      <c r="AU37" s="75" t="inlineStr">
        <is>
          <t>N/D</t>
        </is>
      </c>
      <c r="AV37" s="75" t="inlineStr">
        <is>
          <t>N/D</t>
        </is>
      </c>
      <c r="AW37" s="75" t="b">
        <v>0</v>
      </c>
      <c r="AX37" s="75" t="inlineStr">
        <is>
          <t>N/D</t>
        </is>
      </c>
      <c r="AY37" s="75" t="inlineStr">
        <is>
          <t>sem benchmark confiável</t>
        </is>
      </c>
      <c r="AZ37" s="144" t="inlineStr">
        <is>
          <t>N/D</t>
        </is>
      </c>
      <c r="BA37" s="75" t="b">
        <v>1</v>
      </c>
      <c r="BB37" s="145" t="n">
        <v>14</v>
      </c>
      <c r="BC37" s="143" t="n">
        <v>1000</v>
      </c>
      <c r="BD37" s="75" t="inlineStr">
        <is>
          <t>Cotas Subordinadas: R$ 1.000,00</t>
        </is>
      </c>
      <c r="BE37" s="75" t="inlineStr">
        <is>
          <t>valor nominal unitário (VNU)</t>
        </is>
      </c>
      <c r="BF37" s="75" t="inlineStr">
        <is>
          <t>Cotas Subordinadas</t>
        </is>
      </c>
      <c r="BG37" s="75" t="inlineStr">
        <is>
          <t>2021-09-01</t>
        </is>
      </c>
      <c r="BH37" s="75" t="inlineStr">
        <is>
          <t>211003</t>
        </is>
      </c>
      <c r="BI37" s="75" t="inlineStr">
        <is>
          <t>https://fnet.bmfbovespa.com.br/fnet/publico/downloadDocumento?id=211003</t>
        </is>
      </c>
      <c r="BJ37" s="75" t="inlineStr">
        <is>
          <t>localizado documentalmente</t>
        </is>
      </c>
      <c r="BK37" s="75" t="b">
        <v>0</v>
      </c>
      <c r="BL37" s="75" t="inlineStr">
        <is>
          <t>Cloudwalk IP</t>
        </is>
      </c>
      <c r="BM37" s="75" t="inlineStr">
        <is>
          <t>cedente</t>
        </is>
      </c>
      <c r="BN37" s="75" t="inlineStr">
        <is>
          <t>N/D</t>
        </is>
      </c>
      <c r="BO37" s="75" t="inlineStr">
        <is>
          <t>a CloudWalk que, de tempos em tempos, nos termos do Contrato de Cessão, cede seus respectivos Direitos Creditórios Elegíveis ao Fundo</t>
        </is>
      </c>
      <c r="BP37" s="75" t="inlineStr">
        <is>
          <t>os Emissores Qualificados</t>
        </is>
      </c>
      <c r="BQ37" s="75" t="inlineStr">
        <is>
          <t>os direitos creditórios de tempos em tempos detidos pela Cedente em face dos Devedores, conforme as regras dos Arranjos de Pagamentos, decorrentes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Aplicáveis</t>
        </is>
      </c>
      <c r="BR37" s="75" t="inlineStr">
        <is>
          <t>cedente: https://fnet.bmfbovespa.com.br/fnet/publico/downloadDocumento?id=513540 | sacado_devedor: https://fnet.bmfbovespa.com.br/fnet/publico/downloadDocumento?id=513540 | tipo_recebivel: https://fnet.bmfbovespa.com.br/fnet/publico/downloadDocumento?id=513540</t>
        </is>
      </c>
      <c r="BS37" s="75" t="inlineStr">
        <is>
          <t>manual_aplicado</t>
        </is>
      </c>
      <c r="BT37" s="75" t="inlineStr">
        <is>
          <t>OBS da foto: Risco Banco Emissor Itaú. Denominação cortada.</t>
        </is>
      </c>
      <c r="BU37" s="75" t="inlineStr">
        <is>
          <t>733165</t>
        </is>
      </c>
      <c r="BV37" s="75" t="inlineStr">
        <is>
          <t>2024-09-05</t>
        </is>
      </c>
      <c r="BW37" s="75" t="inlineStr">
        <is>
          <t>98</t>
        </is>
      </c>
      <c r="BX37" s="75" t="inlineStr">
        <is>
          <t>revisto — mínimo júnior localizado</t>
        </is>
      </c>
      <c r="BY37" s="75" t="inlineStr">
        <is>
          <t>FundosNet/B3; documento 733165; referência 2024-09-05; p. 98</t>
        </is>
      </c>
      <c r="BZ37" s="75" t="inlineStr">
        <is>
          <t>Cotas subordinadas / PL, mínimo de 4,8%; estrutura com uma única classe residual.</t>
        </is>
      </c>
      <c r="CA37" s="75" t="inlineStr">
        <is>
          <t>PL atual; Sub/PL atual; originador</t>
        </is>
      </c>
      <c r="CB37" s="75" t="inlineStr">
        <is>
          <t>sub_pl_atual_ausente</t>
        </is>
      </c>
    </row>
    <row r="38" ht="31.5" customHeight="1">
      <c r="A38" s="74" t="n">
        <v>35</v>
      </c>
      <c r="B38" s="138" t="n">
        <v>38385876000176</v>
      </c>
      <c r="C38" s="74" t="inlineStr">
        <is>
          <t>38.385.876/0001-76</t>
        </is>
      </c>
      <c r="D38" s="74" t="inlineStr">
        <is>
          <t>ESTRATÉGIA EDUCACIONAL FUNDO DE INVESTIMENTO EM DIREITOS CREDITÓRIOS</t>
        </is>
      </c>
      <c r="E38" s="74" t="inlineStr">
        <is>
          <t>ESTRATEGIA EDUCACIONAL FIDC</t>
        </is>
      </c>
      <c r="F38" s="74" t="inlineStr">
        <is>
          <t>Carteira 101</t>
        </is>
      </c>
      <c r="G38" s="74" t="inlineStr">
        <is>
          <t>2026-08</t>
        </is>
      </c>
      <c r="H38" s="74" t="inlineStr">
        <is>
          <t>localizado</t>
        </is>
      </c>
      <c r="I38" s="139" t="inlineStr">
        <is>
          <t>N/D</t>
        </is>
      </c>
      <c r="J38" s="139" t="inlineStr">
        <is>
          <t>N/D</t>
        </is>
      </c>
      <c r="K38" s="139" t="inlineStr">
        <is>
          <t>N/D</t>
        </is>
      </c>
      <c r="L38" s="140" t="inlineStr">
        <is>
          <t>N/D</t>
        </is>
      </c>
      <c r="M38" s="74" t="inlineStr">
        <is>
          <t>PL oficial ausente em 2026-08</t>
        </is>
      </c>
      <c r="N38" s="140" t="n">
        <v>0.1</v>
      </c>
      <c r="O38" s="140" t="inlineStr">
        <is>
          <t>N/D</t>
        </is>
      </c>
      <c r="P38" s="140" t="inlineStr">
        <is>
          <t>N/D</t>
        </is>
      </c>
      <c r="Q38" s="140" t="inlineStr">
        <is>
          <t>N/D</t>
        </is>
      </c>
      <c r="R38" s="140" t="inlineStr">
        <is>
          <t>N/D</t>
        </is>
      </c>
      <c r="S38" s="140" t="n">
        <v>0.1</v>
      </c>
      <c r="T38" s="74" t="inlineStr">
        <is>
          <t>N/D</t>
        </is>
      </c>
      <c r="U38" s="74" t="inlineStr">
        <is>
          <t>junior_pl</t>
        </is>
      </c>
      <c r="V38" s="74" t="inlineStr">
        <is>
          <t>direto no regulamento</t>
        </is>
      </c>
      <c r="W38" s="74" t="b">
        <v>0</v>
      </c>
      <c r="X38" s="74" t="inlineStr">
        <is>
          <t>Mínimo júnior isolado; a subordinação atual disponível agrega todas as classes subordinadas.</t>
        </is>
      </c>
      <c r="Y38" s="74" t="b">
        <v>0</v>
      </c>
      <c r="Z38" s="140" t="inlineStr">
        <is>
          <t>N/D</t>
        </is>
      </c>
      <c r="AA38" s="140" t="inlineStr">
        <is>
          <t>N/D</t>
        </is>
      </c>
      <c r="AB38" s="74" t="inlineStr">
        <is>
          <t>não medido</t>
        </is>
      </c>
      <c r="AC38" s="74" t="inlineStr">
        <is>
          <t>Agro, Indústria e Comércio</t>
        </is>
      </c>
      <c r="AD38" s="74" t="inlineStr">
        <is>
          <t>Recebíveis Comerciais</t>
        </is>
      </c>
      <c r="AE38" s="74" t="inlineStr">
        <is>
          <t>Agro / Revenda</t>
        </is>
      </c>
      <c r="AF38" s="74" t="inlineStr">
        <is>
          <t>Agro / Revenda</t>
        </is>
      </c>
      <c r="AG38" s="74" t="inlineStr">
        <is>
          <t>Agro / Revenda</t>
        </is>
      </c>
      <c r="AH38" s="74" t="inlineStr">
        <is>
          <t>Adquirência</t>
        </is>
      </c>
      <c r="AI38" s="74" t="inlineStr">
        <is>
          <t>Agenda de recebíveis de transações de pagamento</t>
        </is>
      </c>
      <c r="AJ38" s="74" t="b">
        <v>1</v>
      </c>
      <c r="AK38" s="74" t="inlineStr">
        <is>
          <t>APLICAR_ALTA</t>
        </is>
      </c>
      <c r="AL38" s="74" t="inlineStr">
        <is>
          <t>Direitos constam da agenda de recebíveis do arranjo</t>
        </is>
      </c>
      <c r="AM38" s="74" t="inlineStr">
        <is>
          <t>regulamento 719764</t>
        </is>
      </c>
      <c r="AN38" s="74" t="inlineStr">
        <is>
          <t>Não</t>
        </is>
      </c>
      <c r="AO38" s="74" t="inlineStr">
        <is>
          <t>regulamento 719764</t>
        </is>
      </c>
      <c r="AP38" s="74" t="b">
        <v>0</v>
      </c>
      <c r="AQ38" s="74" t="inlineStr">
        <is>
          <t>Adquirência</t>
        </is>
      </c>
      <c r="AR38" s="74" t="inlineStr">
        <is>
          <t>Agro / Revenda</t>
        </is>
      </c>
      <c r="AS38" s="74" t="b">
        <v>1</v>
      </c>
      <c r="AT38" s="74" t="inlineStr">
        <is>
          <t>regulamento 719764</t>
        </is>
      </c>
      <c r="AU38" s="74" t="inlineStr">
        <is>
          <t>Direitos constam da agenda de recebíveis do arranjo</t>
        </is>
      </c>
      <c r="AV38" s="74" t="inlineStr">
        <is>
          <t>N/D</t>
        </is>
      </c>
      <c r="AW38" s="74" t="b">
        <v>0</v>
      </c>
      <c r="AX38" s="74" t="inlineStr">
        <is>
          <t>N/D</t>
        </is>
      </c>
      <c r="AY38" s="74" t="inlineStr">
        <is>
          <t>sem benchmark confiável</t>
        </is>
      </c>
      <c r="AZ38" s="140" t="inlineStr">
        <is>
          <t>N/D</t>
        </is>
      </c>
      <c r="BA38" s="74" t="b">
        <v>0</v>
      </c>
      <c r="BB38" s="141" t="n">
        <v>0</v>
      </c>
      <c r="BC38" s="139" t="n">
        <v>1000</v>
      </c>
      <c r="BD38" s="74" t="inlineStr">
        <is>
          <t>R$1.000,00</t>
        </is>
      </c>
      <c r="BE38" s="74" t="inlineStr">
        <is>
          <t>preço/valor unitário de emissão</t>
        </is>
      </c>
      <c r="BF38" s="74" t="inlineStr">
        <is>
          <t>N/D</t>
        </is>
      </c>
      <c r="BG38" s="74" t="inlineStr">
        <is>
          <t>14/08/2024</t>
        </is>
      </c>
      <c r="BH38" s="74" t="inlineStr">
        <is>
          <t>719764</t>
        </is>
      </c>
      <c r="BI38" s="74" t="inlineStr">
        <is>
          <t>https://fnet.bmfbovespa.com.br/fnet/publico/downloadDocumento?id=719764</t>
        </is>
      </c>
      <c r="BJ38" s="74" t="inlineStr">
        <is>
          <t>localizado documentalmente</t>
        </is>
      </c>
      <c r="BK38" s="74" t="b">
        <v>1</v>
      </c>
      <c r="BL38" s="74" t="inlineStr">
        <is>
          <t>Estratégia Concursos</t>
        </is>
      </c>
      <c r="BM38" s="74" t="inlineStr">
        <is>
          <t>cedente</t>
        </is>
      </c>
      <c r="BN38" s="74" t="inlineStr">
        <is>
          <t>N/D</t>
        </is>
      </c>
      <c r="BO38" s="74" t="inlineStr">
        <is>
          <t>Estratégia Concursos</t>
        </is>
      </c>
      <c r="BP38" s="74" t="inlineStr">
        <is>
          <t>N/D</t>
        </is>
      </c>
      <c r="BQ38" s="74" t="inlineStr">
        <is>
          <t>os direitos creditórios constantes da Agenda de Recebíveis que, d e tempos em tempos, o Cedente detém em face das Devedoras em decorrência das Transações de Pagamento, no âmbito dos Arranjos de Pagamento em que as Devedoras e o Cedente sejam participantes, os quais serão identificados pelo seguinte conjunto de informaçõe s, conforme registrados nos Sistemas de Registro: (i) CNPJ do Cedente; (ii) Devedora; (iii) Bandeira; (iv) data de liquidação (vencimento)</t>
        </is>
      </c>
      <c r="BR38" s="74" t="inlineStr">
        <is>
          <t>cedente: IMG_8705.JPG | tipo_recebivel: https://fnet.bmfbovespa.com.br/fnet/publico/downloadDocumento?id=719764</t>
        </is>
      </c>
      <c r="BS38" s="74" t="inlineStr">
        <is>
          <t>manual_aplicado</t>
        </is>
      </c>
      <c r="BT38" s="74" t="inlineStr">
        <is>
          <t>N/D</t>
        </is>
      </c>
      <c r="BU38" s="74" t="inlineStr">
        <is>
          <t>719764</t>
        </is>
      </c>
      <c r="BV38" s="74" t="inlineStr">
        <is>
          <t>2024-08-14</t>
        </is>
      </c>
      <c r="BW38" s="74" t="inlineStr">
        <is>
          <t>11</t>
        </is>
      </c>
      <c r="BX38" s="74" t="inlineStr">
        <is>
          <t>revisto — mínimo júnior localizado</t>
        </is>
      </c>
      <c r="BY38" s="74" t="inlineStr">
        <is>
          <t>FundosNet/B3; documento 719764; referência 2024-08-14; p. 11</t>
        </is>
      </c>
      <c r="BZ38" s="74" t="inlineStr">
        <is>
          <t>Relação Mínima Subordinada: cotas júnior / PL, mínimo de 10,0%.</t>
        </is>
      </c>
      <c r="CA38" s="74" t="inlineStr">
        <is>
          <t>PL atual; Sub/PL atual; originador; sacado/devedor</t>
        </is>
      </c>
      <c r="CB38" s="74" t="inlineStr">
        <is>
          <t>sub_pl_atual_ausente</t>
        </is>
      </c>
    </row>
    <row r="39" ht="31.5" customHeight="1">
      <c r="A39" s="75" t="n">
        <v>36</v>
      </c>
      <c r="B39" s="142" t="n">
        <v>40919667000107</v>
      </c>
      <c r="C39" s="75" t="inlineStr">
        <is>
          <t>40.919.667/0001-07</t>
        </is>
      </c>
      <c r="D39" s="75" t="inlineStr">
        <is>
          <t>RECARGAPAY I FUNDO DE INVESTIMENTO EM DIREITOS CREDITÓRIOS</t>
        </is>
      </c>
      <c r="E39" s="75" t="inlineStr">
        <is>
          <t>RECARGAPAY I FUNDO DE INVESTIMENTO EM DIREITOS CRE</t>
        </is>
      </c>
      <c r="F39" s="75" t="inlineStr">
        <is>
          <t>Carteira 101</t>
        </is>
      </c>
      <c r="G39" s="75" t="inlineStr">
        <is>
          <t>2026-08</t>
        </is>
      </c>
      <c r="H39" s="75" t="inlineStr">
        <is>
          <t>localizado</t>
        </is>
      </c>
      <c r="I39" s="143" t="n">
        <v>284521283.5</v>
      </c>
      <c r="J39" s="143" t="n">
        <v>284521283.4896019</v>
      </c>
      <c r="K39" s="143" t="n">
        <v>278711263.8796542</v>
      </c>
      <c r="L39" s="144" t="n">
        <v>0.9795796660661916</v>
      </c>
      <c r="M39" s="75" t="inlineStr">
        <is>
          <t>Calculado com classes reportadas e PL oficial reconciliado</t>
        </is>
      </c>
      <c r="N39" s="144" t="n">
        <v>0.5</v>
      </c>
      <c r="O39" s="144" t="inlineStr">
        <is>
          <t>N/D</t>
        </is>
      </c>
      <c r="P39" s="144" t="inlineStr">
        <is>
          <t>N/D</t>
        </is>
      </c>
      <c r="Q39" s="144" t="n">
        <v>0.5</v>
      </c>
      <c r="R39" s="144" t="inlineStr">
        <is>
          <t>N/D</t>
        </is>
      </c>
      <c r="S39" s="144" t="n">
        <v>0.5</v>
      </c>
      <c r="T39" s="75" t="inlineStr">
        <is>
          <t>50,0%</t>
        </is>
      </c>
      <c r="U39" s="75" t="inlineStr">
        <is>
          <t>junior_pl</t>
        </is>
      </c>
      <c r="V39" s="75" t="inlineStr">
        <is>
          <t>direto no regulamento</t>
        </is>
      </c>
      <c r="W39" s="75" t="b">
        <v>1</v>
      </c>
      <c r="X39" s="75" t="inlineStr">
        <is>
          <t>Estrutura com uma única classe subordinada; métrica atual e piso usam o total subordinado sobre o PL.</t>
        </is>
      </c>
      <c r="Y39" s="75" t="b">
        <v>0</v>
      </c>
      <c r="Z39" s="144" t="n">
        <v>0.4795796660661916</v>
      </c>
      <c r="AA39" s="144" t="n">
        <v>0.9591593321323832</v>
      </c>
      <c r="AB39" s="75" t="inlineStr">
        <is>
          <t>acima do mínimo</t>
        </is>
      </c>
      <c r="AC39" s="75" t="inlineStr">
        <is>
          <t>Agro, Indústria e Comércio</t>
        </is>
      </c>
      <c r="AD39" s="75" t="inlineStr">
        <is>
          <t>Recebíveis Comerciais</t>
        </is>
      </c>
      <c r="AE39" s="75" t="inlineStr">
        <is>
          <t>Agro / Revenda</t>
        </is>
      </c>
      <c r="AF39" s="75" t="inlineStr">
        <is>
          <t>Agro / Revenda</t>
        </is>
      </c>
      <c r="AG39" s="75" t="inlineStr">
        <is>
          <t>Adquirência</t>
        </is>
      </c>
      <c r="AH39" s="75" t="inlineStr">
        <is>
          <t>Adquirência</t>
        </is>
      </c>
      <c r="AI39" s="75" t="inlineStr">
        <is>
          <t>N/D</t>
        </is>
      </c>
      <c r="AJ39" s="75" t="b">
        <v>0</v>
      </c>
      <c r="AK39" s="75" t="inlineStr">
        <is>
          <t>fora da revisão Financeiro/Agro</t>
        </is>
      </c>
      <c r="AL39" s="75" t="inlineStr">
        <is>
          <t>N/D</t>
        </is>
      </c>
      <c r="AM39" s="75" t="inlineStr">
        <is>
          <t>N/D</t>
        </is>
      </c>
      <c r="AN39" s="75" t="inlineStr">
        <is>
          <t>N/D</t>
        </is>
      </c>
      <c r="AO39" s="75" t="inlineStr">
        <is>
          <t>N/D</t>
        </is>
      </c>
      <c r="AP39" s="75" t="inlineStr">
        <is>
          <t>N/D</t>
        </is>
      </c>
      <c r="AQ39" s="75" t="inlineStr">
        <is>
          <t>Adquirência</t>
        </is>
      </c>
      <c r="AR39" s="75" t="inlineStr">
        <is>
          <t>Agro / Revenda</t>
        </is>
      </c>
      <c r="AS39" s="75" t="b">
        <v>1</v>
      </c>
      <c r="AT39" s="75" t="inlineStr">
        <is>
          <t>FundosNet/B3 doc. 1118056, p. 24 e 36–38; IMG_8705.JPG e IMG_8707.jpg</t>
        </is>
      </c>
      <c r="AU39" s="75" t="inlineStr">
        <is>
          <t>Direitos de clientes e estabelecimentos contra RecargaPay por transações de pagamento; RecargaPay atua como subcredenciadora.</t>
        </is>
      </c>
      <c r="AV39" s="75" t="inlineStr">
        <is>
          <t>≥ 60%</t>
        </is>
      </c>
      <c r="AW39" s="75" t="b">
        <v>1</v>
      </c>
      <c r="AX39" s="75" t="inlineStr">
        <is>
          <t>acima do piso</t>
        </is>
      </c>
      <c r="AY39" s="75" t="inlineStr">
        <is>
          <t>sem benchmark confiável</t>
        </is>
      </c>
      <c r="AZ39" s="144" t="inlineStr">
        <is>
          <t>N/D</t>
        </is>
      </c>
      <c r="BA39" s="75" t="b">
        <v>0</v>
      </c>
      <c r="BB39" s="145" t="n">
        <v>0</v>
      </c>
      <c r="BC39" s="143" t="n">
        <v>1000</v>
      </c>
      <c r="BD39" s="75" t="inlineStr">
        <is>
          <t>Cotas Seniores: R$1.000,00</t>
        </is>
      </c>
      <c r="BE39" s="75" t="inlineStr">
        <is>
          <t>valor nominal unitário (VNU)</t>
        </is>
      </c>
      <c r="BF39" s="75" t="inlineStr">
        <is>
          <t>Cotas Seniores</t>
        </is>
      </c>
      <c r="BG39" s="75" t="inlineStr">
        <is>
          <t>22/12/2023</t>
        </is>
      </c>
      <c r="BH39" s="75" t="inlineStr">
        <is>
          <t>574657</t>
        </is>
      </c>
      <c r="BI39" s="75" t="inlineStr">
        <is>
          <t>https://fnet.bmfbovespa.com.br/fnet/publico/downloadDocumento?id=574657</t>
        </is>
      </c>
      <c r="BJ39" s="75" t="inlineStr">
        <is>
          <t>localizado documentalmente</t>
        </is>
      </c>
      <c r="BK39" s="75" t="b">
        <v>0</v>
      </c>
      <c r="BL39" s="75" t="inlineStr">
        <is>
          <t>RecargaPay</t>
        </is>
      </c>
      <c r="BM39" s="75" t="inlineStr">
        <is>
          <t>cedente</t>
        </is>
      </c>
      <c r="BN39" s="75" t="inlineStr">
        <is>
          <t>N/D</t>
        </is>
      </c>
      <c r="BO39" s="75" t="inlineStr">
        <is>
          <t>RecargaPay</t>
        </is>
      </c>
      <c r="BP39" s="75" t="inlineStr">
        <is>
          <t>N/D</t>
        </is>
      </c>
      <c r="BQ39" s="75" t="inlineStr">
        <is>
          <t>recebíveis de cartão</t>
        </is>
      </c>
      <c r="BR39" s="75" t="inlineStr">
        <is>
          <t>cedente: IMG_8705.JPG | tipo_recebivel: IMG_8705.JPG</t>
        </is>
      </c>
      <c r="BS39" s="75" t="inlineStr">
        <is>
          <t>manual_aplicado</t>
        </is>
      </c>
      <c r="BT39" s="75" t="inlineStr">
        <is>
          <t>OBS da foto: FIDC "Bolso próprio", onde a Recarga fez aportes iniciais e utiliza o veículo para antecipar os recebíveis de cartão. Denominação cortada.</t>
        </is>
      </c>
      <c r="BU39" s="75" t="inlineStr">
        <is>
          <t>1118056</t>
        </is>
      </c>
      <c r="BV39" s="75" t="inlineStr">
        <is>
          <t>2026-02-12</t>
        </is>
      </c>
      <c r="BW39" s="75" t="inlineStr">
        <is>
          <t>31</t>
        </is>
      </c>
      <c r="BX39" s="75" t="inlineStr">
        <is>
          <t>revisto — mínimo júnior localizado</t>
        </is>
      </c>
      <c r="BY39" s="75" t="inlineStr">
        <is>
          <t>FundosNet/B3; documento 1118056; referência 2026-02-12; p. 31</t>
        </is>
      </c>
      <c r="BZ39" s="75" t="inlineStr">
        <is>
          <t>Cotas subordinadas / PL, mínimo de 50,0%; estrutura com uma única classe residual.</t>
        </is>
      </c>
      <c r="CA39" s="75" t="inlineStr">
        <is>
          <t>originador; sacado/devedor</t>
        </is>
      </c>
      <c r="CB39" s="75" t="inlineStr">
        <is>
          <t>completo_para_folga</t>
        </is>
      </c>
    </row>
    <row r="40" ht="31.5" customHeight="1">
      <c r="A40" s="74" t="n">
        <v>37</v>
      </c>
      <c r="B40" s="138" t="n">
        <v>42102603000144</v>
      </c>
      <c r="C40" s="74" t="inlineStr">
        <is>
          <t>42.102.603/0001-44</t>
        </is>
      </c>
      <c r="D40" s="74" t="inlineStr">
        <is>
          <t>CLOUDWALK KICK ASS II FUNDO DE INVESTIMENTO EM DIREITOS CREDITÓRIOS SEGMENTO MEIOS DE PAGAMENTO</t>
        </is>
      </c>
      <c r="E40" s="74" t="inlineStr">
        <is>
          <t>CLOUDWALK KICK ASS II FUNDO DE INVESTIMENTO EM DIR</t>
        </is>
      </c>
      <c r="F40" s="74" t="inlineStr">
        <is>
          <t>Carteira 101</t>
        </is>
      </c>
      <c r="G40" s="74" t="inlineStr">
        <is>
          <t>2026-08</t>
        </is>
      </c>
      <c r="H40" s="74" t="inlineStr">
        <is>
          <t>localizado</t>
        </is>
      </c>
      <c r="I40" s="139" t="inlineStr">
        <is>
          <t>N/D</t>
        </is>
      </c>
      <c r="J40" s="139" t="inlineStr">
        <is>
          <t>N/D</t>
        </is>
      </c>
      <c r="K40" s="139" t="inlineStr">
        <is>
          <t>N/D</t>
        </is>
      </c>
      <c r="L40" s="140" t="inlineStr">
        <is>
          <t>N/D</t>
        </is>
      </c>
      <c r="M40" s="74" t="inlineStr">
        <is>
          <t>PL oficial ausente em 2026-08</t>
        </is>
      </c>
      <c r="N40" s="140" t="n">
        <v>0.068</v>
      </c>
      <c r="O40" s="140" t="inlineStr">
        <is>
          <t>N/D</t>
        </is>
      </c>
      <c r="P40" s="140" t="inlineStr">
        <is>
          <t>N/D</t>
        </is>
      </c>
      <c r="Q40" s="140" t="n">
        <v>0.068</v>
      </c>
      <c r="R40" s="140" t="inlineStr">
        <is>
          <t>N/D</t>
        </is>
      </c>
      <c r="S40" s="140" t="n">
        <v>0.068</v>
      </c>
      <c r="T40" s="74" t="inlineStr">
        <is>
          <t>6,8%</t>
        </is>
      </c>
      <c r="U40" s="74" t="inlineStr">
        <is>
          <t>junior_pl</t>
        </is>
      </c>
      <c r="V40" s="74" t="inlineStr">
        <is>
          <t>direto no regulamento</t>
        </is>
      </c>
      <c r="W40" s="74" t="b">
        <v>1</v>
      </c>
      <c r="X40" s="74" t="inlineStr">
        <is>
          <t>Estrutura com uma única classe subordinada; métrica atual e piso usam o total subordinado sobre o PL.</t>
        </is>
      </c>
      <c r="Y40" s="74" t="b">
        <v>0</v>
      </c>
      <c r="Z40" s="140" t="inlineStr">
        <is>
          <t>N/D</t>
        </is>
      </c>
      <c r="AA40" s="140" t="inlineStr">
        <is>
          <t>N/D</t>
        </is>
      </c>
      <c r="AB40" s="74" t="inlineStr">
        <is>
          <t>não medido</t>
        </is>
      </c>
      <c r="AC40" s="74" t="inlineStr">
        <is>
          <t>Financeiro</t>
        </is>
      </c>
      <c r="AD40" s="74" t="inlineStr">
        <is>
          <t>Adquirência</t>
        </is>
      </c>
      <c r="AE40" s="74" t="inlineStr">
        <is>
          <t>Adquirência</t>
        </is>
      </c>
      <c r="AF40" s="74" t="inlineStr">
        <is>
          <t>Adquirência</t>
        </is>
      </c>
      <c r="AG40" s="74" t="inlineStr">
        <is>
          <t>Adquirência</t>
        </is>
      </c>
      <c r="AH40" s="74" t="inlineStr">
        <is>
          <t>Adquirência</t>
        </is>
      </c>
      <c r="AI40" s="74" t="inlineStr">
        <is>
          <t>N/D</t>
        </is>
      </c>
      <c r="AJ40" s="74" t="b">
        <v>0</v>
      </c>
      <c r="AK40" s="74" t="inlineStr">
        <is>
          <t>fora da revisão Financeiro/Agro</t>
        </is>
      </c>
      <c r="AL40" s="74" t="inlineStr">
        <is>
          <t>N/D</t>
        </is>
      </c>
      <c r="AM40" s="74" t="inlineStr">
        <is>
          <t>N/D</t>
        </is>
      </c>
      <c r="AN40" s="74" t="inlineStr">
        <is>
          <t>N/D</t>
        </is>
      </c>
      <c r="AO40" s="74" t="inlineStr">
        <is>
          <t>N/D</t>
        </is>
      </c>
      <c r="AP40" s="74" t="inlineStr">
        <is>
          <t>N/D</t>
        </is>
      </c>
      <c r="AQ40" s="74" t="inlineStr">
        <is>
          <t>Adquirência</t>
        </is>
      </c>
      <c r="AR40" s="74" t="inlineStr">
        <is>
          <t>Adquirência</t>
        </is>
      </c>
      <c r="AS40" s="74" t="b">
        <v>0</v>
      </c>
      <c r="AT40" s="74" t="inlineStr">
        <is>
          <t>N/D</t>
        </is>
      </c>
      <c r="AU40" s="74" t="inlineStr">
        <is>
          <t>N/D</t>
        </is>
      </c>
      <c r="AV40" s="74" t="inlineStr">
        <is>
          <t>N/D</t>
        </is>
      </c>
      <c r="AW40" s="74" t="b">
        <v>0</v>
      </c>
      <c r="AX40" s="74" t="inlineStr">
        <is>
          <t>N/D</t>
        </is>
      </c>
      <c r="AY40" s="74" t="inlineStr">
        <is>
          <t>sem benchmark confiável</t>
        </is>
      </c>
      <c r="AZ40" s="140" t="inlineStr">
        <is>
          <t>N/D</t>
        </is>
      </c>
      <c r="BA40" s="74" t="b">
        <v>1</v>
      </c>
      <c r="BB40" s="141" t="n">
        <v>14</v>
      </c>
      <c r="BC40" s="139" t="n">
        <v>1000</v>
      </c>
      <c r="BD40" s="74" t="inlineStr">
        <is>
          <t>Cotas Seniores: R$1.000,00 | Cotas Subordinadas: R$1.000,00</t>
        </is>
      </c>
      <c r="BE40" s="74" t="inlineStr">
        <is>
          <t>valor nominal unitário (VNU)</t>
        </is>
      </c>
      <c r="BF40" s="74" t="inlineStr">
        <is>
          <t>Cotas Seniores | Cotas Subordinadas</t>
        </is>
      </c>
      <c r="BG40" s="74" t="inlineStr">
        <is>
          <t>2024-09-05</t>
        </is>
      </c>
      <c r="BH40" s="74" t="inlineStr">
        <is>
          <t>733239</t>
        </is>
      </c>
      <c r="BI40" s="74" t="inlineStr">
        <is>
          <t>https://fnet.bmfbovespa.com.br/fnet/publico/downloadDocumento?id=733239</t>
        </is>
      </c>
      <c r="BJ40" s="74" t="inlineStr">
        <is>
          <t>localizado documentalmente — múltiplos valores/classes</t>
        </is>
      </c>
      <c r="BK40" s="74" t="b">
        <v>1</v>
      </c>
      <c r="BL40" s="74" t="inlineStr">
        <is>
          <t>Cloudwalk</t>
        </is>
      </c>
      <c r="BM40" s="74" t="inlineStr">
        <is>
          <t>cedente</t>
        </is>
      </c>
      <c r="BN40" s="74" t="inlineStr">
        <is>
          <t>N/D</t>
        </is>
      </c>
      <c r="BO40" s="74" t="inlineStr">
        <is>
          <t>a CloudWalk que, de tempos em tempos, nos termos do Contrato de Cessão, cede seus respectivos Direitos Creditórios Elegíveis ao Fundo</t>
        </is>
      </c>
      <c r="BP40" s="74" t="inlineStr">
        <is>
          <t>cada Devedor de Direitos Creditórios Cedidos que represente 6,8% (seis inteiros e oito décimos por cento) ou mais do Patrimônio Líquido do Fundo</t>
        </is>
      </c>
      <c r="BQ40" s="74" t="inlineStr">
        <is>
          <t>os direitos creditórios de tempos em tempos detidos pela Cedente em face dos Devedores , conforme as regras dos Arranjos de Pagamentos, decorrentes de Docusign Envelope ID: C7A68EEF-E1CC-4C50-9460-07F207F1899B</t>
        </is>
      </c>
      <c r="BR40" s="74" t="inlineStr">
        <is>
          <t>cedente: https://fnet.bmfbovespa.com.br/fnet/publico/downloadDocumento?id=733239 | sacado_devedor: https://fnet.bmfbovespa.com.br/fnet/publico/downloadDocumento?id=733239 | tipo_recebivel: https://fnet.bmfbovespa.com.br/fnet/publico/downloadDocumento?id=733239</t>
        </is>
      </c>
      <c r="BS40" s="74" t="inlineStr">
        <is>
          <t>manual_aplicado</t>
        </is>
      </c>
      <c r="BT40" s="74" t="inlineStr">
        <is>
          <t>OBS da foto: Alongamento discutido recentemente (mas com run-off). Denominação cortada.</t>
        </is>
      </c>
      <c r="BU40" s="74" t="inlineStr">
        <is>
          <t>733239</t>
        </is>
      </c>
      <c r="BV40" s="74" t="inlineStr">
        <is>
          <t>2024-09-05</t>
        </is>
      </c>
      <c r="BW40" s="74" t="inlineStr">
        <is>
          <t>99</t>
        </is>
      </c>
      <c r="BX40" s="74" t="inlineStr">
        <is>
          <t>revisto — mínimo júnior localizado</t>
        </is>
      </c>
      <c r="BY40" s="74" t="inlineStr">
        <is>
          <t>FundosNet/B3; documento 733239; referência 2024-09-05; p. 99</t>
        </is>
      </c>
      <c r="BZ40" s="74" t="inlineStr">
        <is>
          <t>Cotas subordinadas / PL, mínimo de 6,8%; estrutura com uma única classe residual.</t>
        </is>
      </c>
      <c r="CA40" s="74" t="inlineStr">
        <is>
          <t>PL atual; Sub/PL atual; originador</t>
        </is>
      </c>
      <c r="CB40" s="74" t="inlineStr">
        <is>
          <t>sub_pl_atual_ausente</t>
        </is>
      </c>
    </row>
    <row r="41" ht="31.5" customHeight="1">
      <c r="A41" s="75" t="n">
        <v>38</v>
      </c>
      <c r="B41" s="142" t="n">
        <v>28169275000172</v>
      </c>
      <c r="C41" s="75" t="inlineStr">
        <is>
          <t>28.169.275/0001-72</t>
        </is>
      </c>
      <c r="D41" s="75" t="inlineStr">
        <is>
          <t>FUNDO DE INVESTIMENTO EM DIREITOS CREDITÓRIOS PAGSEGURO I</t>
        </is>
      </c>
      <c r="E41" s="75" t="inlineStr">
        <is>
          <t>FUNDO DE INVESTIMENTO EM DIREITOS CREDITORIOS PAGSEGURO I</t>
        </is>
      </c>
      <c r="F41" s="75" t="inlineStr">
        <is>
          <t>Carteira 101</t>
        </is>
      </c>
      <c r="G41" s="75" t="inlineStr">
        <is>
          <t>2026-08</t>
        </is>
      </c>
      <c r="H41" s="75" t="inlineStr">
        <is>
          <t>localizado</t>
        </is>
      </c>
      <c r="I41" s="143" t="n">
        <v>7174237038.23</v>
      </c>
      <c r="J41" s="143" t="n">
        <v>6553850400.463037</v>
      </c>
      <c r="K41" s="143" t="n">
        <v>4826682362.183037</v>
      </c>
      <c r="L41" s="144" t="inlineStr">
        <is>
          <t>N/D</t>
        </is>
      </c>
      <c r="M41" s="75" t="inlineStr">
        <is>
          <t>N/D — PL oficial diverge das classes acima de 0,5%</t>
        </is>
      </c>
      <c r="N41" s="144" t="n">
        <v>0.5</v>
      </c>
      <c r="O41" s="144" t="inlineStr">
        <is>
          <t>N/D</t>
        </is>
      </c>
      <c r="P41" s="144" t="inlineStr">
        <is>
          <t>N/D</t>
        </is>
      </c>
      <c r="Q41" s="144" t="inlineStr">
        <is>
          <t>N/D</t>
        </is>
      </c>
      <c r="R41" s="144" t="inlineStr">
        <is>
          <t>N/D</t>
        </is>
      </c>
      <c r="S41" s="144" t="n">
        <v>0.5</v>
      </c>
      <c r="T41" s="75" t="inlineStr">
        <is>
          <t>N/D</t>
        </is>
      </c>
      <c r="U41" s="75" t="inlineStr">
        <is>
          <t>junior_pl</t>
        </is>
      </c>
      <c r="V41" s="75" t="inlineStr">
        <is>
          <t>direto no regulamento</t>
        </is>
      </c>
      <c r="W41" s="75" t="b">
        <v>0</v>
      </c>
      <c r="X41" s="75" t="inlineStr">
        <is>
          <t>Mínimo júnior isolado; a subordinação atual disponível agrega mais de uma classe subordinada ou usa denominador distinto.</t>
        </is>
      </c>
      <c r="Y41" s="75" t="b">
        <v>0</v>
      </c>
      <c r="Z41" s="144" t="inlineStr">
        <is>
          <t>N/D</t>
        </is>
      </c>
      <c r="AA41" s="144" t="inlineStr">
        <is>
          <t>N/D</t>
        </is>
      </c>
      <c r="AB41" s="75" t="inlineStr">
        <is>
          <t>não medido</t>
        </is>
      </c>
      <c r="AC41" s="75" t="inlineStr">
        <is>
          <t>Financeiro</t>
        </is>
      </c>
      <c r="AD41" s="75" t="inlineStr">
        <is>
          <t>Adquirência</t>
        </is>
      </c>
      <c r="AE41" s="75" t="inlineStr">
        <is>
          <t>Adquirência</t>
        </is>
      </c>
      <c r="AF41" s="75" t="inlineStr">
        <is>
          <t>Adquirência</t>
        </is>
      </c>
      <c r="AG41" s="75" t="inlineStr">
        <is>
          <t>Adquirência</t>
        </is>
      </c>
      <c r="AH41" s="75" t="inlineStr">
        <is>
          <t>Adquirência</t>
        </is>
      </c>
      <c r="AI41" s="75" t="inlineStr">
        <is>
          <t>N/D</t>
        </is>
      </c>
      <c r="AJ41" s="75" t="b">
        <v>0</v>
      </c>
      <c r="AK41" s="75" t="inlineStr">
        <is>
          <t>fora da revisão Financeiro/Agro</t>
        </is>
      </c>
      <c r="AL41" s="75" t="inlineStr">
        <is>
          <t>N/D</t>
        </is>
      </c>
      <c r="AM41" s="75" t="inlineStr">
        <is>
          <t>N/D</t>
        </is>
      </c>
      <c r="AN41" s="75" t="inlineStr">
        <is>
          <t>N/D</t>
        </is>
      </c>
      <c r="AO41" s="75" t="inlineStr">
        <is>
          <t>N/D</t>
        </is>
      </c>
      <c r="AP41" s="75" t="inlineStr">
        <is>
          <t>N/D</t>
        </is>
      </c>
      <c r="AQ41" s="75" t="inlineStr">
        <is>
          <t>Adquirência</t>
        </is>
      </c>
      <c r="AR41" s="75" t="inlineStr">
        <is>
          <t>Adquirência</t>
        </is>
      </c>
      <c r="AS41" s="75" t="b">
        <v>0</v>
      </c>
      <c r="AT41" s="75" t="inlineStr">
        <is>
          <t>N/D</t>
        </is>
      </c>
      <c r="AU41" s="75" t="inlineStr">
        <is>
          <t>N/D</t>
        </is>
      </c>
      <c r="AV41" s="75" t="inlineStr">
        <is>
          <t>N/D</t>
        </is>
      </c>
      <c r="AW41" s="75" t="b">
        <v>0</v>
      </c>
      <c r="AX41" s="75" t="inlineStr">
        <is>
          <t>N/D</t>
        </is>
      </c>
      <c r="AY41" s="75" t="inlineStr">
        <is>
          <t>sem benchmark confiável</t>
        </is>
      </c>
      <c r="AZ41" s="144" t="inlineStr">
        <is>
          <t>N/D</t>
        </is>
      </c>
      <c r="BA41" s="75" t="b">
        <v>1</v>
      </c>
      <c r="BB41" s="145" t="n">
        <v>14</v>
      </c>
      <c r="BC41" s="143" t="n">
        <v>1000</v>
      </c>
      <c r="BD41" s="75" t="inlineStr">
        <is>
          <t>Cotas Seniores: R$ 1.000,00 | Cotas Subordinadas: R$ 1.000,00 | R$ 1.000,00</t>
        </is>
      </c>
      <c r="BE41" s="75" t="inlineStr">
        <is>
          <t>valor nominal unitário (VNU)</t>
        </is>
      </c>
      <c r="BF41" s="75" t="inlineStr">
        <is>
          <t>Cotas Seniores | Cotas Subordinadas</t>
        </is>
      </c>
      <c r="BG41" s="75" t="inlineStr">
        <is>
          <t>2026-03-25</t>
        </is>
      </c>
      <c r="BH41" s="75" t="inlineStr">
        <is>
          <t>1149521</t>
        </is>
      </c>
      <c r="BI41" s="75" t="inlineStr">
        <is>
          <t>https://fnet.bmfbovespa.com.br/fnet/publico/downloadDocumento?id=1149521</t>
        </is>
      </c>
      <c r="BJ41" s="75" t="inlineStr">
        <is>
          <t>localizado documentalmente — múltiplos valores/classes</t>
        </is>
      </c>
      <c r="BK41" s="75" t="b">
        <v>1</v>
      </c>
      <c r="BL41" s="75" t="inlineStr">
        <is>
          <t>PagBank (originador) | PagSeguro (cedente)</t>
        </is>
      </c>
      <c r="BM41" s="75" t="inlineStr">
        <is>
          <t>originador | cedente</t>
        </is>
      </c>
      <c r="BN41" s="75" t="inlineStr">
        <is>
          <t>PagBank</t>
        </is>
      </c>
      <c r="BO41" s="75" t="inlineStr">
        <is>
          <t>PagSeguro</t>
        </is>
      </c>
      <c r="BP41" s="75" t="inlineStr">
        <is>
          <t>N/D</t>
        </is>
      </c>
      <c r="BQ41" s="75" t="inlineStr">
        <is>
          <t>as U.R.s compostas por direitos creditórios detidos pelo Estabelecimento Credenciado em face do Devedor em decorrência de Transações de Pagamento, na modalidade de crédito pós -pago à vista, e/ou crédito pós -pago parcelado sem juros, e débito, realizad as pelos Usuários Finais com a utilização de Instrumentos de Pagamento para a aquisição de bens, produtos, mercadorias ou serviços nos Estabelecimentos Credenciados e devidos pelo Devedor, conforme aplicável, após o desconto das taxas que constituem a remuneração dos Arranjos de Pagamento, dos Emissores e das Credenciadoras, bem como de outras eventuais retenções previstas nas regras do Arranjo de Pagamento, as quais serão Docusign Envelope I</t>
        </is>
      </c>
      <c r="BR41" s="75" t="inlineStr">
        <is>
          <t>cedente: IMG_8705.JPG | tipo_recebivel: https://fnet.bmfbovespa.com.br/fnet/publico/downloadDocumento?id=1147067</t>
        </is>
      </c>
      <c r="BS41" s="75" t="inlineStr">
        <is>
          <t>manual_aplicado</t>
        </is>
      </c>
      <c r="BT41" s="75" t="inlineStr">
        <is>
          <t>IMG_8698 identifica PagBank como originador; IMG_8705 identifica PagSeguro como cedente e recebíveis dos ECs.</t>
        </is>
      </c>
      <c r="BU41" s="75" t="inlineStr">
        <is>
          <t>1149521</t>
        </is>
      </c>
      <c r="BV41" s="75" t="inlineStr">
        <is>
          <t>2026-03-25</t>
        </is>
      </c>
      <c r="BW41" s="75" t="inlineStr">
        <is>
          <t>44</t>
        </is>
      </c>
      <c r="BX41" s="75" t="inlineStr">
        <is>
          <t>revisto — mínimo júnior localizado</t>
        </is>
      </c>
      <c r="BY41" s="75" t="inlineStr">
        <is>
          <t>FundosNet/B3; documento 1149521; referência 2026-03-25; p. 44</t>
        </is>
      </c>
      <c r="BZ41" s="75" t="inlineStr">
        <is>
          <t>Cotas subordinadas júnior / PL, mínimo de 50,0%; há classe mezanino.</t>
        </is>
      </c>
      <c r="CA41" s="75" t="inlineStr">
        <is>
          <t>Sub/PL atual; sacado/devedor</t>
        </is>
      </c>
      <c r="CB41" s="75" t="inlineStr">
        <is>
          <t>sub_pl_atual_ausente</t>
        </is>
      </c>
    </row>
    <row r="42" ht="31.5" customHeight="1">
      <c r="A42" s="74" t="n">
        <v>39</v>
      </c>
      <c r="B42" s="138" t="n">
        <v>38658727000133</v>
      </c>
      <c r="C42" s="74" t="inlineStr">
        <is>
          <t>38.658.727/0001-33</t>
        </is>
      </c>
      <c r="D42" s="74" t="inlineStr">
        <is>
          <t>FUNDO DE INVESTIMENTO EM DIREITOS CREDITÓRIOS FORNECEDORES MADEIRA MADEIRA I</t>
        </is>
      </c>
      <c r="E42" s="74" t="inlineStr">
        <is>
          <t>FIDC FORNEC MADEIRA MADEIRA I</t>
        </is>
      </c>
      <c r="F42" s="74" t="inlineStr">
        <is>
          <t>Carteira 101</t>
        </is>
      </c>
      <c r="G42" s="74" t="inlineStr">
        <is>
          <t>2026-08</t>
        </is>
      </c>
      <c r="H42" s="74" t="inlineStr">
        <is>
          <t>localizado</t>
        </is>
      </c>
      <c r="I42" s="139" t="n">
        <v>199697311.69</v>
      </c>
      <c r="J42" s="139" t="n">
        <v>199697311.6968063</v>
      </c>
      <c r="K42" s="139" t="n">
        <v>95331322.13009876</v>
      </c>
      <c r="L42" s="140" t="n">
        <v>0.477379096009496</v>
      </c>
      <c r="M42" s="74" t="inlineStr">
        <is>
          <t>Calculado com classes reportadas e PL oficial reconciliado</t>
        </is>
      </c>
      <c r="N42" s="140" t="inlineStr">
        <is>
          <t>N/D</t>
        </is>
      </c>
      <c r="O42" s="140" t="n">
        <v>0.26665</v>
      </c>
      <c r="P42" s="140" t="inlineStr">
        <is>
          <t>N/D</t>
        </is>
      </c>
      <c r="Q42" s="140" t="n">
        <v>0.26665</v>
      </c>
      <c r="R42" s="140" t="inlineStr">
        <is>
          <t>N/D</t>
        </is>
      </c>
      <c r="S42" s="140" t="n">
        <v>0.26665</v>
      </c>
      <c r="T42" s="74" t="inlineStr">
        <is>
          <t>26,67%*</t>
        </is>
      </c>
      <c r="U42" s="74" t="inlineStr">
        <is>
          <t>junior_pl_calculado</t>
        </is>
      </c>
      <c r="V42" s="74" t="inlineStr">
        <is>
          <t>calculado: 1 − 1/1,3636</t>
        </is>
      </c>
      <c r="W42" s="74" t="b">
        <v>1</v>
      </c>
      <c r="X42" s="74" t="inlineStr">
        <is>
          <t>Estrutura com uma única classe subordinada; métrica atual e piso usam o total subordinado sobre o PL.</t>
        </is>
      </c>
      <c r="Y42" s="74" t="b">
        <v>1</v>
      </c>
      <c r="Z42" s="140" t="n">
        <v>0.210729096009496</v>
      </c>
      <c r="AA42" s="140" t="n">
        <v>0.2873513274827791</v>
      </c>
      <c r="AB42" s="74" t="inlineStr">
        <is>
          <t>acima do mínimo</t>
        </is>
      </c>
      <c r="AC42" s="74" t="inlineStr">
        <is>
          <t>Agro, Indústria e Comércio</t>
        </is>
      </c>
      <c r="AD42" s="74" t="inlineStr">
        <is>
          <t>Recebíveis Comerciais</t>
        </is>
      </c>
      <c r="AE42" s="74" t="inlineStr">
        <is>
          <t>Agro / Revenda</t>
        </is>
      </c>
      <c r="AF42" s="74" t="inlineStr">
        <is>
          <t>Agro / Revenda</t>
        </is>
      </c>
      <c r="AG42" s="74" t="inlineStr">
        <is>
          <t>Agro / Revenda</t>
        </is>
      </c>
      <c r="AH42" s="74" t="inlineStr">
        <is>
          <t>Risco Corporativo</t>
        </is>
      </c>
      <c r="AI42" s="74" t="inlineStr">
        <is>
          <t>Supplier finance, MadeiraMadeira como devedora</t>
        </is>
      </c>
      <c r="AJ42" s="74" t="b">
        <v>1</v>
      </c>
      <c r="AK42" s="74" t="inlineStr">
        <is>
          <t>APLICAR_ALTA</t>
        </is>
      </c>
      <c r="AL42" s="74" t="inlineStr">
        <is>
          <t>Fornecedores cedem créditos comerciais contra MadeiraMadeira</t>
        </is>
      </c>
      <c r="AM42" s="74" t="inlineStr">
        <is>
          <t>regulamento 691063</t>
        </is>
      </c>
      <c r="AN42" s="74" t="inlineStr">
        <is>
          <t>Não</t>
        </is>
      </c>
      <c r="AO42" s="74" t="inlineStr">
        <is>
          <t>regulamento 691063</t>
        </is>
      </c>
      <c r="AP42" s="74" t="b">
        <v>0</v>
      </c>
      <c r="AQ42" s="74" t="inlineStr">
        <is>
          <t>Risco Corporativo</t>
        </is>
      </c>
      <c r="AR42" s="74" t="inlineStr">
        <is>
          <t>Agro / Revenda</t>
        </is>
      </c>
      <c r="AS42" s="74" t="b">
        <v>1</v>
      </c>
      <c r="AT42" s="74" t="inlineStr">
        <is>
          <t>regulamento 691063</t>
        </is>
      </c>
      <c r="AU42" s="74" t="inlineStr">
        <is>
          <t>Fornecedores cedem créditos comerciais contra MadeiraMadeira</t>
        </is>
      </c>
      <c r="AV42" s="74" t="inlineStr">
        <is>
          <t>35%–60%</t>
        </is>
      </c>
      <c r="AW42" s="74" t="b">
        <v>1</v>
      </c>
      <c r="AX42" s="74" t="inlineStr">
        <is>
          <t>acima do piso</t>
        </is>
      </c>
      <c r="AY42" s="74" t="inlineStr">
        <is>
          <t>sem benchmark confiável</t>
        </is>
      </c>
      <c r="AZ42" s="140" t="inlineStr">
        <is>
          <t>N/D</t>
        </is>
      </c>
      <c r="BA42" s="74" t="b">
        <v>0</v>
      </c>
      <c r="BB42" s="141" t="n">
        <v>0</v>
      </c>
      <c r="BC42" s="139" t="n">
        <v>1000</v>
      </c>
      <c r="BD42" s="74" t="inlineStr">
        <is>
          <t>Cotas Seniores: R$ 1.000,00</t>
        </is>
      </c>
      <c r="BE42" s="74" t="inlineStr">
        <is>
          <t>preço/valor unitário de emissão</t>
        </is>
      </c>
      <c r="BF42" s="74" t="inlineStr">
        <is>
          <t>Cotas Seniores</t>
        </is>
      </c>
      <c r="BG42" s="74" t="inlineStr">
        <is>
          <t>2024-06-13</t>
        </is>
      </c>
      <c r="BH42" s="74" t="inlineStr">
        <is>
          <t>691063</t>
        </is>
      </c>
      <c r="BI42" s="74" t="inlineStr">
        <is>
          <t>https://fnet.bmfbovespa.com.br/fnet/publico/downloadDocumento?id=691063</t>
        </is>
      </c>
      <c r="BJ42" s="74" t="inlineStr">
        <is>
          <t>localizado documentalmente</t>
        </is>
      </c>
      <c r="BK42" s="74" t="b">
        <v>0</v>
      </c>
      <c r="BL42" s="74" t="inlineStr">
        <is>
          <t>Fornecedores: Madeira/Madeira</t>
        </is>
      </c>
      <c r="BM42" s="74" t="inlineStr">
        <is>
          <t>cedente</t>
        </is>
      </c>
      <c r="BN42" s="74" t="inlineStr">
        <is>
          <t>N/D</t>
        </is>
      </c>
      <c r="BO42" s="74" t="inlineStr">
        <is>
          <t>Fornecedores: Madeira/Madeira</t>
        </is>
      </c>
      <c r="BP42" s="74" t="inlineStr">
        <is>
          <t>Madeira/Madeira</t>
        </is>
      </c>
      <c r="BQ42" s="74" t="inlineStr">
        <is>
          <t>os direitos creditórios, representados pelos Contratos Comerciais, incluindo a totalidade dos respectivos acessórios, tais como atualização monetária, juros remuneratórios, encargos moratórios, multas, penalidades, seguros, indenizações, despesa s, custas, honorários, garantias e demais encargos contratuais e legais previstos nos Contratos Comerciais</t>
        </is>
      </c>
      <c r="BR42" s="74" t="inlineStr">
        <is>
          <t>cedente: IMG_8705.JPG | sacado_devedor: IMG_8705.JPG | tipo_recebivel: https://fnet.bmfbovespa.com.br/fnet/publico/downloadDocumento?id=691063</t>
        </is>
      </c>
      <c r="BS42" s="74" t="inlineStr">
        <is>
          <t>manual_aplicado</t>
        </is>
      </c>
      <c r="BT42" s="74" t="inlineStr">
        <is>
          <t>OBS da foto: FIDC Multicedente (Fornecedores) &amp; Monosacado (Madeira/Madeira). O sacado foi desmembrado somente porque a função Monosacado está escrita na fonte.</t>
        </is>
      </c>
      <c r="BU42" s="74" t="inlineStr">
        <is>
          <t>1216296</t>
        </is>
      </c>
      <c r="BV42" s="74" t="inlineStr">
        <is>
          <t>2026-06-05</t>
        </is>
      </c>
      <c r="BW42" s="74" t="inlineStr">
        <is>
          <t>62</t>
        </is>
      </c>
      <c r="BX42" s="74" t="inlineStr">
        <is>
          <t>revisto — mínimo júnior localizado</t>
        </is>
      </c>
      <c r="BY42" s="74" t="inlineStr">
        <is>
          <t>FundosNet/B3; documento 1216296; referência 2026-06-05; p. 62</t>
        </is>
      </c>
      <c r="BZ42" s="74" t="inlineStr">
        <is>
          <t>Mínimo júnior implícito na relação PL / cotas seniores de 136,36%.</t>
        </is>
      </c>
      <c r="CA42" s="74" t="inlineStr">
        <is>
          <t>originador</t>
        </is>
      </c>
      <c r="CB42" s="74" t="inlineStr">
        <is>
          <t>completo_para_folga</t>
        </is>
      </c>
    </row>
    <row r="43" ht="31.5" customHeight="1">
      <c r="A43" s="75" t="n">
        <v>40</v>
      </c>
      <c r="B43" s="142" t="n">
        <v>52271464000136</v>
      </c>
      <c r="C43" s="75" t="inlineStr">
        <is>
          <t>52.271.464/0001-36</t>
        </is>
      </c>
      <c r="D43" s="75" t="inlineStr">
        <is>
          <t>KIWIFY FUNDO DE INVESTIMENTO EM DIREITOS CREDITÓRIOS SEGMENTO MEIOS DE PAGAMENTO DE RESPONSABILIDADE</t>
        </is>
      </c>
      <c r="E43" s="75" t="inlineStr">
        <is>
          <t>KIWIFY FUNDO DE INVESTIMENTO E</t>
        </is>
      </c>
      <c r="F43" s="75" t="inlineStr">
        <is>
          <t>Carteira 101</t>
        </is>
      </c>
      <c r="G43" s="75" t="inlineStr">
        <is>
          <t>2026-08</t>
        </is>
      </c>
      <c r="H43" s="75" t="inlineStr">
        <is>
          <t>localizado</t>
        </is>
      </c>
      <c r="I43" s="143" t="n">
        <v>332038628.56</v>
      </c>
      <c r="J43" s="143" t="n">
        <v>332038628.5201547</v>
      </c>
      <c r="K43" s="143" t="n">
        <v>54891043.43965475</v>
      </c>
      <c r="L43" s="144" t="n">
        <v>0.1653152335850461</v>
      </c>
      <c r="M43" s="75" t="inlineStr">
        <is>
          <t>Calculado com classes reportadas e PL oficial reconciliado</t>
        </is>
      </c>
      <c r="N43" s="144" t="n">
        <v>0.06</v>
      </c>
      <c r="O43" s="144" t="inlineStr">
        <is>
          <t>N/D</t>
        </is>
      </c>
      <c r="P43" s="144" t="inlineStr">
        <is>
          <t>N/D</t>
        </is>
      </c>
      <c r="Q43" s="144" t="inlineStr">
        <is>
          <t>N/D</t>
        </is>
      </c>
      <c r="R43" s="144" t="inlineStr">
        <is>
          <t>N/D</t>
        </is>
      </c>
      <c r="S43" s="144" t="n">
        <v>0.06</v>
      </c>
      <c r="T43" s="75" t="inlineStr">
        <is>
          <t>N/D</t>
        </is>
      </c>
      <c r="U43" s="75" t="inlineStr">
        <is>
          <t>junior_pl</t>
        </is>
      </c>
      <c r="V43" s="75" t="inlineStr">
        <is>
          <t>direto no regulamento</t>
        </is>
      </c>
      <c r="W43" s="75" t="b">
        <v>0</v>
      </c>
      <c r="X43" s="75" t="inlineStr">
        <is>
          <t>Mínimo júnior isolado; a subordinação atual disponível agrega todas as classes subordinadas.</t>
        </is>
      </c>
      <c r="Y43" s="75" t="b">
        <v>0</v>
      </c>
      <c r="Z43" s="144" t="inlineStr">
        <is>
          <t>N/D</t>
        </is>
      </c>
      <c r="AA43" s="144" t="inlineStr">
        <is>
          <t>N/D</t>
        </is>
      </c>
      <c r="AB43" s="75" t="inlineStr">
        <is>
          <t>não medido</t>
        </is>
      </c>
      <c r="AC43" s="75" t="inlineStr">
        <is>
          <t>Agro, Indústria e Comércio</t>
        </is>
      </c>
      <c r="AD43" s="75" t="inlineStr">
        <is>
          <t>Recebíveis Comerciais</t>
        </is>
      </c>
      <c r="AE43" s="75" t="inlineStr">
        <is>
          <t>Agro / Revenda</t>
        </is>
      </c>
      <c r="AF43" s="75" t="inlineStr">
        <is>
          <t>Agro / Revenda</t>
        </is>
      </c>
      <c r="AG43" s="75" t="inlineStr">
        <is>
          <t>Adquirência</t>
        </is>
      </c>
      <c r="AH43" s="75" t="inlineStr">
        <is>
          <t>Adquirência</t>
        </is>
      </c>
      <c r="AI43" s="75" t="inlineStr">
        <is>
          <t>N/D</t>
        </is>
      </c>
      <c r="AJ43" s="75" t="b">
        <v>0</v>
      </c>
      <c r="AK43" s="75" t="inlineStr">
        <is>
          <t>fora da revisão Financeiro/Agro</t>
        </is>
      </c>
      <c r="AL43" s="75" t="inlineStr">
        <is>
          <t>N/D</t>
        </is>
      </c>
      <c r="AM43" s="75" t="inlineStr">
        <is>
          <t>N/D</t>
        </is>
      </c>
      <c r="AN43" s="75" t="inlineStr">
        <is>
          <t>N/D</t>
        </is>
      </c>
      <c r="AO43" s="75" t="inlineStr">
        <is>
          <t>N/D</t>
        </is>
      </c>
      <c r="AP43" s="75" t="inlineStr">
        <is>
          <t>N/D</t>
        </is>
      </c>
      <c r="AQ43" s="75" t="inlineStr">
        <is>
          <t>Adquirência</t>
        </is>
      </c>
      <c r="AR43" s="75" t="inlineStr">
        <is>
          <t>Agro / Revenda</t>
        </is>
      </c>
      <c r="AS43" s="75" t="b">
        <v>1</v>
      </c>
      <c r="AT43" s="75" t="inlineStr">
        <is>
          <t>FundosNet/B3 doc. 1155755, p. 13; IMG_8705.JPG e IMG_8707.jpg</t>
        </is>
      </c>
      <c r="AU43" s="75" t="inlineStr">
        <is>
          <t>Direitos da Kiwify, na condição de subcredenciadora, contra credenciadoras de transações de pagamento.</t>
        </is>
      </c>
      <c r="AV43" s="75" t="inlineStr">
        <is>
          <t>15%–20%</t>
        </is>
      </c>
      <c r="AW43" s="75" t="b">
        <v>1</v>
      </c>
      <c r="AX43" s="75" t="inlineStr">
        <is>
          <t>incomparável</t>
        </is>
      </c>
      <c r="AY43" s="75" t="inlineStr">
        <is>
          <t>sem benchmark confiável</t>
        </is>
      </c>
      <c r="AZ43" s="144" t="inlineStr">
        <is>
          <t>N/D</t>
        </is>
      </c>
      <c r="BA43" s="75" t="b">
        <v>0</v>
      </c>
      <c r="BB43" s="145" t="n">
        <v>0</v>
      </c>
      <c r="BC43" s="143" t="n">
        <v>1000</v>
      </c>
      <c r="BD43" s="75" t="inlineStr">
        <is>
          <t>Cotas Seniores: R$1.000,00</t>
        </is>
      </c>
      <c r="BE43" s="75" t="inlineStr">
        <is>
          <t>valor nominal unitário (VNU)</t>
        </is>
      </c>
      <c r="BF43" s="75" t="inlineStr">
        <is>
          <t>Cotas Seniores</t>
        </is>
      </c>
      <c r="BG43" s="75" t="inlineStr">
        <is>
          <t>29/12/2025</t>
        </is>
      </c>
      <c r="BH43" s="75" t="inlineStr">
        <is>
          <t>1072777</t>
        </is>
      </c>
      <c r="BI43" s="75" t="inlineStr">
        <is>
          <t>https://fnet.bmfbovespa.com.br/fnet/publico/downloadDocumento?id=1072777</t>
        </is>
      </c>
      <c r="BJ43" s="75" t="inlineStr">
        <is>
          <t>localizado documentalmente</t>
        </is>
      </c>
      <c r="BK43" s="75" t="b">
        <v>0</v>
      </c>
      <c r="BL43" s="75" t="inlineStr">
        <is>
          <t>N/D</t>
        </is>
      </c>
      <c r="BM43" s="75" t="inlineStr">
        <is>
          <t>N/D</t>
        </is>
      </c>
      <c r="BN43" s="75" t="inlineStr">
        <is>
          <t>N/D</t>
        </is>
      </c>
      <c r="BO43" s="75" t="inlineStr">
        <is>
          <t>a Subcredenciadora</t>
        </is>
      </c>
      <c r="BP43" s="75" t="inlineStr">
        <is>
          <t>a Credenciadora, na qualidade de devedora dos Direitos Creditórios</t>
        </is>
      </c>
      <c r="BQ43" s="75" t="inlineStr">
        <is>
          <t>os direitos creditórios performados, de tempos em tempos detidos pela Subcredenciadora em face da Credenciadora, originários de Transações de Pagamento realizadas pelos Compradores dos Infoprodutores com a utilização de Instrumentos de Pagamento, à vista ou parceladas, para a aquisição de cursos e/ou outros conteúdos oferecidos pelo Infoprodutores na Plataforma Kiwify aos Compradores dos Infoprodutores, conforme aplicável, após o descont o das taxas que constituem a remuneração das Bandeiras, dos Emissores e da Credenciadora, conforme o caso, bem como de outras eventuais retenções previstas nas regras do Arranjo de Pagamento e/ou no respectivo contrato de credenciamento e adesão, conforme ap</t>
        </is>
      </c>
      <c r="BR43" s="75" t="inlineStr">
        <is>
          <t>cedente: https://fnet.bmfbovespa.com.br/fnet/publico/downloadDocumento?id=1155755 | sacado_devedor: https://fnet.bmfbovespa.com.br/fnet/publico/downloadDocumento?id=1155755 | tipo_recebivel: https://fnet.bmfbovespa.com.br/fnet/publico/downloadDocumento?id=1155755</t>
        </is>
      </c>
      <c r="BS43" s="75" t="inlineStr">
        <is>
          <t>sem_overlay</t>
        </is>
      </c>
      <c r="BT43" s="75" t="inlineStr">
        <is>
          <t>N/D</t>
        </is>
      </c>
      <c r="BU43" s="75" t="inlineStr">
        <is>
          <t>1155755</t>
        </is>
      </c>
      <c r="BV43" s="75" t="inlineStr">
        <is>
          <t>2026-03-18</t>
        </is>
      </c>
      <c r="BW43" s="75" t="inlineStr">
        <is>
          <t>18</t>
        </is>
      </c>
      <c r="BX43" s="75" t="inlineStr">
        <is>
          <t>revisto — mínimo júnior localizado</t>
        </is>
      </c>
      <c r="BY43" s="75" t="inlineStr">
        <is>
          <t>FundosNet/B3; documento 1155755; referência 2026-03-18; p. 18</t>
        </is>
      </c>
      <c r="BZ43" s="75" t="inlineStr">
        <is>
          <t>Cotas subordinadas júnior / PL, mínimo de 6,0%.</t>
        </is>
      </c>
      <c r="CA43" s="75" t="inlineStr">
        <is>
          <t>originador</t>
        </is>
      </c>
      <c r="CB43" s="75" t="inlineStr">
        <is>
          <t>estrutura_incomparavel</t>
        </is>
      </c>
    </row>
    <row r="44" ht="31.5" customHeight="1">
      <c r="A44" s="74" t="n">
        <v>41</v>
      </c>
      <c r="B44" s="138" t="n">
        <v>29226654000110</v>
      </c>
      <c r="C44" s="74" t="inlineStr">
        <is>
          <t>29.226.654/0001-10</t>
        </is>
      </c>
      <c r="D44" s="74" t="inlineStr">
        <is>
          <t>INVESTCRED FUNDO DE INVESTIMENTO EM DIREITOS CREDITÓRIOS</t>
        </is>
      </c>
      <c r="E44" s="74" t="inlineStr">
        <is>
          <t>INVESTCRED FUNDO DE INVESTIMENTO EM DIREITOS CREDI</t>
        </is>
      </c>
      <c r="F44" s="74" t="inlineStr">
        <is>
          <t>Carteira 101</t>
        </is>
      </c>
      <c r="G44" s="74" t="inlineStr">
        <is>
          <t>2026-08</t>
        </is>
      </c>
      <c r="H44" s="74" t="inlineStr">
        <is>
          <t>localizado</t>
        </is>
      </c>
      <c r="I44" s="139" t="n">
        <v>1189908647.59</v>
      </c>
      <c r="J44" s="139" t="n">
        <v>1189908647.592394</v>
      </c>
      <c r="K44" s="139" t="n">
        <v>946783254.0534936</v>
      </c>
      <c r="L44" s="140" t="n">
        <v>0.7956772614192492</v>
      </c>
      <c r="M44" s="74" t="inlineStr">
        <is>
          <t>Calculado com classes reportadas e PL oficial reconciliado</t>
        </is>
      </c>
      <c r="N44" s="140" t="inlineStr">
        <is>
          <t>N/D</t>
        </is>
      </c>
      <c r="O44" s="140" t="n">
        <v>0.6742671009769999</v>
      </c>
      <c r="P44" s="140" t="inlineStr">
        <is>
          <t>N/D</t>
        </is>
      </c>
      <c r="Q44" s="140" t="n">
        <v>0.6742671009769999</v>
      </c>
      <c r="R44" s="140" t="inlineStr">
        <is>
          <t>N/D</t>
        </is>
      </c>
      <c r="S44" s="140" t="n">
        <v>0.6742671009769999</v>
      </c>
      <c r="T44" s="74" t="inlineStr">
        <is>
          <t>67,43%*</t>
        </is>
      </c>
      <c r="U44" s="74" t="inlineStr">
        <is>
          <t>junior_pl_calculado</t>
        </is>
      </c>
      <c r="V44" s="74" t="inlineStr">
        <is>
          <t>calculado: 1 − 1/3,07</t>
        </is>
      </c>
      <c r="W44" s="74" t="b">
        <v>1</v>
      </c>
      <c r="X44" s="74" t="inlineStr">
        <is>
          <t>Estrutura com uma única classe subordinada; métrica atual e piso usam o total subordinado sobre o PL.</t>
        </is>
      </c>
      <c r="Y44" s="74" t="b">
        <v>1</v>
      </c>
      <c r="Z44" s="140" t="n">
        <v>0.1214101604422493</v>
      </c>
      <c r="AA44" s="140" t="n">
        <v>0.3727291925574778</v>
      </c>
      <c r="AB44" s="74" t="inlineStr">
        <is>
          <t>acima do mínimo</t>
        </is>
      </c>
      <c r="AC44" s="74" t="inlineStr">
        <is>
          <t>Agro, Indústria e Comércio</t>
        </is>
      </c>
      <c r="AD44" s="74" t="inlineStr">
        <is>
          <t>Recebíveis Comerciais</t>
        </is>
      </c>
      <c r="AE44" s="74" t="inlineStr">
        <is>
          <t>Agro / Revenda</t>
        </is>
      </c>
      <c r="AF44" s="74" t="inlineStr">
        <is>
          <t>Agro / Revenda</t>
        </is>
      </c>
      <c r="AG44" s="74" t="inlineStr">
        <is>
          <t>Agro / Revenda</t>
        </is>
      </c>
      <c r="AH44" s="74" t="inlineStr">
        <is>
          <t>Agro / Revenda</t>
        </is>
      </c>
      <c r="AI44" s="74" t="inlineStr">
        <is>
          <t>Cartão/CCB, ecossistema Credsystem</t>
        </is>
      </c>
      <c r="AJ44" s="74" t="b">
        <v>0</v>
      </c>
      <c r="AK44" s="74" t="inlineStr">
        <is>
          <t>PENDENTE_FONTE_PRIMARIA</t>
        </is>
      </c>
      <c r="AL44" s="74" t="inlineStr">
        <is>
          <t>Risco informado como cartão/consumidor, sem cláusula primária registrada</t>
        </is>
      </c>
      <c r="AM44" s="74" t="inlineStr">
        <is>
          <t>IMG_8705</t>
        </is>
      </c>
      <c r="AN44" s="74" t="inlineStr">
        <is>
          <t>Não</t>
        </is>
      </c>
      <c r="AO44" s="74" t="inlineStr">
        <is>
          <t>IMG_8705</t>
        </is>
      </c>
      <c r="AP44" s="74" t="b">
        <v>0</v>
      </c>
      <c r="AQ44" s="74" t="inlineStr">
        <is>
          <t>Agro / Revenda</t>
        </is>
      </c>
      <c r="AR44" s="74" t="inlineStr">
        <is>
          <t>Agro / Revenda</t>
        </is>
      </c>
      <c r="AS44" s="74" t="b">
        <v>0</v>
      </c>
      <c r="AT44" s="74" t="inlineStr">
        <is>
          <t>N/D</t>
        </is>
      </c>
      <c r="AU44" s="74" t="inlineStr">
        <is>
          <t>N/D</t>
        </is>
      </c>
      <c r="AV44" s="74" t="inlineStr">
        <is>
          <t>≥ 60%</t>
        </is>
      </c>
      <c r="AW44" s="74" t="b">
        <v>1</v>
      </c>
      <c r="AX44" s="74" t="inlineStr">
        <is>
          <t>acima do piso</t>
        </is>
      </c>
      <c r="AY44" s="74" t="inlineStr">
        <is>
          <t>sem benchmark confiável</t>
        </is>
      </c>
      <c r="AZ44" s="140" t="inlineStr">
        <is>
          <t>N/D</t>
        </is>
      </c>
      <c r="BA44" s="74" t="b">
        <v>0</v>
      </c>
      <c r="BB44" s="141" t="n">
        <v>0</v>
      </c>
      <c r="BC44" s="139" t="n">
        <v>1000</v>
      </c>
      <c r="BD44" s="74" t="inlineStr">
        <is>
          <t>R$ 1.000,00</t>
        </is>
      </c>
      <c r="BE44" s="74" t="inlineStr">
        <is>
          <t>valor nominal unitário (VNU)</t>
        </is>
      </c>
      <c r="BF44" s="74" t="inlineStr">
        <is>
          <t>N/D</t>
        </is>
      </c>
      <c r="BG44" s="74" t="inlineStr">
        <is>
          <t>2025-10-28</t>
        </is>
      </c>
      <c r="BH44" s="74" t="inlineStr">
        <is>
          <t>1023320</t>
        </is>
      </c>
      <c r="BI44" s="74" t="inlineStr">
        <is>
          <t>https://fnet.bmfbovespa.com.br/fnet/publico/downloadDocumento?id=1023320</t>
        </is>
      </c>
      <c r="BJ44" s="74" t="inlineStr">
        <is>
          <t>localizado documentalmente</t>
        </is>
      </c>
      <c r="BK44" s="74" t="b">
        <v>1</v>
      </c>
      <c r="BL44" s="74" t="inlineStr">
        <is>
          <t>CredSystem</t>
        </is>
      </c>
      <c r="BM44" s="74" t="inlineStr">
        <is>
          <t>cedente</t>
        </is>
      </c>
      <c r="BN44" s="74" t="inlineStr">
        <is>
          <t>N/D</t>
        </is>
      </c>
      <c r="BO44" s="74" t="inlineStr">
        <is>
          <t>CredSystem</t>
        </is>
      </c>
      <c r="BP44" s="74" t="inlineStr">
        <is>
          <t>N/D</t>
        </is>
      </c>
      <c r="BQ44" s="74" t="inlineStr">
        <is>
          <t>Cartão de Crédito - ecossistema Credsystem</t>
        </is>
      </c>
      <c r="BR44" s="74" t="inlineStr">
        <is>
          <t>cedente: IMG_8705.JPG | tipo_recebivel: IMG_8705.JPG</t>
        </is>
      </c>
      <c r="BS44" s="74" t="inlineStr">
        <is>
          <t>manual_aplicado</t>
        </is>
      </c>
      <c r="BT44" s="74" t="inlineStr">
        <is>
          <t>Denominação cortada pela largura da coluna na foto.</t>
        </is>
      </c>
      <c r="BU44" s="74" t="inlineStr">
        <is>
          <t>1023848</t>
        </is>
      </c>
      <c r="BV44" s="74" t="inlineStr">
        <is>
          <t>2025-10-28</t>
        </is>
      </c>
      <c r="BW44" s="74" t="inlineStr">
        <is>
          <t>3–4; 9–10</t>
        </is>
      </c>
      <c r="BX44" s="74" t="inlineStr">
        <is>
          <t>revisto — mínimo júnior localizado</t>
        </is>
      </c>
      <c r="BY44" s="74" t="inlineStr">
        <is>
          <t>FundosNet/B3; documento 1023848; referência 2025-10-28; p. 3–4; 9–10</t>
        </is>
      </c>
      <c r="BZ44" s="74" t="inlineStr">
        <is>
          <t>Mínimo júnior implícito na relação PL / cotas seniores de 307,0%.</t>
        </is>
      </c>
      <c r="CA44" s="74" t="inlineStr">
        <is>
          <t>originador; sacado/devedor</t>
        </is>
      </c>
      <c r="CB44" s="74" t="inlineStr">
        <is>
          <t>completo_para_folga</t>
        </is>
      </c>
    </row>
    <row r="45" ht="31.5" customHeight="1">
      <c r="A45" s="75" t="n">
        <v>42</v>
      </c>
      <c r="B45" s="142" t="n">
        <v>54857414000160</v>
      </c>
      <c r="C45" s="75" t="inlineStr">
        <is>
          <t>54.857.414/0001-60</t>
        </is>
      </c>
      <c r="D45" s="75" t="inlineStr">
        <is>
          <t>INDIE MERX RAIZ I CRÉDITO AGRO FIDC DO AGRONEGÓCIO - RESPONSABILIDADE LIMITADA</t>
        </is>
      </c>
      <c r="E45" s="75" t="inlineStr">
        <is>
          <t>INDIE MERX RAIZ I CREDITO AGRO FUNDO DE INVESTIMEN</t>
        </is>
      </c>
      <c r="F45" s="75" t="inlineStr">
        <is>
          <t>Carteira 101</t>
        </is>
      </c>
      <c r="G45" s="75" t="inlineStr">
        <is>
          <t>2026-08</t>
        </is>
      </c>
      <c r="H45" s="75" t="inlineStr">
        <is>
          <t>localizado</t>
        </is>
      </c>
      <c r="I45" s="143" t="n">
        <v>107657359.22</v>
      </c>
      <c r="J45" s="143" t="n">
        <v>107657359.2198222</v>
      </c>
      <c r="K45" s="143" t="n">
        <v>30924560.88000778</v>
      </c>
      <c r="L45" s="144" t="n">
        <v>0.2872498555051198</v>
      </c>
      <c r="M45" s="75" t="inlineStr">
        <is>
          <t>Calculado com classes reportadas e PL oficial reconciliado</t>
        </is>
      </c>
      <c r="N45" s="144" t="n">
        <v>0.15</v>
      </c>
      <c r="O45" s="144" t="inlineStr">
        <is>
          <t>N/D</t>
        </is>
      </c>
      <c r="P45" s="144" t="inlineStr">
        <is>
          <t>N/D</t>
        </is>
      </c>
      <c r="Q45" s="144" t="inlineStr">
        <is>
          <t>N/D</t>
        </is>
      </c>
      <c r="R45" s="144" t="inlineStr">
        <is>
          <t>N/D</t>
        </is>
      </c>
      <c r="S45" s="144" t="n">
        <v>0.15</v>
      </c>
      <c r="T45" s="75" t="inlineStr">
        <is>
          <t>N/D</t>
        </is>
      </c>
      <c r="U45" s="75" t="inlineStr">
        <is>
          <t>junior_pl</t>
        </is>
      </c>
      <c r="V45" s="75" t="inlineStr">
        <is>
          <t>direto no regulamento</t>
        </is>
      </c>
      <c r="W45" s="75" t="b">
        <v>0</v>
      </c>
      <c r="X45" s="75" t="inlineStr">
        <is>
          <t>Mínimo júnior isolado; a subordinação atual disponível agrega todas as classes subordinadas.</t>
        </is>
      </c>
      <c r="Y45" s="75" t="b">
        <v>0</v>
      </c>
      <c r="Z45" s="144" t="inlineStr">
        <is>
          <t>N/D</t>
        </is>
      </c>
      <c r="AA45" s="144" t="inlineStr">
        <is>
          <t>N/D</t>
        </is>
      </c>
      <c r="AB45" s="75" t="inlineStr">
        <is>
          <t>não medido</t>
        </is>
      </c>
      <c r="AC45" s="75" t="inlineStr">
        <is>
          <t>Agro, Indústria e Comércio</t>
        </is>
      </c>
      <c r="AD45" s="75" t="inlineStr">
        <is>
          <t>Agronegócio</t>
        </is>
      </c>
      <c r="AE45" s="75" t="inlineStr">
        <is>
          <t>Agro / Revenda</t>
        </is>
      </c>
      <c r="AF45" s="75" t="inlineStr">
        <is>
          <t>Agro / Revenda</t>
        </is>
      </c>
      <c r="AG45" s="75" t="inlineStr">
        <is>
          <t>Agro / Revenda</t>
        </is>
      </c>
      <c r="AH45" s="75" t="inlineStr">
        <is>
          <t>Agro / Revenda</t>
        </is>
      </c>
      <c r="AI45" s="75" t="inlineStr">
        <is>
          <t>CPR-F de produtores rurais</t>
        </is>
      </c>
      <c r="AJ45" s="75" t="b">
        <v>0</v>
      </c>
      <c r="AK45" s="75" t="inlineStr">
        <is>
          <t>MANTER_ALTA</t>
        </is>
      </c>
      <c r="AL45" s="75" t="inlineStr">
        <is>
          <t>Devedores são produtores e cooperativas</t>
        </is>
      </c>
      <c r="AM45" s="75" t="inlineStr">
        <is>
          <t>regulamento + IMG_8705</t>
        </is>
      </c>
      <c r="AN45" s="75" t="inlineStr">
        <is>
          <t>Não</t>
        </is>
      </c>
      <c r="AO45" s="75" t="inlineStr">
        <is>
          <t>regulamento + IMG_8705</t>
        </is>
      </c>
      <c r="AP45" s="75" t="b">
        <v>0</v>
      </c>
      <c r="AQ45" s="75" t="inlineStr">
        <is>
          <t>Agro / Revenda</t>
        </is>
      </c>
      <c r="AR45" s="75" t="inlineStr">
        <is>
          <t>Agro / Revenda</t>
        </is>
      </c>
      <c r="AS45" s="75" t="b">
        <v>0</v>
      </c>
      <c r="AT45" s="75" t="inlineStr">
        <is>
          <t>N/D</t>
        </is>
      </c>
      <c r="AU45" s="75" t="inlineStr">
        <is>
          <t>N/D</t>
        </is>
      </c>
      <c r="AV45" s="75" t="inlineStr">
        <is>
          <t>20%–35%</t>
        </is>
      </c>
      <c r="AW45" s="75" t="b">
        <v>1</v>
      </c>
      <c r="AX45" s="75" t="inlineStr">
        <is>
          <t>incomparável</t>
        </is>
      </c>
      <c r="AY45" s="75" t="inlineStr">
        <is>
          <t>sem benchmark confiável</t>
        </is>
      </c>
      <c r="AZ45" s="144" t="inlineStr">
        <is>
          <t>N/D</t>
        </is>
      </c>
      <c r="BA45" s="75" t="b">
        <v>0</v>
      </c>
      <c r="BB45" s="145" t="n">
        <v>0</v>
      </c>
      <c r="BC45" s="143" t="n">
        <v>1000</v>
      </c>
      <c r="BD45" s="75" t="inlineStr">
        <is>
          <t>Cotas Subordinadas: R$1.000,00 | Cotas Subordinadas Júnior: R$1.000,00 | R$1.000,00</t>
        </is>
      </c>
      <c r="BE45" s="75" t="inlineStr">
        <is>
          <t>preço/valor unitário de emissão</t>
        </is>
      </c>
      <c r="BF45" s="75" t="inlineStr">
        <is>
          <t>Cotas Subordinadas | Cotas Subordinadas Júnior</t>
        </is>
      </c>
      <c r="BG45" s="75" t="inlineStr">
        <is>
          <t>20/08/2025</t>
        </is>
      </c>
      <c r="BH45" s="75" t="inlineStr">
        <is>
          <t>975459</t>
        </is>
      </c>
      <c r="BI45" s="75" t="inlineStr">
        <is>
          <t>https://fnet.bmfbovespa.com.br/fnet/publico/downloadDocumento?id=975459</t>
        </is>
      </c>
      <c r="BJ45" s="75" t="inlineStr">
        <is>
          <t>localizado documentalmente — múltiplos valores/classes</t>
        </is>
      </c>
      <c r="BK45" s="75" t="b">
        <v>1</v>
      </c>
      <c r="BL45" s="75" t="inlineStr">
        <is>
          <t>Emissão direta de produtor rural</t>
        </is>
      </c>
      <c r="BM45" s="75" t="inlineStr">
        <is>
          <t>cedente</t>
        </is>
      </c>
      <c r="BN45" s="75" t="inlineStr">
        <is>
          <t>N/D</t>
        </is>
      </c>
      <c r="BO45" s="75" t="inlineStr">
        <is>
          <t>Emissão direta de produtor rural</t>
        </is>
      </c>
      <c r="BP45" s="75" t="inlineStr">
        <is>
          <t>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t>
        </is>
      </c>
      <c r="BQ45" s="75" t="inlineStr">
        <is>
          <t>risco produtor rural com passagem SIPAL e Fazendão</t>
        </is>
      </c>
      <c r="BR45" s="75" t="inlineStr">
        <is>
          <t>cedente: IMG_8705.JPG | sacado_devedor: https://fnet.bmfbovespa.com.br/fnet/publico/downloadDocumento?id=975459 | tipo_recebivel: IMG_8705.JPG</t>
        </is>
      </c>
      <c r="BS45" s="75" t="inlineStr">
        <is>
          <t>manual_aplicado</t>
        </is>
      </c>
      <c r="BT45" s="75" t="inlineStr">
        <is>
          <t>Literal preservado da coluna Cedente do Direito Creditório; OBS continua fora da foto. Denominação cortada.</t>
        </is>
      </c>
      <c r="BU45" s="75" t="inlineStr">
        <is>
          <t>1263627</t>
        </is>
      </c>
      <c r="BV45" s="75" t="inlineStr">
        <is>
          <t>2026-06-01</t>
        </is>
      </c>
      <c r="BW45" s="75" t="inlineStr">
        <is>
          <t>74</t>
        </is>
      </c>
      <c r="BX45" s="75" t="inlineStr">
        <is>
          <t>revisto — mínimo júnior localizado</t>
        </is>
      </c>
      <c r="BY45" s="75" t="inlineStr">
        <is>
          <t>FundosNet/B3; documento 1263627; referência 2026-06-01; p. 74</t>
        </is>
      </c>
      <c r="BZ45" s="75" t="inlineStr">
        <is>
          <t>Índice de Subordinação Mezanino: cotas júnior / PL, mínimo de 15,0%.</t>
        </is>
      </c>
      <c r="CA45" s="75" t="inlineStr">
        <is>
          <t>originador</t>
        </is>
      </c>
      <c r="CB45" s="75" t="inlineStr">
        <is>
          <t>estrutura_incomparavel</t>
        </is>
      </c>
    </row>
    <row r="46" ht="31.5" customHeight="1">
      <c r="A46" s="74" t="n">
        <v>43</v>
      </c>
      <c r="B46" s="138" t="n">
        <v>44124465000120</v>
      </c>
      <c r="C46" s="74" t="inlineStr">
        <is>
          <t>44.124.465/0001-20</t>
        </is>
      </c>
      <c r="D46" s="74" t="inlineStr">
        <is>
          <t>TMAQ 21 FUNDO DE INVESTIMENTO EM DIREITOS CREDITÓRIOS DE ARRANJOS DE PAGAMENTO DE RESPONSABILIDADE L</t>
        </is>
      </c>
      <c r="E46" s="74" t="inlineStr">
        <is>
          <t>TMAQ21 FUNDO I E D CREDITORIOS</t>
        </is>
      </c>
      <c r="F46" s="74" t="inlineStr">
        <is>
          <t>Carteira 101</t>
        </is>
      </c>
      <c r="G46" s="74" t="inlineStr">
        <is>
          <t>2026-08</t>
        </is>
      </c>
      <c r="H46" s="74" t="inlineStr">
        <is>
          <t>localizado</t>
        </is>
      </c>
      <c r="I46" s="139" t="inlineStr">
        <is>
          <t>N/D</t>
        </is>
      </c>
      <c r="J46" s="139" t="inlineStr">
        <is>
          <t>N/D</t>
        </is>
      </c>
      <c r="K46" s="139" t="inlineStr">
        <is>
          <t>N/D</t>
        </is>
      </c>
      <c r="L46" s="140" t="inlineStr">
        <is>
          <t>N/D</t>
        </is>
      </c>
      <c r="M46" s="74" t="inlineStr">
        <is>
          <t>PL oficial ausente em 2026-08</t>
        </is>
      </c>
      <c r="N46" s="140" t="n">
        <v>0.03</v>
      </c>
      <c r="O46" s="140" t="inlineStr">
        <is>
          <t>N/D</t>
        </is>
      </c>
      <c r="P46" s="140" t="inlineStr">
        <is>
          <t>N/D</t>
        </is>
      </c>
      <c r="Q46" s="140" t="inlineStr">
        <is>
          <t>N/D</t>
        </is>
      </c>
      <c r="R46" s="140" t="inlineStr">
        <is>
          <t>N/D</t>
        </is>
      </c>
      <c r="S46" s="140" t="n">
        <v>0.03</v>
      </c>
      <c r="T46" s="74" t="inlineStr">
        <is>
          <t>N/D</t>
        </is>
      </c>
      <c r="U46" s="74" t="inlineStr">
        <is>
          <t>junior_pl</t>
        </is>
      </c>
      <c r="V46" s="74" t="inlineStr">
        <is>
          <t>direto no regulamento</t>
        </is>
      </c>
      <c r="W46" s="74" t="b">
        <v>0</v>
      </c>
      <c r="X46" s="74" t="inlineStr">
        <is>
          <t>Mínimo júnior isolado; a subordinação atual disponível agrega todas as classes subordinadas.</t>
        </is>
      </c>
      <c r="Y46" s="74" t="b">
        <v>0</v>
      </c>
      <c r="Z46" s="140" t="inlineStr">
        <is>
          <t>N/D</t>
        </is>
      </c>
      <c r="AA46" s="140" t="inlineStr">
        <is>
          <t>N/D</t>
        </is>
      </c>
      <c r="AB46" s="74" t="inlineStr">
        <is>
          <t>não medido</t>
        </is>
      </c>
      <c r="AC46" s="74" t="inlineStr">
        <is>
          <t>Agro, Indústria e Comércio</t>
        </is>
      </c>
      <c r="AD46" s="74" t="inlineStr">
        <is>
          <t>Recebíveis Comerciais</t>
        </is>
      </c>
      <c r="AE46" s="74" t="inlineStr">
        <is>
          <t>Agro / Revenda</t>
        </is>
      </c>
      <c r="AF46" s="74" t="inlineStr">
        <is>
          <t>Agro / Revenda</t>
        </is>
      </c>
      <c r="AG46" s="74" t="inlineStr">
        <is>
          <t>Agro / Revenda</t>
        </is>
      </c>
      <c r="AH46" s="74" t="inlineStr">
        <is>
          <t>Agro / Revenda</t>
        </is>
      </c>
      <c r="AI46" s="74" t="inlineStr">
        <is>
          <t>Risco de emissores de cartão / arranjo ACQIO</t>
        </is>
      </c>
      <c r="AJ46" s="74" t="b">
        <v>0</v>
      </c>
      <c r="AK46" s="74" t="inlineStr">
        <is>
          <t>PENDENTE_FONTE_PRIMARIA</t>
        </is>
      </c>
      <c r="AL46" s="74" t="inlineStr">
        <is>
          <t>ACQIO e bancos emissores estão na planilha manual</t>
        </is>
      </c>
      <c r="AM46" s="74" t="inlineStr">
        <is>
          <t>IMG_8705</t>
        </is>
      </c>
      <c r="AN46" s="74" t="inlineStr">
        <is>
          <t>Não</t>
        </is>
      </c>
      <c r="AO46" s="74" t="inlineStr">
        <is>
          <t>IMG_8705</t>
        </is>
      </c>
      <c r="AP46" s="74" t="b">
        <v>0</v>
      </c>
      <c r="AQ46" s="74" t="inlineStr">
        <is>
          <t>Agro / Revenda</t>
        </is>
      </c>
      <c r="AR46" s="74" t="inlineStr">
        <is>
          <t>Agro / Revenda</t>
        </is>
      </c>
      <c r="AS46" s="74" t="b">
        <v>0</v>
      </c>
      <c r="AT46" s="74" t="inlineStr">
        <is>
          <t>N/D</t>
        </is>
      </c>
      <c r="AU46" s="74" t="inlineStr">
        <is>
          <t>N/D</t>
        </is>
      </c>
      <c r="AV46" s="74" t="inlineStr">
        <is>
          <t>N/D</t>
        </is>
      </c>
      <c r="AW46" s="74" t="b">
        <v>0</v>
      </c>
      <c r="AX46" s="74" t="inlineStr">
        <is>
          <t>N/D</t>
        </is>
      </c>
      <c r="AY46" s="74" t="inlineStr">
        <is>
          <t>sem benchmark confiável</t>
        </is>
      </c>
      <c r="AZ46" s="140" t="inlineStr">
        <is>
          <t>N/D</t>
        </is>
      </c>
      <c r="BA46" s="74" t="b">
        <v>0</v>
      </c>
      <c r="BB46" s="141" t="n">
        <v>0</v>
      </c>
      <c r="BC46" s="139" t="inlineStr">
        <is>
          <t>N/D</t>
        </is>
      </c>
      <c r="BD46" s="74" t="inlineStr">
        <is>
          <t>N/D</t>
        </is>
      </c>
      <c r="BE46" s="74" t="inlineStr">
        <is>
          <t>N/D</t>
        </is>
      </c>
      <c r="BF46" s="74" t="inlineStr">
        <is>
          <t>N/D</t>
        </is>
      </c>
      <c r="BG46" s="74" t="inlineStr">
        <is>
          <t>N/D</t>
        </is>
      </c>
      <c r="BH46" s="74" t="inlineStr">
        <is>
          <t>N/D</t>
        </is>
      </c>
      <c r="BI46" s="74" t="inlineStr">
        <is>
          <t>N/D</t>
        </is>
      </c>
      <c r="BJ46" s="74" t="inlineStr">
        <is>
          <t>não localizado</t>
        </is>
      </c>
      <c r="BK46" s="74" t="b">
        <v>0</v>
      </c>
      <c r="BL46" s="74" t="inlineStr">
        <is>
          <t>Ação</t>
        </is>
      </c>
      <c r="BM46" s="74" t="inlineStr">
        <is>
          <t>cedente</t>
        </is>
      </c>
      <c r="BN46" s="74" t="inlineStr">
        <is>
          <t>ACQIO</t>
        </is>
      </c>
      <c r="BO46" s="74" t="inlineStr">
        <is>
          <t>ACQIO</t>
        </is>
      </c>
      <c r="BP46" s="74" t="inlineStr">
        <is>
          <t>os Devedores I -A, os Devedores I -B e os Devedores II quando mencionados em conjunto e indistintamente</t>
        </is>
      </c>
      <c r="BQ46" s="74" t="inlineStr">
        <is>
          <t>Risco Bancos Emissores Diversos</t>
        </is>
      </c>
      <c r="BR46" s="74" t="inlineStr">
        <is>
          <t>originador: https://fnet.bmfbovespa.com.br/fnet/publico/downloadDocumento?id=1048506 | cedente: https://fnet.bmfbovespa.com.br/fnet/publico/downloadDocumento?id=1048506 | sacado_devedor: https://fnet.bmfbovespa.com.br/fnet/publico/downloadDocumento?id=737326 | tipo_recebivel: IMG_8705.JPG</t>
        </is>
      </c>
      <c r="BS46" s="74" t="inlineStr">
        <is>
          <t>manual_aplicado</t>
        </is>
      </c>
      <c r="BT46" s="74" t="inlineStr">
        <is>
          <t>OBS da foto: lista de concentração pré-aprovada.</t>
        </is>
      </c>
      <c r="BU46" s="74" t="inlineStr">
        <is>
          <t>951239</t>
        </is>
      </c>
      <c r="BV46" s="74" t="inlineStr">
        <is>
          <t>2025-07-08</t>
        </is>
      </c>
      <c r="BW46" s="74" t="inlineStr">
        <is>
          <t>85</t>
        </is>
      </c>
      <c r="BX46" s="74" t="inlineStr">
        <is>
          <t>revisto — mínimo júnior localizado</t>
        </is>
      </c>
      <c r="BY46" s="74" t="inlineStr">
        <is>
          <t>FundosNet/B3; documento 951239; referência 2025-07-08; p. 85</t>
        </is>
      </c>
      <c r="BZ46" s="74" t="inlineStr">
        <is>
          <t>Índice de Subordinação Mezanino: cotas júnior / PL, mínimo de 3,0%.</t>
        </is>
      </c>
      <c r="CA46" s="74" t="inlineStr">
        <is>
          <t>PL atual; Sub/PL atual; preço unitário da cota</t>
        </is>
      </c>
      <c r="CB46" s="74" t="inlineStr">
        <is>
          <t>sub_pl_atual_ausente</t>
        </is>
      </c>
    </row>
    <row r="47" ht="31.5" customHeight="1">
      <c r="A47" s="75" t="n">
        <v>44</v>
      </c>
      <c r="B47" s="142" t="n">
        <v>55401645000128</v>
      </c>
      <c r="C47" s="75" t="inlineStr">
        <is>
          <t>55.401.645/0001-28</t>
        </is>
      </c>
      <c r="D47" s="75" t="inlineStr">
        <is>
          <t>QUATÁ FDC FGTS FUNDO DE INVESTIMENTO EM DIREITOS CREDITÓRIOS</t>
        </is>
      </c>
      <c r="E47" s="75" t="inlineStr">
        <is>
          <t>QUATA FIDC FGTS FUNDO DE INVESTIMENTO EM DIREITOS</t>
        </is>
      </c>
      <c r="F47" s="75" t="inlineStr">
        <is>
          <t>Carteira 101</t>
        </is>
      </c>
      <c r="G47" s="75" t="inlineStr">
        <is>
          <t>2026-08</t>
        </is>
      </c>
      <c r="H47" s="75" t="inlineStr">
        <is>
          <t>localizado</t>
        </is>
      </c>
      <c r="I47" s="143" t="n">
        <v>212149387.33</v>
      </c>
      <c r="J47" s="143" t="n">
        <v>212149387.7113751</v>
      </c>
      <c r="K47" s="143" t="n">
        <v>36939064.84263628</v>
      </c>
      <c r="L47" s="144" t="n">
        <v>0.1741181782683034</v>
      </c>
      <c r="M47" s="75" t="inlineStr">
        <is>
          <t>Calculado com classes reportadas e PL oficial reconciliado</t>
        </is>
      </c>
      <c r="N47" s="144" t="n">
        <v>0.03</v>
      </c>
      <c r="O47" s="144" t="inlineStr">
        <is>
          <t>N/D</t>
        </is>
      </c>
      <c r="P47" s="144" t="inlineStr">
        <is>
          <t>N/D</t>
        </is>
      </c>
      <c r="Q47" s="144" t="inlineStr">
        <is>
          <t>N/D</t>
        </is>
      </c>
      <c r="R47" s="144" t="inlineStr">
        <is>
          <t>N/D</t>
        </is>
      </c>
      <c r="S47" s="144" t="n">
        <v>0.03</v>
      </c>
      <c r="T47" s="75" t="inlineStr">
        <is>
          <t>N/D</t>
        </is>
      </c>
      <c r="U47" s="75" t="inlineStr">
        <is>
          <t>junior_pl</t>
        </is>
      </c>
      <c r="V47" s="75" t="inlineStr">
        <is>
          <t>direto no regulamento</t>
        </is>
      </c>
      <c r="W47" s="75" t="b">
        <v>0</v>
      </c>
      <c r="X47" s="75" t="inlineStr">
        <is>
          <t>Mínimo júnior isolado; a subordinação atual disponível agrega todas as classes subordinadas.</t>
        </is>
      </c>
      <c r="Y47" s="75" t="b">
        <v>0</v>
      </c>
      <c r="Z47" s="144" t="inlineStr">
        <is>
          <t>N/D</t>
        </is>
      </c>
      <c r="AA47" s="144" t="inlineStr">
        <is>
          <t>N/D</t>
        </is>
      </c>
      <c r="AB47" s="75" t="inlineStr">
        <is>
          <t>não medido</t>
        </is>
      </c>
      <c r="AC47" s="75" t="inlineStr">
        <is>
          <t>Financeiro</t>
        </is>
      </c>
      <c r="AD47" s="75" t="inlineStr">
        <is>
          <t>Crédito Pessoal</t>
        </is>
      </c>
      <c r="AE47" s="75" t="inlineStr">
        <is>
          <t>Consignado FGTS</t>
        </is>
      </c>
      <c r="AF47" s="75" t="inlineStr">
        <is>
          <t>Consignado FGTS</t>
        </is>
      </c>
      <c r="AG47" s="75" t="inlineStr">
        <is>
          <t>Consignado INSS e FGTS</t>
        </is>
      </c>
      <c r="AH47" s="75" t="inlineStr">
        <is>
          <t>Consignado INSS e FGTS</t>
        </is>
      </c>
      <c r="AI47" s="75" t="inlineStr">
        <is>
          <t>N/D</t>
        </is>
      </c>
      <c r="AJ47" s="75" t="b">
        <v>0</v>
      </c>
      <c r="AK47" s="75" t="inlineStr">
        <is>
          <t>fora da revisão Financeiro/Agro</t>
        </is>
      </c>
      <c r="AL47" s="75" t="inlineStr">
        <is>
          <t>N/D</t>
        </is>
      </c>
      <c r="AM47" s="75" t="inlineStr">
        <is>
          <t>N/D</t>
        </is>
      </c>
      <c r="AN47" s="75" t="inlineStr">
        <is>
          <t>N/D</t>
        </is>
      </c>
      <c r="AO47" s="75" t="inlineStr">
        <is>
          <t>N/D</t>
        </is>
      </c>
      <c r="AP47" s="75" t="inlineStr">
        <is>
          <t>N/D</t>
        </is>
      </c>
      <c r="AQ47" s="75" t="inlineStr">
        <is>
          <t>Consignado INSS e FGTS</t>
        </is>
      </c>
      <c r="AR47" s="75" t="inlineStr">
        <is>
          <t>Consignado INSS e FGTS</t>
        </is>
      </c>
      <c r="AS47" s="75" t="b">
        <v>0</v>
      </c>
      <c r="AT47" s="75" t="inlineStr">
        <is>
          <t>N/D</t>
        </is>
      </c>
      <c r="AU47" s="75" t="inlineStr">
        <is>
          <t>N/D</t>
        </is>
      </c>
      <c r="AV47" s="75" t="inlineStr">
        <is>
          <t>15%–20%</t>
        </is>
      </c>
      <c r="AW47" s="75" t="b">
        <v>1</v>
      </c>
      <c r="AX47" s="75" t="inlineStr">
        <is>
          <t>incomparável</t>
        </is>
      </c>
      <c r="AY47" s="75" t="inlineStr">
        <is>
          <t>em linha com o mercado</t>
        </is>
      </c>
      <c r="AZ47" s="144" t="n">
        <v>-0.008661262891187071</v>
      </c>
      <c r="BA47" s="75" t="b">
        <v>1</v>
      </c>
      <c r="BB47" s="145" t="n">
        <v>5</v>
      </c>
      <c r="BC47" s="143" t="n">
        <v>1000</v>
      </c>
      <c r="BD47" s="75" t="inlineStr">
        <is>
          <t>Cotas Seniores: R$ 1.000,00 | Cotas Subordinadas Júnior: R$ 1.000,00 | Cotas Subordinadas Mezanino: R$ 1.000,00</t>
        </is>
      </c>
      <c r="BE47" s="75" t="inlineStr">
        <is>
          <t>preço/valor unitário de emissão</t>
        </is>
      </c>
      <c r="BF47" s="75" t="inlineStr">
        <is>
          <t>Cotas Seniores | Cotas Subordinadas Júnior | Cotas Subordinadas Mezanino</t>
        </is>
      </c>
      <c r="BG47" s="75" t="inlineStr">
        <is>
          <t>2025-12-01</t>
        </is>
      </c>
      <c r="BH47" s="75" t="inlineStr">
        <is>
          <t>1051890</t>
        </is>
      </c>
      <c r="BI47" s="75" t="inlineStr">
        <is>
          <t>https://fnet.bmfbovespa.com.br/fnet/publico/downloadDocumento?id=1051890</t>
        </is>
      </c>
      <c r="BJ47" s="75" t="inlineStr">
        <is>
          <t>localizado documentalmente — múltiplos valores/classes</t>
        </is>
      </c>
      <c r="BK47" s="75" t="b">
        <v>1</v>
      </c>
      <c r="BL47" s="75" t="inlineStr">
        <is>
          <t>QI Tech</t>
        </is>
      </c>
      <c r="BM47" s="75" t="inlineStr">
        <is>
          <t>cedente</t>
        </is>
      </c>
      <c r="BN47" s="75" t="inlineStr">
        <is>
          <t>a FINTECH DO CORBAN LTDA., sociedade limitada com sede na cidade de Cássia, estado de Minas Gerais, na Rua Comendador Antenor Machado, nº 295, sala virtual 2, Centro, CEP 37980-000, inscrita no CNPJ sob o nº 48.672.821/0001-09 ou outro parceiro do Endossante Instituição Financeria que acesse uma plataforma eletrônica e Interfaces de Programação de Aplicação (“APIs”) do Endossante Instituição Financeria que permite a criação de estruturas para a concessão de crédito por meio do Endossante Institu</t>
        </is>
      </c>
      <c r="BO47" s="75" t="inlineStr">
        <is>
          <t>QI Tech</t>
        </is>
      </c>
      <c r="BP47" s="75" t="inlineStr">
        <is>
          <t>N/D</t>
        </is>
      </c>
      <c r="BQ47" s="75" t="inlineStr">
        <is>
          <t>Crédito FGTS</t>
        </is>
      </c>
      <c r="BR47" s="75" t="inlineStr">
        <is>
          <t>originador: https://fnet.bmfbovespa.com.br/fnet/publico/downloadDocumento?id=1051890 | cedente: IMG_8705.JPG | tipo_recebivel: IMG_8705.JPG</t>
        </is>
      </c>
      <c r="BS47" s="75" t="inlineStr">
        <is>
          <t>manual_aplicado</t>
        </is>
      </c>
      <c r="BT47" s="75" t="inlineStr">
        <is>
          <t>Denominação cortada pela largura da coluna na foto.</t>
        </is>
      </c>
      <c r="BU47" s="75" t="inlineStr">
        <is>
          <t>1051890</t>
        </is>
      </c>
      <c r="BV47" s="75" t="inlineStr">
        <is>
          <t>2025-12-01</t>
        </is>
      </c>
      <c r="BW47" s="75" t="inlineStr">
        <is>
          <t>17</t>
        </is>
      </c>
      <c r="BX47" s="75" t="inlineStr">
        <is>
          <t>revisto — mínimo júnior localizado</t>
        </is>
      </c>
      <c r="BY47" s="75" t="inlineStr">
        <is>
          <t>FundosNet/B3; documento 1051890; referência 2025-12-01; p. 17</t>
        </is>
      </c>
      <c r="BZ47" s="75" t="inlineStr">
        <is>
          <t>Índice de Subordinação Mezanino: cotas júnior / PL, mínimo de 3,0%.</t>
        </is>
      </c>
      <c r="CA47" s="75" t="inlineStr">
        <is>
          <t>sacado/devedor</t>
        </is>
      </c>
      <c r="CB47" s="75" t="inlineStr">
        <is>
          <t>estrutura_incomparavel</t>
        </is>
      </c>
    </row>
    <row r="48" ht="31.5" customHeight="1">
      <c r="A48" s="74" t="n">
        <v>45</v>
      </c>
      <c r="B48" s="138" t="n">
        <v>63622842000103</v>
      </c>
      <c r="C48" s="74" t="inlineStr">
        <is>
          <t>63.622.842/0001-03</t>
        </is>
      </c>
      <c r="D48" s="74" t="inlineStr">
        <is>
          <t>DESBRAVA UNO ARTIGOS ESPORTIVOS FUNDO DE INVESTIMENTO EM DIREITOS CREDITÓRIOS RESP LIMITADA</t>
        </is>
      </c>
      <c r="E48" s="74" t="inlineStr">
        <is>
          <t>DESBRAVA UNO ART ESP FIDC RL</t>
        </is>
      </c>
      <c r="F48" s="74" t="inlineStr">
        <is>
          <t>Carteira 101</t>
        </is>
      </c>
      <c r="G48" s="74" t="inlineStr">
        <is>
          <t>2026-08</t>
        </is>
      </c>
      <c r="H48" s="74" t="inlineStr">
        <is>
          <t>localizado</t>
        </is>
      </c>
      <c r="I48" s="139" t="n">
        <v>352711743.01</v>
      </c>
      <c r="J48" s="139" t="n">
        <v>352648725.7522035</v>
      </c>
      <c r="K48" s="139" t="n">
        <v>178070446.7461678</v>
      </c>
      <c r="L48" s="140" t="n">
        <v>0.5048611232122181</v>
      </c>
      <c r="M48" s="74" t="inlineStr">
        <is>
          <t>Calculado com classes reportadas e PL oficial reconciliado</t>
        </is>
      </c>
      <c r="N48" s="140" t="n">
        <v>0.5</v>
      </c>
      <c r="O48" s="140" t="inlineStr">
        <is>
          <t>N/D</t>
        </is>
      </c>
      <c r="P48" s="140" t="inlineStr">
        <is>
          <t>N/D</t>
        </is>
      </c>
      <c r="Q48" s="140" t="n">
        <v>0.5</v>
      </c>
      <c r="R48" s="140" t="inlineStr">
        <is>
          <t>N/D</t>
        </is>
      </c>
      <c r="S48" s="140" t="n">
        <v>0.5</v>
      </c>
      <c r="T48" s="74" t="inlineStr">
        <is>
          <t>50,0%</t>
        </is>
      </c>
      <c r="U48" s="74" t="inlineStr">
        <is>
          <t>junior_pl</t>
        </is>
      </c>
      <c r="V48" s="74" t="inlineStr">
        <is>
          <t>direto no regulamento</t>
        </is>
      </c>
      <c r="W48" s="74" t="b">
        <v>1</v>
      </c>
      <c r="X48" s="74" t="inlineStr">
        <is>
          <t>Estrutura com uma única classe subordinada; métrica atual e piso usam o total subordinado sobre o PL.</t>
        </is>
      </c>
      <c r="Y48" s="74" t="b">
        <v>0</v>
      </c>
      <c r="Z48" s="140" t="n">
        <v>0.004861123212218099</v>
      </c>
      <c r="AA48" s="140" t="n">
        <v>0.009722246424436198</v>
      </c>
      <c r="AB48" s="74" t="inlineStr">
        <is>
          <t>folga estreita</t>
        </is>
      </c>
      <c r="AC48" s="74" t="inlineStr">
        <is>
          <t>Agro, Indústria e Comércio</t>
        </is>
      </c>
      <c r="AD48" s="74" t="inlineStr">
        <is>
          <t>Recebíveis Comerciais</t>
        </is>
      </c>
      <c r="AE48" s="74" t="inlineStr">
        <is>
          <t>Agro / Revenda</t>
        </is>
      </c>
      <c r="AF48" s="74" t="inlineStr">
        <is>
          <t>Agro / Revenda</t>
        </is>
      </c>
      <c r="AG48" s="74" t="inlineStr">
        <is>
          <t>Agro / Revenda</t>
        </is>
      </c>
      <c r="AH48" s="74" t="inlineStr">
        <is>
          <t>Risco Corporativo</t>
        </is>
      </c>
      <c r="AI48" s="74" t="inlineStr">
        <is>
          <t>Notas comerciais da Dass, projeto de investimento</t>
        </is>
      </c>
      <c r="AJ48" s="74" t="b">
        <v>1</v>
      </c>
      <c r="AK48" s="74" t="inlineStr">
        <is>
          <t>APLICAR_ALTA</t>
        </is>
      </c>
      <c r="AL48" s="74" t="inlineStr">
        <is>
          <t>Direitos são notas comerciais emitidas pela Dass Nordeste</t>
        </is>
      </c>
      <c r="AM48" s="74" t="inlineStr">
        <is>
          <t>regulamento 1051646, 90 páginas</t>
        </is>
      </c>
      <c r="AN48" s="74" t="inlineStr">
        <is>
          <t>Não</t>
        </is>
      </c>
      <c r="AO48" s="74" t="inlineStr">
        <is>
          <t>regulamento 1051646, 90 páginas</t>
        </is>
      </c>
      <c r="AP48" s="74" t="b">
        <v>0</v>
      </c>
      <c r="AQ48" s="74" t="inlineStr">
        <is>
          <t>Risco Corporativo</t>
        </is>
      </c>
      <c r="AR48" s="74" t="inlineStr">
        <is>
          <t>Agro / Revenda</t>
        </is>
      </c>
      <c r="AS48" s="74" t="b">
        <v>1</v>
      </c>
      <c r="AT48" s="74" t="inlineStr">
        <is>
          <t>regulamento 1051646, 90 páginas</t>
        </is>
      </c>
      <c r="AU48" s="74" t="inlineStr">
        <is>
          <t>Direitos são notas comerciais emitidas pela Dass Nordeste</t>
        </is>
      </c>
      <c r="AV48" s="74" t="inlineStr">
        <is>
          <t>35%–60%</t>
        </is>
      </c>
      <c r="AW48" s="74" t="b">
        <v>1</v>
      </c>
      <c r="AX48" s="74" t="inlineStr">
        <is>
          <t>até 2 p.p. acima</t>
        </is>
      </c>
      <c r="AY48" s="74" t="inlineStr">
        <is>
          <t>sem benchmark confiável</t>
        </is>
      </c>
      <c r="AZ48" s="140" t="inlineStr">
        <is>
          <t>N/D</t>
        </is>
      </c>
      <c r="BA48" s="74" t="b">
        <v>0</v>
      </c>
      <c r="BB48" s="141" t="n">
        <v>0</v>
      </c>
      <c r="BC48" s="139" t="n">
        <v>1000</v>
      </c>
      <c r="BD48" s="74" t="inlineStr">
        <is>
          <t>COTAS SUBORDINADAS: R$ 1.000,00 | R$ 1.000,00</t>
        </is>
      </c>
      <c r="BE48" s="74" t="inlineStr">
        <is>
          <t>preço/valor unitário de emissão</t>
        </is>
      </c>
      <c r="BF48" s="74" t="inlineStr">
        <is>
          <t>COTAS SUBORDINADAS</t>
        </is>
      </c>
      <c r="BG48" s="74" t="inlineStr">
        <is>
          <t>01/12/2025</t>
        </is>
      </c>
      <c r="BH48" s="74" t="inlineStr">
        <is>
          <t>1051646</t>
        </is>
      </c>
      <c r="BI48" s="74" t="inlineStr">
        <is>
          <t>https://fnet.bmfbovespa.com.br/fnet/publico/downloadDocumento?id=1051646</t>
        </is>
      </c>
      <c r="BJ48" s="74" t="inlineStr">
        <is>
          <t>localizado documentalmente — múltiplos valores/classes</t>
        </is>
      </c>
      <c r="BK48" s="74" t="b">
        <v>1</v>
      </c>
      <c r="BL48" s="74" t="inlineStr">
        <is>
          <t>Empresas grupo Dass</t>
        </is>
      </c>
      <c r="BM48" s="74" t="inlineStr">
        <is>
          <t>cedente</t>
        </is>
      </c>
      <c r="BN48" s="74" t="inlineStr">
        <is>
          <t>N/D</t>
        </is>
      </c>
      <c r="BO48" s="74" t="inlineStr">
        <is>
          <t>Empresas grupo Dass</t>
        </is>
      </c>
      <c r="BP48" s="74" t="inlineStr">
        <is>
          <t>N/D</t>
        </is>
      </c>
      <c r="BQ48" s="74" t="inlineStr">
        <is>
          <t>N/D</t>
        </is>
      </c>
      <c r="BR48" s="74" t="inlineStr">
        <is>
          <t>cedente: IMG_8705.JPG</t>
        </is>
      </c>
      <c r="BS48" s="74" t="inlineStr">
        <is>
          <t>manual_aplicado</t>
        </is>
      </c>
      <c r="BT48" s="74" t="inlineStr">
        <is>
          <t>OBS da foto: FIDC 12431, risco Dass (não são recebíveis de clientes).</t>
        </is>
      </c>
      <c r="BU48" s="74" t="inlineStr">
        <is>
          <t>1051646</t>
        </is>
      </c>
      <c r="BV48" s="74" t="inlineStr">
        <is>
          <t>2025-12-01</t>
        </is>
      </c>
      <c r="BW48" s="74" t="inlineStr">
        <is>
          <t>69</t>
        </is>
      </c>
      <c r="BX48" s="74" t="inlineStr">
        <is>
          <t>revisto — mínimo júnior localizado</t>
        </is>
      </c>
      <c r="BY48" s="74" t="inlineStr">
        <is>
          <t>FundosNet/B3; documento 1051646; referência 2025-12-01; p. 69</t>
        </is>
      </c>
      <c r="BZ48" s="74" t="inlineStr">
        <is>
          <t>Cotas subordinadas / PL, mínimo de 50,0%; estrutura com uma única classe residual.</t>
        </is>
      </c>
      <c r="CA48" s="74" t="inlineStr">
        <is>
          <t>originador; sacado/devedor; tipo de recebível</t>
        </is>
      </c>
      <c r="CB48" s="74" t="inlineStr">
        <is>
          <t>completo_para_folga</t>
        </is>
      </c>
    </row>
    <row r="49" ht="31.5" customHeight="1">
      <c r="A49" s="75" t="n">
        <v>46</v>
      </c>
      <c r="B49" s="142" t="n">
        <v>44272584000120</v>
      </c>
      <c r="C49" s="75" t="inlineStr">
        <is>
          <t>44.272.584/0001-20</t>
        </is>
      </c>
      <c r="D49" s="75" t="inlineStr">
        <is>
          <t>LAVORO AGRO FIAGRO - DIREITOS CREDITÓRIOS - RESPONSABILIDADE LIMITADA</t>
        </is>
      </c>
      <c r="E49" s="75" t="inlineStr">
        <is>
          <t>LAVORO AGRO FIDC DAS CADEIAS PRODUTIVAS AGROINDUST</t>
        </is>
      </c>
      <c r="F49" s="75" t="inlineStr">
        <is>
          <t>Carteira 101</t>
        </is>
      </c>
      <c r="G49" s="75" t="inlineStr">
        <is>
          <t>2026-08</t>
        </is>
      </c>
      <c r="H49" s="75" t="inlineStr">
        <is>
          <t>localizado</t>
        </is>
      </c>
      <c r="I49" s="143" t="inlineStr">
        <is>
          <t>N/D</t>
        </is>
      </c>
      <c r="J49" s="143" t="inlineStr">
        <is>
          <t>N/D</t>
        </is>
      </c>
      <c r="K49" s="143" t="inlineStr">
        <is>
          <t>N/D</t>
        </is>
      </c>
      <c r="L49" s="144" t="inlineStr">
        <is>
          <t>N/D</t>
        </is>
      </c>
      <c r="M49" s="75" t="inlineStr">
        <is>
          <t>PL oficial ausente em 2026-08</t>
        </is>
      </c>
      <c r="N49" s="144" t="n">
        <v>0.05</v>
      </c>
      <c r="O49" s="144" t="inlineStr">
        <is>
          <t>N/D</t>
        </is>
      </c>
      <c r="P49" s="144" t="inlineStr">
        <is>
          <t>N/D</t>
        </is>
      </c>
      <c r="Q49" s="144" t="inlineStr">
        <is>
          <t>N/D</t>
        </is>
      </c>
      <c r="R49" s="144" t="inlineStr">
        <is>
          <t>N/D</t>
        </is>
      </c>
      <c r="S49" s="144" t="n">
        <v>0.05</v>
      </c>
      <c r="T49" s="75" t="inlineStr">
        <is>
          <t>N/D</t>
        </is>
      </c>
      <c r="U49" s="75" t="inlineStr">
        <is>
          <t>junior_pl</t>
        </is>
      </c>
      <c r="V49" s="75" t="inlineStr">
        <is>
          <t>direto no regulamento</t>
        </is>
      </c>
      <c r="W49" s="75" t="b">
        <v>0</v>
      </c>
      <c r="X49" s="75" t="inlineStr">
        <is>
          <t>Mínimo júnior isolado; a subordinação atual disponível agrega todas as classes subordinadas.</t>
        </is>
      </c>
      <c r="Y49" s="75" t="b">
        <v>0</v>
      </c>
      <c r="Z49" s="144" t="inlineStr">
        <is>
          <t>N/D</t>
        </is>
      </c>
      <c r="AA49" s="144" t="inlineStr">
        <is>
          <t>N/D</t>
        </is>
      </c>
      <c r="AB49" s="75" t="inlineStr">
        <is>
          <t>não medido</t>
        </is>
      </c>
      <c r="AC49" s="75" t="inlineStr">
        <is>
          <t>Agro, Indústria e Comércio</t>
        </is>
      </c>
      <c r="AD49" s="75" t="inlineStr">
        <is>
          <t>Recebíveis Comerciais</t>
        </is>
      </c>
      <c r="AE49" s="75" t="inlineStr">
        <is>
          <t>Agro / Revenda</t>
        </is>
      </c>
      <c r="AF49" s="75" t="inlineStr">
        <is>
          <t>Agro / Revenda</t>
        </is>
      </c>
      <c r="AG49" s="75" t="inlineStr">
        <is>
          <t>Agro / Revenda</t>
        </is>
      </c>
      <c r="AH49" s="75" t="inlineStr">
        <is>
          <t>Agro / Revenda</t>
        </is>
      </c>
      <c r="AI49" s="75" t="inlineStr">
        <is>
          <t>Recebíveis do Grupo Lavoro</t>
        </is>
      </c>
      <c r="AJ49" s="75" t="b">
        <v>0</v>
      </c>
      <c r="AK49" s="75" t="inlineStr">
        <is>
          <t>MANTER_ALTA</t>
        </is>
      </c>
      <c r="AL49" s="75" t="inlineStr">
        <is>
          <t>Cedentes distribuem produtos agropecuários</t>
        </is>
      </c>
      <c r="AM49" s="75" t="inlineStr">
        <is>
          <t>regulamento</t>
        </is>
      </c>
      <c r="AN49" s="75" t="inlineStr">
        <is>
          <t>Não</t>
        </is>
      </c>
      <c r="AO49" s="75" t="inlineStr">
        <is>
          <t>regulamento</t>
        </is>
      </c>
      <c r="AP49" s="75" t="b">
        <v>0</v>
      </c>
      <c r="AQ49" s="75" t="inlineStr">
        <is>
          <t>Agro / Revenda</t>
        </is>
      </c>
      <c r="AR49" s="75" t="inlineStr">
        <is>
          <t>Agro / Revenda</t>
        </is>
      </c>
      <c r="AS49" s="75" t="b">
        <v>0</v>
      </c>
      <c r="AT49" s="75" t="inlineStr">
        <is>
          <t>N/D</t>
        </is>
      </c>
      <c r="AU49" s="75" t="inlineStr">
        <is>
          <t>N/D</t>
        </is>
      </c>
      <c r="AV49" s="75" t="inlineStr">
        <is>
          <t>N/D</t>
        </is>
      </c>
      <c r="AW49" s="75" t="b">
        <v>0</v>
      </c>
      <c r="AX49" s="75" t="inlineStr">
        <is>
          <t>N/D</t>
        </is>
      </c>
      <c r="AY49" s="75" t="inlineStr">
        <is>
          <t>sem benchmark confiável</t>
        </is>
      </c>
      <c r="AZ49" s="144" t="inlineStr">
        <is>
          <t>N/D</t>
        </is>
      </c>
      <c r="BA49" s="75" t="b">
        <v>0</v>
      </c>
      <c r="BB49" s="145" t="n">
        <v>0</v>
      </c>
      <c r="BC49" s="143" t="n">
        <v>1000</v>
      </c>
      <c r="BD49" s="75" t="inlineStr">
        <is>
          <t>R$1.000,00</t>
        </is>
      </c>
      <c r="BE49" s="75" t="inlineStr">
        <is>
          <t>preço/valor unitário de emissão</t>
        </is>
      </c>
      <c r="BF49" s="75" t="inlineStr">
        <is>
          <t>N/D</t>
        </is>
      </c>
      <c r="BG49" s="75" t="inlineStr">
        <is>
          <t>30/09/2025</t>
        </is>
      </c>
      <c r="BH49" s="75" t="inlineStr">
        <is>
          <t>1003267</t>
        </is>
      </c>
      <c r="BI49" s="75" t="inlineStr">
        <is>
          <t>https://fnet.bmfbovespa.com.br/fnet/publico/downloadDocumento?id=1003267</t>
        </is>
      </c>
      <c r="BJ49" s="75" t="inlineStr">
        <is>
          <t>localizado documentalmente</t>
        </is>
      </c>
      <c r="BK49" s="75" t="b">
        <v>1</v>
      </c>
      <c r="BL49" s="75" t="inlineStr">
        <is>
          <t>Lavoro</t>
        </is>
      </c>
      <c r="BM49" s="75" t="inlineStr">
        <is>
          <t>cedente</t>
        </is>
      </c>
      <c r="BN49" s="75" t="inlineStr">
        <is>
          <t>N/D</t>
        </is>
      </c>
      <c r="BO49" s="75" t="inlineStr">
        <is>
          <t>Lavoro Agrocomercial S.A., Agrocontato Comércio e Representações de Produtos Agropecuários S.A., Agrovenci - Comércio, Importação, Exportação e Agropecuário Ltda. e Distribuidora Pitangueiras de Produtos Agropecuários S.A. (em conjunto, Grupo Lavoro)</t>
        </is>
      </c>
      <c r="BP49" s="75" t="inlineStr">
        <is>
          <t>N/D</t>
        </is>
      </c>
      <c r="BQ49" s="75" t="inlineStr">
        <is>
          <t>N/D</t>
        </is>
      </c>
      <c r="BR49" s="75" t="inlineStr">
        <is>
          <t>cedente: https://fnet.bmfbovespa.com.br/fnet/publico/downloadDocumento?id=798158</t>
        </is>
      </c>
      <c r="BS49" s="75" t="inlineStr">
        <is>
          <t>manual_aplicado</t>
        </is>
      </c>
      <c r="BT49" s="75" t="inlineStr">
        <is>
          <t>OBS da foto: Realizamos ajuste tempestivo para Ba1 - carteira vence em 30/04 - acompanhamento mensal. Denominação cortada.</t>
        </is>
      </c>
      <c r="BU49" s="75" t="inlineStr">
        <is>
          <t>1003378</t>
        </is>
      </c>
      <c r="BV49" s="75" t="inlineStr">
        <is>
          <t>2025-09-30</t>
        </is>
      </c>
      <c r="BW49" s="75" t="inlineStr">
        <is>
          <t>133</t>
        </is>
      </c>
      <c r="BX49" s="75" t="inlineStr">
        <is>
          <t>revisto — mínimo júnior localizado</t>
        </is>
      </c>
      <c r="BY49" s="75" t="inlineStr">
        <is>
          <t>FundosNet/B3; documento 1003378; referência 2025-09-30; p. 133</t>
        </is>
      </c>
      <c r="BZ49" s="75" t="inlineStr">
        <is>
          <t>Proporção de cotas subordinadas júnior / PL, mínimo de 5,0%.</t>
        </is>
      </c>
      <c r="CA49" s="75" t="inlineStr">
        <is>
          <t>PL atual; Sub/PL atual; originador; sacado/devedor; tipo de recebível</t>
        </is>
      </c>
      <c r="CB49" s="75" t="inlineStr">
        <is>
          <t>sub_pl_atual_ausente</t>
        </is>
      </c>
    </row>
    <row r="50" ht="31.5" customHeight="1">
      <c r="A50" s="74" t="n">
        <v>47</v>
      </c>
      <c r="B50" s="138" t="n">
        <v>62838025000116</v>
      </c>
      <c r="C50" s="74" t="inlineStr">
        <is>
          <t>62.838.025/0001-16</t>
        </is>
      </c>
      <c r="D50" s="74" t="inlineStr">
        <is>
          <t>ENDURANCE FUNDO DE INVESTIMENTO EM DIREITOS CREDITÓRIOS RESPONSABILIDADE LIMITADA</t>
        </is>
      </c>
      <c r="E50" s="74" t="inlineStr">
        <is>
          <t>TOP 2025 J FIDC RESP LTDA</t>
        </is>
      </c>
      <c r="F50" s="74" t="inlineStr">
        <is>
          <t>Carteira 101</t>
        </is>
      </c>
      <c r="G50" s="74" t="inlineStr">
        <is>
          <t>2026-08</t>
        </is>
      </c>
      <c r="H50" s="74" t="inlineStr">
        <is>
          <t>localizado</t>
        </is>
      </c>
      <c r="I50" s="139" t="n">
        <v>1999981369.56</v>
      </c>
      <c r="J50" s="139" t="n">
        <v>1999981369.564364</v>
      </c>
      <c r="K50" s="139" t="n">
        <v>186176086.0604384</v>
      </c>
      <c r="L50" s="140" t="n">
        <v>0.09308891017389702</v>
      </c>
      <c r="M50" s="74" t="inlineStr">
        <is>
          <t>Calculado com classes reportadas e PL oficial reconciliado</t>
        </is>
      </c>
      <c r="N50" s="140" t="n">
        <v>0.1</v>
      </c>
      <c r="O50" s="140" t="inlineStr">
        <is>
          <t>N/D</t>
        </is>
      </c>
      <c r="P50" s="140" t="inlineStr">
        <is>
          <t>N/D</t>
        </is>
      </c>
      <c r="Q50" s="140" t="inlineStr">
        <is>
          <t>N/D</t>
        </is>
      </c>
      <c r="R50" s="140" t="inlineStr">
        <is>
          <t>N/D</t>
        </is>
      </c>
      <c r="S50" s="140" t="n">
        <v>0.1</v>
      </c>
      <c r="T50" s="74" t="inlineStr">
        <is>
          <t>N/D</t>
        </is>
      </c>
      <c r="U50" s="74" t="inlineStr">
        <is>
          <t>junior_pl</t>
        </is>
      </c>
      <c r="V50" s="74" t="inlineStr">
        <is>
          <t>direto no regulamento</t>
        </is>
      </c>
      <c r="W50" s="74" t="b">
        <v>0</v>
      </c>
      <c r="X50" s="74" t="inlineStr">
        <is>
          <t>Mínimo júnior isolado; a subordinação atual disponível agrega todas as classes subordinadas.</t>
        </is>
      </c>
      <c r="Y50" s="74" t="b">
        <v>0</v>
      </c>
      <c r="Z50" s="140" t="inlineStr">
        <is>
          <t>N/D</t>
        </is>
      </c>
      <c r="AA50" s="140" t="inlineStr">
        <is>
          <t>N/D</t>
        </is>
      </c>
      <c r="AB50" s="74" t="inlineStr">
        <is>
          <t>não medido</t>
        </is>
      </c>
      <c r="AC50" s="74" t="inlineStr">
        <is>
          <t>Financeiro</t>
        </is>
      </c>
      <c r="AD50" s="74" t="inlineStr">
        <is>
          <t>Adquirência</t>
        </is>
      </c>
      <c r="AE50" s="74" t="inlineStr">
        <is>
          <t>Financeiro</t>
        </is>
      </c>
      <c r="AF50" s="74" t="inlineStr">
        <is>
          <t>Financeiro</t>
        </is>
      </c>
      <c r="AG50" s="74" t="inlineStr">
        <is>
          <t>Financeiro</t>
        </is>
      </c>
      <c r="AH50" s="74" t="inlineStr">
        <is>
          <t>Financeiro</t>
        </is>
      </c>
      <c r="AI50" s="74" t="inlineStr">
        <is>
          <t>Recebíveis de arranjos de pagamento</t>
        </is>
      </c>
      <c r="AJ50" s="74" t="b">
        <v>0</v>
      </c>
      <c r="AK50" s="74" t="inlineStr">
        <is>
          <t>PENDENTE_FONTE_PRIMARIA</t>
        </is>
      </c>
      <c r="AL50" s="74" t="inlineStr">
        <is>
          <t>Rede, Getnet, Cielo e Pag constam apenas na fonte manual</t>
        </is>
      </c>
      <c r="AM50" s="74" t="inlineStr">
        <is>
          <t>IMG_8705</t>
        </is>
      </c>
      <c r="AN50" s="74" t="inlineStr">
        <is>
          <t>Não</t>
        </is>
      </c>
      <c r="AO50" s="74" t="inlineStr">
        <is>
          <t>IMG_8705</t>
        </is>
      </c>
      <c r="AP50" s="74" t="b">
        <v>0</v>
      </c>
      <c r="AQ50" s="74" t="inlineStr">
        <is>
          <t>Financeiro</t>
        </is>
      </c>
      <c r="AR50" s="74" t="inlineStr">
        <is>
          <t>Financeiro</t>
        </is>
      </c>
      <c r="AS50" s="74" t="b">
        <v>0</v>
      </c>
      <c r="AT50" s="74" t="inlineStr">
        <is>
          <t>N/D</t>
        </is>
      </c>
      <c r="AU50" s="74" t="inlineStr">
        <is>
          <t>N/D</t>
        </is>
      </c>
      <c r="AV50" s="74" t="inlineStr">
        <is>
          <t>&lt; 10%</t>
        </is>
      </c>
      <c r="AW50" s="74" t="b">
        <v>1</v>
      </c>
      <c r="AX50" s="74" t="inlineStr">
        <is>
          <t>incomparável</t>
        </is>
      </c>
      <c r="AY50" s="74" t="inlineStr">
        <is>
          <t>abaixo do mercado</t>
        </is>
      </c>
      <c r="AZ50" s="140" t="n">
        <v>-0.2131048705225871</v>
      </c>
      <c r="BA50" s="74" t="b">
        <v>1</v>
      </c>
      <c r="BB50" s="141" t="n">
        <v>12</v>
      </c>
      <c r="BC50" s="139" t="n">
        <v>1000</v>
      </c>
      <c r="BD50" s="74" t="inlineStr">
        <is>
          <t>R$ 1.000,00</t>
        </is>
      </c>
      <c r="BE50" s="74" t="inlineStr">
        <is>
          <t>preço/valor unitário de emissão</t>
        </is>
      </c>
      <c r="BF50" s="74" t="inlineStr">
        <is>
          <t>N/D</t>
        </is>
      </c>
      <c r="BG50" s="74" t="inlineStr">
        <is>
          <t>2025-12-10</t>
        </is>
      </c>
      <c r="BH50" s="74" t="inlineStr">
        <is>
          <t>1058234</t>
        </is>
      </c>
      <c r="BI50" s="74" t="inlineStr">
        <is>
          <t>https://fnet.bmfbovespa.com.br/fnet/publico/downloadDocumento?id=1058234</t>
        </is>
      </c>
      <c r="BJ50" s="74" t="inlineStr">
        <is>
          <t>localizado documentalmente</t>
        </is>
      </c>
      <c r="BK50" s="74" t="b">
        <v>1</v>
      </c>
      <c r="BL50" s="74" t="inlineStr">
        <is>
          <t>Pague Veloz / Serasa</t>
        </is>
      </c>
      <c r="BM50" s="74" t="inlineStr">
        <is>
          <t>cedente</t>
        </is>
      </c>
      <c r="BN50" s="74" t="inlineStr">
        <is>
          <t>N/D</t>
        </is>
      </c>
      <c r="BO50" s="74" t="inlineStr">
        <is>
          <t>Pague Veloz / Serasa</t>
        </is>
      </c>
      <c r="BP50" s="74" t="inlineStr">
        <is>
          <t>os emissores, devedores e/ou garantidores dos Direitos Creditórios, conforme o caso</t>
        </is>
      </c>
      <c r="BQ50" s="74" t="inlineStr">
        <is>
          <t>recebíveis de Rede, GetNet, Cielo e Pag</t>
        </is>
      </c>
      <c r="BR50" s="74" t="inlineStr">
        <is>
          <t>cedente: IMG_8705.JPG | sacado_devedor: https://fnet.bmfbovespa.com.br/fnet/publico/downloadDocumento?id=1058234 | tipo_recebivel: IMG_8705.JPG</t>
        </is>
      </c>
      <c r="BS50" s="74" t="inlineStr">
        <is>
          <t>manual_aplicado</t>
        </is>
      </c>
      <c r="BT50" s="74" t="inlineStr">
        <is>
          <t>N/D</t>
        </is>
      </c>
      <c r="BU50" s="74" t="inlineStr">
        <is>
          <t>1058234</t>
        </is>
      </c>
      <c r="BV50" s="74" t="inlineStr">
        <is>
          <t>2025-12-10</t>
        </is>
      </c>
      <c r="BW50" s="74" t="inlineStr">
        <is>
          <t>39</t>
        </is>
      </c>
      <c r="BX50" s="74" t="inlineStr">
        <is>
          <t>revisto — mínimo júnior localizado</t>
        </is>
      </c>
      <c r="BY50" s="74" t="inlineStr">
        <is>
          <t>FundosNet/B3; documento 1058234; referência 2025-12-10; p. 39</t>
        </is>
      </c>
      <c r="BZ50" s="74" t="inlineStr">
        <is>
          <t>Cotas júnior / PL: 9,0% nos primeiros 30 dias; 10,0% como patamar regular.</t>
        </is>
      </c>
      <c r="CA50" s="74" t="inlineStr">
        <is>
          <t>originador</t>
        </is>
      </c>
      <c r="CB50" s="74" t="inlineStr">
        <is>
          <t>estrutura_incomparavel</t>
        </is>
      </c>
    </row>
    <row r="51" ht="31.5" customHeight="1">
      <c r="A51" s="75" t="n">
        <v>48</v>
      </c>
      <c r="B51" s="142" t="n">
        <v>47280025000150</v>
      </c>
      <c r="C51" s="75" t="inlineStr">
        <is>
          <t>47.280.025/0001-50</t>
        </is>
      </c>
      <c r="D51" s="75" t="inlineStr">
        <is>
          <t>FIDC AGRO CAPITAL FINANCE RESPONSABILIDADE LIMITADA</t>
        </is>
      </c>
      <c r="E51" s="75" t="inlineStr">
        <is>
          <t>FUNDO DE INVESTIMENTO EM DIREITOS CREDITORIOS ALBA</t>
        </is>
      </c>
      <c r="F51" s="75" t="inlineStr">
        <is>
          <t>Carteira 101</t>
        </is>
      </c>
      <c r="G51" s="75" t="inlineStr">
        <is>
          <t>2026-08</t>
        </is>
      </c>
      <c r="H51" s="75" t="inlineStr">
        <is>
          <t>localizado</t>
        </is>
      </c>
      <c r="I51" s="143" t="n">
        <v>482071420.62</v>
      </c>
      <c r="J51" s="143" t="n">
        <v>482071420.6208261</v>
      </c>
      <c r="K51" s="143" t="n">
        <v>154724884.4910434</v>
      </c>
      <c r="L51" s="144" t="n">
        <v>0.3209584262266557</v>
      </c>
      <c r="M51" s="75" t="inlineStr">
        <is>
          <t>Calculado com classes reportadas e PL oficial reconciliado</t>
        </is>
      </c>
      <c r="N51" s="144" t="n">
        <v>0.3</v>
      </c>
      <c r="O51" s="144" t="inlineStr">
        <is>
          <t>N/D</t>
        </is>
      </c>
      <c r="P51" s="144" t="inlineStr">
        <is>
          <t>N/D</t>
        </is>
      </c>
      <c r="Q51" s="144" t="n">
        <v>0.3</v>
      </c>
      <c r="R51" s="144" t="inlineStr">
        <is>
          <t>N/D</t>
        </is>
      </c>
      <c r="S51" s="144" t="n">
        <v>0.3</v>
      </c>
      <c r="T51" s="75" t="inlineStr">
        <is>
          <t>30,0%</t>
        </is>
      </c>
      <c r="U51" s="75" t="inlineStr">
        <is>
          <t>junior_pl</t>
        </is>
      </c>
      <c r="V51" s="75" t="inlineStr">
        <is>
          <t>direto no regulamento</t>
        </is>
      </c>
      <c r="W51" s="75" t="b">
        <v>1</v>
      </c>
      <c r="X51" s="75" t="inlineStr">
        <is>
          <t>Estrutura com uma única classe subordinada; métrica atual e piso usam o total subordinado sobre o PL.</t>
        </is>
      </c>
      <c r="Y51" s="75" t="b">
        <v>0</v>
      </c>
      <c r="Z51" s="144" t="n">
        <v>0.02095842622665567</v>
      </c>
      <c r="AA51" s="144" t="n">
        <v>0.02994060889522239</v>
      </c>
      <c r="AB51" s="75" t="inlineStr">
        <is>
          <t>folga estreita</t>
        </is>
      </c>
      <c r="AC51" s="75" t="inlineStr">
        <is>
          <t>Agro, Indústria e Comércio</t>
        </is>
      </c>
      <c r="AD51" s="75" t="inlineStr">
        <is>
          <t>Recebíveis Comerciais</t>
        </is>
      </c>
      <c r="AE51" s="75" t="inlineStr">
        <is>
          <t>Agro / Revenda</t>
        </is>
      </c>
      <c r="AF51" s="75" t="inlineStr">
        <is>
          <t>Agro / Revenda</t>
        </is>
      </c>
      <c r="AG51" s="75" t="inlineStr">
        <is>
          <t>Agro / Revenda</t>
        </is>
      </c>
      <c r="AH51" s="75" t="inlineStr">
        <is>
          <t>Agro / Revenda</t>
        </is>
      </c>
      <c r="AI51" s="75" t="inlineStr">
        <is>
          <t>Recebíveis Albaugh, insumos agro</t>
        </is>
      </c>
      <c r="AJ51" s="75" t="b">
        <v>0</v>
      </c>
      <c r="AK51" s="75" t="inlineStr">
        <is>
          <t>MANTER_ASTERISCO</t>
        </is>
      </c>
      <c r="AL51" s="75" t="inlineStr">
        <is>
          <t>Cedente Albaugh, com tipo literal não isolado</t>
        </is>
      </c>
      <c r="AM51" s="75" t="inlineStr">
        <is>
          <t>auditoria documental</t>
        </is>
      </c>
      <c r="AN51" s="75" t="inlineStr">
        <is>
          <t>Não</t>
        </is>
      </c>
      <c r="AO51" s="75" t="inlineStr">
        <is>
          <t>auditoria documental</t>
        </is>
      </c>
      <c r="AP51" s="75" t="b">
        <v>0</v>
      </c>
      <c r="AQ51" s="75" t="inlineStr">
        <is>
          <t>Agro / Revenda</t>
        </is>
      </c>
      <c r="AR51" s="75" t="inlineStr">
        <is>
          <t>Agro / Revenda</t>
        </is>
      </c>
      <c r="AS51" s="75" t="b">
        <v>0</v>
      </c>
      <c r="AT51" s="75" t="inlineStr">
        <is>
          <t>N/D</t>
        </is>
      </c>
      <c r="AU51" s="75" t="inlineStr">
        <is>
          <t>N/D</t>
        </is>
      </c>
      <c r="AV51" s="75" t="inlineStr">
        <is>
          <t>20%–35%</t>
        </is>
      </c>
      <c r="AW51" s="75" t="b">
        <v>1</v>
      </c>
      <c r="AX51" s="75" t="inlineStr">
        <is>
          <t>acima do piso</t>
        </is>
      </c>
      <c r="AY51" s="75" t="inlineStr">
        <is>
          <t>sem benchmark confiável</t>
        </is>
      </c>
      <c r="AZ51" s="144" t="inlineStr">
        <is>
          <t>N/D</t>
        </is>
      </c>
      <c r="BA51" s="75" t="b">
        <v>0</v>
      </c>
      <c r="BB51" s="145" t="n">
        <v>0</v>
      </c>
      <c r="BC51" s="143" t="n">
        <v>1000</v>
      </c>
      <c r="BD51" s="75" t="inlineStr">
        <is>
          <t>R$ 1.000,00</t>
        </is>
      </c>
      <c r="BE51" s="75" t="inlineStr">
        <is>
          <t>valor nominal unitário (VNU)</t>
        </is>
      </c>
      <c r="BF51" s="75" t="inlineStr">
        <is>
          <t>N/D</t>
        </is>
      </c>
      <c r="BG51" s="75" t="inlineStr">
        <is>
          <t>04/12/2025</t>
        </is>
      </c>
      <c r="BH51" s="75" t="inlineStr">
        <is>
          <t>1053778</t>
        </is>
      </c>
      <c r="BI51" s="75" t="inlineStr">
        <is>
          <t>https://fnet.bmfbovespa.com.br/fnet/publico/downloadDocumento?id=1053778</t>
        </is>
      </c>
      <c r="BJ51" s="75" t="inlineStr">
        <is>
          <t>localizado documentalmente</t>
        </is>
      </c>
      <c r="BK51" s="75" t="b">
        <v>1</v>
      </c>
      <c r="BL51" s="75" t="inlineStr">
        <is>
          <t>Albaugh</t>
        </is>
      </c>
      <c r="BM51" s="75" t="inlineStr">
        <is>
          <t>cedente</t>
        </is>
      </c>
      <c r="BN51" s="75" t="inlineStr">
        <is>
          <t>N/D</t>
        </is>
      </c>
      <c r="BO51" s="75" t="inlineStr">
        <is>
          <t>Albaugh</t>
        </is>
      </c>
      <c r="BP51" s="75" t="inlineStr">
        <is>
          <t>N/D</t>
        </is>
      </c>
      <c r="BQ51" s="75" t="inlineStr">
        <is>
          <t>N/D</t>
        </is>
      </c>
      <c r="BR51" s="75" t="inlineStr">
        <is>
          <t>cedente: IMG_8705.JPG</t>
        </is>
      </c>
      <c r="BS51" s="75" t="inlineStr">
        <is>
          <t>manual_aplicado</t>
        </is>
      </c>
      <c r="BT51" s="75" t="inlineStr">
        <is>
          <t>OBS da foto: fundo continua sofrendo com inadimplência da carteira antiga.</t>
        </is>
      </c>
      <c r="BU51" s="75" t="inlineStr">
        <is>
          <t>1074880</t>
        </is>
      </c>
      <c r="BV51" s="75" t="inlineStr">
        <is>
          <t>2025-12-23</t>
        </is>
      </c>
      <c r="BW51" s="75" t="inlineStr">
        <is>
          <t>10; 34</t>
        </is>
      </c>
      <c r="BX51" s="75" t="inlineStr">
        <is>
          <t>revisto — mínimo júnior localizado</t>
        </is>
      </c>
      <c r="BY51" s="75" t="inlineStr">
        <is>
          <t>FundosNet/B3; documento 1074880; referência 2025-12-23; p. 10; 34</t>
        </is>
      </c>
      <c r="BZ51" s="75" t="inlineStr">
        <is>
          <t>Cotas subordinadas / PL, mínimo de 30,0%; estrutura com uma única classe residual.</t>
        </is>
      </c>
      <c r="CA51" s="75" t="inlineStr">
        <is>
          <t>originador; sacado/devedor; tipo de recebível</t>
        </is>
      </c>
      <c r="CB51" s="75" t="inlineStr">
        <is>
          <t>completo_para_folga</t>
        </is>
      </c>
    </row>
    <row r="52" ht="31.5" customHeight="1">
      <c r="A52" s="74" t="n">
        <v>49</v>
      </c>
      <c r="B52" s="138" t="n">
        <v>57270666000187</v>
      </c>
      <c r="C52" s="74" t="inlineStr">
        <is>
          <t>57.270.666/0001-87</t>
        </is>
      </c>
      <c r="D52" s="74" t="inlineStr">
        <is>
          <t>MOBILITAS FUNDO DE INVESTIMENTO EM DIREITOS CREDITÓRIOS - RESPONSABILIDADE LIMITADA</t>
        </is>
      </c>
      <c r="E52" s="74" t="inlineStr">
        <is>
          <t>MOBILITAS FIDC RL</t>
        </is>
      </c>
      <c r="F52" s="74" t="inlineStr">
        <is>
          <t>Carteira 101</t>
        </is>
      </c>
      <c r="G52" s="74" t="inlineStr">
        <is>
          <t>2026-08</t>
        </is>
      </c>
      <c r="H52" s="74" t="inlineStr">
        <is>
          <t>localizado</t>
        </is>
      </c>
      <c r="I52" s="139" t="n">
        <v>53539609.79</v>
      </c>
      <c r="J52" s="139" t="n">
        <v>53539609.78999893</v>
      </c>
      <c r="K52" s="139" t="n">
        <v>8539609.78999893</v>
      </c>
      <c r="L52" s="140" t="n">
        <v>0.1595007849981368</v>
      </c>
      <c r="M52" s="74" t="inlineStr">
        <is>
          <t>Calculado com classes reportadas e PL oficial reconciliado</t>
        </is>
      </c>
      <c r="N52" s="140" t="n">
        <v>0.1</v>
      </c>
      <c r="O52" s="140" t="inlineStr">
        <is>
          <t>N/D</t>
        </is>
      </c>
      <c r="P52" s="140" t="inlineStr">
        <is>
          <t>N/D</t>
        </is>
      </c>
      <c r="Q52" s="140" t="inlineStr">
        <is>
          <t>N/D</t>
        </is>
      </c>
      <c r="R52" s="140" t="inlineStr">
        <is>
          <t>N/D</t>
        </is>
      </c>
      <c r="S52" s="140" t="n">
        <v>0.1</v>
      </c>
      <c r="T52" s="74" t="inlineStr">
        <is>
          <t>N/D</t>
        </is>
      </c>
      <c r="U52" s="74" t="inlineStr">
        <is>
          <t>junior_pl</t>
        </is>
      </c>
      <c r="V52" s="74" t="inlineStr">
        <is>
          <t>direto no regulamento</t>
        </is>
      </c>
      <c r="W52" s="74" t="b">
        <v>0</v>
      </c>
      <c r="X52" s="74" t="inlineStr">
        <is>
          <t>Mínimo júnior isolado; a subordinação atual disponível agrega todas as classes subordinadas.</t>
        </is>
      </c>
      <c r="Y52" s="74" t="b">
        <v>0</v>
      </c>
      <c r="Z52" s="140" t="inlineStr">
        <is>
          <t>N/D</t>
        </is>
      </c>
      <c r="AA52" s="140" t="inlineStr">
        <is>
          <t>N/D</t>
        </is>
      </c>
      <c r="AB52" s="74" t="inlineStr">
        <is>
          <t>não medido</t>
        </is>
      </c>
      <c r="AC52" s="74" t="inlineStr">
        <is>
          <t>Agro, Indústria e Comércio</t>
        </is>
      </c>
      <c r="AD52" s="74" t="inlineStr">
        <is>
          <t>Recebíveis Comerciais</t>
        </is>
      </c>
      <c r="AE52" s="74" t="inlineStr">
        <is>
          <t>Agro / Revenda</t>
        </is>
      </c>
      <c r="AF52" s="74" t="inlineStr">
        <is>
          <t>Agro / Revenda</t>
        </is>
      </c>
      <c r="AG52" s="74" t="inlineStr">
        <is>
          <t>Agro / Revenda</t>
        </is>
      </c>
      <c r="AH52" s="74" t="inlineStr">
        <is>
          <t>Agro / Revenda</t>
        </is>
      </c>
      <c r="AI52" s="74" t="inlineStr">
        <is>
          <t>Recebíveis performados, Rede como adquirente</t>
        </is>
      </c>
      <c r="AJ52" s="74" t="b">
        <v>0</v>
      </c>
      <c r="AK52" s="74" t="inlineStr">
        <is>
          <t>PENDENTE_FONTE_PRIMARIA</t>
        </is>
      </c>
      <c r="AL52" s="74" t="inlineStr">
        <is>
          <t>Rede aparece como adquirente somente na planilha</t>
        </is>
      </c>
      <c r="AM52" s="74" t="inlineStr">
        <is>
          <t>IMG_8705</t>
        </is>
      </c>
      <c r="AN52" s="74" t="inlineStr">
        <is>
          <t>Não</t>
        </is>
      </c>
      <c r="AO52" s="74" t="inlineStr">
        <is>
          <t>IMG_8705</t>
        </is>
      </c>
      <c r="AP52" s="74" t="b">
        <v>0</v>
      </c>
      <c r="AQ52" s="74" t="inlineStr">
        <is>
          <t>Agro / Revenda</t>
        </is>
      </c>
      <c r="AR52" s="74" t="inlineStr">
        <is>
          <t>Agro / Revenda</t>
        </is>
      </c>
      <c r="AS52" s="74" t="b">
        <v>0</v>
      </c>
      <c r="AT52" s="74" t="inlineStr">
        <is>
          <t>N/D</t>
        </is>
      </c>
      <c r="AU52" s="74" t="inlineStr">
        <is>
          <t>N/D</t>
        </is>
      </c>
      <c r="AV52" s="74" t="inlineStr">
        <is>
          <t>15%–20%</t>
        </is>
      </c>
      <c r="AW52" s="74" t="b">
        <v>1</v>
      </c>
      <c r="AX52" s="74" t="inlineStr">
        <is>
          <t>incomparável</t>
        </is>
      </c>
      <c r="AY52" s="74" t="inlineStr">
        <is>
          <t>sem benchmark confiável</t>
        </is>
      </c>
      <c r="AZ52" s="140" t="inlineStr">
        <is>
          <t>N/D</t>
        </is>
      </c>
      <c r="BA52" s="74" t="b">
        <v>0</v>
      </c>
      <c r="BB52" s="141" t="n">
        <v>0</v>
      </c>
      <c r="BC52" s="139" t="n">
        <v>1000</v>
      </c>
      <c r="BD52" s="74" t="inlineStr">
        <is>
          <t>Cotas Seniores: R$ 1.000,00</t>
        </is>
      </c>
      <c r="BE52" s="74" t="inlineStr">
        <is>
          <t>preço/valor unitário de emissão</t>
        </is>
      </c>
      <c r="BF52" s="74" t="inlineStr">
        <is>
          <t>Cotas Seniores</t>
        </is>
      </c>
      <c r="BG52" s="74" t="inlineStr">
        <is>
          <t>31/10/2024</t>
        </is>
      </c>
      <c r="BH52" s="74" t="inlineStr">
        <is>
          <t>769275</t>
        </is>
      </c>
      <c r="BI52" s="74" t="inlineStr">
        <is>
          <t>https://fnet.bmfbovespa.com.br/fnet/publico/downloadDocumento?id=769275</t>
        </is>
      </c>
      <c r="BJ52" s="74" t="inlineStr">
        <is>
          <t>localizado documentalmente</t>
        </is>
      </c>
      <c r="BK52" s="74" t="b">
        <v>0</v>
      </c>
      <c r="BL52" s="74" t="inlineStr">
        <is>
          <t>N/D</t>
        </is>
      </c>
      <c r="BM52" s="74" t="inlineStr">
        <is>
          <t>N/D</t>
        </is>
      </c>
      <c r="BN52" s="74" t="inlineStr">
        <is>
          <t>N/D</t>
        </is>
      </c>
      <c r="BO52" s="74" t="inlineStr">
        <is>
          <t>N/D</t>
        </is>
      </c>
      <c r="BP52" s="74" t="inlineStr">
        <is>
          <t>N/D</t>
        </is>
      </c>
      <c r="BQ52" s="74" t="inlineStr">
        <is>
          <t>Direitos Creditórios performados; REDE como adquirente</t>
        </is>
      </c>
      <c r="BR52" s="74" t="inlineStr">
        <is>
          <t>tipo_recebivel: IMG_8705.JPG</t>
        </is>
      </c>
      <c r="BS52" s="74" t="inlineStr">
        <is>
          <t>sem_overlay</t>
        </is>
      </c>
      <c r="BT52" s="74" t="inlineStr">
        <is>
          <t>N/D</t>
        </is>
      </c>
      <c r="BU52" s="74" t="inlineStr">
        <is>
          <t>769277</t>
        </is>
      </c>
      <c r="BV52" s="74" t="inlineStr">
        <is>
          <t>2024-10-31</t>
        </is>
      </c>
      <c r="BW52" s="74" t="inlineStr">
        <is>
          <t>49</t>
        </is>
      </c>
      <c r="BX52" s="74" t="inlineStr">
        <is>
          <t>revisto — mínimo júnior localizado</t>
        </is>
      </c>
      <c r="BY52" s="74" t="inlineStr">
        <is>
          <t>FundosNet/B3; documento 769277; referência 2024-10-31; p. 49</t>
        </is>
      </c>
      <c r="BZ52" s="74" t="inlineStr">
        <is>
          <t>Cotas subordinadas júnior / PL, mínimo de 10,0%.</t>
        </is>
      </c>
      <c r="CA52" s="74" t="inlineStr">
        <is>
          <t>originador; cedente; sacado/devedor</t>
        </is>
      </c>
      <c r="CB52" s="74" t="inlineStr">
        <is>
          <t>estrutura_incomparavel</t>
        </is>
      </c>
    </row>
    <row r="53" ht="31.5" customHeight="1">
      <c r="A53" s="75" t="n">
        <v>50</v>
      </c>
      <c r="B53" s="142" t="n">
        <v>58288437000152</v>
      </c>
      <c r="C53" s="75" t="inlineStr">
        <is>
          <t>58.288.437/0001-52</t>
        </is>
      </c>
      <c r="D53" s="75" t="inlineStr">
        <is>
          <t>ALTOMAX FUNDO DE INVESTIMENTO EM DIREITOS CREDITÓRIOS SEGMENTO RECEBÍVEIS COMERCIAIS DE RESP LTDA</t>
        </is>
      </c>
      <c r="E53" s="75" t="inlineStr">
        <is>
          <t>ALTOMAX FIDC SEG RECEB COM LTD</t>
        </is>
      </c>
      <c r="F53" s="75" t="inlineStr">
        <is>
          <t>Carteira 101</t>
        </is>
      </c>
      <c r="G53" s="75" t="inlineStr">
        <is>
          <t>2026-08</t>
        </is>
      </c>
      <c r="H53" s="75" t="inlineStr">
        <is>
          <t>localizado</t>
        </is>
      </c>
      <c r="I53" s="143" t="n">
        <v>104165558.25</v>
      </c>
      <c r="J53" s="143" t="n">
        <v>104165558.24632</v>
      </c>
      <c r="K53" s="143" t="n">
        <v>63832007.39009536</v>
      </c>
      <c r="L53" s="144" t="n">
        <v>0.6127937915610927</v>
      </c>
      <c r="M53" s="75" t="inlineStr">
        <is>
          <t>Calculado com classes reportadas e PL oficial reconciliado</t>
        </is>
      </c>
      <c r="N53" s="144" t="n">
        <v>0.2</v>
      </c>
      <c r="O53" s="144" t="inlineStr">
        <is>
          <t>N/D</t>
        </is>
      </c>
      <c r="P53" s="144" t="inlineStr">
        <is>
          <t>N/D</t>
        </is>
      </c>
      <c r="Q53" s="144" t="inlineStr">
        <is>
          <t>N/D</t>
        </is>
      </c>
      <c r="R53" s="144" t="inlineStr">
        <is>
          <t>N/D</t>
        </is>
      </c>
      <c r="S53" s="144" t="n">
        <v>0.2</v>
      </c>
      <c r="T53" s="75" t="inlineStr">
        <is>
          <t>N/D</t>
        </is>
      </c>
      <c r="U53" s="75" t="inlineStr">
        <is>
          <t>junior_pl</t>
        </is>
      </c>
      <c r="V53" s="75" t="inlineStr">
        <is>
          <t>direto no regulamento</t>
        </is>
      </c>
      <c r="W53" s="75" t="b">
        <v>0</v>
      </c>
      <c r="X53" s="75" t="inlineStr">
        <is>
          <t>Mínimo júnior isolado; a subordinação atual disponível agrega todas as classes subordinadas.</t>
        </is>
      </c>
      <c r="Y53" s="75" t="b">
        <v>0</v>
      </c>
      <c r="Z53" s="144" t="inlineStr">
        <is>
          <t>N/D</t>
        </is>
      </c>
      <c r="AA53" s="144" t="inlineStr">
        <is>
          <t>N/D</t>
        </is>
      </c>
      <c r="AB53" s="75" t="inlineStr">
        <is>
          <t>não medido</t>
        </is>
      </c>
      <c r="AC53" s="75" t="inlineStr">
        <is>
          <t>Agro, Indústria e Comércio</t>
        </is>
      </c>
      <c r="AD53" s="75" t="inlineStr">
        <is>
          <t>Recebíveis Comerciais</t>
        </is>
      </c>
      <c r="AE53" s="75" t="inlineStr">
        <is>
          <t>Agro / Revenda</t>
        </is>
      </c>
      <c r="AF53" s="75" t="inlineStr">
        <is>
          <t>Agro / Revenda</t>
        </is>
      </c>
      <c r="AG53" s="75" t="inlineStr">
        <is>
          <t>Agro / Revenda</t>
        </is>
      </c>
      <c r="AH53" s="75" t="inlineStr">
        <is>
          <t>Risco Corporativo</t>
        </is>
      </c>
      <c r="AI53" s="75" t="inlineStr">
        <is>
          <t>Recebíveis comerciais Altomax / grupo econômico</t>
        </is>
      </c>
      <c r="AJ53" s="75" t="b">
        <v>1</v>
      </c>
      <c r="AK53" s="75" t="inlineStr">
        <is>
          <t>APLICAR_ALTA</t>
        </is>
      </c>
      <c r="AL53" s="75" t="inlineStr">
        <is>
          <t>Estrutura de recebíveis comerciais com cedente e devedores do grupo</t>
        </is>
      </c>
      <c r="AM53" s="75" t="inlineStr">
        <is>
          <t>regulamento e auditoria documental</t>
        </is>
      </c>
      <c r="AN53" s="75" t="inlineStr">
        <is>
          <t>Não</t>
        </is>
      </c>
      <c r="AO53" s="75" t="inlineStr">
        <is>
          <t>regulamento e auditoria documental</t>
        </is>
      </c>
      <c r="AP53" s="75" t="b">
        <v>0</v>
      </c>
      <c r="AQ53" s="75" t="inlineStr">
        <is>
          <t>Risco Corporativo</t>
        </is>
      </c>
      <c r="AR53" s="75" t="inlineStr">
        <is>
          <t>Agro / Revenda</t>
        </is>
      </c>
      <c r="AS53" s="75" t="b">
        <v>1</v>
      </c>
      <c r="AT53" s="75" t="inlineStr">
        <is>
          <t>regulamento e auditoria documental</t>
        </is>
      </c>
      <c r="AU53" s="75" t="inlineStr">
        <is>
          <t>Estrutura de recebíveis comerciais com cedente e devedores do grupo</t>
        </is>
      </c>
      <c r="AV53" s="75" t="inlineStr">
        <is>
          <t>≥ 60%</t>
        </is>
      </c>
      <c r="AW53" s="75" t="b">
        <v>1</v>
      </c>
      <c r="AX53" s="75" t="inlineStr">
        <is>
          <t>incomparável</t>
        </is>
      </c>
      <c r="AY53" s="75" t="inlineStr">
        <is>
          <t>sem benchmark confiável</t>
        </is>
      </c>
      <c r="AZ53" s="144" t="inlineStr">
        <is>
          <t>N/D</t>
        </is>
      </c>
      <c r="BA53" s="75" t="b">
        <v>0</v>
      </c>
      <c r="BB53" s="145" t="n">
        <v>0</v>
      </c>
      <c r="BC53" s="143" t="n">
        <v>1000</v>
      </c>
      <c r="BD53" s="75" t="inlineStr">
        <is>
          <t>cotas subordinadas júnior: R$ 1.000,00</t>
        </is>
      </c>
      <c r="BE53" s="75" t="inlineStr">
        <is>
          <t>valor nominal unitário (VNU)</t>
        </is>
      </c>
      <c r="BF53" s="75" t="inlineStr">
        <is>
          <t>cotas subordinadas júnior</t>
        </is>
      </c>
      <c r="BG53" s="75" t="inlineStr">
        <is>
          <t>2025-08-26</t>
        </is>
      </c>
      <c r="BH53" s="75" t="inlineStr">
        <is>
          <t>978340</t>
        </is>
      </c>
      <c r="BI53" s="75" t="inlineStr">
        <is>
          <t>https://fnet.bmfbovespa.com.br/fnet/publico/downloadDocumento?id=978340</t>
        </is>
      </c>
      <c r="BJ53" s="75" t="inlineStr">
        <is>
          <t>localizado documentalmente</t>
        </is>
      </c>
      <c r="BK53" s="75" t="b">
        <v>0</v>
      </c>
      <c r="BL53" s="75" t="inlineStr">
        <is>
          <t>N/D</t>
        </is>
      </c>
      <c r="BM53" s="75" t="inlineStr">
        <is>
          <t>N/D</t>
        </is>
      </c>
      <c r="BN53" s="75" t="inlineStr">
        <is>
          <t>N/D</t>
        </is>
      </c>
      <c r="BO53" s="75" t="inlineStr">
        <is>
          <t>a ALTOMAX COMÉRCIO DE MEIAS E COBERTORES, IMPORTAÇÃO E EXPORTAÇÃO LTDA, sociedade limitada, com sede na cidade de Foz do Iguaçu, estado do Paraná, na Av</t>
        </is>
      </c>
      <c r="BP53" s="75" t="inlineStr">
        <is>
          <t>os devedores dos Direitos Creditórios – Adicionais, cedidos ao Fundo pelos Cedentes Adicionais ou emitidos diretamente em face do Fundo, conforme aplicável, os quais serão pessoas fí sicas e jurídicas integrantes do Grupo Econômico da Cedente Altomax.</t>
        </is>
      </c>
      <c r="BQ53" s="75" t="inlineStr">
        <is>
          <t>N/D</t>
        </is>
      </c>
      <c r="BR53" s="75" t="inlineStr">
        <is>
          <t>cedente: https://fnet.bmfbovespa.com.br/fnet/publico/downloadDocumento?id=1240668 | sacado_devedor: https://fnet.bmfbovespa.com.br/fnet/publico/downloadDocumento?id=1240668</t>
        </is>
      </c>
      <c r="BS53" s="75" t="inlineStr">
        <is>
          <t>sem_overlay</t>
        </is>
      </c>
      <c r="BT53" s="75" t="inlineStr">
        <is>
          <t>N/D</t>
        </is>
      </c>
      <c r="BU53" s="75" t="inlineStr">
        <is>
          <t>1240668</t>
        </is>
      </c>
      <c r="BV53" s="75" t="inlineStr">
        <is>
          <t>2026-02-24</t>
        </is>
      </c>
      <c r="BW53" s="75" t="inlineStr">
        <is>
          <t>94</t>
        </is>
      </c>
      <c r="BX53" s="75" t="inlineStr">
        <is>
          <t>revisto — mínimo júnior localizado</t>
        </is>
      </c>
      <c r="BY53" s="75" t="inlineStr">
        <is>
          <t>FundosNet/B3; documento 1240668; referência 2026-02-24; p. 94</t>
        </is>
      </c>
      <c r="BZ53" s="75" t="inlineStr">
        <is>
          <t>Índice de Subordinação Mezanino: cotas júnior / PL, mínimo de 20,0%.</t>
        </is>
      </c>
      <c r="CA53" s="75" t="inlineStr">
        <is>
          <t>originador; tipo de recebível</t>
        </is>
      </c>
      <c r="CB53" s="75" t="inlineStr">
        <is>
          <t>estrutura_incomparavel</t>
        </is>
      </c>
    </row>
    <row r="54" ht="31.5" customHeight="1">
      <c r="A54" s="74" t="n">
        <v>51</v>
      </c>
      <c r="B54" s="138" t="n">
        <v>55476342000174</v>
      </c>
      <c r="C54" s="74" t="inlineStr">
        <is>
          <t>55.476.342/0001-74</t>
        </is>
      </c>
      <c r="D54" s="74" t="inlineStr">
        <is>
          <t>LAVORO AGRO II FIAGRO - DIREITOS CREDITÓRIOS - RESPONSABILIDADE LIMITADA</t>
        </is>
      </c>
      <c r="E54" s="74" t="inlineStr">
        <is>
          <t>LAVORO AGRO II FUNDO DE INVESTIMENTO EM DIREITOS C</t>
        </is>
      </c>
      <c r="F54" s="74" t="inlineStr">
        <is>
          <t>Carteira 101</t>
        </is>
      </c>
      <c r="G54" s="74" t="inlineStr">
        <is>
          <t>2026-08</t>
        </is>
      </c>
      <c r="H54" s="74" t="inlineStr">
        <is>
          <t>localizado</t>
        </is>
      </c>
      <c r="I54" s="139" t="inlineStr">
        <is>
          <t>N/D</t>
        </is>
      </c>
      <c r="J54" s="139" t="inlineStr">
        <is>
          <t>N/D</t>
        </is>
      </c>
      <c r="K54" s="139" t="inlineStr">
        <is>
          <t>N/D</t>
        </is>
      </c>
      <c r="L54" s="140" t="inlineStr">
        <is>
          <t>N/D</t>
        </is>
      </c>
      <c r="M54" s="74" t="inlineStr">
        <is>
          <t>PL oficial ausente em 2026-08</t>
        </is>
      </c>
      <c r="N54" s="140" t="n">
        <v>0.2</v>
      </c>
      <c r="O54" s="140" t="inlineStr">
        <is>
          <t>N/D</t>
        </is>
      </c>
      <c r="P54" s="140" t="inlineStr">
        <is>
          <t>N/D</t>
        </is>
      </c>
      <c r="Q54" s="140" t="n">
        <v>0.2</v>
      </c>
      <c r="R54" s="140" t="inlineStr">
        <is>
          <t>N/D</t>
        </is>
      </c>
      <c r="S54" s="140" t="n">
        <v>0.2</v>
      </c>
      <c r="T54" s="74" t="inlineStr">
        <is>
          <t>20,0%</t>
        </is>
      </c>
      <c r="U54" s="74" t="inlineStr">
        <is>
          <t>junior_pl</t>
        </is>
      </c>
      <c r="V54" s="74" t="inlineStr">
        <is>
          <t>direto no regulamento</t>
        </is>
      </c>
      <c r="W54" s="74" t="b">
        <v>1</v>
      </c>
      <c r="X54" s="74" t="inlineStr">
        <is>
          <t>Estrutura com uma única classe subordinada; métrica atual e piso usam o total subordinado sobre o PL.</t>
        </is>
      </c>
      <c r="Y54" s="74" t="b">
        <v>0</v>
      </c>
      <c r="Z54" s="140" t="inlineStr">
        <is>
          <t>N/D</t>
        </is>
      </c>
      <c r="AA54" s="140" t="inlineStr">
        <is>
          <t>N/D</t>
        </is>
      </c>
      <c r="AB54" s="74" t="inlineStr">
        <is>
          <t>não medido</t>
        </is>
      </c>
      <c r="AC54" s="74" t="inlineStr">
        <is>
          <t>Agro, Indústria e Comércio</t>
        </is>
      </c>
      <c r="AD54" s="74" t="inlineStr">
        <is>
          <t>Recebíveis Comerciais</t>
        </is>
      </c>
      <c r="AE54" s="74" t="inlineStr">
        <is>
          <t>Agro / Revenda</t>
        </is>
      </c>
      <c r="AF54" s="74" t="inlineStr">
        <is>
          <t>Agro / Revenda</t>
        </is>
      </c>
      <c r="AG54" s="74" t="inlineStr">
        <is>
          <t>Agro / Revenda</t>
        </is>
      </c>
      <c r="AH54" s="74" t="inlineStr">
        <is>
          <t>Agro / Revenda</t>
        </is>
      </c>
      <c r="AI54" s="74" t="inlineStr">
        <is>
          <t>Recebíveis do Grupo Lavoro</t>
        </is>
      </c>
      <c r="AJ54" s="74" t="b">
        <v>0</v>
      </c>
      <c r="AK54" s="74" t="inlineStr">
        <is>
          <t>MANTER_ALTA</t>
        </is>
      </c>
      <c r="AL54" s="74" t="inlineStr">
        <is>
          <t>Cedente integra a cadeia de insumos agro</t>
        </is>
      </c>
      <c r="AM54" s="74" t="inlineStr">
        <is>
          <t>auditoria documental</t>
        </is>
      </c>
      <c r="AN54" s="74" t="inlineStr">
        <is>
          <t>Não</t>
        </is>
      </c>
      <c r="AO54" s="74" t="inlineStr">
        <is>
          <t>auditoria documental</t>
        </is>
      </c>
      <c r="AP54" s="74" t="b">
        <v>0</v>
      </c>
      <c r="AQ54" s="74" t="inlineStr">
        <is>
          <t>Agro / Revenda</t>
        </is>
      </c>
      <c r="AR54" s="74" t="inlineStr">
        <is>
          <t>Agro / Revenda</t>
        </is>
      </c>
      <c r="AS54" s="74" t="b">
        <v>0</v>
      </c>
      <c r="AT54" s="74" t="inlineStr">
        <is>
          <t>N/D</t>
        </is>
      </c>
      <c r="AU54" s="74" t="inlineStr">
        <is>
          <t>N/D</t>
        </is>
      </c>
      <c r="AV54" s="74" t="inlineStr">
        <is>
          <t>N/D</t>
        </is>
      </c>
      <c r="AW54" s="74" t="b">
        <v>0</v>
      </c>
      <c r="AX54" s="74" t="inlineStr">
        <is>
          <t>N/D</t>
        </is>
      </c>
      <c r="AY54" s="74" t="inlineStr">
        <is>
          <t>sem benchmark confiável</t>
        </is>
      </c>
      <c r="AZ54" s="140" t="inlineStr">
        <is>
          <t>N/D</t>
        </is>
      </c>
      <c r="BA54" s="74" t="b">
        <v>0</v>
      </c>
      <c r="BB54" s="141" t="n">
        <v>0</v>
      </c>
      <c r="BC54" s="139" t="n">
        <v>1000</v>
      </c>
      <c r="BD54" s="74" t="inlineStr">
        <is>
          <t>R$1.000,00</t>
        </is>
      </c>
      <c r="BE54" s="74" t="inlineStr">
        <is>
          <t>preço/valor unitário de emissão</t>
        </is>
      </c>
      <c r="BF54" s="74" t="inlineStr">
        <is>
          <t>N/D</t>
        </is>
      </c>
      <c r="BG54" s="74" t="inlineStr">
        <is>
          <t>30/09/2025</t>
        </is>
      </c>
      <c r="BH54" s="74" t="inlineStr">
        <is>
          <t>1003104</t>
        </is>
      </c>
      <c r="BI54" s="74" t="inlineStr">
        <is>
          <t>https://fnet.bmfbovespa.com.br/fnet/publico/downloadDocumento?id=1003104</t>
        </is>
      </c>
      <c r="BJ54" s="74" t="inlineStr">
        <is>
          <t>localizado documentalmente</t>
        </is>
      </c>
      <c r="BK54" s="74" t="b">
        <v>1</v>
      </c>
      <c r="BL54" s="74" t="inlineStr">
        <is>
          <t>Lavoro</t>
        </is>
      </c>
      <c r="BM54" s="74" t="inlineStr">
        <is>
          <t>cedente</t>
        </is>
      </c>
      <c r="BN54" s="74" t="inlineStr">
        <is>
          <t>N/D</t>
        </is>
      </c>
      <c r="BO54" s="74" t="inlineStr">
        <is>
          <t>Lavoro</t>
        </is>
      </c>
      <c r="BP54" s="74" t="inlineStr">
        <is>
          <t>N/D</t>
        </is>
      </c>
      <c r="BQ54" s="74" t="inlineStr">
        <is>
          <t>N/D</t>
        </is>
      </c>
      <c r="BR54" s="74" t="inlineStr">
        <is>
          <t>cedente: IMG_8705.JPG</t>
        </is>
      </c>
      <c r="BS54" s="74" t="inlineStr">
        <is>
          <t>manual_aplicado</t>
        </is>
      </c>
      <c r="BT54" s="74" t="inlineStr">
        <is>
          <t>OBS da foto: em discussão para possível migração do FIDC para risco bilateral. Denominação cortada.</t>
        </is>
      </c>
      <c r="BU54" s="74" t="inlineStr">
        <is>
          <t>1003108</t>
        </is>
      </c>
      <c r="BV54" s="74" t="inlineStr">
        <is>
          <t>2025-09-30</t>
        </is>
      </c>
      <c r="BW54" s="74" t="inlineStr">
        <is>
          <t>107; 122</t>
        </is>
      </c>
      <c r="BX54" s="74" t="inlineStr">
        <is>
          <t>revisto — mínimo júnior localizado</t>
        </is>
      </c>
      <c r="BY54" s="74" t="inlineStr">
        <is>
          <t>FundosNet/B3; documento 1003108; referência 2025-09-30; p. 107; 122</t>
        </is>
      </c>
      <c r="BZ54" s="74" t="inlineStr">
        <is>
          <t>Cotas subordinadas / PL, mínimo de 20,0%; estrutura com uma única classe residual.</t>
        </is>
      </c>
      <c r="CA54" s="74" t="inlineStr">
        <is>
          <t>PL atual; Sub/PL atual; originador; sacado/devedor; tipo de recebível</t>
        </is>
      </c>
      <c r="CB54" s="74" t="inlineStr">
        <is>
          <t>sub_pl_atual_ausente</t>
        </is>
      </c>
    </row>
    <row r="55" ht="31.5" customHeight="1">
      <c r="A55" s="75" t="n">
        <v>52</v>
      </c>
      <c r="B55" s="142" t="n">
        <v>63679792000192</v>
      </c>
      <c r="C55" s="75" t="inlineStr">
        <is>
          <t>63.679.792/0001-92</t>
        </is>
      </c>
      <c r="D55" s="75" t="inlineStr">
        <is>
          <t>BLUE HEALTH FIDC RECEBÍVEIS COMERCIAIS DE RESPONSABILIDADE LIMITADA</t>
        </is>
      </c>
      <c r="E55" s="75" t="inlineStr">
        <is>
          <t>BLUE HEALTH FIDC RECEB LTDA</t>
        </is>
      </c>
      <c r="F55" s="75" t="inlineStr">
        <is>
          <t>Carteira 101</t>
        </is>
      </c>
      <c r="G55" s="75" t="inlineStr">
        <is>
          <t>2026-08</t>
        </is>
      </c>
      <c r="H55" s="75" t="inlineStr">
        <is>
          <t>localizado</t>
        </is>
      </c>
      <c r="I55" s="143" t="n">
        <v>144299476.38</v>
      </c>
      <c r="J55" s="143" t="n">
        <v>144299217.2649091</v>
      </c>
      <c r="K55" s="143" t="n">
        <v>29579891.99010846</v>
      </c>
      <c r="L55" s="144" t="n">
        <v>0.2049896003240678</v>
      </c>
      <c r="M55" s="75" t="inlineStr">
        <is>
          <t>Calculado com classes reportadas e PL oficial reconciliado</t>
        </is>
      </c>
      <c r="N55" s="144" t="n">
        <v>0.2</v>
      </c>
      <c r="O55" s="144" t="inlineStr">
        <is>
          <t>N/D</t>
        </is>
      </c>
      <c r="P55" s="144" t="inlineStr">
        <is>
          <t>N/D</t>
        </is>
      </c>
      <c r="Q55" s="144" t="inlineStr">
        <is>
          <t>N/D</t>
        </is>
      </c>
      <c r="R55" s="144" t="inlineStr">
        <is>
          <t>N/D</t>
        </is>
      </c>
      <c r="S55" s="144" t="n">
        <v>0.2</v>
      </c>
      <c r="T55" s="75" t="inlineStr">
        <is>
          <t>N/D</t>
        </is>
      </c>
      <c r="U55" s="75" t="inlineStr">
        <is>
          <t>junior_pl</t>
        </is>
      </c>
      <c r="V55" s="75" t="inlineStr">
        <is>
          <t>direto no regulamento</t>
        </is>
      </c>
      <c r="W55" s="75" t="b">
        <v>0</v>
      </c>
      <c r="X55" s="75" t="inlineStr">
        <is>
          <t>Mínimo júnior isolado; a subordinação atual disponível agrega todas as classes subordinadas.</t>
        </is>
      </c>
      <c r="Y55" s="75" t="b">
        <v>0</v>
      </c>
      <c r="Z55" s="144" t="inlineStr">
        <is>
          <t>N/D</t>
        </is>
      </c>
      <c r="AA55" s="144" t="inlineStr">
        <is>
          <t>N/D</t>
        </is>
      </c>
      <c r="AB55" s="75" t="inlineStr">
        <is>
          <t>não medido</t>
        </is>
      </c>
      <c r="AC55" s="75" t="inlineStr">
        <is>
          <t>Agro, Indústria e Comércio</t>
        </is>
      </c>
      <c r="AD55" s="75" t="inlineStr">
        <is>
          <t>Recebíveis Comerciais</t>
        </is>
      </c>
      <c r="AE55" s="75" t="inlineStr">
        <is>
          <t>Agro / Revenda</t>
        </is>
      </c>
      <c r="AF55" s="75" t="inlineStr">
        <is>
          <t>Agro / Revenda</t>
        </is>
      </c>
      <c r="AG55" s="75" t="inlineStr">
        <is>
          <t>Agro / Revenda</t>
        </is>
      </c>
      <c r="AH55" s="75" t="inlineStr">
        <is>
          <t>Risco Corporativo</t>
        </is>
      </c>
      <c r="AI55" s="75" t="inlineStr">
        <is>
          <t>Locação de equipamentos médicos</t>
        </is>
      </c>
      <c r="AJ55" s="75" t="b">
        <v>1</v>
      </c>
      <c r="AK55" s="75" t="inlineStr">
        <is>
          <t>APLICAR_ALTA</t>
        </is>
      </c>
      <c r="AL55" s="75" t="inlineStr">
        <is>
          <t>Direitos decorrem de contratos de locação de equipamentos</t>
        </is>
      </c>
      <c r="AM55" s="75" t="inlineStr">
        <is>
          <t>regulamento 1101558</t>
        </is>
      </c>
      <c r="AN55" s="75" t="inlineStr">
        <is>
          <t>Candidato</t>
        </is>
      </c>
      <c r="AO55" s="75" t="inlineStr">
        <is>
          <t>regulamento 1101558</t>
        </is>
      </c>
      <c r="AP55" s="75" t="inlineStr">
        <is>
          <t>N/D</t>
        </is>
      </c>
      <c r="AQ55" s="75" t="inlineStr">
        <is>
          <t>Risco Corporativo</t>
        </is>
      </c>
      <c r="AR55" s="75" t="inlineStr">
        <is>
          <t>Agro / Revenda</t>
        </is>
      </c>
      <c r="AS55" s="75" t="b">
        <v>1</v>
      </c>
      <c r="AT55" s="75" t="inlineStr">
        <is>
          <t>regulamento 1101558</t>
        </is>
      </c>
      <c r="AU55" s="75" t="inlineStr">
        <is>
          <t>Direitos decorrem de contratos de locação de equipamentos</t>
        </is>
      </c>
      <c r="AV55" s="75" t="inlineStr">
        <is>
          <t>20%–35%</t>
        </is>
      </c>
      <c r="AW55" s="75" t="b">
        <v>1</v>
      </c>
      <c r="AX55" s="75" t="inlineStr">
        <is>
          <t>incomparável</t>
        </is>
      </c>
      <c r="AY55" s="75" t="inlineStr">
        <is>
          <t>sem benchmark confiável</t>
        </is>
      </c>
      <c r="AZ55" s="144" t="inlineStr">
        <is>
          <t>N/D</t>
        </is>
      </c>
      <c r="BA55" s="75" t="b">
        <v>0</v>
      </c>
      <c r="BB55" s="145" t="n">
        <v>0</v>
      </c>
      <c r="BC55" s="143" t="n">
        <v>1000</v>
      </c>
      <c r="BD55" s="75" t="inlineStr">
        <is>
          <t>Cotas Seniores: R$ 1.000,00</t>
        </is>
      </c>
      <c r="BE55" s="75" t="inlineStr">
        <is>
          <t>preço/valor unitário de emissão</t>
        </is>
      </c>
      <c r="BF55" s="75" t="inlineStr">
        <is>
          <t>Cotas Seniores</t>
        </is>
      </c>
      <c r="BG55" s="75" t="inlineStr">
        <is>
          <t>18/12/2025</t>
        </is>
      </c>
      <c r="BH55" s="75" t="inlineStr">
        <is>
          <t>1066557</t>
        </is>
      </c>
      <c r="BI55" s="75" t="inlineStr">
        <is>
          <t>https://fnet.bmfbovespa.com.br/fnet/publico/downloadDocumento?id=1066557</t>
        </is>
      </c>
      <c r="BJ55" s="75" t="inlineStr">
        <is>
          <t>localizado documentalmente</t>
        </is>
      </c>
      <c r="BK55" s="75" t="b">
        <v>0</v>
      </c>
      <c r="BL55" s="75" t="inlineStr">
        <is>
          <t>Empresas do Conglomerado Blue Health</t>
        </is>
      </c>
      <c r="BM55" s="75" t="inlineStr">
        <is>
          <t>cedente</t>
        </is>
      </c>
      <c r="BN55" s="75" t="inlineStr">
        <is>
          <t>N/D</t>
        </is>
      </c>
      <c r="BO55" s="75" t="inlineStr">
        <is>
          <t>a (i) Ultra-Som Equipamentos Médicos Ltda., sociedade limitada com sede na Cidade de Ribeirão Preto, Estado de São Paulo, na Rua Paschoal Bardaro, nº 2.005, 1º andar, Jardim Botânico, CEP 14.021-655, inscrita no CNPJ/MF sob o nº 07.149.505/0001-61, com filial na Cidade de Feira de Santana, Estado da Bahia, na Estrada Velha de Humildes, nº 9.984, Sala “Blue”, Humildes, CEP 44.135 -000, inscrita no CNPJ/MF sob o nº 07.149.505/0003 -23; (ii) Brazil 3 Business Participações Ltda. , sociedade limitad</t>
        </is>
      </c>
      <c r="BP55" s="75" t="inlineStr">
        <is>
          <t>N/D</t>
        </is>
      </c>
      <c r="BQ55" s="75" t="inlineStr">
        <is>
          <t>os direitos creditórios, de titularidade dos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representados pelos Documentos Comprobatórios e pelos Documentos Adicionais, qu e atendam aos Critérios de Elegibilidade e as Condições de Cessão previstos neste Regulamento</t>
        </is>
      </c>
      <c r="BR55" s="75" t="inlineStr">
        <is>
          <t>cedente: https://fnet.bmfbovespa.com.br/fnet/publico/downloadDocumento?id=1101558 | tipo_recebivel: https://fnet.bmfbovespa.com.br/fnet/publico/downloadDocumento?id=1101558</t>
        </is>
      </c>
      <c r="BS55" s="75" t="inlineStr">
        <is>
          <t>manual_aplicado</t>
        </is>
      </c>
      <c r="BT55" s="75" t="inlineStr">
        <is>
          <t>OBS continua fora da foto depois da descrição legível.</t>
        </is>
      </c>
      <c r="BU55" s="75" t="inlineStr">
        <is>
          <t>1101558</t>
        </is>
      </c>
      <c r="BV55" s="75" t="inlineStr">
        <is>
          <t>2026-01-26</t>
        </is>
      </c>
      <c r="BW55" s="75" t="inlineStr">
        <is>
          <t>92</t>
        </is>
      </c>
      <c r="BX55" s="75" t="inlineStr">
        <is>
          <t>revisto — mínimo júnior localizado</t>
        </is>
      </c>
      <c r="BY55" s="75" t="inlineStr">
        <is>
          <t>FundosNet/B3; documento 1101558; referência 2026-01-26; p. 92</t>
        </is>
      </c>
      <c r="BZ55" s="75" t="inlineStr">
        <is>
          <t>Cotas júnior / PL, mínimo de 20,0%; 21,0% para amortização por excesso de cobertura.</t>
        </is>
      </c>
      <c r="CA55" s="75" t="inlineStr">
        <is>
          <t>originador; sacado/devedor</t>
        </is>
      </c>
      <c r="CB55" s="75" t="inlineStr">
        <is>
          <t>estrutura_incomparavel</t>
        </is>
      </c>
    </row>
    <row r="56" ht="31.5" customHeight="1">
      <c r="A56" s="74" t="n">
        <v>53</v>
      </c>
      <c r="B56" s="138" t="n">
        <v>42154687000160</v>
      </c>
      <c r="C56" s="74" t="inlineStr">
        <is>
          <t>42.154.687/0001-60</t>
        </is>
      </c>
      <c r="D56" s="74" t="inlineStr">
        <is>
          <t>MULTIPLIKE PLUS FUNDO DE INVESTIMENTO EM DIREITOS CREDITÓRIOS</t>
        </is>
      </c>
      <c r="E56" s="74" t="inlineStr">
        <is>
          <t>MULTIPLIKE PLUS FUNDO I D CRED</t>
        </is>
      </c>
      <c r="F56" s="74" t="inlineStr">
        <is>
          <t>Carteira 101</t>
        </is>
      </c>
      <c r="G56" s="74" t="inlineStr">
        <is>
          <t>2026-08</t>
        </is>
      </c>
      <c r="H56" s="74" t="inlineStr">
        <is>
          <t>localizado</t>
        </is>
      </c>
      <c r="I56" s="139" t="n">
        <v>2162550453.27</v>
      </c>
      <c r="J56" s="139" t="n">
        <v>2162550453.297652</v>
      </c>
      <c r="K56" s="139" t="n">
        <v>901552739.8241596</v>
      </c>
      <c r="L56" s="140" t="n">
        <v>0.4168932745411413</v>
      </c>
      <c r="M56" s="74" t="inlineStr">
        <is>
          <t>Calculado com classes reportadas e PL oficial reconciliado</t>
        </is>
      </c>
      <c r="N56" s="140" t="n">
        <v>0.2</v>
      </c>
      <c r="O56" s="140" t="inlineStr">
        <is>
          <t>N/D</t>
        </is>
      </c>
      <c r="P56" s="140" t="inlineStr">
        <is>
          <t>N/D</t>
        </is>
      </c>
      <c r="Q56" s="140" t="inlineStr">
        <is>
          <t>N/D</t>
        </is>
      </c>
      <c r="R56" s="140" t="inlineStr">
        <is>
          <t>N/D</t>
        </is>
      </c>
      <c r="S56" s="140" t="n">
        <v>0.2</v>
      </c>
      <c r="T56" s="74" t="inlineStr">
        <is>
          <t>N/D</t>
        </is>
      </c>
      <c r="U56" s="74" t="inlineStr">
        <is>
          <t>junior_pl</t>
        </is>
      </c>
      <c r="V56" s="74" t="inlineStr">
        <is>
          <t>direto no regulamento</t>
        </is>
      </c>
      <c r="W56" s="74" t="b">
        <v>0</v>
      </c>
      <c r="X56" s="74" t="inlineStr">
        <is>
          <t>Mínimo júnior isolado; a subordinação atual disponível agrega todas as classes subordinadas.</t>
        </is>
      </c>
      <c r="Y56" s="74" t="b">
        <v>0</v>
      </c>
      <c r="Z56" s="140" t="inlineStr">
        <is>
          <t>N/D</t>
        </is>
      </c>
      <c r="AA56" s="140" t="inlineStr">
        <is>
          <t>N/D</t>
        </is>
      </c>
      <c r="AB56" s="74" t="inlineStr">
        <is>
          <t>não medido</t>
        </is>
      </c>
      <c r="AC56" s="74" t="inlineStr">
        <is>
          <t>Financeiro</t>
        </is>
      </c>
      <c r="AD56" s="74" t="inlineStr">
        <is>
          <t>Multicarteira Financeiro</t>
        </is>
      </c>
      <c r="AE56" s="74" t="inlineStr">
        <is>
          <t>Financeiro</t>
        </is>
      </c>
      <c r="AF56" s="74" t="inlineStr">
        <is>
          <t>Financeiro</t>
        </is>
      </c>
      <c r="AG56" s="74" t="inlineStr">
        <is>
          <t>Financeiro</t>
        </is>
      </c>
      <c r="AH56" s="74" t="inlineStr">
        <is>
          <t>Financeiro</t>
        </is>
      </c>
      <c r="AI56" s="74" t="inlineStr">
        <is>
          <t>Multissetorial com predominância permitida de CCB</t>
        </is>
      </c>
      <c r="AJ56" s="74" t="b">
        <v>0</v>
      </c>
      <c r="AK56" s="74" t="inlineStr">
        <is>
          <t>MANTER_ASTERISCO</t>
        </is>
      </c>
      <c r="AL56" s="74" t="inlineStr">
        <is>
          <t>Regulamento admite vendas, serviços e CCB, que pode atingir 80%</t>
        </is>
      </c>
      <c r="AM56" s="74" t="inlineStr">
        <is>
          <t>regulamento 1223029, 100 páginas</t>
        </is>
      </c>
      <c r="AN56" s="74" t="inlineStr">
        <is>
          <t>Pendente</t>
        </is>
      </c>
      <c r="AO56" s="74" t="inlineStr">
        <is>
          <t>regulamento 1223029, 100 páginas</t>
        </is>
      </c>
      <c r="AP56" s="74" t="inlineStr">
        <is>
          <t>N/D</t>
        </is>
      </c>
      <c r="AQ56" s="74" t="inlineStr">
        <is>
          <t>Financeiro</t>
        </is>
      </c>
      <c r="AR56" s="74" t="inlineStr">
        <is>
          <t>Financeiro</t>
        </is>
      </c>
      <c r="AS56" s="74" t="b">
        <v>0</v>
      </c>
      <c r="AT56" s="74" t="inlineStr">
        <is>
          <t>N/D</t>
        </is>
      </c>
      <c r="AU56" s="74" t="inlineStr">
        <is>
          <t>N/D</t>
        </is>
      </c>
      <c r="AV56" s="74" t="inlineStr">
        <is>
          <t>35%–60%</t>
        </is>
      </c>
      <c r="AW56" s="74" t="b">
        <v>1</v>
      </c>
      <c r="AX56" s="74" t="inlineStr">
        <is>
          <t>incomparável</t>
        </is>
      </c>
      <c r="AY56" s="74" t="inlineStr">
        <is>
          <t>acima do mercado</t>
        </is>
      </c>
      <c r="AZ56" s="140" t="n">
        <v>0.1106994938446571</v>
      </c>
      <c r="BA56" s="74" t="b">
        <v>1</v>
      </c>
      <c r="BB56" s="141" t="n">
        <v>12</v>
      </c>
      <c r="BC56" s="139" t="n">
        <v>1000</v>
      </c>
      <c r="BD56" s="74" t="inlineStr">
        <is>
          <t>Cotas Subordinadas: R$ 1.000,00 | Cotas Subordinadas Júnior: R$ 1.000,00 | Cotas Subordinadas Mezanino: R$ 1.000,00</t>
        </is>
      </c>
      <c r="BE56" s="74" t="inlineStr">
        <is>
          <t>preço/valor unitário de emissão</t>
        </is>
      </c>
      <c r="BF56" s="74" t="inlineStr">
        <is>
          <t>Cotas Subordinadas | Cotas Subordinadas Júnior | Cotas Subordinadas Mezanino</t>
        </is>
      </c>
      <c r="BG56" s="74" t="inlineStr">
        <is>
          <t>2026-03-18</t>
        </is>
      </c>
      <c r="BH56" s="74" t="inlineStr">
        <is>
          <t>1140137</t>
        </is>
      </c>
      <c r="BI56" s="74" t="inlineStr">
        <is>
          <t>https://fnet.bmfbovespa.com.br/fnet/publico/downloadDocumento?id=1140137</t>
        </is>
      </c>
      <c r="BJ56" s="74" t="inlineStr">
        <is>
          <t>localizado documentalmente — múltiplos valores/classes</t>
        </is>
      </c>
      <c r="BK56" s="74" t="b">
        <v>1</v>
      </c>
      <c r="BL56" s="74" t="inlineStr">
        <is>
          <t>Multicedentes &amp; Multisacados</t>
        </is>
      </c>
      <c r="BM56" s="74" t="inlineStr">
        <is>
          <t>cedente</t>
        </is>
      </c>
      <c r="BN56" s="74" t="inlineStr">
        <is>
          <t>N/D</t>
        </is>
      </c>
      <c r="BO56" s="74" t="inlineStr">
        <is>
          <t>Multicedentes &amp; Multisacados</t>
        </is>
      </c>
      <c r="BP56" s="74" t="inlineStr">
        <is>
          <t>N/D</t>
        </is>
      </c>
      <c r="BQ56" s="74" t="inlineStr">
        <is>
          <t>FIDC MultiCedente / Multisacado</t>
        </is>
      </c>
      <c r="BR56" s="74" t="inlineStr">
        <is>
          <t>cedente: IMG_8705.JPG | tipo_recebivel: IMG_8705.JPG</t>
        </is>
      </c>
      <c r="BS56" s="74" t="inlineStr">
        <is>
          <t>manual_aplicado</t>
        </is>
      </c>
      <c r="BT56" s="74" t="inlineStr">
        <is>
          <t>Denominação cortada pela largura da coluna na foto.</t>
        </is>
      </c>
      <c r="BU56" s="74" t="inlineStr">
        <is>
          <t>1223029</t>
        </is>
      </c>
      <c r="BV56" s="74" t="inlineStr">
        <is>
          <t>2026-06-08</t>
        </is>
      </c>
      <c r="BW56" s="74" t="inlineStr">
        <is>
          <t>54</t>
        </is>
      </c>
      <c r="BX56" s="74" t="inlineStr">
        <is>
          <t>revisto — mínimo júnior calculado de cláusulas contratuais</t>
        </is>
      </c>
      <c r="BY56" s="74" t="inlineStr">
        <is>
          <t>FundosNet/B3; documento 1223029; referência 2026-06-08; p. 54</t>
        </is>
      </c>
      <c r="BZ56" s="74" t="inlineStr">
        <is>
          <t>Mínimo júnior calculado: subordinadas = 40,0% do PL e júnior = 50,0% das subordinadas.</t>
        </is>
      </c>
      <c r="CA56" s="74" t="inlineStr">
        <is>
          <t>originador; sacado/devedor</t>
        </is>
      </c>
      <c r="CB56" s="74" t="inlineStr">
        <is>
          <t>estrutura_incomparavel</t>
        </is>
      </c>
    </row>
    <row r="57" ht="31.5" customHeight="1">
      <c r="A57" s="75" t="n">
        <v>54</v>
      </c>
      <c r="B57" s="142" t="n">
        <v>48946335000123</v>
      </c>
      <c r="C57" s="75" t="inlineStr">
        <is>
          <t>48.946.335/0001-23</t>
        </is>
      </c>
      <c r="D57" s="75" t="inlineStr">
        <is>
          <t>NAGRO OIKOS FUNDO DE INVESTIMENTO NAS CADEIAS PRODUTIVAS DO AGRONEGÓCIO</t>
        </is>
      </c>
      <c r="E57" s="75" t="inlineStr">
        <is>
          <t>NAGRO OIKOS FIAGRO FUNDO DE INVESTIMENTO EM DIREI</t>
        </is>
      </c>
      <c r="F57" s="75" t="inlineStr">
        <is>
          <t>Carteira 101</t>
        </is>
      </c>
      <c r="G57" s="75" t="inlineStr">
        <is>
          <t>2026-08</t>
        </is>
      </c>
      <c r="H57" s="75" t="inlineStr">
        <is>
          <t>localizado</t>
        </is>
      </c>
      <c r="I57" s="143" t="inlineStr">
        <is>
          <t>N/D</t>
        </is>
      </c>
      <c r="J57" s="143" t="inlineStr">
        <is>
          <t>N/D</t>
        </is>
      </c>
      <c r="K57" s="143" t="inlineStr">
        <is>
          <t>N/D</t>
        </is>
      </c>
      <c r="L57" s="144" t="inlineStr">
        <is>
          <t>N/D</t>
        </is>
      </c>
      <c r="M57" s="75" t="inlineStr">
        <is>
          <t>PL oficial ausente em 2026-08</t>
        </is>
      </c>
      <c r="N57" s="144" t="n">
        <v>0.1</v>
      </c>
      <c r="O57" s="144" t="inlineStr">
        <is>
          <t>N/D</t>
        </is>
      </c>
      <c r="P57" s="144" t="inlineStr">
        <is>
          <t>N/D</t>
        </is>
      </c>
      <c r="Q57" s="144" t="inlineStr">
        <is>
          <t>N/D</t>
        </is>
      </c>
      <c r="R57" s="144" t="inlineStr">
        <is>
          <t>N/D</t>
        </is>
      </c>
      <c r="S57" s="144" t="n">
        <v>0.1</v>
      </c>
      <c r="T57" s="75" t="inlineStr">
        <is>
          <t>N/D</t>
        </is>
      </c>
      <c r="U57" s="75" t="inlineStr">
        <is>
          <t>junior_pl</t>
        </is>
      </c>
      <c r="V57" s="75" t="inlineStr">
        <is>
          <t>direto no regulamento</t>
        </is>
      </c>
      <c r="W57" s="75" t="b">
        <v>0</v>
      </c>
      <c r="X57" s="75" t="inlineStr">
        <is>
          <t>Mínimo júnior isolado; a subordinação atual disponível agrega todas as classes subordinadas.</t>
        </is>
      </c>
      <c r="Y57" s="75" t="b">
        <v>0</v>
      </c>
      <c r="Z57" s="144" t="inlineStr">
        <is>
          <t>N/D</t>
        </is>
      </c>
      <c r="AA57" s="144" t="inlineStr">
        <is>
          <t>N/D</t>
        </is>
      </c>
      <c r="AB57" s="75" t="inlineStr">
        <is>
          <t>não medido</t>
        </is>
      </c>
      <c r="AC57" s="75" t="inlineStr">
        <is>
          <t>Agro, Indústria e Comércio</t>
        </is>
      </c>
      <c r="AD57" s="75" t="inlineStr">
        <is>
          <t>Recebíveis Comerciais</t>
        </is>
      </c>
      <c r="AE57" s="75" t="inlineStr">
        <is>
          <t>Agro / Revenda</t>
        </is>
      </c>
      <c r="AF57" s="75" t="inlineStr">
        <is>
          <t>Agro / Revenda</t>
        </is>
      </c>
      <c r="AG57" s="75" t="inlineStr">
        <is>
          <t>Agro / Revenda</t>
        </is>
      </c>
      <c r="AH57" s="75" t="inlineStr">
        <is>
          <t>Agro / Revenda</t>
        </is>
      </c>
      <c r="AI57" s="75" t="inlineStr">
        <is>
          <t>Multicedente FIAGRO, lastro específico pendente</t>
        </is>
      </c>
      <c r="AJ57" s="75" t="b">
        <v>0</v>
      </c>
      <c r="AK57" s="75" t="inlineStr">
        <is>
          <t>PENDENTE_DOCUMENTAL</t>
        </is>
      </c>
      <c r="AL57" s="75" t="inlineStr">
        <is>
          <t>Tipo e devedor não localizados</t>
        </is>
      </c>
      <c r="AM57" s="75" t="inlineStr">
        <is>
          <t>IMG_8705 + regulamento 1000248</t>
        </is>
      </c>
      <c r="AN57" s="75" t="inlineStr">
        <is>
          <t>Pendente</t>
        </is>
      </c>
      <c r="AO57" s="75" t="inlineStr">
        <is>
          <t>IMG_8705 + regulamento 1000248</t>
        </is>
      </c>
      <c r="AP57" s="75" t="inlineStr">
        <is>
          <t>N/D</t>
        </is>
      </c>
      <c r="AQ57" s="75" t="inlineStr">
        <is>
          <t>Agro / Revenda</t>
        </is>
      </c>
      <c r="AR57" s="75" t="inlineStr">
        <is>
          <t>Agro / Revenda</t>
        </is>
      </c>
      <c r="AS57" s="75" t="b">
        <v>0</v>
      </c>
      <c r="AT57" s="75" t="inlineStr">
        <is>
          <t>N/D</t>
        </is>
      </c>
      <c r="AU57" s="75" t="inlineStr">
        <is>
          <t>N/D</t>
        </is>
      </c>
      <c r="AV57" s="75" t="inlineStr">
        <is>
          <t>N/D</t>
        </is>
      </c>
      <c r="AW57" s="75" t="b">
        <v>0</v>
      </c>
      <c r="AX57" s="75" t="inlineStr">
        <is>
          <t>N/D</t>
        </is>
      </c>
      <c r="AY57" s="75" t="inlineStr">
        <is>
          <t>sem benchmark confiável</t>
        </is>
      </c>
      <c r="AZ57" s="144" t="inlineStr">
        <is>
          <t>N/D</t>
        </is>
      </c>
      <c r="BA57" s="75" t="b">
        <v>0</v>
      </c>
      <c r="BB57" s="145" t="n">
        <v>0</v>
      </c>
      <c r="BC57" s="143" t="n">
        <v>1000</v>
      </c>
      <c r="BD57" s="75" t="inlineStr">
        <is>
          <t>Cotas Subordinadas Júnior: R$ 1.000,00 | Cotas Subordinadas mezanino: R$ 1.000,00</t>
        </is>
      </c>
      <c r="BE57" s="75" t="inlineStr">
        <is>
          <t>preço/valor unitário de emissão</t>
        </is>
      </c>
      <c r="BF57" s="75" t="inlineStr">
        <is>
          <t>Cotas Subordinadas Júnior | Cotas Subordinadas mezanino</t>
        </is>
      </c>
      <c r="BG57" s="75" t="inlineStr">
        <is>
          <t>29/09/2025</t>
        </is>
      </c>
      <c r="BH57" s="75" t="inlineStr">
        <is>
          <t>1000248</t>
        </is>
      </c>
      <c r="BI57" s="75" t="inlineStr">
        <is>
          <t>https://fnet.bmfbovespa.com.br/fnet/publico/downloadDocumento?id=1000248</t>
        </is>
      </c>
      <c r="BJ57" s="75" t="inlineStr">
        <is>
          <t>localizado documentalmente — múltiplos valores/classes</t>
        </is>
      </c>
      <c r="BK57" s="75" t="b">
        <v>1</v>
      </c>
      <c r="BL57" s="75" t="inlineStr">
        <is>
          <t>Multicedentes</t>
        </is>
      </c>
      <c r="BM57" s="75" t="inlineStr">
        <is>
          <t>cedente</t>
        </is>
      </c>
      <c r="BN57" s="75" t="inlineStr">
        <is>
          <t>N/D</t>
        </is>
      </c>
      <c r="BO57" s="75" t="inlineStr">
        <is>
          <t>Multicedentes</t>
        </is>
      </c>
      <c r="BP57" s="75" t="inlineStr">
        <is>
          <t>N/D</t>
        </is>
      </c>
      <c r="BQ57" s="75" t="inlineStr">
        <is>
          <t>N/D</t>
        </is>
      </c>
      <c r="BR57" s="75" t="inlineStr">
        <is>
          <t>cedente: IMG_8705.JPG</t>
        </is>
      </c>
      <c r="BS57" s="75" t="inlineStr">
        <is>
          <t>manual_aplicado</t>
        </is>
      </c>
      <c r="BT57" s="75" t="inlineStr">
        <is>
          <t>OBS da foto: análise NAGRO. Denominação cortada.</t>
        </is>
      </c>
      <c r="BU57" s="75" t="inlineStr">
        <is>
          <t>1000248</t>
        </is>
      </c>
      <c r="BV57" s="75" t="inlineStr">
        <is>
          <t>2025-09-29</t>
        </is>
      </c>
      <c r="BW57" s="75" t="inlineStr">
        <is>
          <t>57</t>
        </is>
      </c>
      <c r="BX57" s="75" t="inlineStr">
        <is>
          <t>revisto — mínimo júnior localizado</t>
        </is>
      </c>
      <c r="BY57" s="75" t="inlineStr">
        <is>
          <t>FundosNet/B3; documento 1000248; referência 2025-09-29; p. 57</t>
        </is>
      </c>
      <c r="BZ57" s="75" t="inlineStr">
        <is>
          <t>Cotas júnior A e B / PL, mínimo de 10,0%.</t>
        </is>
      </c>
      <c r="CA57" s="75" t="inlineStr">
        <is>
          <t>PL atual; Sub/PL atual; originador; sacado/devedor; tipo de recebível</t>
        </is>
      </c>
      <c r="CB57" s="75" t="inlineStr">
        <is>
          <t>sub_pl_atual_ausente</t>
        </is>
      </c>
    </row>
    <row r="58" ht="31.5" customHeight="1">
      <c r="A58" s="74" t="n">
        <v>55</v>
      </c>
      <c r="B58" s="138" t="n">
        <v>55374251000128</v>
      </c>
      <c r="C58" s="74" t="inlineStr">
        <is>
          <t>55.374.251/0001-28</t>
        </is>
      </c>
      <c r="D58" s="74" t="inlineStr">
        <is>
          <t>FUNDO DE INVESTIMENTO EM DIREITOS CREDITÓRIOS BLUE II SEGMENTO CRÉDITO CORPORATIVO DE RESP LTDA</t>
        </is>
      </c>
      <c r="E58" s="74" t="inlineStr">
        <is>
          <t>FUNDO DE INVESTIMENTO EM DIREITOS CREDITORIOS BLUE</t>
        </is>
      </c>
      <c r="F58" s="74" t="inlineStr">
        <is>
          <t>Carteira 101</t>
        </is>
      </c>
      <c r="G58" s="74" t="inlineStr">
        <is>
          <t>2026-08</t>
        </is>
      </c>
      <c r="H58" s="74" t="inlineStr">
        <is>
          <t>localizado</t>
        </is>
      </c>
      <c r="I58" s="139" t="n">
        <v>43677175.63</v>
      </c>
      <c r="J58" s="139" t="n">
        <v>0</v>
      </c>
      <c r="K58" s="139" t="n">
        <v>0</v>
      </c>
      <c r="L58" s="140" t="inlineStr">
        <is>
          <t>N/D</t>
        </is>
      </c>
      <c r="M58" s="74" t="inlineStr">
        <is>
          <t>N/D — classes de cotas reportadas sem PL positivo em 2026-08; razão não calculável</t>
        </is>
      </c>
      <c r="N58" s="140" t="n">
        <v>0.05</v>
      </c>
      <c r="O58" s="140" t="inlineStr">
        <is>
          <t>N/D</t>
        </is>
      </c>
      <c r="P58" s="140" t="inlineStr">
        <is>
          <t>N/D</t>
        </is>
      </c>
      <c r="Q58" s="140" t="inlineStr">
        <is>
          <t>N/D</t>
        </is>
      </c>
      <c r="R58" s="140" t="inlineStr">
        <is>
          <t>N/D</t>
        </is>
      </c>
      <c r="S58" s="140" t="n">
        <v>0.05</v>
      </c>
      <c r="T58" s="74" t="inlineStr">
        <is>
          <t>N/D</t>
        </is>
      </c>
      <c r="U58" s="74" t="inlineStr">
        <is>
          <t>junior_pl</t>
        </is>
      </c>
      <c r="V58" s="74" t="inlineStr">
        <is>
          <t>direto no regulamento</t>
        </is>
      </c>
      <c r="W58" s="74" t="b">
        <v>0</v>
      </c>
      <c r="X58" s="74" t="inlineStr">
        <is>
          <t>Mínimo júnior isolado; a subordinação atual disponível agrega todas as classes subordinadas.</t>
        </is>
      </c>
      <c r="Y58" s="74" t="b">
        <v>0</v>
      </c>
      <c r="Z58" s="140" t="inlineStr">
        <is>
          <t>N/D</t>
        </is>
      </c>
      <c r="AA58" s="140" t="inlineStr">
        <is>
          <t>N/D</t>
        </is>
      </c>
      <c r="AB58" s="74" t="inlineStr">
        <is>
          <t>não medido</t>
        </is>
      </c>
      <c r="AC58" s="74" t="inlineStr">
        <is>
          <t>Agro, Indústria e Comércio</t>
        </is>
      </c>
      <c r="AD58" s="74" t="inlineStr">
        <is>
          <t>Crédito Corporativo</t>
        </is>
      </c>
      <c r="AE58" s="74" t="inlineStr">
        <is>
          <t>Agro / Revenda</t>
        </is>
      </c>
      <c r="AF58" s="74" t="inlineStr">
        <is>
          <t>Agro / Revenda</t>
        </is>
      </c>
      <c r="AG58" s="74" t="inlineStr">
        <is>
          <t>Agro / Revenda</t>
        </is>
      </c>
      <c r="AH58" s="74" t="inlineStr">
        <is>
          <t>Agro / Revenda</t>
        </is>
      </c>
      <c r="AI58" s="74" t="inlineStr">
        <is>
          <t>Debênture / risco Azul</t>
        </is>
      </c>
      <c r="AJ58" s="74" t="b">
        <v>0</v>
      </c>
      <c r="AK58" s="74" t="inlineStr">
        <is>
          <t>PENDENTE_FONTE_PRIMARIA</t>
        </is>
      </c>
      <c r="AL58" s="74" t="inlineStr">
        <is>
          <t>Instrumento e risco constam somente na planilha</t>
        </is>
      </c>
      <c r="AM58" s="74" t="inlineStr">
        <is>
          <t>IMG_8705</t>
        </is>
      </c>
      <c r="AN58" s="74" t="inlineStr">
        <is>
          <t>Não</t>
        </is>
      </c>
      <c r="AO58" s="74" t="inlineStr">
        <is>
          <t>IMG_8705</t>
        </is>
      </c>
      <c r="AP58" s="74" t="b">
        <v>0</v>
      </c>
      <c r="AQ58" s="74" t="inlineStr">
        <is>
          <t>Agro / Revenda</t>
        </is>
      </c>
      <c r="AR58" s="74" t="inlineStr">
        <is>
          <t>Agro / Revenda</t>
        </is>
      </c>
      <c r="AS58" s="74" t="b">
        <v>0</v>
      </c>
      <c r="AT58" s="74" t="inlineStr">
        <is>
          <t>N/D</t>
        </is>
      </c>
      <c r="AU58" s="74" t="inlineStr">
        <is>
          <t>N/D</t>
        </is>
      </c>
      <c r="AV58" s="74" t="inlineStr">
        <is>
          <t>N/D</t>
        </is>
      </c>
      <c r="AW58" s="74" t="b">
        <v>0</v>
      </c>
      <c r="AX58" s="74" t="inlineStr">
        <is>
          <t>N/D</t>
        </is>
      </c>
      <c r="AY58" s="74" t="inlineStr">
        <is>
          <t>sem benchmark confiável</t>
        </is>
      </c>
      <c r="AZ58" s="140" t="inlineStr">
        <is>
          <t>N/D</t>
        </is>
      </c>
      <c r="BA58" s="74" t="b">
        <v>0</v>
      </c>
      <c r="BB58" s="141" t="n">
        <v>0</v>
      </c>
      <c r="BC58" s="139" t="n">
        <v>1000</v>
      </c>
      <c r="BD58" s="74" t="inlineStr">
        <is>
          <t>Cotas Seniores: R$1.000,00 | Cotas Subordinadas Júnior: R$ 1.000,00 | Cotas Subordinadas Mezanino: R$ 1.000,00</t>
        </is>
      </c>
      <c r="BE58" s="74" t="inlineStr">
        <is>
          <t>preço/valor unitário de emissão</t>
        </is>
      </c>
      <c r="BF58" s="74" t="inlineStr">
        <is>
          <t>Cotas Seniores | Cotas Subordinadas Júnior | Cotas Subordinadas Mezanino</t>
        </is>
      </c>
      <c r="BG58" s="74" t="inlineStr">
        <is>
          <t>25/06/2024</t>
        </is>
      </c>
      <c r="BH58" s="74" t="inlineStr">
        <is>
          <t>686750</t>
        </is>
      </c>
      <c r="BI58" s="74" t="inlineStr">
        <is>
          <t>https://fnet.bmfbovespa.com.br/fnet/publico/downloadDocumento?id=686750</t>
        </is>
      </c>
      <c r="BJ58" s="74" t="inlineStr">
        <is>
          <t>localizado documentalmente — múltiplos valores/classes</t>
        </is>
      </c>
      <c r="BK58" s="74" t="b">
        <v>1</v>
      </c>
      <c r="BL58" s="74" t="inlineStr">
        <is>
          <t>Azul</t>
        </is>
      </c>
      <c r="BM58" s="74" t="inlineStr">
        <is>
          <t>cedente</t>
        </is>
      </c>
      <c r="BN58" s="74" t="inlineStr">
        <is>
          <t>N/D</t>
        </is>
      </c>
      <c r="BO58" s="74" t="inlineStr">
        <is>
          <t>Azul</t>
        </is>
      </c>
      <c r="BP58" s="74" t="inlineStr">
        <is>
          <t>N/D</t>
        </is>
      </c>
      <c r="BQ58" s="74" t="inlineStr">
        <is>
          <t>Debênture</t>
        </is>
      </c>
      <c r="BR58" s="74" t="inlineStr">
        <is>
          <t>cedente: IMG_8705.JPG | tipo_recebivel: IMG_8705.JPG</t>
        </is>
      </c>
      <c r="BS58" s="74" t="inlineStr">
        <is>
          <t>manual_aplicado</t>
        </is>
      </c>
      <c r="BT58" s="74" t="inlineStr">
        <is>
          <t>OBS da foto: Book Special Sits; risco de repagamento Azul com 40% de subordinação.</t>
        </is>
      </c>
      <c r="BU58" s="74" t="inlineStr">
        <is>
          <t>686750</t>
        </is>
      </c>
      <c r="BV58" s="74" t="inlineStr">
        <is>
          <t>2024-06-25</t>
        </is>
      </c>
      <c r="BW58" s="74" t="inlineStr">
        <is>
          <t>61</t>
        </is>
      </c>
      <c r="BX58" s="74" t="inlineStr">
        <is>
          <t>revisto — mínimo júnior localizado</t>
        </is>
      </c>
      <c r="BY58" s="74" t="inlineStr">
        <is>
          <t>FundosNet/B3; documento 686750; referência 2024-06-25; p. 61</t>
        </is>
      </c>
      <c r="BZ58" s="74" t="inlineStr">
        <is>
          <t>Índice de Subordinação Mezanino II: cotas júnior / PL, mínimo de 5,0%.</t>
        </is>
      </c>
      <c r="CA58" s="74" t="inlineStr">
        <is>
          <t>Sub/PL atual; originador; sacado/devedor</t>
        </is>
      </c>
      <c r="CB58" s="74" t="inlineStr">
        <is>
          <t>sub_pl_atual_ausente</t>
        </is>
      </c>
    </row>
    <row r="59" ht="31.5" customHeight="1">
      <c r="A59" s="75" t="n">
        <v>57</v>
      </c>
      <c r="B59" s="142" t="n">
        <v>48953864000154</v>
      </c>
      <c r="C59" s="75" t="inlineStr">
        <is>
          <t>48.953.864/0001-54</t>
        </is>
      </c>
      <c r="D59" s="75" t="inlineStr">
        <is>
          <t>FUNDO DE INVESTIMENTO EM DIREITOS CREDITORIOS ASAAS II - RESPONSABILIDADE LIMITADA</t>
        </is>
      </c>
      <c r="E59" s="75" t="inlineStr">
        <is>
          <t>FUNDO INVESTIMENTO E D C A II</t>
        </is>
      </c>
      <c r="F59" s="75" t="inlineStr">
        <is>
          <t>Carteira 101</t>
        </is>
      </c>
      <c r="G59" s="75" t="inlineStr">
        <is>
          <t>2026-08</t>
        </is>
      </c>
      <c r="H59" s="75" t="inlineStr">
        <is>
          <t>localizado</t>
        </is>
      </c>
      <c r="I59" s="143" t="inlineStr">
        <is>
          <t>N/D</t>
        </is>
      </c>
      <c r="J59" s="143" t="inlineStr">
        <is>
          <t>N/D</t>
        </is>
      </c>
      <c r="K59" s="143" t="inlineStr">
        <is>
          <t>N/D</t>
        </is>
      </c>
      <c r="L59" s="144" t="inlineStr">
        <is>
          <t>N/D</t>
        </is>
      </c>
      <c r="M59" s="75" t="inlineStr">
        <is>
          <t>PL oficial ausente em 2026-08</t>
        </is>
      </c>
      <c r="N59" s="144" t="n">
        <v>0.15</v>
      </c>
      <c r="O59" s="144" t="inlineStr">
        <is>
          <t>N/D</t>
        </is>
      </c>
      <c r="P59" s="144" t="inlineStr">
        <is>
          <t>N/D</t>
        </is>
      </c>
      <c r="Q59" s="144" t="n">
        <v>0.15</v>
      </c>
      <c r="R59" s="144" t="inlineStr">
        <is>
          <t>N/D</t>
        </is>
      </c>
      <c r="S59" s="144" t="n">
        <v>0.15</v>
      </c>
      <c r="T59" s="75" t="inlineStr">
        <is>
          <t>15,0%</t>
        </is>
      </c>
      <c r="U59" s="75" t="inlineStr">
        <is>
          <t>junior_pl</t>
        </is>
      </c>
      <c r="V59" s="75" t="inlineStr">
        <is>
          <t>direto no regulamento</t>
        </is>
      </c>
      <c r="W59" s="75" t="b">
        <v>1</v>
      </c>
      <c r="X59" s="75" t="inlineStr">
        <is>
          <t>Estrutura com uma única classe subordinada; métrica atual e piso usam o total subordinado sobre o PL.</t>
        </is>
      </c>
      <c r="Y59" s="75" t="b">
        <v>0</v>
      </c>
      <c r="Z59" s="144" t="inlineStr">
        <is>
          <t>N/D</t>
        </is>
      </c>
      <c r="AA59" s="144" t="inlineStr">
        <is>
          <t>N/D</t>
        </is>
      </c>
      <c r="AB59" s="75" t="inlineStr">
        <is>
          <t>não medido</t>
        </is>
      </c>
      <c r="AC59" s="75" t="inlineStr">
        <is>
          <t>Agro, Indústria e Comércio</t>
        </is>
      </c>
      <c r="AD59" s="75" t="inlineStr">
        <is>
          <t>N/D</t>
        </is>
      </c>
      <c r="AE59" s="75" t="inlineStr">
        <is>
          <t>Agro / Revenda</t>
        </is>
      </c>
      <c r="AF59" s="75" t="inlineStr">
        <is>
          <t>Agro / Revenda</t>
        </is>
      </c>
      <c r="AG59" s="75" t="inlineStr">
        <is>
          <t>Agro / Revenda</t>
        </is>
      </c>
      <c r="AH59" s="75" t="inlineStr">
        <is>
          <t>Adquirência</t>
        </is>
      </c>
      <c r="AI59" s="75" t="inlineStr">
        <is>
          <t>URs de transações de pagamento Asaas</t>
        </is>
      </c>
      <c r="AJ59" s="75" t="b">
        <v>1</v>
      </c>
      <c r="AK59" s="75" t="inlineStr">
        <is>
          <t>APLICAR_ALTA</t>
        </is>
      </c>
      <c r="AL59" s="75" t="inlineStr">
        <is>
          <t>Cedente é subcredenciadora e lastro são URs registradas</t>
        </is>
      </c>
      <c r="AM59" s="75" t="inlineStr">
        <is>
          <t>regulamento 473796</t>
        </is>
      </c>
      <c r="AN59" s="75" t="inlineStr">
        <is>
          <t>Não</t>
        </is>
      </c>
      <c r="AO59" s="75" t="inlineStr">
        <is>
          <t>regulamento 473796</t>
        </is>
      </c>
      <c r="AP59" s="75" t="b">
        <v>0</v>
      </c>
      <c r="AQ59" s="75" t="inlineStr">
        <is>
          <t>Adquirência</t>
        </is>
      </c>
      <c r="AR59" s="75" t="inlineStr">
        <is>
          <t>Agro / Revenda</t>
        </is>
      </c>
      <c r="AS59" s="75" t="b">
        <v>1</v>
      </c>
      <c r="AT59" s="75" t="inlineStr">
        <is>
          <t>regulamento 473796</t>
        </is>
      </c>
      <c r="AU59" s="75" t="inlineStr">
        <is>
          <t>Cedente é subcredenciadora e lastro são URs registradas</t>
        </is>
      </c>
      <c r="AV59" s="75" t="inlineStr">
        <is>
          <t>N/D</t>
        </is>
      </c>
      <c r="AW59" s="75" t="b">
        <v>0</v>
      </c>
      <c r="AX59" s="75" t="inlineStr">
        <is>
          <t>N/D</t>
        </is>
      </c>
      <c r="AY59" s="75" t="inlineStr">
        <is>
          <t>sem benchmark confiável</t>
        </is>
      </c>
      <c r="AZ59" s="144" t="inlineStr">
        <is>
          <t>N/D</t>
        </is>
      </c>
      <c r="BA59" s="75" t="b">
        <v>0</v>
      </c>
      <c r="BB59" s="145" t="n">
        <v>0</v>
      </c>
      <c r="BC59" s="143" t="n">
        <v>1000</v>
      </c>
      <c r="BD59" s="75" t="inlineStr">
        <is>
          <t>Cotas Seniores: R$1.000,00</t>
        </is>
      </c>
      <c r="BE59" s="75" t="inlineStr">
        <is>
          <t>valor nominal unitário (VNU)</t>
        </is>
      </c>
      <c r="BF59" s="75" t="inlineStr">
        <is>
          <t>Cotas Seniores</t>
        </is>
      </c>
      <c r="BG59" s="75" t="inlineStr">
        <is>
          <t>01/06/2023</t>
        </is>
      </c>
      <c r="BH59" s="75" t="inlineStr">
        <is>
          <t>473796</t>
        </is>
      </c>
      <c r="BI59" s="75" t="inlineStr">
        <is>
          <t>https://fnet.bmfbovespa.com.br/fnet/publico/downloadDocumento?id=473796</t>
        </is>
      </c>
      <c r="BJ59" s="75" t="inlineStr">
        <is>
          <t>localizado documentalmente</t>
        </is>
      </c>
      <c r="BK59" s="75" t="b">
        <v>0</v>
      </c>
      <c r="BL59" s="75" t="inlineStr">
        <is>
          <t>Asaas IP</t>
        </is>
      </c>
      <c r="BM59" s="75" t="inlineStr">
        <is>
          <t>cedente</t>
        </is>
      </c>
      <c r="BN59" s="75" t="inlineStr">
        <is>
          <t>N/D</t>
        </is>
      </c>
      <c r="BO59" s="75" t="inlineStr">
        <is>
          <t>o ASAAS GESTÃO FINANCEIRA INSTITUIÇÃO DE PAGAMENTOS S.A. , sociedade anônima, com sede na Cidade de Joinville, Estado de Santa Catarina, na Avenida Rolf Wiest, n.º 277, Sala 820, Bom Retiro, CEP 89227-971, inscrita no CNPJ/MF sob o n.º 19.540.550/0001 -21, que atua como Subcredenciadora, nos termos dos Contratos de Credenciamento</t>
        </is>
      </c>
      <c r="BP59" s="75" t="inlineStr">
        <is>
          <t>N/D</t>
        </is>
      </c>
      <c r="BQ59" s="75" t="inlineStr">
        <is>
          <t>os direitos creditórios constituídos, conforme artigo 2º, inciso II da Resolução CMN 4.734, organizados e formalizados em formato de UR registrada no Sistema de Registro, que são, de tempos em tempos, detidos pela Cedente em face de cada Devedora, nos termos do respectivo Acordo de Parceria, decorrentes de Transações de Pagamento, presenciais e n ão presenciais, na modalidade “crédito”, realizadas pelos Usuários com a utilização de Instrumentos de Pagamentos para a aquisição de bens ou serviços junto aos Recebedores Credenciados, equivalentes ao valor atualizado remanescente das</t>
        </is>
      </c>
      <c r="BR59" s="75" t="inlineStr">
        <is>
          <t>cedente: https://fnet.bmfbovespa.com.br/fnet/publico/downloadDocumento?id=473796 | tipo_recebivel: https://fnet.bmfbovespa.com.br/fnet/publico/downloadDocumento?id=473796</t>
        </is>
      </c>
      <c r="BS59" s="75" t="inlineStr">
        <is>
          <t>manual_aplicado</t>
        </is>
      </c>
      <c r="BT59" s="75" t="inlineStr">
        <is>
          <t>N/D</t>
        </is>
      </c>
      <c r="BU59" s="75" t="inlineStr">
        <is>
          <t>774314</t>
        </is>
      </c>
      <c r="BV59" s="75" t="inlineStr">
        <is>
          <t>2024-11-05</t>
        </is>
      </c>
      <c r="BW59" s="75" t="inlineStr">
        <is>
          <t>33; 107</t>
        </is>
      </c>
      <c r="BX59" s="75" t="inlineStr">
        <is>
          <t>revisto — mínimo júnior localizado</t>
        </is>
      </c>
      <c r="BY59" s="75" t="inlineStr">
        <is>
          <t>FundosNet/B3; documento 774314; referência 2024-11-05; p. 33; 107</t>
        </is>
      </c>
      <c r="BZ59" s="75" t="inlineStr">
        <is>
          <t>Cotas subordinadas / PL, mínimo de 15,0%; estrutura com uma única classe residual.</t>
        </is>
      </c>
      <c r="CA59" s="75" t="inlineStr">
        <is>
          <t>PL atual; Sub/PL atual; originador; sacado/devedor</t>
        </is>
      </c>
      <c r="CB59" s="75" t="inlineStr">
        <is>
          <t>sub_pl_atual_ausente</t>
        </is>
      </c>
    </row>
    <row r="60" ht="31.5" customHeight="1">
      <c r="A60" s="74" t="n">
        <v>58</v>
      </c>
      <c r="B60" s="138" t="n">
        <v>65976848000104</v>
      </c>
      <c r="C60" s="74" t="inlineStr">
        <is>
          <t>65.976.848/0001-04</t>
        </is>
      </c>
      <c r="D60" s="74" t="inlineStr">
        <is>
          <t>FUNDO DE INVESTIMENTO EM DIREITOS CREDITÓRIOS AGIBANK II RESPONSABILIDADE LIMITADA</t>
        </is>
      </c>
      <c r="E60" s="74" t="inlineStr">
        <is>
          <t>FUNDO DE INVESTIMENTO EM DIREITOS CREDITORIOS AGIBANK II</t>
        </is>
      </c>
      <c r="F60" s="74" t="inlineStr">
        <is>
          <t>Carteira 101</t>
        </is>
      </c>
      <c r="G60" s="74" t="inlineStr">
        <is>
          <t>2026-08</t>
        </is>
      </c>
      <c r="H60" s="74" t="inlineStr">
        <is>
          <t>localizado</t>
        </is>
      </c>
      <c r="I60" s="139" t="n">
        <v>2966345679.42</v>
      </c>
      <c r="J60" s="139" t="n">
        <v>2966345679.421753</v>
      </c>
      <c r="K60" s="139" t="n">
        <v>452358687.3984627</v>
      </c>
      <c r="L60" s="140" t="n">
        <v>0.1524969562842423</v>
      </c>
      <c r="M60" s="74" t="inlineStr">
        <is>
          <t>Calculado com classes reportadas e PL oficial reconciliado</t>
        </is>
      </c>
      <c r="N60" s="140" t="n">
        <v>0.05</v>
      </c>
      <c r="O60" s="140" t="inlineStr">
        <is>
          <t>N/D</t>
        </is>
      </c>
      <c r="P60" s="140" t="inlineStr">
        <is>
          <t>N/D</t>
        </is>
      </c>
      <c r="Q60" s="140" t="inlineStr">
        <is>
          <t>N/D</t>
        </is>
      </c>
      <c r="R60" s="140" t="inlineStr">
        <is>
          <t>N/D</t>
        </is>
      </c>
      <c r="S60" s="140" t="n">
        <v>0.05</v>
      </c>
      <c r="T60" s="74" t="inlineStr">
        <is>
          <t>N/D</t>
        </is>
      </c>
      <c r="U60" s="74" t="inlineStr">
        <is>
          <t>junior_pl</t>
        </is>
      </c>
      <c r="V60" s="74" t="inlineStr">
        <is>
          <t>direto no regulamento</t>
        </is>
      </c>
      <c r="W60" s="74" t="b">
        <v>0</v>
      </c>
      <c r="X60" s="74" t="inlineStr">
        <is>
          <t>Mínimo júnior isolado; a subordinação atual disponível agrega todas as classes subordinadas.</t>
        </is>
      </c>
      <c r="Y60" s="74" t="b">
        <v>0</v>
      </c>
      <c r="Z60" s="140" t="inlineStr">
        <is>
          <t>N/D</t>
        </is>
      </c>
      <c r="AA60" s="140" t="inlineStr">
        <is>
          <t>N/D</t>
        </is>
      </c>
      <c r="AB60" s="74" t="inlineStr">
        <is>
          <t>não medido</t>
        </is>
      </c>
      <c r="AC60" s="74" t="inlineStr">
        <is>
          <t>Financeiro</t>
        </is>
      </c>
      <c r="AD60" s="74" t="inlineStr">
        <is>
          <t>Crédito Consignado</t>
        </is>
      </c>
      <c r="AE60" s="74" t="inlineStr">
        <is>
          <t>Consignado INSS</t>
        </is>
      </c>
      <c r="AF60" s="74" t="inlineStr">
        <is>
          <t>Consignado INSS</t>
        </is>
      </c>
      <c r="AG60" s="74" t="inlineStr">
        <is>
          <t>Consignado INSS e FGTS</t>
        </is>
      </c>
      <c r="AH60" s="74" t="inlineStr">
        <is>
          <t>Consignado INSS e FGTS</t>
        </is>
      </c>
      <c r="AI60" s="74" t="inlineStr">
        <is>
          <t>N/D</t>
        </is>
      </c>
      <c r="AJ60" s="74" t="b">
        <v>0</v>
      </c>
      <c r="AK60" s="74" t="inlineStr">
        <is>
          <t>fora da revisão Financeiro/Agro</t>
        </is>
      </c>
      <c r="AL60" s="74" t="inlineStr">
        <is>
          <t>N/D</t>
        </is>
      </c>
      <c r="AM60" s="74" t="inlineStr">
        <is>
          <t>N/D</t>
        </is>
      </c>
      <c r="AN60" s="74" t="inlineStr">
        <is>
          <t>N/D</t>
        </is>
      </c>
      <c r="AO60" s="74" t="inlineStr">
        <is>
          <t>N/D</t>
        </is>
      </c>
      <c r="AP60" s="74" t="inlineStr">
        <is>
          <t>N/D</t>
        </is>
      </c>
      <c r="AQ60" s="74" t="inlineStr">
        <is>
          <t>Consignado INSS e FGTS</t>
        </is>
      </c>
      <c r="AR60" s="74" t="inlineStr">
        <is>
          <t>Consignado INSS e FGTS</t>
        </is>
      </c>
      <c r="AS60" s="74" t="b">
        <v>0</v>
      </c>
      <c r="AT60" s="74" t="inlineStr">
        <is>
          <t>N/D</t>
        </is>
      </c>
      <c r="AU60" s="74" t="inlineStr">
        <is>
          <t>N/D</t>
        </is>
      </c>
      <c r="AV60" s="74" t="inlineStr">
        <is>
          <t>15%–20%</t>
        </is>
      </c>
      <c r="AW60" s="74" t="b">
        <v>1</v>
      </c>
      <c r="AX60" s="74" t="inlineStr">
        <is>
          <t>incomparável</t>
        </is>
      </c>
      <c r="AY60" s="74" t="inlineStr">
        <is>
          <t>em linha com o mercado</t>
        </is>
      </c>
      <c r="AZ60" s="140" t="n">
        <v>-0.007392925679423734</v>
      </c>
      <c r="BA60" s="74" t="b">
        <v>1</v>
      </c>
      <c r="BB60" s="141" t="n">
        <v>5</v>
      </c>
      <c r="BC60" s="139" t="n">
        <v>1000</v>
      </c>
      <c r="BD60" s="74" t="inlineStr">
        <is>
          <t>R$ 1.000,00</t>
        </is>
      </c>
      <c r="BE60" s="74" t="inlineStr">
        <is>
          <t>preço/valor unitário de emissão</t>
        </is>
      </c>
      <c r="BF60" s="74" t="inlineStr">
        <is>
          <t>N/D</t>
        </is>
      </c>
      <c r="BG60" s="74" t="inlineStr">
        <is>
          <t>22/06/2026</t>
        </is>
      </c>
      <c r="BH60" s="74" t="inlineStr">
        <is>
          <t>1239452</t>
        </is>
      </c>
      <c r="BI60" s="74" t="inlineStr">
        <is>
          <t>https://fnet.bmfbovespa.com.br/fnet/publico/downloadDocumento?id=1239452</t>
        </is>
      </c>
      <c r="BJ60" s="74" t="inlineStr">
        <is>
          <t>localizado documentalmente</t>
        </is>
      </c>
      <c r="BK60" s="74" t="b">
        <v>1</v>
      </c>
      <c r="BL60" s="74" t="inlineStr">
        <is>
          <t>N/D</t>
        </is>
      </c>
      <c r="BM60" s="74" t="inlineStr">
        <is>
          <t>N/D</t>
        </is>
      </c>
      <c r="BN60" s="74" t="inlineStr">
        <is>
          <t>N/D</t>
        </is>
      </c>
      <c r="BO60" s="74" t="inlineStr">
        <is>
          <t>N/D</t>
        </is>
      </c>
      <c r="BP60" s="74" t="inlineStr">
        <is>
          <t>N/D</t>
        </is>
      </c>
      <c r="BQ60" s="74" t="inlineStr">
        <is>
          <t>N/D</t>
        </is>
      </c>
      <c r="BR60" s="74" t="inlineStr">
        <is>
          <t>N/D</t>
        </is>
      </c>
      <c r="BS60" s="74" t="inlineStr">
        <is>
          <t>sem_overlay</t>
        </is>
      </c>
      <c r="BT60" s="74" t="inlineStr">
        <is>
          <t>N/D</t>
        </is>
      </c>
      <c r="BU60" s="74" t="inlineStr">
        <is>
          <t>1239452</t>
        </is>
      </c>
      <c r="BV60" s="74" t="inlineStr">
        <is>
          <t>2026-06-22</t>
        </is>
      </c>
      <c r="BW60" s="74" t="inlineStr">
        <is>
          <t>35</t>
        </is>
      </c>
      <c r="BX60" s="74" t="inlineStr">
        <is>
          <t>revisto — mínimo júnior localizado</t>
        </is>
      </c>
      <c r="BY60" s="74" t="inlineStr">
        <is>
          <t>FundosNet/B3; documento 1239452; referência 2026-06-22; p. 35</t>
        </is>
      </c>
      <c r="BZ60" s="74" t="inlineStr">
        <is>
          <t>Índice de Subordinação Mezanino: cotas júnior / PL, mínimo de 5,0%.</t>
        </is>
      </c>
      <c r="CA60" s="74" t="inlineStr">
        <is>
          <t>originador; cedente; sacado/devedor; tipo de recebível</t>
        </is>
      </c>
      <c r="CB60" s="74" t="inlineStr">
        <is>
          <t>estrutura_incomparavel</t>
        </is>
      </c>
    </row>
    <row r="61" ht="31.5" customHeight="1">
      <c r="A61" s="75" t="n">
        <v>59</v>
      </c>
      <c r="B61" s="142" t="n">
        <v>50536324000117</v>
      </c>
      <c r="C61" s="75" t="inlineStr">
        <is>
          <t>50.536.324/0001-17</t>
        </is>
      </c>
      <c r="D61" s="75" t="inlineStr">
        <is>
          <t>MAQNELSON FUNDO DE INVESTIMENTO EM DIREITOS CREDITÓRIOS - RESPONSABILIDADE LIMITADA</t>
        </is>
      </c>
      <c r="E61" s="75" t="inlineStr">
        <is>
          <t>MAQNELSON FUNDO DE INVESTIMENTO EM DIREITOS CREDIT</t>
        </is>
      </c>
      <c r="F61" s="75" t="inlineStr">
        <is>
          <t>Carteira 101</t>
        </is>
      </c>
      <c r="G61" s="75" t="inlineStr">
        <is>
          <t>2026-08</t>
        </is>
      </c>
      <c r="H61" s="75" t="inlineStr">
        <is>
          <t>localizado</t>
        </is>
      </c>
      <c r="I61" s="143" t="n">
        <v>102687730.15</v>
      </c>
      <c r="J61" s="143" t="n">
        <v>102687730.1426409</v>
      </c>
      <c r="K61" s="143" t="n">
        <v>50531560.08019644</v>
      </c>
      <c r="L61" s="144" t="n">
        <v>0.4920895612979564</v>
      </c>
      <c r="M61" s="75" t="inlineStr">
        <is>
          <t>Calculado com classes reportadas e PL oficial reconciliado</t>
        </is>
      </c>
      <c r="N61" s="144" t="n">
        <v>0.5</v>
      </c>
      <c r="O61" s="144" t="inlineStr">
        <is>
          <t>N/D</t>
        </is>
      </c>
      <c r="P61" s="144" t="inlineStr">
        <is>
          <t>N/D</t>
        </is>
      </c>
      <c r="Q61" s="144" t="n">
        <v>0.5</v>
      </c>
      <c r="R61" s="144" t="inlineStr">
        <is>
          <t>N/D</t>
        </is>
      </c>
      <c r="S61" s="144" t="n">
        <v>0.5</v>
      </c>
      <c r="T61" s="75" t="inlineStr">
        <is>
          <t>50,0%</t>
        </is>
      </c>
      <c r="U61" s="75" t="inlineStr">
        <is>
          <t>junior_pl</t>
        </is>
      </c>
      <c r="V61" s="75" t="inlineStr">
        <is>
          <t>direto no regulamento</t>
        </is>
      </c>
      <c r="W61" s="75" t="b">
        <v>1</v>
      </c>
      <c r="X61" s="75" t="inlineStr">
        <is>
          <t>Estrutura com uma única classe subordinada; métrica atual e piso usam o total subordinado sobre o PL.</t>
        </is>
      </c>
      <c r="Y61" s="75" t="b">
        <v>0</v>
      </c>
      <c r="Z61" s="144" t="n">
        <v>-0.007910438702043554</v>
      </c>
      <c r="AA61" s="144" t="n">
        <v>-0.01582087740408711</v>
      </c>
      <c r="AB61" s="75" t="inlineStr">
        <is>
          <t>abaixo do mínimo</t>
        </is>
      </c>
      <c r="AC61" s="75" t="inlineStr">
        <is>
          <t>Agro, Indústria e Comércio</t>
        </is>
      </c>
      <c r="AD61" s="75" t="inlineStr">
        <is>
          <t>Recebíveis Comerciais</t>
        </is>
      </c>
      <c r="AE61" s="75" t="inlineStr">
        <is>
          <t>Agro / Revenda</t>
        </is>
      </c>
      <c r="AF61" s="75" t="inlineStr">
        <is>
          <t>Agro / Revenda</t>
        </is>
      </c>
      <c r="AG61" s="75" t="inlineStr">
        <is>
          <t>Agro / Revenda</t>
        </is>
      </c>
      <c r="AH61" s="75" t="inlineStr">
        <is>
          <t>Agro / Revenda</t>
        </is>
      </c>
      <c r="AI61" s="75" t="inlineStr">
        <is>
          <t>Venda a prazo de máquinas e implementos Maqnelson</t>
        </is>
      </c>
      <c r="AJ61" s="75" t="b">
        <v>0</v>
      </c>
      <c r="AK61" s="75" t="inlineStr">
        <is>
          <t>MANTER_ALTA</t>
        </is>
      </c>
      <c r="AL61" s="75" t="inlineStr">
        <is>
          <t>Recebíveis performados de venda de bens na cadeia agro</t>
        </is>
      </c>
      <c r="AM61" s="75" t="inlineStr">
        <is>
          <t>regulamento 918862</t>
        </is>
      </c>
      <c r="AN61" s="75" t="inlineStr">
        <is>
          <t>Não</t>
        </is>
      </c>
      <c r="AO61" s="75" t="inlineStr">
        <is>
          <t>regulamento 918862</t>
        </is>
      </c>
      <c r="AP61" s="75" t="b">
        <v>0</v>
      </c>
      <c r="AQ61" s="75" t="inlineStr">
        <is>
          <t>Agro / Revenda</t>
        </is>
      </c>
      <c r="AR61" s="75" t="inlineStr">
        <is>
          <t>Agro / Revenda</t>
        </is>
      </c>
      <c r="AS61" s="75" t="b">
        <v>0</v>
      </c>
      <c r="AT61" s="75" t="inlineStr">
        <is>
          <t>N/D</t>
        </is>
      </c>
      <c r="AU61" s="75" t="inlineStr">
        <is>
          <t>N/D</t>
        </is>
      </c>
      <c r="AV61" s="75" t="inlineStr">
        <is>
          <t>35%–60%</t>
        </is>
      </c>
      <c r="AW61" s="75" t="b">
        <v>1</v>
      </c>
      <c r="AX61" s="75" t="inlineStr">
        <is>
          <t>abaixo do piso</t>
        </is>
      </c>
      <c r="AY61" s="75" t="inlineStr">
        <is>
          <t>sem benchmark confiável</t>
        </is>
      </c>
      <c r="AZ61" s="144" t="inlineStr">
        <is>
          <t>N/D</t>
        </is>
      </c>
      <c r="BA61" s="75" t="b">
        <v>0</v>
      </c>
      <c r="BB61" s="145" t="n">
        <v>0</v>
      </c>
      <c r="BC61" s="143" t="n">
        <v>1000</v>
      </c>
      <c r="BD61" s="75" t="inlineStr">
        <is>
          <t>R$ 1.000,00</t>
        </is>
      </c>
      <c r="BE61" s="75" t="inlineStr">
        <is>
          <t>preço/valor unitário de emissão</t>
        </is>
      </c>
      <c r="BF61" s="75" t="inlineStr">
        <is>
          <t>N/D</t>
        </is>
      </c>
      <c r="BG61" s="75" t="inlineStr">
        <is>
          <t>09/10/2024</t>
        </is>
      </c>
      <c r="BH61" s="75" t="inlineStr">
        <is>
          <t>756476</t>
        </is>
      </c>
      <c r="BI61" s="75" t="inlineStr">
        <is>
          <t>https://fnet.bmfbovespa.com.br/fnet/publico/downloadDocumento?id=756476</t>
        </is>
      </c>
      <c r="BJ61" s="75" t="inlineStr">
        <is>
          <t>localizado documentalmente</t>
        </is>
      </c>
      <c r="BK61" s="75" t="b">
        <v>1</v>
      </c>
      <c r="BL61" s="75" t="inlineStr">
        <is>
          <t>Maqnelson</t>
        </is>
      </c>
      <c r="BM61" s="75" t="inlineStr">
        <is>
          <t>cedente</t>
        </is>
      </c>
      <c r="BN61" s="75" t="inlineStr">
        <is>
          <t>N/D</t>
        </is>
      </c>
      <c r="BO61" s="75" t="inlineStr">
        <is>
          <t>Maqnelson</t>
        </is>
      </c>
      <c r="BP61" s="75" t="inlineStr">
        <is>
          <t>N/D</t>
        </is>
      </c>
      <c r="BQ61" s="75" t="inlineStr">
        <is>
          <t>os direitos creditórios performados originados da venda a prazo de Bens, representados pelos Documentos Comprobatórios, conforme o caso, detidas pelas Cedentes contra as Devedoras</t>
        </is>
      </c>
      <c r="BR61" s="75" t="inlineStr">
        <is>
          <t>cedente: IMG_8706.JPG | tipo_recebivel: https://fnet.bmfbovespa.com.br/fnet/publico/downloadDocumento?id=918862</t>
        </is>
      </c>
      <c r="BS61" s="75" t="inlineStr">
        <is>
          <t>manual_aplicado</t>
        </is>
      </c>
      <c r="BT61" s="75" t="inlineStr">
        <is>
          <t>OBS legível: houve desenquadramento da subordinação e haverá amortização de parcela da cota para reenquadramento; final cortado. Denominação cortada.</t>
        </is>
      </c>
      <c r="BU61" s="75" t="inlineStr">
        <is>
          <t>918862</t>
        </is>
      </c>
      <c r="BV61" s="75" t="inlineStr">
        <is>
          <t>2025-06-04</t>
        </is>
      </c>
      <c r="BW61" s="75" t="inlineStr">
        <is>
          <t>111</t>
        </is>
      </c>
      <c r="BX61" s="75" t="inlineStr">
        <is>
          <t>revisto — mínimo júnior localizado</t>
        </is>
      </c>
      <c r="BY61" s="75" t="inlineStr">
        <is>
          <t>FundosNet/B3; documento 918862; referência 2025-06-04; p. 111</t>
        </is>
      </c>
      <c r="BZ61" s="75" t="inlineStr">
        <is>
          <t>Cotas subordinadas / PL, mínimo de 50,0%; estrutura com uma única classe residual.</t>
        </is>
      </c>
      <c r="CA61" s="75" t="inlineStr">
        <is>
          <t>originador; sacado/devedor</t>
        </is>
      </c>
      <c r="CB61" s="75" t="inlineStr">
        <is>
          <t>completo_para_folga</t>
        </is>
      </c>
    </row>
    <row r="62" ht="31.5" customHeight="1">
      <c r="A62" s="74" t="n">
        <v>60</v>
      </c>
      <c r="B62" s="138" t="n">
        <v>57816252000100</v>
      </c>
      <c r="C62" s="74" t="inlineStr">
        <is>
          <t>57.816.252/0001-00</t>
        </is>
      </c>
      <c r="D62" s="74" t="inlineStr">
        <is>
          <t>NATURA PAY FUNDO DE INVESTIMENTO EM DIREITOS CREDITÓRIOS CRÉDITO PESSOAL SOCIAL E IS RESP LTDA</t>
        </is>
      </c>
      <c r="E62" s="74" t="inlineStr">
        <is>
          <t>NATURA PAY FUNDO DE INVESTIMENTO EM DIREITOS CREDI</t>
        </is>
      </c>
      <c r="F62" s="74" t="inlineStr">
        <is>
          <t>Carteira 101</t>
        </is>
      </c>
      <c r="G62" s="74" t="inlineStr">
        <is>
          <t>2026-08</t>
        </is>
      </c>
      <c r="H62" s="74" t="inlineStr">
        <is>
          <t>localizado</t>
        </is>
      </c>
      <c r="I62" s="139" t="n">
        <v>1050671609.46</v>
      </c>
      <c r="J62" s="139" t="n">
        <v>1050671609.453919</v>
      </c>
      <c r="K62" s="139" t="n">
        <v>309034313.8999171</v>
      </c>
      <c r="L62" s="140" t="n">
        <v>0.2941302602235035</v>
      </c>
      <c r="M62" s="74" t="inlineStr">
        <is>
          <t>Calculado com classes reportadas e PL oficial reconciliado</t>
        </is>
      </c>
      <c r="N62" s="140" t="n">
        <v>0.2526</v>
      </c>
      <c r="O62" s="140" t="inlineStr">
        <is>
          <t>N/D</t>
        </is>
      </c>
      <c r="P62" s="140" t="inlineStr">
        <is>
          <t>N/D</t>
        </is>
      </c>
      <c r="Q62" s="140" t="n">
        <v>0.2526</v>
      </c>
      <c r="R62" s="140" t="inlineStr">
        <is>
          <t>N/D</t>
        </is>
      </c>
      <c r="S62" s="140" t="n">
        <v>0.2526</v>
      </c>
      <c r="T62" s="74" t="inlineStr">
        <is>
          <t>25,26%</t>
        </is>
      </c>
      <c r="U62" s="74" t="inlineStr">
        <is>
          <t>junior_pl</t>
        </is>
      </c>
      <c r="V62" s="74" t="inlineStr">
        <is>
          <t>direto no regulamento</t>
        </is>
      </c>
      <c r="W62" s="74" t="b">
        <v>1</v>
      </c>
      <c r="X62" s="74" t="inlineStr">
        <is>
          <t>Estrutura com uma única classe subordinada; métrica atual e piso usam o total subordinado sobre o PL.</t>
        </is>
      </c>
      <c r="Y62" s="74" t="b">
        <v>0</v>
      </c>
      <c r="Z62" s="140" t="n">
        <v>0.04153026022350353</v>
      </c>
      <c r="AA62" s="140" t="n">
        <v>0.05556631017327205</v>
      </c>
      <c r="AB62" s="74" t="inlineStr">
        <is>
          <t>acima do mínimo</t>
        </is>
      </c>
      <c r="AC62" s="74" t="inlineStr">
        <is>
          <t>Financeiro</t>
        </is>
      </c>
      <c r="AD62" s="74" t="inlineStr">
        <is>
          <t>Crédito Pessoal</t>
        </is>
      </c>
      <c r="AE62" s="74" t="inlineStr">
        <is>
          <t>Financeiro</t>
        </is>
      </c>
      <c r="AF62" s="74" t="inlineStr">
        <is>
          <t>Financeiro</t>
        </is>
      </c>
      <c r="AG62" s="74" t="inlineStr">
        <is>
          <t>Financeiro</t>
        </is>
      </c>
      <c r="AH62" s="74" t="inlineStr">
        <is>
          <t>Financeiro</t>
        </is>
      </c>
      <c r="AI62" s="74" t="inlineStr">
        <is>
          <t>Financiamento a consultoras Natura, CCBs</t>
        </is>
      </c>
      <c r="AJ62" s="74" t="b">
        <v>0</v>
      </c>
      <c r="AK62" s="74" t="inlineStr">
        <is>
          <t>MANTER_ALTA</t>
        </is>
      </c>
      <c r="AL62" s="74" t="inlineStr">
        <is>
          <t>Financiamentos da Natura SCD formalizados em CCB</t>
        </is>
      </c>
      <c r="AM62" s="74" t="inlineStr">
        <is>
          <t>regulamento 1182394</t>
        </is>
      </c>
      <c r="AN62" s="74" t="inlineStr">
        <is>
          <t>Não</t>
        </is>
      </c>
      <c r="AO62" s="74" t="inlineStr">
        <is>
          <t>regulamento 1182394</t>
        </is>
      </c>
      <c r="AP62" s="74" t="b">
        <v>0</v>
      </c>
      <c r="AQ62" s="74" t="inlineStr">
        <is>
          <t>Financeiro</t>
        </is>
      </c>
      <c r="AR62" s="74" t="inlineStr">
        <is>
          <t>Financeiro</t>
        </is>
      </c>
      <c r="AS62" s="74" t="b">
        <v>0</v>
      </c>
      <c r="AT62" s="74" t="inlineStr">
        <is>
          <t>N/D</t>
        </is>
      </c>
      <c r="AU62" s="74" t="inlineStr">
        <is>
          <t>N/D</t>
        </is>
      </c>
      <c r="AV62" s="74" t="inlineStr">
        <is>
          <t>20%–35%</t>
        </is>
      </c>
      <c r="AW62" s="74" t="b">
        <v>1</v>
      </c>
      <c r="AX62" s="74" t="inlineStr">
        <is>
          <t>acima do piso</t>
        </is>
      </c>
      <c r="AY62" s="74" t="inlineStr">
        <is>
          <t>em linha com o mercado</t>
        </is>
      </c>
      <c r="AZ62" s="140" t="n">
        <v>-0.01206352047298065</v>
      </c>
      <c r="BA62" s="74" t="b">
        <v>1</v>
      </c>
      <c r="BB62" s="141" t="n">
        <v>12</v>
      </c>
      <c r="BC62" s="139" t="n">
        <v>1000</v>
      </c>
      <c r="BD62" s="74" t="inlineStr">
        <is>
          <t>Cotas Seniores: R$ 1.000,00</t>
        </is>
      </c>
      <c r="BE62" s="74" t="inlineStr">
        <is>
          <t>preço/valor unitário de emissão</t>
        </is>
      </c>
      <c r="BF62" s="74" t="inlineStr">
        <is>
          <t>Cotas Seniores</t>
        </is>
      </c>
      <c r="BG62" s="74" t="inlineStr">
        <is>
          <t>30/03/2026 18:00</t>
        </is>
      </c>
      <c r="BH62" s="74" t="inlineStr">
        <is>
          <t>1150911</t>
        </is>
      </c>
      <c r="BI62" s="74" t="inlineStr">
        <is>
          <t>https://fnet.bmfbovespa.com.br/fnet/publico/downloadDocumento?id=1150911</t>
        </is>
      </c>
      <c r="BJ62" s="74" t="inlineStr">
        <is>
          <t>localizado documentalmente</t>
        </is>
      </c>
      <c r="BK62" s="74" t="b">
        <v>0</v>
      </c>
      <c r="BL62" s="74" t="inlineStr">
        <is>
          <t>Natura &amp;CO Pay Sociedade de Crédito Direto S.A.</t>
        </is>
      </c>
      <c r="BM62" s="74" t="inlineStr">
        <is>
          <t>cedente</t>
        </is>
      </c>
      <c r="BN62" s="74" t="inlineStr">
        <is>
          <t>N/D</t>
        </is>
      </c>
      <c r="BO62" s="74" t="inlineStr">
        <is>
          <t>Natura &amp;CO Pay Sociedade de Crédito Direto S.A.</t>
        </is>
      </c>
      <c r="BP62" s="74" t="inlineStr">
        <is>
          <t>N/D</t>
        </is>
      </c>
      <c r="BQ62" s="74" t="inlineStr">
        <is>
          <t>os recebíveis alienados pela Endossante à Classe, originados no âmbito de operações de financiamentos concedidos pela Natura SCD às Devedoras, mediante a emissão de CCB em favor da Natura SCD</t>
        </is>
      </c>
      <c r="BR62" s="74" t="inlineStr">
        <is>
          <t>cedente: IMG_8706.JPG | tipo_recebivel: https://fnet.bmfbovespa.com.br/fnet/publico/downloadDocumento?id=1182394</t>
        </is>
      </c>
      <c r="BS62" s="74" t="inlineStr">
        <is>
          <t>manual_aplicado</t>
        </is>
      </c>
      <c r="BT62" s="74" t="inlineStr">
        <is>
          <t>Coluna adicional da foto: Duplicatas. Denominação cortada.</t>
        </is>
      </c>
      <c r="BU62" s="74" t="inlineStr">
        <is>
          <t>1182394</t>
        </is>
      </c>
      <c r="BV62" s="74" t="inlineStr">
        <is>
          <t>2026-05-07</t>
        </is>
      </c>
      <c r="BW62" s="74" t="inlineStr">
        <is>
          <t>28; 68</t>
        </is>
      </c>
      <c r="BX62" s="74" t="inlineStr">
        <is>
          <t>revisto — mínimo júnior localizado</t>
        </is>
      </c>
      <c r="BY62" s="74" t="inlineStr">
        <is>
          <t>FundosNet/B3; documento 1182394; referência 2026-05-07; p. 28; 68</t>
        </is>
      </c>
      <c r="BZ62" s="74" t="inlineStr">
        <is>
          <t>Cotas subordinadas / PL, mínimo de 25,26%; estrutura com uma única classe residual.</t>
        </is>
      </c>
      <c r="CA62" s="74" t="inlineStr">
        <is>
          <t>originador; sacado/devedor</t>
        </is>
      </c>
      <c r="CB62" s="74" t="inlineStr">
        <is>
          <t>completo_para_folga</t>
        </is>
      </c>
    </row>
    <row r="63" ht="31.5" customHeight="1">
      <c r="A63" s="75" t="n">
        <v>61</v>
      </c>
      <c r="B63" s="142" t="n">
        <v>50473039000102</v>
      </c>
      <c r="C63" s="75" t="inlineStr">
        <is>
          <t>50.473.039/0001-02</t>
        </is>
      </c>
      <c r="D63" s="75" t="inlineStr">
        <is>
          <t>SELLER FIDC SEGMENTO MEIOS DE PAGAMENTO DE RESPONSABILIDADE LIMITADA</t>
        </is>
      </c>
      <c r="E63" s="75" t="inlineStr">
        <is>
          <t>SELLER FUNDO DE INVESTIMENTO EM DIREITOS CREDITORIOS</t>
        </is>
      </c>
      <c r="F63" s="75" t="inlineStr">
        <is>
          <t>Carteira 101</t>
        </is>
      </c>
      <c r="G63" s="75" t="inlineStr">
        <is>
          <t>2026-08</t>
        </is>
      </c>
      <c r="H63" s="75" t="inlineStr">
        <is>
          <t>localizado</t>
        </is>
      </c>
      <c r="I63" s="143" t="n">
        <v>2641955191.86</v>
      </c>
      <c r="J63" s="143" t="n">
        <v>2641955191.85639</v>
      </c>
      <c r="K63" s="143" t="n">
        <v>922876101.2415354</v>
      </c>
      <c r="L63" s="144" t="n">
        <v>0.3493155766172584</v>
      </c>
      <c r="M63" s="75" t="inlineStr">
        <is>
          <t>Calculado com classes reportadas e PL oficial reconciliado</t>
        </is>
      </c>
      <c r="N63" s="144" t="n">
        <v>0.1</v>
      </c>
      <c r="O63" s="144" t="inlineStr">
        <is>
          <t>N/D</t>
        </is>
      </c>
      <c r="P63" s="144" t="inlineStr">
        <is>
          <t>N/D</t>
        </is>
      </c>
      <c r="Q63" s="144" t="inlineStr">
        <is>
          <t>N/D</t>
        </is>
      </c>
      <c r="R63" s="144" t="inlineStr">
        <is>
          <t>N/D</t>
        </is>
      </c>
      <c r="S63" s="144" t="n">
        <v>0.1</v>
      </c>
      <c r="T63" s="75" t="inlineStr">
        <is>
          <t>N/D</t>
        </is>
      </c>
      <c r="U63" s="75" t="inlineStr">
        <is>
          <t>junior_pl</t>
        </is>
      </c>
      <c r="V63" s="75" t="inlineStr">
        <is>
          <t>direto no regulamento</t>
        </is>
      </c>
      <c r="W63" s="75" t="b">
        <v>0</v>
      </c>
      <c r="X63" s="75" t="inlineStr">
        <is>
          <t>Mínimo júnior isolado; a subordinação atual disponível agrega todas as classes subordinadas.</t>
        </is>
      </c>
      <c r="Y63" s="75" t="b">
        <v>0</v>
      </c>
      <c r="Z63" s="144" t="inlineStr">
        <is>
          <t>N/D</t>
        </is>
      </c>
      <c r="AA63" s="144" t="inlineStr">
        <is>
          <t>N/D</t>
        </is>
      </c>
      <c r="AB63" s="75" t="inlineStr">
        <is>
          <t>não medido</t>
        </is>
      </c>
      <c r="AC63" s="75" t="inlineStr">
        <is>
          <t>Financeiro</t>
        </is>
      </c>
      <c r="AD63" s="75" t="inlineStr">
        <is>
          <t>Adquirência</t>
        </is>
      </c>
      <c r="AE63" s="75" t="inlineStr">
        <is>
          <t>Adquirência</t>
        </is>
      </c>
      <c r="AF63" s="75" t="inlineStr">
        <is>
          <t>Adquirência</t>
        </is>
      </c>
      <c r="AG63" s="75" t="inlineStr">
        <is>
          <t>Adquirência</t>
        </is>
      </c>
      <c r="AH63" s="75" t="inlineStr">
        <is>
          <t>Adquirência</t>
        </is>
      </c>
      <c r="AI63" s="75" t="inlineStr">
        <is>
          <t>N/D</t>
        </is>
      </c>
      <c r="AJ63" s="75" t="b">
        <v>0</v>
      </c>
      <c r="AK63" s="75" t="inlineStr">
        <is>
          <t>fora da revisão Financeiro/Agro</t>
        </is>
      </c>
      <c r="AL63" s="75" t="inlineStr">
        <is>
          <t>N/D</t>
        </is>
      </c>
      <c r="AM63" s="75" t="inlineStr">
        <is>
          <t>N/D</t>
        </is>
      </c>
      <c r="AN63" s="75" t="inlineStr">
        <is>
          <t>N/D</t>
        </is>
      </c>
      <c r="AO63" s="75" t="inlineStr">
        <is>
          <t>N/D</t>
        </is>
      </c>
      <c r="AP63" s="75" t="inlineStr">
        <is>
          <t>N/D</t>
        </is>
      </c>
      <c r="AQ63" s="75" t="inlineStr">
        <is>
          <t>Adquirência</t>
        </is>
      </c>
      <c r="AR63" s="75" t="inlineStr">
        <is>
          <t>Adquirência</t>
        </is>
      </c>
      <c r="AS63" s="75" t="b">
        <v>0</v>
      </c>
      <c r="AT63" s="75" t="inlineStr">
        <is>
          <t>N/D</t>
        </is>
      </c>
      <c r="AU63" s="75" t="inlineStr">
        <is>
          <t>N/D</t>
        </is>
      </c>
      <c r="AV63" s="75" t="inlineStr">
        <is>
          <t>20%–35%</t>
        </is>
      </c>
      <c r="AW63" s="75" t="b">
        <v>1</v>
      </c>
      <c r="AX63" s="75" t="inlineStr">
        <is>
          <t>incomparável</t>
        </is>
      </c>
      <c r="AY63" s="75" t="inlineStr">
        <is>
          <t>acima do mercado</t>
        </is>
      </c>
      <c r="AZ63" s="144" t="n">
        <v>0.1882492144265984</v>
      </c>
      <c r="BA63" s="75" t="b">
        <v>1</v>
      </c>
      <c r="BB63" s="145" t="n">
        <v>14</v>
      </c>
      <c r="BC63" s="143" t="n">
        <v>1000</v>
      </c>
      <c r="BD63" s="75" t="inlineStr">
        <is>
          <t>Cotas Seniores: R$ 1.000,00</t>
        </is>
      </c>
      <c r="BE63" s="75" t="inlineStr">
        <is>
          <t>valor nominal unitário (VNU)</t>
        </is>
      </c>
      <c r="BF63" s="75" t="inlineStr">
        <is>
          <t>Cotas Seniores</t>
        </is>
      </c>
      <c r="BG63" s="75" t="inlineStr">
        <is>
          <t>2025-05-19</t>
        </is>
      </c>
      <c r="BH63" s="75" t="inlineStr">
        <is>
          <t>909547</t>
        </is>
      </c>
      <c r="BI63" s="75" t="inlineStr">
        <is>
          <t>https://fnet.bmfbovespa.com.br/fnet/publico/downloadDocumento?id=909547</t>
        </is>
      </c>
      <c r="BJ63" s="75" t="inlineStr">
        <is>
          <t>localizado documentalmente</t>
        </is>
      </c>
      <c r="BK63" s="75" t="b">
        <v>0</v>
      </c>
      <c r="BL63" s="75" t="inlineStr">
        <is>
          <t>Mercado Pago (originador) | Mercado Livre (cedente)</t>
        </is>
      </c>
      <c r="BM63" s="75" t="inlineStr">
        <is>
          <t>originador | cedente</t>
        </is>
      </c>
      <c r="BN63" s="75" t="inlineStr">
        <is>
          <t>Mercado Pago</t>
        </is>
      </c>
      <c r="BO63" s="75" t="inlineStr">
        <is>
          <t>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t>
        </is>
      </c>
      <c r="BP63" s="75" t="inlineStr">
        <is>
          <t>o MERCADO PAGO INSTITUIÇÃO DE PAGAMENTO LTDA., sociedade limitada, com sede na Avenida das Nações Unidas, nº 3.003, Parte E, Bonfim, no Município de Osasco, Estado de São Paulo, CEP 06.233-903, inscrita no CNPJ sob o nº 10.573.521/0001-91</t>
        </is>
      </c>
      <c r="BQ63" s="75" t="inlineStr">
        <is>
          <t>os Direitos Creditórios dos Estabelecimentos Comerciais e os Direitos Creditórios do Mercado Crédito quando referidos em co njunto ou de forma indistinta, conforme aplicável</t>
        </is>
      </c>
      <c r="BR63" s="75" t="inlineStr">
        <is>
          <t>cedente: https://fnet.bmfbovespa.com.br/fnet/publico/downloadDocumento?id=790777 | sacado_devedor: https://fnet.bmfbovespa.com.br/fnet/publico/downloadDocumento?id=790777 | tipo_recebivel: https://fnet.bmfbovespa.com.br/fnet/publico/downloadDocumento?id=467929</t>
        </is>
      </c>
      <c r="BS63" s="75" t="inlineStr">
        <is>
          <t>manual_aplicado</t>
        </is>
      </c>
      <c r="BT63" s="75" t="inlineStr">
        <is>
          <t>Os rótulos manuais são complementares; a entidade documental e o papel legal prevalecem no export.</t>
        </is>
      </c>
      <c r="BU63" s="75" t="inlineStr">
        <is>
          <t>909547</t>
        </is>
      </c>
      <c r="BV63" s="75" t="inlineStr">
        <is>
          <t>2025-05-19</t>
        </is>
      </c>
      <c r="BW63" s="75" t="inlineStr">
        <is>
          <t>99</t>
        </is>
      </c>
      <c r="BX63" s="75" t="inlineStr">
        <is>
          <t>revisto — mínimo júnior localizado</t>
        </is>
      </c>
      <c r="BY63" s="75" t="inlineStr">
        <is>
          <t>FundosNet/B3; documento 909547; referência 2025-05-19; p. 99</t>
        </is>
      </c>
      <c r="BZ63" s="75" t="inlineStr">
        <is>
          <t>Totalidade das cotas júnior / PL, mínimo de 10,0%.</t>
        </is>
      </c>
      <c r="CA63" s="75" t="inlineStr">
        <is>
          <t>Nenhum</t>
        </is>
      </c>
      <c r="CB63" s="75" t="inlineStr">
        <is>
          <t>estrutura_incomparavel</t>
        </is>
      </c>
    </row>
    <row r="64" ht="31.5" customHeight="1">
      <c r="A64" s="74" t="n">
        <v>62</v>
      </c>
      <c r="B64" s="138" t="n">
        <v>62588266000154</v>
      </c>
      <c r="C64" s="74" t="inlineStr">
        <is>
          <t>62.588.266/0001-54</t>
        </is>
      </c>
      <c r="D64" s="74" t="inlineStr">
        <is>
          <t>VTK FUNDO DE INVESTIMENTO EM DIREITOS CREDITÓRIOS RESPONSABILIDADE LIMITADA</t>
        </is>
      </c>
      <c r="E64" s="74" t="inlineStr">
        <is>
          <t>VTK FIDC RESP LIMIT</t>
        </is>
      </c>
      <c r="F64" s="74" t="inlineStr">
        <is>
          <t>Carteira 101</t>
        </is>
      </c>
      <c r="G64" s="74" t="inlineStr">
        <is>
          <t>2026-08</t>
        </is>
      </c>
      <c r="H64" s="74" t="inlineStr">
        <is>
          <t>localizado</t>
        </is>
      </c>
      <c r="I64" s="139" t="n">
        <v>3100556826.01</v>
      </c>
      <c r="J64" s="139" t="n">
        <v>2520309058.440632</v>
      </c>
      <c r="K64" s="139" t="n">
        <v>477981794.0587984</v>
      </c>
      <c r="L64" s="140" t="inlineStr">
        <is>
          <t>N/D</t>
        </is>
      </c>
      <c r="M64" s="74" t="inlineStr">
        <is>
          <t>N/D — PL oficial diverge das classes acima de 0,5%</t>
        </is>
      </c>
      <c r="N64" s="140" t="n">
        <v>0.05</v>
      </c>
      <c r="O64" s="140" t="inlineStr">
        <is>
          <t>N/D</t>
        </is>
      </c>
      <c r="P64" s="140" t="inlineStr">
        <is>
          <t>N/D</t>
        </is>
      </c>
      <c r="Q64" s="140" t="inlineStr">
        <is>
          <t>N/D</t>
        </is>
      </c>
      <c r="R64" s="140" t="inlineStr">
        <is>
          <t>N/D</t>
        </is>
      </c>
      <c r="S64" s="140" t="n">
        <v>0.05</v>
      </c>
      <c r="T64" s="74" t="inlineStr">
        <is>
          <t>N/D</t>
        </is>
      </c>
      <c r="U64" s="74" t="inlineStr">
        <is>
          <t>junior_pl</t>
        </is>
      </c>
      <c r="V64" s="74" t="inlineStr">
        <is>
          <t>direto no regulamento</t>
        </is>
      </c>
      <c r="W64" s="74" t="b">
        <v>0</v>
      </c>
      <c r="X64" s="74" t="inlineStr">
        <is>
          <t>Mínimo júnior isolado; a subordinação atual disponível agrega todas as classes subordinadas.</t>
        </is>
      </c>
      <c r="Y64" s="74" t="b">
        <v>0</v>
      </c>
      <c r="Z64" s="140" t="inlineStr">
        <is>
          <t>N/D</t>
        </is>
      </c>
      <c r="AA64" s="140" t="inlineStr">
        <is>
          <t>N/D</t>
        </is>
      </c>
      <c r="AB64" s="74" t="inlineStr">
        <is>
          <t>não medido</t>
        </is>
      </c>
      <c r="AC64" s="74" t="inlineStr">
        <is>
          <t>Financeiro</t>
        </is>
      </c>
      <c r="AD64" s="74" t="inlineStr">
        <is>
          <t>Crédito Consignado</t>
        </is>
      </c>
      <c r="AE64" s="74" t="inlineStr">
        <is>
          <t>Consignado INSS</t>
        </is>
      </c>
      <c r="AF64" s="74" t="inlineStr">
        <is>
          <t>Consignado INSS</t>
        </is>
      </c>
      <c r="AG64" s="74" t="inlineStr">
        <is>
          <t>Consignado INSS e FGTS</t>
        </is>
      </c>
      <c r="AH64" s="74" t="inlineStr">
        <is>
          <t>Consignado INSS e FGTS</t>
        </is>
      </c>
      <c r="AI64" s="74" t="inlineStr">
        <is>
          <t>N/D</t>
        </is>
      </c>
      <c r="AJ64" s="74" t="b">
        <v>0</v>
      </c>
      <c r="AK64" s="74" t="inlineStr">
        <is>
          <t>fora da revisão Financeiro/Agro</t>
        </is>
      </c>
      <c r="AL64" s="74" t="inlineStr">
        <is>
          <t>N/D</t>
        </is>
      </c>
      <c r="AM64" s="74" t="inlineStr">
        <is>
          <t>N/D</t>
        </is>
      </c>
      <c r="AN64" s="74" t="inlineStr">
        <is>
          <t>N/D</t>
        </is>
      </c>
      <c r="AO64" s="74" t="inlineStr">
        <is>
          <t>N/D</t>
        </is>
      </c>
      <c r="AP64" s="74" t="inlineStr">
        <is>
          <t>N/D</t>
        </is>
      </c>
      <c r="AQ64" s="74" t="inlineStr">
        <is>
          <t>Consignado INSS e FGTS</t>
        </is>
      </c>
      <c r="AR64" s="74" t="inlineStr">
        <is>
          <t>Consignado INSS e FGTS</t>
        </is>
      </c>
      <c r="AS64" s="74" t="b">
        <v>0</v>
      </c>
      <c r="AT64" s="74" t="inlineStr">
        <is>
          <t>N/D</t>
        </is>
      </c>
      <c r="AU64" s="74" t="inlineStr">
        <is>
          <t>N/D</t>
        </is>
      </c>
      <c r="AV64" s="74" t="inlineStr">
        <is>
          <t>N/D</t>
        </is>
      </c>
      <c r="AW64" s="74" t="b">
        <v>0</v>
      </c>
      <c r="AX64" s="74" t="inlineStr">
        <is>
          <t>N/D</t>
        </is>
      </c>
      <c r="AY64" s="74" t="inlineStr">
        <is>
          <t>sem benchmark confiável</t>
        </is>
      </c>
      <c r="AZ64" s="140" t="inlineStr">
        <is>
          <t>N/D</t>
        </is>
      </c>
      <c r="BA64" s="74" t="b">
        <v>1</v>
      </c>
      <c r="BB64" s="141" t="n">
        <v>5</v>
      </c>
      <c r="BC64" s="139" t="n">
        <v>1000</v>
      </c>
      <c r="BD64" s="74" t="inlineStr">
        <is>
          <t>R$ 1.000,00</t>
        </is>
      </c>
      <c r="BE64" s="74" t="inlineStr">
        <is>
          <t>preço/valor unitário de emissão</t>
        </is>
      </c>
      <c r="BF64" s="74" t="inlineStr">
        <is>
          <t>N/D</t>
        </is>
      </c>
      <c r="BG64" s="74" t="inlineStr">
        <is>
          <t>2025-09-29</t>
        </is>
      </c>
      <c r="BH64" s="74" t="inlineStr">
        <is>
          <t>1002580</t>
        </is>
      </c>
      <c r="BI64" s="74" t="inlineStr">
        <is>
          <t>https://fnet.bmfbovespa.com.br/fnet/publico/downloadDocumento?id=1002580</t>
        </is>
      </c>
      <c r="BJ64" s="74" t="inlineStr">
        <is>
          <t>localizado documentalmente</t>
        </is>
      </c>
      <c r="BK64" s="74" t="b">
        <v>1</v>
      </c>
      <c r="BL64" s="74" t="inlineStr">
        <is>
          <t>Facta</t>
        </is>
      </c>
      <c r="BM64" s="74" t="inlineStr">
        <is>
          <t>cedente</t>
        </is>
      </c>
      <c r="BN64" s="74" t="inlineStr">
        <is>
          <t>N/D</t>
        </is>
      </c>
      <c r="BO64" s="74" t="inlineStr">
        <is>
          <t>Facta</t>
        </is>
      </c>
      <c r="BP64" s="74" t="inlineStr">
        <is>
          <t>N/D</t>
        </is>
      </c>
      <c r="BQ64" s="74" t="inlineStr">
        <is>
          <t>Crédito INSS</t>
        </is>
      </c>
      <c r="BR64" s="74" t="inlineStr">
        <is>
          <t>cedente: IMG_8706.JPG | tipo_recebivel: IMG_8706.JPG</t>
        </is>
      </c>
      <c r="BS64" s="74" t="inlineStr">
        <is>
          <t>manual_aplicado</t>
        </is>
      </c>
      <c r="BT64" s="74" t="inlineStr">
        <is>
          <t>N/D</t>
        </is>
      </c>
      <c r="BU64" s="74" t="inlineStr">
        <is>
          <t>1002580</t>
        </is>
      </c>
      <c r="BV64" s="74" t="inlineStr">
        <is>
          <t>2025-09-29</t>
        </is>
      </c>
      <c r="BW64" s="74" t="inlineStr">
        <is>
          <t>35</t>
        </is>
      </c>
      <c r="BX64" s="74" t="inlineStr">
        <is>
          <t>revisto — mínimo júnior localizado</t>
        </is>
      </c>
      <c r="BY64" s="74" t="inlineStr">
        <is>
          <t>FundosNet/B3; documento 1002580; referência 2025-09-29; p. 35</t>
        </is>
      </c>
      <c r="BZ64" s="74" t="inlineStr">
        <is>
          <t>Índice de Subordinação Mezanino: cotas júnior / PL, mínimo de 5,0%.</t>
        </is>
      </c>
      <c r="CA64" s="74" t="inlineStr">
        <is>
          <t>Sub/PL atual; originador; sacado/devedor</t>
        </is>
      </c>
      <c r="CB64" s="74" t="inlineStr">
        <is>
          <t>sub_pl_atual_ausente</t>
        </is>
      </c>
    </row>
    <row r="65" ht="31.5" customHeight="1">
      <c r="A65" s="75" t="n">
        <v>63</v>
      </c>
      <c r="B65" s="142" t="n">
        <v>50988212000105</v>
      </c>
      <c r="C65" s="75" t="inlineStr">
        <is>
          <t>50.988.212/0001-05</t>
        </is>
      </c>
      <c r="D65" s="75" t="inlineStr">
        <is>
          <t>CARTÃO DE COMPRA SUPPLIER FUNDO DE INVESTIMENTO EM DIREITOS CREDITÓRIOS II-RESPONSABILIDADE LIMITADA</t>
        </is>
      </c>
      <c r="E65" s="75" t="inlineStr">
        <is>
          <t>CARTAO DE COMPRA SUPPLIER FUNDO DE INVESTIMENTO EM</t>
        </is>
      </c>
      <c r="F65" s="75" t="inlineStr">
        <is>
          <t>Carteira 101</t>
        </is>
      </c>
      <c r="G65" s="75" t="inlineStr">
        <is>
          <t>2026-08</t>
        </is>
      </c>
      <c r="H65" s="75" t="inlineStr">
        <is>
          <t>localizado</t>
        </is>
      </c>
      <c r="I65" s="143" t="n">
        <v>199368665.67</v>
      </c>
      <c r="J65" s="143" t="n">
        <v>199368665.6619652</v>
      </c>
      <c r="K65" s="143" t="n">
        <v>14783171.70996524</v>
      </c>
      <c r="L65" s="144" t="n">
        <v>0.07414992551755709</v>
      </c>
      <c r="M65" s="75" t="inlineStr">
        <is>
          <t>Calculado com classes reportadas e PL oficial reconciliado</t>
        </is>
      </c>
      <c r="N65" s="144" t="inlineStr">
        <is>
          <t>N/D</t>
        </is>
      </c>
      <c r="O65" s="144" t="inlineStr">
        <is>
          <t>N/D</t>
        </is>
      </c>
      <c r="P65" s="144" t="n">
        <v>0.045</v>
      </c>
      <c r="Q65" s="144" t="inlineStr">
        <is>
          <t>N/D</t>
        </is>
      </c>
      <c r="R65" s="144" t="inlineStr">
        <is>
          <t>N/D</t>
        </is>
      </c>
      <c r="S65" s="144" t="n">
        <v>0.045</v>
      </c>
      <c r="T65" s="75" t="inlineStr">
        <is>
          <t>N/D</t>
        </is>
      </c>
      <c r="U65" s="75" t="inlineStr">
        <is>
          <t>junior_pl_ajustado</t>
        </is>
      </c>
      <c r="V65" s="75" t="inlineStr">
        <is>
          <t>direto sobre PL ajustado</t>
        </is>
      </c>
      <c r="W65" s="75" t="b">
        <v>0</v>
      </c>
      <c r="X65" s="75" t="inlineStr">
        <is>
          <t>Mínimo júnior usa PL ajustado; não é comparável à subordinação atual sobre o PL oficial.</t>
        </is>
      </c>
      <c r="Y65" s="75" t="b">
        <v>1</v>
      </c>
      <c r="Z65" s="144" t="inlineStr">
        <is>
          <t>N/D</t>
        </is>
      </c>
      <c r="AA65" s="144" t="inlineStr">
        <is>
          <t>N/D</t>
        </is>
      </c>
      <c r="AB65" s="75" t="inlineStr">
        <is>
          <t>não medido</t>
        </is>
      </c>
      <c r="AC65" s="75" t="inlineStr">
        <is>
          <t>Financeiro</t>
        </is>
      </c>
      <c r="AD65" s="75" t="inlineStr">
        <is>
          <t>Crédito Pessoal</t>
        </is>
      </c>
      <c r="AE65" s="75" t="inlineStr">
        <is>
          <t>Financeiro</t>
        </is>
      </c>
      <c r="AF65" s="75" t="inlineStr">
        <is>
          <t>Financeiro</t>
        </is>
      </c>
      <c r="AG65" s="75" t="inlineStr">
        <is>
          <t>Financeiro</t>
        </is>
      </c>
      <c r="AH65" s="75" t="inlineStr">
        <is>
          <t>Financeiro</t>
        </is>
      </c>
      <c r="AI65" s="75" t="inlineStr">
        <is>
          <t>Crédito comercial/PME segurado</t>
        </is>
      </c>
      <c r="AJ65" s="75" t="b">
        <v>0</v>
      </c>
      <c r="AK65" s="75" t="inlineStr">
        <is>
          <t>PENDENTE_FONTE_PRIMARIA</t>
        </is>
      </c>
      <c r="AL65" s="75" t="inlineStr">
        <is>
          <t>Crédito PME informado sem cláusula primária de instrumento e devedor</t>
        </is>
      </c>
      <c r="AM65" s="75" t="inlineStr">
        <is>
          <t>IMG_8706</t>
        </is>
      </c>
      <c r="AN65" s="75" t="inlineStr">
        <is>
          <t>Candidato</t>
        </is>
      </c>
      <c r="AO65" s="75" t="inlineStr">
        <is>
          <t>IMG_8706</t>
        </is>
      </c>
      <c r="AP65" s="75" t="inlineStr">
        <is>
          <t>N/D</t>
        </is>
      </c>
      <c r="AQ65" s="75" t="inlineStr">
        <is>
          <t>Financeiro</t>
        </is>
      </c>
      <c r="AR65" s="75" t="inlineStr">
        <is>
          <t>Financeiro</t>
        </is>
      </c>
      <c r="AS65" s="75" t="b">
        <v>0</v>
      </c>
      <c r="AT65" s="75" t="inlineStr">
        <is>
          <t>N/D</t>
        </is>
      </c>
      <c r="AU65" s="75" t="inlineStr">
        <is>
          <t>N/D</t>
        </is>
      </c>
      <c r="AV65" s="75" t="inlineStr">
        <is>
          <t>&lt; 10%</t>
        </is>
      </c>
      <c r="AW65" s="75" t="b">
        <v>1</v>
      </c>
      <c r="AX65" s="75" t="inlineStr">
        <is>
          <t>incomparável</t>
        </is>
      </c>
      <c r="AY65" s="75" t="inlineStr">
        <is>
          <t>abaixo do mercado</t>
        </is>
      </c>
      <c r="AZ65" s="144" t="n">
        <v>-0.2320438551789271</v>
      </c>
      <c r="BA65" s="75" t="b">
        <v>1</v>
      </c>
      <c r="BB65" s="145" t="n">
        <v>12</v>
      </c>
      <c r="BC65" s="143" t="n">
        <v>1000</v>
      </c>
      <c r="BD65" s="75" t="inlineStr">
        <is>
          <t>Cotas Seniores: R$ 1.000,00</t>
        </is>
      </c>
      <c r="BE65" s="75" t="inlineStr">
        <is>
          <t>valor nominal unitário (VNU)</t>
        </is>
      </c>
      <c r="BF65" s="75" t="inlineStr">
        <is>
          <t>Cotas Seniores</t>
        </is>
      </c>
      <c r="BG65" s="75" t="inlineStr">
        <is>
          <t>2023-10-06</t>
        </is>
      </c>
      <c r="BH65" s="75" t="inlineStr">
        <is>
          <t>532694</t>
        </is>
      </c>
      <c r="BI65" s="75" t="inlineStr">
        <is>
          <t>https://fnet.bmfbovespa.com.br/fnet/publico/downloadDocumento?id=532694</t>
        </is>
      </c>
      <c r="BJ65" s="75" t="inlineStr">
        <is>
          <t>localizado documentalmente</t>
        </is>
      </c>
      <c r="BK65" s="75" t="b">
        <v>0</v>
      </c>
      <c r="BL65" s="75" t="inlineStr">
        <is>
          <t>Supplier</t>
        </is>
      </c>
      <c r="BM65" s="75" t="inlineStr">
        <is>
          <t>cedente</t>
        </is>
      </c>
      <c r="BN65" s="75" t="inlineStr">
        <is>
          <t>N/D</t>
        </is>
      </c>
      <c r="BO65" s="75" t="inlineStr">
        <is>
          <t>Supplier</t>
        </is>
      </c>
      <c r="BP65" s="75" t="inlineStr">
        <is>
          <t>N/D</t>
        </is>
      </c>
      <c r="BQ65" s="75" t="inlineStr">
        <is>
          <t>Crédito Curto Prazo com o segurado; Crédito PME</t>
        </is>
      </c>
      <c r="BR65" s="75" t="inlineStr">
        <is>
          <t>cedente: IMG_8706.JPG | tipo_recebivel: IMG_8706.JPG</t>
        </is>
      </c>
      <c r="BS65" s="75" t="inlineStr">
        <is>
          <t>manual_aplicado</t>
        </is>
      </c>
      <c r="BT65" s="75" t="inlineStr">
        <is>
          <t>Denominação cortada pela largura da coluna na foto.</t>
        </is>
      </c>
      <c r="BU65" s="75" t="inlineStr">
        <is>
          <t>1013021</t>
        </is>
      </c>
      <c r="BV65" s="75" t="inlineStr">
        <is>
          <t>2024-11-14</t>
        </is>
      </c>
      <c r="BW65" s="75" t="inlineStr">
        <is>
          <t>29; 62</t>
        </is>
      </c>
      <c r="BX65" s="75" t="inlineStr">
        <is>
          <t>revisto — mínimo júnior localizado</t>
        </is>
      </c>
      <c r="BY65" s="75" t="inlineStr">
        <is>
          <t>FundosNet/B3; documento 1013021; referência 2024-11-14; p. 29; 62</t>
        </is>
      </c>
      <c r="BZ65" s="75" t="inlineStr">
        <is>
          <t>Cotas júnior / PL ajustado por outros ativos, mínimo de 4,5%.*</t>
        </is>
      </c>
      <c r="CA65" s="75" t="inlineStr">
        <is>
          <t>originador; sacado/devedor</t>
        </is>
      </c>
      <c r="CB65" s="75" t="inlineStr">
        <is>
          <t>estrutura_incomparavel</t>
        </is>
      </c>
    </row>
    <row r="66" ht="31.5" customHeight="1">
      <c r="A66" s="74" t="n">
        <v>64</v>
      </c>
      <c r="B66" s="138" t="n">
        <v>58476088000100</v>
      </c>
      <c r="C66" s="74" t="inlineStr">
        <is>
          <t>58.476.088/0001-00</t>
        </is>
      </c>
      <c r="D66" s="74" t="inlineStr">
        <is>
          <t>SAGA FUNDO DE INVESTIMENTO EM DIREITOS CREDITÓRIOS CRÉDITO PRIVADO - RESPONSABILIDADE LIMITADA</t>
        </is>
      </c>
      <c r="E66" s="74" t="inlineStr">
        <is>
          <t>CONSORCIO DALTEZ</t>
        </is>
      </c>
      <c r="F66" s="74" t="inlineStr">
        <is>
          <t>Carteira 101</t>
        </is>
      </c>
      <c r="G66" s="74" t="inlineStr">
        <is>
          <t>2026-08</t>
        </is>
      </c>
      <c r="H66" s="74" t="inlineStr">
        <is>
          <t>localizado</t>
        </is>
      </c>
      <c r="I66" s="139" t="n">
        <v>168578666.71</v>
      </c>
      <c r="J66" s="139" t="n">
        <v>168578666.7072081</v>
      </c>
      <c r="K66" s="139" t="n">
        <v>66949901.23020812</v>
      </c>
      <c r="L66" s="140" t="n">
        <v>0.3971433784405218</v>
      </c>
      <c r="M66" s="74" t="inlineStr">
        <is>
          <t>Calculado com classes reportadas e PL oficial reconciliado</t>
        </is>
      </c>
      <c r="N66" s="140" t="n">
        <v>0.3333</v>
      </c>
      <c r="O66" s="140" t="inlineStr">
        <is>
          <t>N/D</t>
        </is>
      </c>
      <c r="P66" s="140" t="inlineStr">
        <is>
          <t>N/D</t>
        </is>
      </c>
      <c r="Q66" s="140" t="n">
        <v>0.3333</v>
      </c>
      <c r="R66" s="140" t="inlineStr">
        <is>
          <t>N/D</t>
        </is>
      </c>
      <c r="S66" s="140" t="n">
        <v>0.3333</v>
      </c>
      <c r="T66" s="74" t="inlineStr">
        <is>
          <t>33,33%</t>
        </is>
      </c>
      <c r="U66" s="74" t="inlineStr">
        <is>
          <t>junior_pl</t>
        </is>
      </c>
      <c r="V66" s="74" t="inlineStr">
        <is>
          <t>direto no regulamento</t>
        </is>
      </c>
      <c r="W66" s="74" t="b">
        <v>1</v>
      </c>
      <c r="X66" s="74" t="inlineStr">
        <is>
          <t>Estrutura com uma única classe subordinada; métrica atual e piso usam o total subordinado sobre o PL.</t>
        </is>
      </c>
      <c r="Y66" s="74" t="b">
        <v>0</v>
      </c>
      <c r="Z66" s="140" t="n">
        <v>0.06384337844052179</v>
      </c>
      <c r="AA66" s="140" t="n">
        <v>0.09576027964680034</v>
      </c>
      <c r="AB66" s="74" t="inlineStr">
        <is>
          <t>acima do mínimo</t>
        </is>
      </c>
      <c r="AC66" s="74" t="inlineStr">
        <is>
          <t>Agro, Indústria e Comércio</t>
        </is>
      </c>
      <c r="AD66" s="74" t="inlineStr">
        <is>
          <t>Recebíveis Comerciais</t>
        </is>
      </c>
      <c r="AE66" s="74" t="inlineStr">
        <is>
          <t>Agro / Revenda</t>
        </is>
      </c>
      <c r="AF66" s="74" t="inlineStr">
        <is>
          <t>Agro / Revenda</t>
        </is>
      </c>
      <c r="AG66" s="74" t="inlineStr">
        <is>
          <t>Agro / Revenda</t>
        </is>
      </c>
      <c r="AH66" s="74" t="inlineStr">
        <is>
          <t>Risco Corporativo</t>
        </is>
      </c>
      <c r="AI66" s="74" t="inlineStr">
        <is>
          <t>Notas comerciais de empresas/devedores</t>
        </is>
      </c>
      <c r="AJ66" s="74" t="b">
        <v>1</v>
      </c>
      <c r="AK66" s="74" t="inlineStr">
        <is>
          <t>APLICAR_ALTA</t>
        </is>
      </c>
      <c r="AL66" s="74" t="inlineStr">
        <is>
          <t>Lastro são notas comerciais, com porte dos emissores ainda a validar</t>
        </is>
      </c>
      <c r="AM66" s="74" t="inlineStr">
        <is>
          <t>regulamento 852325</t>
        </is>
      </c>
      <c r="AN66" s="74" t="inlineStr">
        <is>
          <t>Candidato</t>
        </is>
      </c>
      <c r="AO66" s="74" t="inlineStr">
        <is>
          <t>regulamento 852325</t>
        </is>
      </c>
      <c r="AP66" s="74" t="inlineStr">
        <is>
          <t>N/D</t>
        </is>
      </c>
      <c r="AQ66" s="74" t="inlineStr">
        <is>
          <t>Risco Corporativo</t>
        </is>
      </c>
      <c r="AR66" s="74" t="inlineStr">
        <is>
          <t>Agro / Revenda</t>
        </is>
      </c>
      <c r="AS66" s="74" t="b">
        <v>1</v>
      </c>
      <c r="AT66" s="74" t="inlineStr">
        <is>
          <t>regulamento 852325</t>
        </is>
      </c>
      <c r="AU66" s="74" t="inlineStr">
        <is>
          <t>Lastro são notas comerciais, com porte dos emissores ainda a validar</t>
        </is>
      </c>
      <c r="AV66" s="74" t="inlineStr">
        <is>
          <t>35%–60%</t>
        </is>
      </c>
      <c r="AW66" s="74" t="b">
        <v>1</v>
      </c>
      <c r="AX66" s="74" t="inlineStr">
        <is>
          <t>acima do piso</t>
        </is>
      </c>
      <c r="AY66" s="74" t="inlineStr">
        <is>
          <t>sem benchmark confiável</t>
        </is>
      </c>
      <c r="AZ66" s="140" t="inlineStr">
        <is>
          <t>N/D</t>
        </is>
      </c>
      <c r="BA66" s="74" t="b">
        <v>0</v>
      </c>
      <c r="BB66" s="141" t="n">
        <v>0</v>
      </c>
      <c r="BC66" s="139" t="n">
        <v>1000</v>
      </c>
      <c r="BD66" s="74" t="inlineStr">
        <is>
          <t>Cotas Seniores: R$ 1.000,00 | R$1.000,00</t>
        </is>
      </c>
      <c r="BE66" s="74" t="inlineStr">
        <is>
          <t>preço/valor unitário de emissão</t>
        </is>
      </c>
      <c r="BF66" s="74" t="inlineStr">
        <is>
          <t>Cotas Seniores</t>
        </is>
      </c>
      <c r="BG66" s="74" t="inlineStr">
        <is>
          <t>25/02/2025</t>
        </is>
      </c>
      <c r="BH66" s="74" t="inlineStr">
        <is>
          <t>852325</t>
        </is>
      </c>
      <c r="BI66" s="74" t="inlineStr">
        <is>
          <t>https://fnet.bmfbovespa.com.br/fnet/publico/downloadDocumento?id=852325</t>
        </is>
      </c>
      <c r="BJ66" s="74" t="inlineStr">
        <is>
          <t>localizado documentalmente — múltiplos valores/classes</t>
        </is>
      </c>
      <c r="BK66" s="74" t="b">
        <v>1</v>
      </c>
      <c r="BL66" s="74" t="inlineStr">
        <is>
          <t>Saga Brasil</t>
        </is>
      </c>
      <c r="BM66" s="74" t="inlineStr">
        <is>
          <t>cedente</t>
        </is>
      </c>
      <c r="BN66" s="74" t="inlineStr">
        <is>
          <t>N/D</t>
        </is>
      </c>
      <c r="BO66" s="74" t="inlineStr">
        <is>
          <t>Saga Brasil</t>
        </is>
      </c>
      <c r="BP66" s="74" t="inlineStr">
        <is>
          <t>N/D</t>
        </is>
      </c>
      <c r="BQ66" s="74" t="inlineStr">
        <is>
          <t>os direitos creditórios originados das Notas Comerciais emitidas pelos Devedores, representados pelos Documentos Comprobatórios, conforme o caso, detidas pela Fundo contra os Devedores</t>
        </is>
      </c>
      <c r="BR66" s="74" t="inlineStr">
        <is>
          <t>cedente: IMG_8706.JPG | tipo_recebivel: https://fnet.bmfbovespa.com.br/fnet/publico/downloadDocumento?id=852325</t>
        </is>
      </c>
      <c r="BS66" s="74" t="inlineStr">
        <is>
          <t>manual_aplicado</t>
        </is>
      </c>
      <c r="BT66" s="74" t="inlineStr">
        <is>
          <t>OBS continua fora da foto após a descrição legível.</t>
        </is>
      </c>
      <c r="BU66" s="74" t="inlineStr">
        <is>
          <t>852325</t>
        </is>
      </c>
      <c r="BV66" s="74" t="inlineStr">
        <is>
          <t>2025-02-25</t>
        </is>
      </c>
      <c r="BW66" s="74" t="inlineStr">
        <is>
          <t>18</t>
        </is>
      </c>
      <c r="BX66" s="74" t="inlineStr">
        <is>
          <t>revisto — mínimo júnior localizado</t>
        </is>
      </c>
      <c r="BY66" s="74" t="inlineStr">
        <is>
          <t>FundosNet/B3; documento 852325; referência 2025-02-25; p. 18</t>
        </is>
      </c>
      <c r="BZ66" s="74" t="inlineStr">
        <is>
          <t>Cotas subordinadas / PL, mínimo de 33,33%; estrutura com uma única classe residual.</t>
        </is>
      </c>
      <c r="CA66" s="74" t="inlineStr">
        <is>
          <t>originador; sacado/devedor</t>
        </is>
      </c>
      <c r="CB66" s="74" t="inlineStr">
        <is>
          <t>completo_para_folga</t>
        </is>
      </c>
    </row>
    <row r="67" ht="31.5" customHeight="1">
      <c r="A67" s="75" t="n">
        <v>65</v>
      </c>
      <c r="B67" s="142" t="n">
        <v>58349979000198</v>
      </c>
      <c r="C67" s="75" t="inlineStr">
        <is>
          <t>58.349.979/0001-98</t>
        </is>
      </c>
      <c r="D67" s="75" t="inlineStr">
        <is>
          <t>VOLKSWAGEN TERA FUNDO DE INVESTIMENTO EM DIREITOS CREDITÓRIOS RECEBÍVEIS COMERCIAIS RESP LTDA</t>
        </is>
      </c>
      <c r="E67" s="75" t="inlineStr">
        <is>
          <t>VOLKSWAGEN TERA FIDC SEGMENTO RECEBIVEIS COMERCIAI</t>
        </is>
      </c>
      <c r="F67" s="75" t="inlineStr">
        <is>
          <t>Carteira 101</t>
        </is>
      </c>
      <c r="G67" s="75" t="inlineStr">
        <is>
          <t>2026-08</t>
        </is>
      </c>
      <c r="H67" s="75" t="inlineStr">
        <is>
          <t>localizado</t>
        </is>
      </c>
      <c r="I67" s="143" t="n">
        <v>1039245978.43</v>
      </c>
      <c r="J67" s="143" t="n">
        <v>1013259779.873103</v>
      </c>
      <c r="K67" s="143" t="n">
        <v>253735100.5925</v>
      </c>
      <c r="L67" s="144" t="inlineStr">
        <is>
          <t>N/D</t>
        </is>
      </c>
      <c r="M67" s="75" t="inlineStr">
        <is>
          <t>N/D — PL oficial diverge das classes acima de 0,5%</t>
        </is>
      </c>
      <c r="N67" s="144" t="n">
        <v>0.25</v>
      </c>
      <c r="O67" s="144" t="inlineStr">
        <is>
          <t>N/D</t>
        </is>
      </c>
      <c r="P67" s="144" t="inlineStr">
        <is>
          <t>N/D</t>
        </is>
      </c>
      <c r="Q67" s="144" t="n">
        <v>0.25</v>
      </c>
      <c r="R67" s="144" t="inlineStr">
        <is>
          <t>N/D</t>
        </is>
      </c>
      <c r="S67" s="144" t="n">
        <v>0.25</v>
      </c>
      <c r="T67" s="75" t="inlineStr">
        <is>
          <t>25,0%</t>
        </is>
      </c>
      <c r="U67" s="75" t="inlineStr">
        <is>
          <t>junior_pl</t>
        </is>
      </c>
      <c r="V67" s="75" t="inlineStr">
        <is>
          <t>direto no regulamento</t>
        </is>
      </c>
      <c r="W67" s="75" t="b">
        <v>1</v>
      </c>
      <c r="X67" s="75" t="inlineStr">
        <is>
          <t>Estrutura com uma única classe subordinada; métrica atual e piso usam o total subordinado sobre o PL.</t>
        </is>
      </c>
      <c r="Y67" s="75" t="b">
        <v>0</v>
      </c>
      <c r="Z67" s="144" t="inlineStr">
        <is>
          <t>N/D</t>
        </is>
      </c>
      <c r="AA67" s="144" t="inlineStr">
        <is>
          <t>N/D</t>
        </is>
      </c>
      <c r="AB67" s="75" t="inlineStr">
        <is>
          <t>não medido</t>
        </is>
      </c>
      <c r="AC67" s="75" t="inlineStr">
        <is>
          <t>Agro, Indústria e Comércio</t>
        </is>
      </c>
      <c r="AD67" s="75" t="inlineStr">
        <is>
          <t>Recebíveis Comerciais</t>
        </is>
      </c>
      <c r="AE67" s="75" t="inlineStr">
        <is>
          <t>Agro / Revenda</t>
        </is>
      </c>
      <c r="AF67" s="75" t="inlineStr">
        <is>
          <t>Agro / Revenda</t>
        </is>
      </c>
      <c r="AG67" s="75" t="inlineStr">
        <is>
          <t>Agro / Revenda</t>
        </is>
      </c>
      <c r="AH67" s="75" t="inlineStr">
        <is>
          <t>Risco Corporativo</t>
        </is>
      </c>
      <c r="AI67" s="75" t="inlineStr">
        <is>
          <t>Recebíveis comerciais Volkswagen</t>
        </is>
      </c>
      <c r="AJ67" s="75" t="b">
        <v>1</v>
      </c>
      <c r="AK67" s="75" t="inlineStr">
        <is>
          <t>APLICAR_ALTA</t>
        </is>
      </c>
      <c r="AL67" s="75" t="inlineStr">
        <is>
          <t>Clientes devem créditos pela compra de produtos Volkswagen</t>
        </is>
      </c>
      <c r="AM67" s="75" t="inlineStr">
        <is>
          <t>regulamento + IMG_8706</t>
        </is>
      </c>
      <c r="AN67" s="75" t="inlineStr">
        <is>
          <t>Não</t>
        </is>
      </c>
      <c r="AO67" s="75" t="inlineStr">
        <is>
          <t>regulamento + IMG_8706</t>
        </is>
      </c>
      <c r="AP67" s="75" t="b">
        <v>0</v>
      </c>
      <c r="AQ67" s="75" t="inlineStr">
        <is>
          <t>Risco Corporativo</t>
        </is>
      </c>
      <c r="AR67" s="75" t="inlineStr">
        <is>
          <t>Agro / Revenda</t>
        </is>
      </c>
      <c r="AS67" s="75" t="b">
        <v>1</v>
      </c>
      <c r="AT67" s="75" t="inlineStr">
        <is>
          <t>regulamento + IMG_8706</t>
        </is>
      </c>
      <c r="AU67" s="75" t="inlineStr">
        <is>
          <t>Clientes devem créditos pela compra de produtos Volkswagen</t>
        </is>
      </c>
      <c r="AV67" s="75" t="inlineStr">
        <is>
          <t>N/D</t>
        </is>
      </c>
      <c r="AW67" s="75" t="b">
        <v>0</v>
      </c>
      <c r="AX67" s="75" t="inlineStr">
        <is>
          <t>N/D</t>
        </is>
      </c>
      <c r="AY67" s="75" t="inlineStr">
        <is>
          <t>sem benchmark confiável</t>
        </is>
      </c>
      <c r="AZ67" s="144" t="inlineStr">
        <is>
          <t>N/D</t>
        </is>
      </c>
      <c r="BA67" s="75" t="b">
        <v>0</v>
      </c>
      <c r="BB67" s="145" t="n">
        <v>0</v>
      </c>
      <c r="BC67" s="143" t="n">
        <v>1000</v>
      </c>
      <c r="BD67" s="75" t="inlineStr">
        <is>
          <t>Cotas Seniores: R$1.000,00</t>
        </is>
      </c>
      <c r="BE67" s="75" t="inlineStr">
        <is>
          <t>preço/valor unitário de emissão</t>
        </is>
      </c>
      <c r="BF67" s="75" t="inlineStr">
        <is>
          <t>Cotas Seniores</t>
        </is>
      </c>
      <c r="BG67" s="75" t="inlineStr">
        <is>
          <t>28/01/2025</t>
        </is>
      </c>
      <c r="BH67" s="75" t="inlineStr">
        <is>
          <t>826212</t>
        </is>
      </c>
      <c r="BI67" s="75" t="inlineStr">
        <is>
          <t>https://fnet.bmfbovespa.com.br/fnet/publico/downloadDocumento?id=826212</t>
        </is>
      </c>
      <c r="BJ67" s="75" t="inlineStr">
        <is>
          <t>localizado documentalmente</t>
        </is>
      </c>
      <c r="BK67" s="75" t="b">
        <v>0</v>
      </c>
      <c r="BL67" s="75" t="inlineStr">
        <is>
          <t>Volkswagen do Brasil S.A.</t>
        </is>
      </c>
      <c r="BM67" s="75" t="inlineStr">
        <is>
          <t>cedente</t>
        </is>
      </c>
      <c r="BN67" s="75" t="inlineStr">
        <is>
          <t>N/D</t>
        </is>
      </c>
      <c r="BO67" s="75" t="inlineStr">
        <is>
          <t>a VOLKSWAGEN DO BRASIL INDÚSTRIA DE VEÍCULOS AUTOMOTORES LTDA., sociedade empresária, com sede na cidade de São Bernardo do Campo, Estado de São Paulo, na Estrada Marginal da Via Anchieta, s/n, Km 23,5, CEP 09823-901, inscrita no CNPJ sob</t>
        </is>
      </c>
      <c r="BP67" s="75" t="inlineStr">
        <is>
          <t>os clientes da Cedente que tenham adquirido Produtos e sejam devedores dos Direitos Creditórios , compostos por Devedores Concentrados e Devedores Pulverizados</t>
        </is>
      </c>
      <c r="BQ67" s="75" t="inlineStr">
        <is>
          <t>Direitos creditórios</t>
        </is>
      </c>
      <c r="BR67" s="75" t="inlineStr">
        <is>
          <t>cedente: https://fnet.bmfbovespa.com.br/fnet/publico/downloadDocumento?id=826212 | sacado_devedor: https://fnet.bmfbovespa.com.br/fnet/publico/downloadDocumento?id=826212 | tipo_recebivel: IMG_8706.JPG</t>
        </is>
      </c>
      <c r="BS67" s="75" t="inlineStr">
        <is>
          <t>manual_aplicado</t>
        </is>
      </c>
      <c r="BT67" s="75" t="inlineStr">
        <is>
          <t>OBS da foto: concentração grande com LM e Unidas, ambas com tendência de rating estável. Denominação cortada.</t>
        </is>
      </c>
      <c r="BU67" s="75" t="inlineStr">
        <is>
          <t>826213</t>
        </is>
      </c>
      <c r="BV67" s="75" t="inlineStr">
        <is>
          <t>2025-01-28</t>
        </is>
      </c>
      <c r="BW67" s="75" t="inlineStr">
        <is>
          <t>94</t>
        </is>
      </c>
      <c r="BX67" s="75" t="inlineStr">
        <is>
          <t>revisto — mínimo júnior localizado</t>
        </is>
      </c>
      <c r="BY67" s="75" t="inlineStr">
        <is>
          <t>FundosNet/B3; documento 826213; referência 2025-01-28; p. 94</t>
        </is>
      </c>
      <c r="BZ67" s="75" t="inlineStr">
        <is>
          <t>Cotas subordinadas / PL, mínimo de 25,0%; estrutura com uma única classe residual.</t>
        </is>
      </c>
      <c r="CA67" s="75" t="inlineStr">
        <is>
          <t>Sub/PL atual; originador</t>
        </is>
      </c>
      <c r="CB67" s="75" t="inlineStr">
        <is>
          <t>sub_pl_atual_ausente</t>
        </is>
      </c>
    </row>
    <row r="68" ht="31.5" customHeight="1">
      <c r="A68" s="74" t="n">
        <v>66</v>
      </c>
      <c r="B68" s="138" t="n">
        <v>54559035000194</v>
      </c>
      <c r="C68" s="74" t="inlineStr">
        <is>
          <t>54.559.035/0001-94</t>
        </is>
      </c>
      <c r="D68" s="74" t="inlineStr">
        <is>
          <t>ESTRATÉGIA VINCULADA I FUNDO DE INVESTIMENTO EM DIREITOS CREDITÓRIOS - RESPONSABILIDADE LIMITADA</t>
        </is>
      </c>
      <c r="E68" s="74" t="inlineStr">
        <is>
          <t>FUNDO DE INVESTIMENTO EM DIREITOS CREDITORIOS RESP</t>
        </is>
      </c>
      <c r="F68" s="74" t="inlineStr">
        <is>
          <t>Carteira 101</t>
        </is>
      </c>
      <c r="G68" s="74" t="inlineStr">
        <is>
          <t>2026-08</t>
        </is>
      </c>
      <c r="H68" s="74" t="inlineStr">
        <is>
          <t>localizado</t>
        </is>
      </c>
      <c r="I68" s="139" t="n">
        <v>80180577.16</v>
      </c>
      <c r="J68" s="139" t="n">
        <v>79148377.23577081</v>
      </c>
      <c r="K68" s="139" t="n">
        <v>10196850.6545316</v>
      </c>
      <c r="L68" s="140" t="inlineStr">
        <is>
          <t>N/D</t>
        </is>
      </c>
      <c r="M68" s="74" t="inlineStr">
        <is>
          <t>N/D — PL oficial diverge das classes acima de 0,5%</t>
        </is>
      </c>
      <c r="N68" s="140" t="n">
        <v>0.1</v>
      </c>
      <c r="O68" s="140" t="inlineStr">
        <is>
          <t>N/D</t>
        </is>
      </c>
      <c r="P68" s="140" t="inlineStr">
        <is>
          <t>N/D</t>
        </is>
      </c>
      <c r="Q68" s="140" t="n">
        <v>0.1</v>
      </c>
      <c r="R68" s="140" t="inlineStr">
        <is>
          <t>N/D</t>
        </is>
      </c>
      <c r="S68" s="140" t="n">
        <v>0.1</v>
      </c>
      <c r="T68" s="74" t="inlineStr">
        <is>
          <t>10,0%</t>
        </is>
      </c>
      <c r="U68" s="74" t="inlineStr">
        <is>
          <t>junior_pl</t>
        </is>
      </c>
      <c r="V68" s="74" t="inlineStr">
        <is>
          <t>direto no regulamento</t>
        </is>
      </c>
      <c r="W68" s="74" t="b">
        <v>1</v>
      </c>
      <c r="X68" s="74" t="inlineStr">
        <is>
          <t>Estrutura com uma única classe subordinada; métrica atual e piso usam o total subordinado sobre o PL.</t>
        </is>
      </c>
      <c r="Y68" s="74" t="b">
        <v>0</v>
      </c>
      <c r="Z68" s="140" t="inlineStr">
        <is>
          <t>N/D</t>
        </is>
      </c>
      <c r="AA68" s="140" t="inlineStr">
        <is>
          <t>N/D</t>
        </is>
      </c>
      <c r="AB68" s="74" t="inlineStr">
        <is>
          <t>não medido</t>
        </is>
      </c>
      <c r="AC68" s="74" t="inlineStr">
        <is>
          <t>Financeiro</t>
        </is>
      </c>
      <c r="AD68" s="74" t="inlineStr">
        <is>
          <t>Multicarteira Financeiro</t>
        </is>
      </c>
      <c r="AE68" s="74" t="inlineStr">
        <is>
          <t>Financeiro</t>
        </is>
      </c>
      <c r="AF68" s="74" t="inlineStr">
        <is>
          <t>Financeiro</t>
        </is>
      </c>
      <c r="AG68" s="74" t="inlineStr">
        <is>
          <t>Financeiro</t>
        </is>
      </c>
      <c r="AH68" s="74" t="inlineStr">
        <is>
          <t>Financeiro</t>
        </is>
      </c>
      <c r="AI68" s="74" t="inlineStr">
        <is>
          <t>CDB Banco IBM vinculado a contratos de leasing</t>
        </is>
      </c>
      <c r="AJ68" s="74" t="b">
        <v>0</v>
      </c>
      <c r="AK68" s="74" t="inlineStr">
        <is>
          <t>MANTER_ALTA</t>
        </is>
      </c>
      <c r="AL68" s="74" t="inlineStr">
        <is>
          <t>Obrigação imediata é CDB do Banco IBM</t>
        </is>
      </c>
      <c r="AM68" s="74" t="inlineStr">
        <is>
          <t>regulamento 634437</t>
        </is>
      </c>
      <c r="AN68" s="74" t="inlineStr">
        <is>
          <t>Não</t>
        </is>
      </c>
      <c r="AO68" s="74" t="inlineStr">
        <is>
          <t>regulamento 634437</t>
        </is>
      </c>
      <c r="AP68" s="74" t="b">
        <v>0</v>
      </c>
      <c r="AQ68" s="74" t="inlineStr">
        <is>
          <t>Financeiro</t>
        </is>
      </c>
      <c r="AR68" s="74" t="inlineStr">
        <is>
          <t>Financeiro</t>
        </is>
      </c>
      <c r="AS68" s="74" t="b">
        <v>0</v>
      </c>
      <c r="AT68" s="74" t="inlineStr">
        <is>
          <t>N/D</t>
        </is>
      </c>
      <c r="AU68" s="74" t="inlineStr">
        <is>
          <t>N/D</t>
        </is>
      </c>
      <c r="AV68" s="74" t="inlineStr">
        <is>
          <t>N/D</t>
        </is>
      </c>
      <c r="AW68" s="74" t="b">
        <v>0</v>
      </c>
      <c r="AX68" s="74" t="inlineStr">
        <is>
          <t>N/D</t>
        </is>
      </c>
      <c r="AY68" s="74" t="inlineStr">
        <is>
          <t>sem benchmark confiável</t>
        </is>
      </c>
      <c r="AZ68" s="140" t="inlineStr">
        <is>
          <t>N/D</t>
        </is>
      </c>
      <c r="BA68" s="74" t="b">
        <v>1</v>
      </c>
      <c r="BB68" s="141" t="n">
        <v>12</v>
      </c>
      <c r="BC68" s="139" t="n">
        <v>1</v>
      </c>
      <c r="BD68" s="74" t="inlineStr">
        <is>
          <t>Cotas Seniores: R$ 1,00 | Cotas Subordinadas: R$1,00 | R$ 1,00 | cotas subordinadas júnior: R$ 1,00</t>
        </is>
      </c>
      <c r="BE68" s="74" t="inlineStr">
        <is>
          <t>preço/valor unitário de emissão | valor nominal unitário (VNU)</t>
        </is>
      </c>
      <c r="BF68" s="74" t="inlineStr">
        <is>
          <t>Cotas Seniores | Cotas Subordinadas | cotas subordinadas júnior</t>
        </is>
      </c>
      <c r="BG68" s="74" t="inlineStr">
        <is>
          <t>2024-04-05</t>
        </is>
      </c>
      <c r="BH68" s="74" t="inlineStr">
        <is>
          <t>634437</t>
        </is>
      </c>
      <c r="BI68" s="74" t="inlineStr">
        <is>
          <t>https://fnet.bmfbovespa.com.br/fnet/publico/downloadDocumento?id=634437</t>
        </is>
      </c>
      <c r="BJ68" s="74" t="inlineStr">
        <is>
          <t>localizado documentalmente — múltiplos valores/classes</t>
        </is>
      </c>
      <c r="BK68" s="74" t="b">
        <v>1</v>
      </c>
      <c r="BL68" s="74" t="inlineStr">
        <is>
          <t>Banco IBM</t>
        </is>
      </c>
      <c r="BM68" s="74" t="inlineStr">
        <is>
          <t>cedente</t>
        </is>
      </c>
      <c r="BN68" s="74" t="inlineStr">
        <is>
          <t>N/D</t>
        </is>
      </c>
      <c r="BO68" s="74" t="inlineStr">
        <is>
          <t>Banco IBM</t>
        </is>
      </c>
      <c r="BP68" s="74" t="inlineStr">
        <is>
          <t>N/D</t>
        </is>
      </c>
      <c r="BQ68" s="74" t="inlineStr">
        <is>
          <t>os direitos creditórios consubstanciados nos Certificados de Depósito Bancário Vinculados , bem como todos e quaisquer outros encargos devidos por força dos Certificados de Depósito Bancário Vinculados , incluindo a totalidade dos respectivos acessórios, tais como encargos moratórios, multas, penalidades, indenizações, despesas, custas, honorários e demais encargos contratuais e legais previstos e relacionados nos Certificados de Depósito Bancário Vinculados , observado que o pagamento dos Certificados de Depósito Bancário Vinculados fica sujeito ao recebimento, pelo Banco IBM, dos valores devidos ao Banco IBM sob os Contratos de Leasing</t>
        </is>
      </c>
      <c r="BR68" s="74" t="inlineStr">
        <is>
          <t>cedente: IMG_8706.JPG | tipo_recebivel: https://fnet.bmfbovespa.com.br/fnet/publico/downloadDocumento?id=634437</t>
        </is>
      </c>
      <c r="BS68" s="74" t="inlineStr">
        <is>
          <t>manual_aplicado</t>
        </is>
      </c>
      <c r="BT68" s="74" t="inlineStr">
        <is>
          <t>N/D</t>
        </is>
      </c>
      <c r="BU68" s="74" t="inlineStr">
        <is>
          <t>634463</t>
        </is>
      </c>
      <c r="BV68" s="74" t="inlineStr">
        <is>
          <t>2024-04-05</t>
        </is>
      </c>
      <c r="BW68" s="74" t="inlineStr">
        <is>
          <t>50</t>
        </is>
      </c>
      <c r="BX68" s="74" t="inlineStr">
        <is>
          <t>revisto — mínimo júnior localizado</t>
        </is>
      </c>
      <c r="BY68" s="74" t="inlineStr">
        <is>
          <t>FundosNet/B3; documento 634463; referência 2024-04-05; p. 50</t>
        </is>
      </c>
      <c r="BZ68" s="74" t="inlineStr">
        <is>
          <t>Cotas subordinadas júnior / PL, mínimo de 10,0%; estrutura com cotas seniores e juniores.</t>
        </is>
      </c>
      <c r="CA68" s="74" t="inlineStr">
        <is>
          <t>Sub/PL atual; originador; sacado/devedor</t>
        </is>
      </c>
      <c r="CB68" s="74" t="inlineStr">
        <is>
          <t>sub_pl_atual_ausente</t>
        </is>
      </c>
    </row>
    <row r="69" ht="31.5" customHeight="1">
      <c r="A69" s="75" t="n">
        <v>67</v>
      </c>
      <c r="B69" s="142" t="n">
        <v>55070804000159</v>
      </c>
      <c r="C69" s="75" t="inlineStr">
        <is>
          <t>55.070.804/0001-59</t>
        </is>
      </c>
      <c r="D69" s="75" t="inlineStr">
        <is>
          <t>ESTRATÉGIA VINCULADA II FUNDO DE INVESTIMENTO EM DIREITOS CREDITÓRIOS - RESPONSABILIDADE LIMITADA</t>
        </is>
      </c>
      <c r="E69" s="75" t="inlineStr">
        <is>
          <t>ESTRATEGIA VINCULADA II FUNDO DE INVESTIMENTO EM D</t>
        </is>
      </c>
      <c r="F69" s="75" t="inlineStr">
        <is>
          <t>Carteira 101</t>
        </is>
      </c>
      <c r="G69" s="75" t="inlineStr">
        <is>
          <t>2026-08</t>
        </is>
      </c>
      <c r="H69" s="75" t="inlineStr">
        <is>
          <t>localizado</t>
        </is>
      </c>
      <c r="I69" s="143" t="inlineStr">
        <is>
          <t>N/D</t>
        </is>
      </c>
      <c r="J69" s="143" t="inlineStr">
        <is>
          <t>N/D</t>
        </is>
      </c>
      <c r="K69" s="143" t="inlineStr">
        <is>
          <t>N/D</t>
        </is>
      </c>
      <c r="L69" s="144" t="inlineStr">
        <is>
          <t>N/D</t>
        </is>
      </c>
      <c r="M69" s="75" t="inlineStr">
        <is>
          <t>PL oficial ausente em 2026-08</t>
        </is>
      </c>
      <c r="N69" s="144" t="n">
        <v>0.1</v>
      </c>
      <c r="O69" s="144" t="inlineStr">
        <is>
          <t>N/D</t>
        </is>
      </c>
      <c r="P69" s="144" t="inlineStr">
        <is>
          <t>N/D</t>
        </is>
      </c>
      <c r="Q69" s="144" t="n">
        <v>0.1</v>
      </c>
      <c r="R69" s="144" t="inlineStr">
        <is>
          <t>N/D</t>
        </is>
      </c>
      <c r="S69" s="144" t="n">
        <v>0.1</v>
      </c>
      <c r="T69" s="75" t="inlineStr">
        <is>
          <t>10,0%</t>
        </is>
      </c>
      <c r="U69" s="75" t="inlineStr">
        <is>
          <t>junior_pl</t>
        </is>
      </c>
      <c r="V69" s="75" t="inlineStr">
        <is>
          <t>direto no regulamento</t>
        </is>
      </c>
      <c r="W69" s="75" t="b">
        <v>1</v>
      </c>
      <c r="X69" s="75" t="inlineStr">
        <is>
          <t>Estrutura com uma única classe subordinada; métrica atual e piso usam o total subordinado sobre o PL.</t>
        </is>
      </c>
      <c r="Y69" s="75" t="b">
        <v>0</v>
      </c>
      <c r="Z69" s="144" t="inlineStr">
        <is>
          <t>N/D</t>
        </is>
      </c>
      <c r="AA69" s="144" t="inlineStr">
        <is>
          <t>N/D</t>
        </is>
      </c>
      <c r="AB69" s="75" t="inlineStr">
        <is>
          <t>não medido</t>
        </is>
      </c>
      <c r="AC69" s="75" t="inlineStr">
        <is>
          <t>Financeiro</t>
        </is>
      </c>
      <c r="AD69" s="75" t="inlineStr">
        <is>
          <t>Multicarteira Financeiro</t>
        </is>
      </c>
      <c r="AE69" s="75" t="inlineStr">
        <is>
          <t>Financeiro</t>
        </is>
      </c>
      <c r="AF69" s="75" t="inlineStr">
        <is>
          <t>Financeiro</t>
        </is>
      </c>
      <c r="AG69" s="75" t="inlineStr">
        <is>
          <t>Financeiro</t>
        </is>
      </c>
      <c r="AH69" s="75" t="inlineStr">
        <is>
          <t>Financeiro</t>
        </is>
      </c>
      <c r="AI69" s="75" t="inlineStr">
        <is>
          <t>CDB Banco IBM vinculado a contratos de leasing</t>
        </is>
      </c>
      <c r="AJ69" s="75" t="b">
        <v>0</v>
      </c>
      <c r="AK69" s="75" t="inlineStr">
        <is>
          <t>MANTER_ALTA</t>
        </is>
      </c>
      <c r="AL69" s="75" t="inlineStr">
        <is>
          <t>Obrigação imediata é CDB do Banco IBM</t>
        </is>
      </c>
      <c r="AM69" s="75" t="inlineStr">
        <is>
          <t>regulamento 667195</t>
        </is>
      </c>
      <c r="AN69" s="75" t="inlineStr">
        <is>
          <t>Não</t>
        </is>
      </c>
      <c r="AO69" s="75" t="inlineStr">
        <is>
          <t>regulamento 667195</t>
        </is>
      </c>
      <c r="AP69" s="75" t="b">
        <v>0</v>
      </c>
      <c r="AQ69" s="75" t="inlineStr">
        <is>
          <t>Financeiro</t>
        </is>
      </c>
      <c r="AR69" s="75" t="inlineStr">
        <is>
          <t>Financeiro</t>
        </is>
      </c>
      <c r="AS69" s="75" t="b">
        <v>0</v>
      </c>
      <c r="AT69" s="75" t="inlineStr">
        <is>
          <t>N/D</t>
        </is>
      </c>
      <c r="AU69" s="75" t="inlineStr">
        <is>
          <t>N/D</t>
        </is>
      </c>
      <c r="AV69" s="75" t="inlineStr">
        <is>
          <t>N/D</t>
        </is>
      </c>
      <c r="AW69" s="75" t="b">
        <v>0</v>
      </c>
      <c r="AX69" s="75" t="inlineStr">
        <is>
          <t>N/D</t>
        </is>
      </c>
      <c r="AY69" s="75" t="inlineStr">
        <is>
          <t>sem benchmark confiável</t>
        </is>
      </c>
      <c r="AZ69" s="144" t="inlineStr">
        <is>
          <t>N/D</t>
        </is>
      </c>
      <c r="BA69" s="75" t="b">
        <v>1</v>
      </c>
      <c r="BB69" s="145" t="n">
        <v>12</v>
      </c>
      <c r="BC69" s="143" t="n">
        <v>1</v>
      </c>
      <c r="BD69" s="75" t="inlineStr">
        <is>
          <t>Cotas Seniores: R$ 1,00 | Cotas Subordinadas Júnior: R$ 1,00</t>
        </is>
      </c>
      <c r="BE69" s="75" t="inlineStr">
        <is>
          <t>preço/valor unitário de emissão</t>
        </is>
      </c>
      <c r="BF69" s="75" t="inlineStr">
        <is>
          <t>Cotas Seniores | Cotas Subordinadas Júnior</t>
        </is>
      </c>
      <c r="BG69" s="75" t="inlineStr">
        <is>
          <t>2024-05-22</t>
        </is>
      </c>
      <c r="BH69" s="75" t="inlineStr">
        <is>
          <t>667195</t>
        </is>
      </c>
      <c r="BI69" s="75" t="inlineStr">
        <is>
          <t>https://fnet.bmfbovespa.com.br/fnet/publico/downloadDocumento?id=667195</t>
        </is>
      </c>
      <c r="BJ69" s="75" t="inlineStr">
        <is>
          <t>localizado documentalmente — múltiplos valores/classes</t>
        </is>
      </c>
      <c r="BK69" s="75" t="b">
        <v>1</v>
      </c>
      <c r="BL69" s="75" t="inlineStr">
        <is>
          <t>Banco IBM</t>
        </is>
      </c>
      <c r="BM69" s="75" t="inlineStr">
        <is>
          <t>cedente</t>
        </is>
      </c>
      <c r="BN69" s="75" t="inlineStr">
        <is>
          <t>N/D</t>
        </is>
      </c>
      <c r="BO69" s="75" t="inlineStr">
        <is>
          <t>o IBM BRASIL - INDÚSTRIA, MÁQUINAS, E SERVIÇOS LTDA. , sociedade limitada, com sede na Cidade do Rio de Janeiro , Estado d o Rio de Janeiro , na Avenida República do Chile, nº 330, 11º e 12º andares , CEP 20.031-170, inscrita no CNPJ/MF sob o nº 33.372.251/0001-56</t>
        </is>
      </c>
      <c r="BP69" s="75" t="inlineStr">
        <is>
          <t>N/D</t>
        </is>
      </c>
      <c r="BQ69" s="75" t="inlineStr">
        <is>
          <t>os direitos creditórios consubstanciados nos Certificados de Depósito Bancário Vinculados , bem como todos e quaisquer outros encargos devidos por força dos Certificados de Depósito Bancário Vinculados, incluindo a totalidade dos respectivos acessórios, tais como encargos moratórios, multas, penalidades, indenizações, despesas, custas, honorários e demais encargos contratuais e legais previstos e relacionados n os Certificados de Depós ito Bancário Vinculados , observado que o pagamento dos Certificados de Depósito Bancário Vinculados fica sujeito ao recebimento, pelo Banco IBM, dos valores devidos ao Banco IBM sob os Contratos de Leasing</t>
        </is>
      </c>
      <c r="BR69" s="75" t="inlineStr">
        <is>
          <t>cedente: https://fnet.bmfbovespa.com.br/fnet/publico/downloadDocumento?id=667195 | tipo_recebivel: https://fnet.bmfbovespa.com.br/fnet/publico/downloadDocumento?id=667195</t>
        </is>
      </c>
      <c r="BS69" s="75" t="inlineStr">
        <is>
          <t>manual_aplicado</t>
        </is>
      </c>
      <c r="BT69" s="75" t="inlineStr">
        <is>
          <t>Denominação cortada pela largura da coluna na foto.</t>
        </is>
      </c>
      <c r="BU69" s="75" t="inlineStr">
        <is>
          <t>667195</t>
        </is>
      </c>
      <c r="BV69" s="75" t="inlineStr">
        <is>
          <t>2024-05-22</t>
        </is>
      </c>
      <c r="BW69" s="75" t="inlineStr">
        <is>
          <t>57</t>
        </is>
      </c>
      <c r="BX69" s="75" t="inlineStr">
        <is>
          <t>revisto — mínimo júnior localizado</t>
        </is>
      </c>
      <c r="BY69" s="75" t="inlineStr">
        <is>
          <t>FundosNet/B3; documento 667195; referência 2024-05-22; p. 57</t>
        </is>
      </c>
      <c r="BZ69" s="75" t="inlineStr">
        <is>
          <t>Cotas subordinadas júnior / PL, mínimo de 10,0%; estrutura com cotas seniores e juniores.</t>
        </is>
      </c>
      <c r="CA69" s="75" t="inlineStr">
        <is>
          <t>PL atual; Sub/PL atual; originador; sacado/devedor</t>
        </is>
      </c>
      <c r="CB69" s="75" t="inlineStr">
        <is>
          <t>sub_pl_atual_ausente</t>
        </is>
      </c>
    </row>
    <row r="70" ht="31.5" customHeight="1">
      <c r="A70" s="74" t="n">
        <v>68</v>
      </c>
      <c r="B70" s="138" t="n">
        <v>43866348000179</v>
      </c>
      <c r="C70" s="74" t="inlineStr">
        <is>
          <t>43.866.348/0001-79</t>
        </is>
      </c>
      <c r="D70" s="74" t="inlineStr">
        <is>
          <t>FUNDO DE INVESTIMENTO EM DIREITOS CREDITÓRIOS OPEA AGRO SUMITOMO CHEMICAL RESP LIMITADA</t>
        </is>
      </c>
      <c r="E70" s="74" t="inlineStr">
        <is>
          <t>FUNDO DE INVESTIMENTO EM DIREITOS CREDITORIOS OPEA</t>
        </is>
      </c>
      <c r="F70" s="74" t="inlineStr">
        <is>
          <t>Carteira 101</t>
        </is>
      </c>
      <c r="G70" s="74" t="inlineStr">
        <is>
          <t>2026-08</t>
        </is>
      </c>
      <c r="H70" s="74" t="inlineStr">
        <is>
          <t>localizado</t>
        </is>
      </c>
      <c r="I70" s="139" t="n">
        <v>119061625.55</v>
      </c>
      <c r="J70" s="139" t="n">
        <v>119061625.1972017</v>
      </c>
      <c r="K70" s="139" t="n">
        <v>119061625.1972017</v>
      </c>
      <c r="L70" s="140" t="n">
        <v>0.9999999970368433</v>
      </c>
      <c r="M70" s="74" t="inlineStr">
        <is>
          <t>Calculado com classes reportadas e PL oficial reconciliado</t>
        </is>
      </c>
      <c r="N70" s="140" t="n">
        <v>0.05</v>
      </c>
      <c r="O70" s="140" t="inlineStr">
        <is>
          <t>N/D</t>
        </is>
      </c>
      <c r="P70" s="140" t="inlineStr">
        <is>
          <t>N/D</t>
        </is>
      </c>
      <c r="Q70" s="140" t="inlineStr">
        <is>
          <t>N/D</t>
        </is>
      </c>
      <c r="R70" s="140" t="inlineStr">
        <is>
          <t>N/D</t>
        </is>
      </c>
      <c r="S70" s="140" t="n">
        <v>0.05</v>
      </c>
      <c r="T70" s="74" t="inlineStr">
        <is>
          <t>N/D</t>
        </is>
      </c>
      <c r="U70" s="74" t="inlineStr">
        <is>
          <t>junior_pl</t>
        </is>
      </c>
      <c r="V70" s="74" t="inlineStr">
        <is>
          <t>direto no regulamento</t>
        </is>
      </c>
      <c r="W70" s="74" t="b">
        <v>0</v>
      </c>
      <c r="X70" s="74" t="inlineStr">
        <is>
          <t>Mínimo júnior isolado; a subordinação atual disponível agrega todas as classes subordinadas.</t>
        </is>
      </c>
      <c r="Y70" s="74" t="b">
        <v>0</v>
      </c>
      <c r="Z70" s="140" t="inlineStr">
        <is>
          <t>N/D</t>
        </is>
      </c>
      <c r="AA70" s="140" t="inlineStr">
        <is>
          <t>N/D</t>
        </is>
      </c>
      <c r="AB70" s="74" t="inlineStr">
        <is>
          <t>não medido</t>
        </is>
      </c>
      <c r="AC70" s="74" t="inlineStr">
        <is>
          <t>Agro, Indústria e Comércio</t>
        </is>
      </c>
      <c r="AD70" s="74" t="inlineStr">
        <is>
          <t>Multicarteira Agro, Indústria e Comércio</t>
        </is>
      </c>
      <c r="AE70" s="74" t="inlineStr">
        <is>
          <t>Agro / Revenda</t>
        </is>
      </c>
      <c r="AF70" s="74" t="inlineStr">
        <is>
          <t>Agro / Revenda</t>
        </is>
      </c>
      <c r="AG70" s="74" t="inlineStr">
        <is>
          <t>Agro / Revenda</t>
        </is>
      </c>
      <c r="AH70" s="74" t="inlineStr">
        <is>
          <t>Agro / Revenda</t>
        </is>
      </c>
      <c r="AI70" s="74" t="inlineStr">
        <is>
          <t>NP, CPR-F e CDCA da cadeia de insumos</t>
        </is>
      </c>
      <c r="AJ70" s="74" t="b">
        <v>0</v>
      </c>
      <c r="AK70" s="74" t="inlineStr">
        <is>
          <t>MANTER_ALTA</t>
        </is>
      </c>
      <c r="AL70" s="74" t="inlineStr">
        <is>
          <t>Instrumentos e emissores agro explícitos</t>
        </is>
      </c>
      <c r="AM70" s="74" t="inlineStr">
        <is>
          <t>regulamento 741138</t>
        </is>
      </c>
      <c r="AN70" s="74" t="inlineStr">
        <is>
          <t>Não</t>
        </is>
      </c>
      <c r="AO70" s="74" t="inlineStr">
        <is>
          <t>regulamento 741138</t>
        </is>
      </c>
      <c r="AP70" s="74" t="b">
        <v>0</v>
      </c>
      <c r="AQ70" s="74" t="inlineStr">
        <is>
          <t>Agro / Revenda</t>
        </is>
      </c>
      <c r="AR70" s="74" t="inlineStr">
        <is>
          <t>Agro / Revenda</t>
        </is>
      </c>
      <c r="AS70" s="74" t="b">
        <v>0</v>
      </c>
      <c r="AT70" s="74" t="inlineStr">
        <is>
          <t>N/D</t>
        </is>
      </c>
      <c r="AU70" s="74" t="inlineStr">
        <is>
          <t>N/D</t>
        </is>
      </c>
      <c r="AV70" s="74" t="inlineStr">
        <is>
          <t>≥ 60%</t>
        </is>
      </c>
      <c r="AW70" s="74" t="b">
        <v>1</v>
      </c>
      <c r="AX70" s="74" t="inlineStr">
        <is>
          <t>incomparável</t>
        </is>
      </c>
      <c r="AY70" s="74" t="inlineStr">
        <is>
          <t>sem benchmark confiável</t>
        </is>
      </c>
      <c r="AZ70" s="140" t="inlineStr">
        <is>
          <t>N/D</t>
        </is>
      </c>
      <c r="BA70" s="74" t="b">
        <v>0</v>
      </c>
      <c r="BB70" s="141" t="n">
        <v>0</v>
      </c>
      <c r="BC70" s="139" t="n">
        <v>1</v>
      </c>
      <c r="BD70" s="74" t="inlineStr">
        <is>
          <t>Cotas Subordinadas: R$ 1,00</t>
        </is>
      </c>
      <c r="BE70" s="74" t="inlineStr">
        <is>
          <t>preço/valor unitário de emissão</t>
        </is>
      </c>
      <c r="BF70" s="74" t="inlineStr">
        <is>
          <t>Cotas Subordinadas</t>
        </is>
      </c>
      <c r="BG70" s="74" t="inlineStr">
        <is>
          <t>17/09/2024</t>
        </is>
      </c>
      <c r="BH70" s="74" t="inlineStr">
        <is>
          <t>741138</t>
        </is>
      </c>
      <c r="BI70" s="74" t="inlineStr">
        <is>
          <t>https://fnet.bmfbovespa.com.br/fnet/publico/downloadDocumento?id=741138</t>
        </is>
      </c>
      <c r="BJ70" s="74" t="inlineStr">
        <is>
          <t>localizado documentalmente</t>
        </is>
      </c>
      <c r="BK70" s="74" t="b">
        <v>0</v>
      </c>
      <c r="BL70" s="74" t="inlineStr">
        <is>
          <t>SUMITOMO</t>
        </is>
      </c>
      <c r="BM70" s="74" t="inlineStr">
        <is>
          <t>cedente</t>
        </is>
      </c>
      <c r="BN70" s="74" t="inlineStr">
        <is>
          <t>a Sumitomo</t>
        </is>
      </c>
      <c r="BO70" s="74" t="inlineStr">
        <is>
          <t>(i) a Sumitomo, cujas cessões não contarão com coobrigação</t>
        </is>
      </c>
      <c r="BP70" s="74" t="inlineStr">
        <is>
          <t>N/D</t>
        </is>
      </c>
      <c r="BQ70" s="74" t="inlineStr">
        <is>
          <t>os recebíveis provenientes de (i) Notas Promissórias a serem emitidas por Distribuidores de Insumos; (ii) CPR-F a serem emitidas por Produtores, Cooperativas ou, ainda, Distribuidores, nos termos da legislação aplicável; (iii) CDCA a serem emitidos por Distribuidores</t>
        </is>
      </c>
      <c r="BR70" s="74" t="inlineStr">
        <is>
          <t>originador: https://fnet.bmfbovespa.com.br/fnet/publico/downloadDocumento?id=741138 | cedente: https://fnet.bmfbovespa.com.br/fnet/publico/downloadDocumento?id=741138 | tipo_recebivel: https://fnet.bmfbovespa.com.br/fnet/publico/downloadDocumento?id=741138</t>
        </is>
      </c>
      <c r="BS70" s="74" t="inlineStr">
        <is>
          <t>manual_aplicado</t>
        </is>
      </c>
      <c r="BT70" s="74" t="inlineStr">
        <is>
          <t>OBS literal: FIDC Sumitomo. Financia revendas e produtores.</t>
        </is>
      </c>
      <c r="BU70" s="74" t="inlineStr">
        <is>
          <t>741139</t>
        </is>
      </c>
      <c r="BV70" s="74" t="inlineStr">
        <is>
          <t>2024-09-17</t>
        </is>
      </c>
      <c r="BW70" s="74" t="inlineStr">
        <is>
          <t>81</t>
        </is>
      </c>
      <c r="BX70" s="74" t="inlineStr">
        <is>
          <t>revisto — mínimo júnior localizado</t>
        </is>
      </c>
      <c r="BY70" s="74" t="inlineStr">
        <is>
          <t>FundosNet/B3; documento 741139; referência 2024-09-17; p. 81</t>
        </is>
      </c>
      <c r="BZ70" s="74" t="inlineStr">
        <is>
          <t>Cotas subordinadas júnior / total das cotas, mínimo de 5,0%, mantido pelo valor atualizado.</t>
        </is>
      </c>
      <c r="CA70" s="74" t="inlineStr">
        <is>
          <t>sacado/devedor</t>
        </is>
      </c>
      <c r="CB70" s="74" t="inlineStr">
        <is>
          <t>estrutura_incomparavel</t>
        </is>
      </c>
    </row>
    <row r="71" ht="31.5" customHeight="1">
      <c r="A71" s="75" t="n">
        <v>69</v>
      </c>
      <c r="B71" s="142" t="n">
        <v>47936340000192</v>
      </c>
      <c r="C71" s="75" t="inlineStr">
        <is>
          <t>47.936.340/0001-92</t>
        </is>
      </c>
      <c r="D71" s="75" t="inlineStr">
        <is>
          <t>FUNDO DE INVESTIMENTO NAS CADEIAS PRODUTIVAS AGROINDUSTRIAIS OPEA AGRO INSUMOS RESPONSABILIDADE LIMI</t>
        </is>
      </c>
      <c r="E71" s="75" t="inlineStr">
        <is>
          <t>FUNDO DE INVESTIMENTO EM DIREITOS CREDITORIOS OPEA</t>
        </is>
      </c>
      <c r="F71" s="75" t="inlineStr">
        <is>
          <t>Carteira 101</t>
        </is>
      </c>
      <c r="G71" s="75" t="inlineStr">
        <is>
          <t>2026-08</t>
        </is>
      </c>
      <c r="H71" s="75" t="inlineStr">
        <is>
          <t>localizado</t>
        </is>
      </c>
      <c r="I71" s="143" t="inlineStr">
        <is>
          <t>N/D</t>
        </is>
      </c>
      <c r="J71" s="143" t="inlineStr">
        <is>
          <t>N/D</t>
        </is>
      </c>
      <c r="K71" s="143" t="inlineStr">
        <is>
          <t>N/D</t>
        </is>
      </c>
      <c r="L71" s="144" t="inlineStr">
        <is>
          <t>N/D</t>
        </is>
      </c>
      <c r="M71" s="75" t="inlineStr">
        <is>
          <t>PL oficial ausente em 2026-08</t>
        </is>
      </c>
      <c r="N71" s="144" t="inlineStr">
        <is>
          <t>N/D</t>
        </is>
      </c>
      <c r="O71" s="144" t="inlineStr">
        <is>
          <t>N/D</t>
        </is>
      </c>
      <c r="P71" s="144" t="inlineStr">
        <is>
          <t>N/D</t>
        </is>
      </c>
      <c r="Q71" s="144" t="n">
        <v>0.25</v>
      </c>
      <c r="R71" s="144" t="inlineStr">
        <is>
          <t>N/D</t>
        </is>
      </c>
      <c r="S71" s="144" t="n">
        <v>0.25</v>
      </c>
      <c r="T71" s="75" t="inlineStr">
        <is>
          <t>25,0%*</t>
        </is>
      </c>
      <c r="U71" s="75" t="inlineStr">
        <is>
          <t>suporte_total_pl</t>
        </is>
      </c>
      <c r="V71" s="75" t="inlineStr">
        <is>
          <t>direto no regulamento</t>
        </is>
      </c>
      <c r="W71" s="75" t="b">
        <v>1</v>
      </c>
      <c r="X71" s="75" t="inlineStr">
        <is>
          <t>Suporte total ou combinado; não representa mínimo júnior isolado.</t>
        </is>
      </c>
      <c r="Y71" s="75" t="b">
        <v>1</v>
      </c>
      <c r="Z71" s="144" t="inlineStr">
        <is>
          <t>N/D</t>
        </is>
      </c>
      <c r="AA71" s="144" t="inlineStr">
        <is>
          <t>N/D</t>
        </is>
      </c>
      <c r="AB71" s="75" t="inlineStr">
        <is>
          <t>não medido</t>
        </is>
      </c>
      <c r="AC71" s="75" t="inlineStr">
        <is>
          <t>Agro, Indústria e Comércio</t>
        </is>
      </c>
      <c r="AD71" s="75" t="inlineStr">
        <is>
          <t>Recebíveis Comerciais</t>
        </is>
      </c>
      <c r="AE71" s="75" t="inlineStr">
        <is>
          <t>Agro / Revenda</t>
        </is>
      </c>
      <c r="AF71" s="75" t="inlineStr">
        <is>
          <t>Agro / Revenda</t>
        </is>
      </c>
      <c r="AG71" s="75" t="inlineStr">
        <is>
          <t>Agro / Revenda</t>
        </is>
      </c>
      <c r="AH71" s="75" t="inlineStr">
        <is>
          <t>Agro / Revenda</t>
        </is>
      </c>
      <c r="AI71" s="75" t="inlineStr">
        <is>
          <t>Insumos agrícolas, prazo safra BASF</t>
        </is>
      </c>
      <c r="AJ71" s="75" t="b">
        <v>0</v>
      </c>
      <c r="AK71" s="75" t="inlineStr">
        <is>
          <t>MANTER_ALTA</t>
        </is>
      </c>
      <c r="AL71" s="75" t="inlineStr">
        <is>
          <t>BASF e insumos agrícolas</t>
        </is>
      </c>
      <c r="AM71" s="75" t="inlineStr">
        <is>
          <t>IMG_8706</t>
        </is>
      </c>
      <c r="AN71" s="75" t="inlineStr">
        <is>
          <t>Não</t>
        </is>
      </c>
      <c r="AO71" s="75" t="inlineStr">
        <is>
          <t>IMG_8706</t>
        </is>
      </c>
      <c r="AP71" s="75" t="b">
        <v>0</v>
      </c>
      <c r="AQ71" s="75" t="inlineStr">
        <is>
          <t>Agro / Revenda</t>
        </is>
      </c>
      <c r="AR71" s="75" t="inlineStr">
        <is>
          <t>Agro / Revenda</t>
        </is>
      </c>
      <c r="AS71" s="75" t="b">
        <v>0</v>
      </c>
      <c r="AT71" s="75" t="inlineStr">
        <is>
          <t>N/D</t>
        </is>
      </c>
      <c r="AU71" s="75" t="inlineStr">
        <is>
          <t>N/D</t>
        </is>
      </c>
      <c r="AV71" s="75" t="inlineStr">
        <is>
          <t>N/D</t>
        </is>
      </c>
      <c r="AW71" s="75" t="b">
        <v>0</v>
      </c>
      <c r="AX71" s="75" t="inlineStr">
        <is>
          <t>N/D</t>
        </is>
      </c>
      <c r="AY71" s="75" t="inlineStr">
        <is>
          <t>sem benchmark confiável</t>
        </is>
      </c>
      <c r="AZ71" s="144" t="inlineStr">
        <is>
          <t>N/D</t>
        </is>
      </c>
      <c r="BA71" s="75" t="b">
        <v>0</v>
      </c>
      <c r="BB71" s="145" t="n">
        <v>0</v>
      </c>
      <c r="BC71" s="143" t="n">
        <v>1000</v>
      </c>
      <c r="BD71" s="75" t="inlineStr">
        <is>
          <t>Cotas Subordinadas Mezanino: R$ 1.000,00</t>
        </is>
      </c>
      <c r="BE71" s="75" t="inlineStr">
        <is>
          <t>preço/valor unitário de emissão</t>
        </is>
      </c>
      <c r="BF71" s="75" t="inlineStr">
        <is>
          <t>Cotas Subordinadas Mezanino</t>
        </is>
      </c>
      <c r="BG71" s="75" t="inlineStr">
        <is>
          <t>2025-03-11</t>
        </is>
      </c>
      <c r="BH71" s="75" t="inlineStr">
        <is>
          <t>862072</t>
        </is>
      </c>
      <c r="BI71" s="75" t="inlineStr">
        <is>
          <t>https://fnet.bmfbovespa.com.br/fnet/publico/downloadDocumento?id=862072</t>
        </is>
      </c>
      <c r="BJ71" s="75" t="inlineStr">
        <is>
          <t>localizado documentalmente</t>
        </is>
      </c>
      <c r="BK71" s="75" t="b">
        <v>0</v>
      </c>
      <c r="BL71" s="75" t="inlineStr">
        <is>
          <t>BASF</t>
        </is>
      </c>
      <c r="BM71" s="75" t="inlineStr">
        <is>
          <t>cedente</t>
        </is>
      </c>
      <c r="BN71" s="75" t="inlineStr">
        <is>
          <t>N/D</t>
        </is>
      </c>
      <c r="BO71" s="75" t="inlineStr">
        <is>
          <t>BASF</t>
        </is>
      </c>
      <c r="BP71" s="75" t="inlineStr">
        <is>
          <t>N/D</t>
        </is>
      </c>
      <c r="BQ71" s="75" t="inlineStr">
        <is>
          <t>Insumos Agrícolas - prazo Safra</t>
        </is>
      </c>
      <c r="BR71" s="75" t="inlineStr">
        <is>
          <t>cedente: IMG_8706.JPG | tipo_recebivel: IMG_8706.JPG</t>
        </is>
      </c>
      <c r="BS71" s="75" t="inlineStr">
        <is>
          <t>manual_aplicado</t>
        </is>
      </c>
      <c r="BT71" s="75" t="inlineStr">
        <is>
          <t>N/D</t>
        </is>
      </c>
      <c r="BU71" s="75" t="inlineStr">
        <is>
          <t>801978</t>
        </is>
      </c>
      <c r="BV71" s="75" t="inlineStr">
        <is>
          <t>2025-03-11</t>
        </is>
      </c>
      <c r="BW71" s="75" t="inlineStr">
        <is>
          <t>4</t>
        </is>
      </c>
      <c r="BX71" s="75" t="inlineStr">
        <is>
          <t>revisto — suporte estrutural total localizado</t>
        </is>
      </c>
      <c r="BY71" s="75" t="inlineStr">
        <is>
          <t>FundosNet/B3; documento 801978; referência 2025-03-11; p. 4</t>
        </is>
      </c>
      <c r="BZ71" s="75" t="inlineStr">
        <is>
          <t>N/D</t>
        </is>
      </c>
      <c r="CA71" s="75" t="inlineStr">
        <is>
          <t>PL atual; Sub/PL atual; originador; sacado/devedor</t>
        </is>
      </c>
      <c r="CB71" s="75" t="inlineStr">
        <is>
          <t>sub_pl_atual_ausente</t>
        </is>
      </c>
    </row>
    <row r="72" ht="31.5" customHeight="1">
      <c r="A72" s="74" t="n">
        <v>70</v>
      </c>
      <c r="B72" s="138" t="n">
        <v>58291962000127</v>
      </c>
      <c r="C72" s="74" t="inlineStr">
        <is>
          <t>58.291.962/0001-27</t>
        </is>
      </c>
      <c r="D72" s="74" t="inlineStr">
        <is>
          <t>HELM FUNDO DE INVESTIMENTO NAS CADEIAS PRODUTIVAS DO AGRONEGÓCIO - RESPONSABILIDADE LIMITADA</t>
        </is>
      </c>
      <c r="E72" s="74" t="inlineStr">
        <is>
          <t>HELM FUNDO I E D C RESPONS</t>
        </is>
      </c>
      <c r="F72" s="74" t="inlineStr">
        <is>
          <t>Carteira 101</t>
        </is>
      </c>
      <c r="G72" s="74" t="inlineStr">
        <is>
          <t>2026-08</t>
        </is>
      </c>
      <c r="H72" s="74" t="inlineStr">
        <is>
          <t>localizado</t>
        </is>
      </c>
      <c r="I72" s="139" t="inlineStr">
        <is>
          <t>N/D</t>
        </is>
      </c>
      <c r="J72" s="139" t="inlineStr">
        <is>
          <t>N/D</t>
        </is>
      </c>
      <c r="K72" s="139" t="inlineStr">
        <is>
          <t>N/D</t>
        </is>
      </c>
      <c r="L72" s="140" t="inlineStr">
        <is>
          <t>N/D</t>
        </is>
      </c>
      <c r="M72" s="74" t="inlineStr">
        <is>
          <t>PL oficial ausente em 2026-08</t>
        </is>
      </c>
      <c r="N72" s="140" t="inlineStr">
        <is>
          <t>N/D</t>
        </is>
      </c>
      <c r="O72" s="140" t="inlineStr">
        <is>
          <t>N/D</t>
        </is>
      </c>
      <c r="P72" s="140" t="inlineStr">
        <is>
          <t>N/D</t>
        </is>
      </c>
      <c r="Q72" s="140" t="n">
        <v>0.2</v>
      </c>
      <c r="R72" s="140" t="inlineStr">
        <is>
          <t>N/D</t>
        </is>
      </c>
      <c r="S72" s="140" t="n">
        <v>0.2</v>
      </c>
      <c r="T72" s="74" t="inlineStr">
        <is>
          <t>20,0%*</t>
        </is>
      </c>
      <c r="U72" s="74" t="inlineStr">
        <is>
          <t>suporte_total_pl</t>
        </is>
      </c>
      <c r="V72" s="74" t="inlineStr">
        <is>
          <t>direto no regulamento</t>
        </is>
      </c>
      <c r="W72" s="74" t="b">
        <v>1</v>
      </c>
      <c r="X72" s="74" t="inlineStr">
        <is>
          <t>Suporte total ou combinado; não representa mínimo júnior isolado.</t>
        </is>
      </c>
      <c r="Y72" s="74" t="b">
        <v>1</v>
      </c>
      <c r="Z72" s="140" t="inlineStr">
        <is>
          <t>N/D</t>
        </is>
      </c>
      <c r="AA72" s="140" t="inlineStr">
        <is>
          <t>N/D</t>
        </is>
      </c>
      <c r="AB72" s="74" t="inlineStr">
        <is>
          <t>não medido</t>
        </is>
      </c>
      <c r="AC72" s="74" t="inlineStr">
        <is>
          <t>Agro, Indústria e Comércio</t>
        </is>
      </c>
      <c r="AD72" s="74" t="inlineStr">
        <is>
          <t>Multicarteira Agro, Indústria e Comércio</t>
        </is>
      </c>
      <c r="AE72" s="74" t="inlineStr">
        <is>
          <t>Agro / Revenda</t>
        </is>
      </c>
      <c r="AF72" s="74" t="inlineStr">
        <is>
          <t>Agro / Revenda</t>
        </is>
      </c>
      <c r="AG72" s="74" t="inlineStr">
        <is>
          <t>Agro / Revenda</t>
        </is>
      </c>
      <c r="AH72" s="74" t="inlineStr">
        <is>
          <t>Agro / Revenda</t>
        </is>
      </c>
      <c r="AI72" s="74" t="inlineStr">
        <is>
          <t>Recebíveis comerciais HELM na cadeia agro</t>
        </is>
      </c>
      <c r="AJ72" s="74" t="b">
        <v>0</v>
      </c>
      <c r="AK72" s="74" t="inlineStr">
        <is>
          <t>MANTER_ASTERISCO</t>
        </is>
      </c>
      <c r="AL72" s="74" t="inlineStr">
        <is>
          <t>Produto agro não está explícito no trecho aceito</t>
        </is>
      </c>
      <c r="AM72" s="74" t="inlineStr">
        <is>
          <t>regulamento 957854</t>
        </is>
      </c>
      <c r="AN72" s="74" t="inlineStr">
        <is>
          <t>Não</t>
        </is>
      </c>
      <c r="AO72" s="74" t="inlineStr">
        <is>
          <t>regulamento 957854</t>
        </is>
      </c>
      <c r="AP72" s="74" t="b">
        <v>0</v>
      </c>
      <c r="AQ72" s="74" t="inlineStr">
        <is>
          <t>Agro / Revenda</t>
        </is>
      </c>
      <c r="AR72" s="74" t="inlineStr">
        <is>
          <t>Agro / Revenda</t>
        </is>
      </c>
      <c r="AS72" s="74" t="b">
        <v>0</v>
      </c>
      <c r="AT72" s="74" t="inlineStr">
        <is>
          <t>N/D</t>
        </is>
      </c>
      <c r="AU72" s="74" t="inlineStr">
        <is>
          <t>N/D</t>
        </is>
      </c>
      <c r="AV72" s="74" t="inlineStr">
        <is>
          <t>N/D</t>
        </is>
      </c>
      <c r="AW72" s="74" t="b">
        <v>0</v>
      </c>
      <c r="AX72" s="74" t="inlineStr">
        <is>
          <t>N/D</t>
        </is>
      </c>
      <c r="AY72" s="74" t="inlineStr">
        <is>
          <t>sem benchmark confiável</t>
        </is>
      </c>
      <c r="AZ72" s="140" t="inlineStr">
        <is>
          <t>N/D</t>
        </is>
      </c>
      <c r="BA72" s="74" t="b">
        <v>0</v>
      </c>
      <c r="BB72" s="141" t="n">
        <v>0</v>
      </c>
      <c r="BC72" s="139" t="n">
        <v>1000</v>
      </c>
      <c r="BD72" s="74" t="inlineStr">
        <is>
          <t>Cotas Subordinadas Júnior: R$1.000,00 | R$1.000,00</t>
        </is>
      </c>
      <c r="BE72" s="74" t="inlineStr">
        <is>
          <t>preço/valor unitário de emissão</t>
        </is>
      </c>
      <c r="BF72" s="74" t="inlineStr">
        <is>
          <t>Cotas Subordinadas Júnior</t>
        </is>
      </c>
      <c r="BG72" s="74" t="inlineStr">
        <is>
          <t>2025-07-30</t>
        </is>
      </c>
      <c r="BH72" s="74" t="inlineStr">
        <is>
          <t>957854</t>
        </is>
      </c>
      <c r="BI72" s="74" t="inlineStr">
        <is>
          <t>https://fnet.bmfbovespa.com.br/fnet/publico/downloadDocumento?id=957854</t>
        </is>
      </c>
      <c r="BJ72" s="74" t="inlineStr">
        <is>
          <t>localizado documentalmente — múltiplos valores/classes</t>
        </is>
      </c>
      <c r="BK72" s="74" t="b">
        <v>1</v>
      </c>
      <c r="BL72" s="74" t="inlineStr">
        <is>
          <t>Helm</t>
        </is>
      </c>
      <c r="BM72" s="74" t="inlineStr">
        <is>
          <t>cedente</t>
        </is>
      </c>
      <c r="BN72" s="74" t="inlineStr">
        <is>
          <t>N/D</t>
        </is>
      </c>
      <c r="BO72" s="74" t="inlineStr">
        <is>
          <t>a HELM DO BRASIL MERCANTIL LTDA. , sociedade empresária de responsabilidade limitada, com sede na</t>
        </is>
      </c>
      <c r="BP72" s="74" t="inlineStr">
        <is>
          <t>qualquer cliente da Cedente cujos Direitos Creditórios venham a ser cedidos ao Fundo, observadas as características e condições descritas neste Anexo Descritivo , e que estejam de acordo com a Política de Crédito e Originação</t>
        </is>
      </c>
      <c r="BQ72" s="74" t="inlineStr">
        <is>
          <t>os direitos creditórios cedidos pela Cedente , representados pelos Documentos Comprobatórios, detidos pela Cedente contra os Devedores</t>
        </is>
      </c>
      <c r="BR72" s="74" t="inlineStr">
        <is>
          <t>cedente: https://fnet.bmfbovespa.com.br/fnet/publico/downloadDocumento?id=957854 | sacado_devedor: https://fnet.bmfbovespa.com.br/fnet/publico/downloadDocumento?id=957854 | tipo_recebivel: https://fnet.bmfbovespa.com.br/fnet/publico/downloadDocumento?id=957854</t>
        </is>
      </c>
      <c r="BS72" s="74" t="inlineStr">
        <is>
          <t>manual_aplicado</t>
        </is>
      </c>
      <c r="BT72" s="74" t="inlineStr">
        <is>
          <t>N/D</t>
        </is>
      </c>
      <c r="BU72" s="74" t="inlineStr">
        <is>
          <t>957854</t>
        </is>
      </c>
      <c r="BV72" s="74" t="inlineStr">
        <is>
          <t>2025-07-30</t>
        </is>
      </c>
      <c r="BW72" s="74" t="inlineStr">
        <is>
          <t>99–100</t>
        </is>
      </c>
      <c r="BX72" s="74" t="inlineStr">
        <is>
          <t>revisto — suporte estrutural total localizado</t>
        </is>
      </c>
      <c r="BY72" s="74" t="inlineStr">
        <is>
          <t>FundosNet/B3; documento 957854; referência 2025-07-30; p. 99–100</t>
        </is>
      </c>
      <c r="BZ72" s="74" t="inlineStr">
        <is>
          <t>N/D</t>
        </is>
      </c>
      <c r="CA72" s="74" t="inlineStr">
        <is>
          <t>PL atual; Sub/PL atual; originador</t>
        </is>
      </c>
      <c r="CB72" s="74" t="inlineStr">
        <is>
          <t>sub_pl_atual_ausente</t>
        </is>
      </c>
    </row>
    <row r="73" ht="31.5" customHeight="1">
      <c r="A73" s="75" t="n">
        <v>71</v>
      </c>
      <c r="B73" s="142" t="n">
        <v>57259989000170</v>
      </c>
      <c r="C73" s="75" t="inlineStr">
        <is>
          <t>57.259.989/0001-70</t>
        </is>
      </c>
      <c r="D73" s="75" t="inlineStr">
        <is>
          <t>TRÊS TENTOS FIAGRO RESPONSABILIDADE LIMITADA</t>
        </is>
      </c>
      <c r="E73" s="75" t="inlineStr">
        <is>
          <t>TRES TENTOS FUNDO DE INVESTIMENTO EM DIREITOS CRE</t>
        </is>
      </c>
      <c r="F73" s="75" t="inlineStr">
        <is>
          <t>Carteira 101</t>
        </is>
      </c>
      <c r="G73" s="75" t="inlineStr">
        <is>
          <t>2026-08</t>
        </is>
      </c>
      <c r="H73" s="75" t="inlineStr">
        <is>
          <t>localizado</t>
        </is>
      </c>
      <c r="I73" s="143" t="inlineStr">
        <is>
          <t>N/D</t>
        </is>
      </c>
      <c r="J73" s="143" t="inlineStr">
        <is>
          <t>N/D</t>
        </is>
      </c>
      <c r="K73" s="143" t="inlineStr">
        <is>
          <t>N/D</t>
        </is>
      </c>
      <c r="L73" s="144" t="inlineStr">
        <is>
          <t>N/D</t>
        </is>
      </c>
      <c r="M73" s="75" t="inlineStr">
        <is>
          <t>PL oficial ausente em 2026-08</t>
        </is>
      </c>
      <c r="N73" s="144" t="inlineStr">
        <is>
          <t>N/D</t>
        </is>
      </c>
      <c r="O73" s="144" t="inlineStr">
        <is>
          <t>N/D</t>
        </is>
      </c>
      <c r="P73" s="144" t="inlineStr">
        <is>
          <t>N/D</t>
        </is>
      </c>
      <c r="Q73" s="144" t="n">
        <v>0.2</v>
      </c>
      <c r="R73" s="144" t="inlineStr">
        <is>
          <t>N/D</t>
        </is>
      </c>
      <c r="S73" s="144" t="n">
        <v>0.2</v>
      </c>
      <c r="T73" s="75" t="inlineStr">
        <is>
          <t>20,0%*</t>
        </is>
      </c>
      <c r="U73" s="75" t="inlineStr">
        <is>
          <t>suporte_total_pl</t>
        </is>
      </c>
      <c r="V73" s="75" t="inlineStr">
        <is>
          <t>direto no regulamento</t>
        </is>
      </c>
      <c r="W73" s="75" t="b">
        <v>1</v>
      </c>
      <c r="X73" s="75" t="inlineStr">
        <is>
          <t>Suporte total ou combinado; não representa mínimo júnior isolado.</t>
        </is>
      </c>
      <c r="Y73" s="75" t="b">
        <v>1</v>
      </c>
      <c r="Z73" s="144" t="inlineStr">
        <is>
          <t>N/D</t>
        </is>
      </c>
      <c r="AA73" s="144" t="inlineStr">
        <is>
          <t>N/D</t>
        </is>
      </c>
      <c r="AB73" s="75" t="inlineStr">
        <is>
          <t>não medido</t>
        </is>
      </c>
      <c r="AC73" s="75" t="inlineStr">
        <is>
          <t>Agro, Indústria e Comércio</t>
        </is>
      </c>
      <c r="AD73" s="75" t="inlineStr">
        <is>
          <t>Agronegócio</t>
        </is>
      </c>
      <c r="AE73" s="75" t="inlineStr">
        <is>
          <t>Agro / Revenda</t>
        </is>
      </c>
      <c r="AF73" s="75" t="inlineStr">
        <is>
          <t>Agro / Revenda</t>
        </is>
      </c>
      <c r="AG73" s="75" t="inlineStr">
        <is>
          <t>Agro / Revenda</t>
        </is>
      </c>
      <c r="AH73" s="75" t="inlineStr">
        <is>
          <t>Agro / Revenda</t>
        </is>
      </c>
      <c r="AI73" s="75" t="inlineStr">
        <is>
          <t>Recebíveis e CPR da 3Tentos</t>
        </is>
      </c>
      <c r="AJ73" s="75" t="b">
        <v>0</v>
      </c>
      <c r="AK73" s="75" t="inlineStr">
        <is>
          <t>MANTER_ALTA</t>
        </is>
      </c>
      <c r="AL73" s="75" t="inlineStr">
        <is>
          <t>Regulamento inclui CPR e clientes da cedente agro</t>
        </is>
      </c>
      <c r="AM73" s="75" t="inlineStr">
        <is>
          <t>regulamento 1016583</t>
        </is>
      </c>
      <c r="AN73" s="75" t="inlineStr">
        <is>
          <t>Não</t>
        </is>
      </c>
      <c r="AO73" s="75" t="inlineStr">
        <is>
          <t>regulamento 1016583</t>
        </is>
      </c>
      <c r="AP73" s="75" t="b">
        <v>0</v>
      </c>
      <c r="AQ73" s="75" t="inlineStr">
        <is>
          <t>Agro / Revenda</t>
        </is>
      </c>
      <c r="AR73" s="75" t="inlineStr">
        <is>
          <t>Agro / Revenda</t>
        </is>
      </c>
      <c r="AS73" s="75" t="b">
        <v>0</v>
      </c>
      <c r="AT73" s="75" t="inlineStr">
        <is>
          <t>N/D</t>
        </is>
      </c>
      <c r="AU73" s="75" t="inlineStr">
        <is>
          <t>N/D</t>
        </is>
      </c>
      <c r="AV73" s="75" t="inlineStr">
        <is>
          <t>N/D</t>
        </is>
      </c>
      <c r="AW73" s="75" t="b">
        <v>0</v>
      </c>
      <c r="AX73" s="75" t="inlineStr">
        <is>
          <t>N/D</t>
        </is>
      </c>
      <c r="AY73" s="75" t="inlineStr">
        <is>
          <t>sem benchmark confiável</t>
        </is>
      </c>
      <c r="AZ73" s="144" t="inlineStr">
        <is>
          <t>N/D</t>
        </is>
      </c>
      <c r="BA73" s="75" t="b">
        <v>0</v>
      </c>
      <c r="BB73" s="145" t="n">
        <v>0</v>
      </c>
      <c r="BC73" s="143" t="n">
        <v>1000</v>
      </c>
      <c r="BD73" s="75" t="inlineStr">
        <is>
          <t>Cotas Subordinadas: R$ 1.000,00 | Cotas Subordinadas Júnior: R$1.000,00 | R$1.000,00</t>
        </is>
      </c>
      <c r="BE73" s="75" t="inlineStr">
        <is>
          <t>preço/valor unitário de emissão</t>
        </is>
      </c>
      <c r="BF73" s="75" t="inlineStr">
        <is>
          <t>Cotas Subordinadas | Cotas Subordinadas Júnior</t>
        </is>
      </c>
      <c r="BG73" s="75" t="inlineStr">
        <is>
          <t>2025-10-16</t>
        </is>
      </c>
      <c r="BH73" s="75" t="inlineStr">
        <is>
          <t>1016583</t>
        </is>
      </c>
      <c r="BI73" s="75" t="inlineStr">
        <is>
          <t>https://fnet.bmfbovespa.com.br/fnet/publico/downloadDocumento?id=1016583</t>
        </is>
      </c>
      <c r="BJ73" s="75" t="inlineStr">
        <is>
          <t>localizado documentalmente — múltiplos valores/classes</t>
        </is>
      </c>
      <c r="BK73" s="75" t="b">
        <v>1</v>
      </c>
      <c r="BL73" s="75" t="inlineStr">
        <is>
          <t>Tres Tentos</t>
        </is>
      </c>
      <c r="BM73" s="75" t="inlineStr">
        <is>
          <t>cedente</t>
        </is>
      </c>
      <c r="BN73" s="75" t="inlineStr">
        <is>
          <t>N/D</t>
        </is>
      </c>
      <c r="BO73" s="75" t="inlineStr">
        <is>
          <t>Tres Tentos</t>
        </is>
      </c>
      <c r="BP73" s="75" t="inlineStr">
        <is>
          <t>qualquer cliente das Cedentes, atuantes no segmento</t>
        </is>
      </c>
      <c r="BQ73" s="75" t="inlineStr">
        <is>
          <t>os direitos creditórios originados pelas Cedentes, representados pelos Documentos Comprobatórios, detidos pelas Cedentes contra os Devedores, os quais incluem os Direitos Creditórios CPR</t>
        </is>
      </c>
      <c r="BR73" s="75" t="inlineStr">
        <is>
          <t>cedente: IMG_8706.JPG | sacado_devedor: https://fnet.bmfbovespa.com.br/fnet/publico/downloadDocumento?id=1016583 | tipo_recebivel: https://fnet.bmfbovespa.com.br/fnet/publico/downloadDocumento?id=1016583</t>
        </is>
      </c>
      <c r="BS73" s="75" t="inlineStr">
        <is>
          <t>manual_aplicado</t>
        </is>
      </c>
      <c r="BT73" s="75" t="inlineStr">
        <is>
          <t>Denominação cortada pela largura da coluna na foto.</t>
        </is>
      </c>
      <c r="BU73" s="75" t="inlineStr">
        <is>
          <t>1016583</t>
        </is>
      </c>
      <c r="BV73" s="75" t="inlineStr">
        <is>
          <t>2025-10-16</t>
        </is>
      </c>
      <c r="BW73" s="75" t="inlineStr">
        <is>
          <t>104</t>
        </is>
      </c>
      <c r="BX73" s="75" t="inlineStr">
        <is>
          <t>revisto — suporte estrutural total localizado</t>
        </is>
      </c>
      <c r="BY73" s="75" t="inlineStr">
        <is>
          <t>FundosNet/B3; documento 1016583; referência 2025-10-16; p. 104</t>
        </is>
      </c>
      <c r="BZ73" s="75" t="inlineStr">
        <is>
          <t>N/D</t>
        </is>
      </c>
      <c r="CA73" s="75" t="inlineStr">
        <is>
          <t>PL atual; Sub/PL atual; originador</t>
        </is>
      </c>
      <c r="CB73" s="75" t="inlineStr">
        <is>
          <t>sub_pl_atual_ausente</t>
        </is>
      </c>
    </row>
    <row r="74" ht="31.5" customHeight="1">
      <c r="A74" s="74" t="n">
        <v>72</v>
      </c>
      <c r="B74" s="138" t="n">
        <v>58171340000165</v>
      </c>
      <c r="C74" s="74" t="inlineStr">
        <is>
          <t>58.171.340/0001-65</t>
        </is>
      </c>
      <c r="D74" s="74" t="inlineStr">
        <is>
          <t>FRIMESA FUNDO DE INVESTIMENTO EM DIREITOS CREDITÓRIOS DE RESPONSABILIDADE LIMITADA</t>
        </is>
      </c>
      <c r="E74" s="74" t="inlineStr">
        <is>
          <t>FRIMESA FUNDO DE INVESTIMENTO EM DIREITOS CREDITOR</t>
        </is>
      </c>
      <c r="F74" s="74" t="inlineStr">
        <is>
          <t>Carteira 101</t>
        </is>
      </c>
      <c r="G74" s="74" t="inlineStr">
        <is>
          <t>2026-08</t>
        </is>
      </c>
      <c r="H74" s="74" t="inlineStr">
        <is>
          <t>localizado</t>
        </is>
      </c>
      <c r="I74" s="139" t="n">
        <v>358889817.79</v>
      </c>
      <c r="J74" s="139" t="n">
        <v>358889817.7800113</v>
      </c>
      <c r="K74" s="139" t="n">
        <v>76267260.69001128</v>
      </c>
      <c r="L74" s="140" t="n">
        <v>0.2125088450813562</v>
      </c>
      <c r="M74" s="74" t="inlineStr">
        <is>
          <t>Calculado com classes reportadas e PL oficial reconciliado</t>
        </is>
      </c>
      <c r="N74" s="140" t="n">
        <v>0.01</v>
      </c>
      <c r="O74" s="140" t="inlineStr">
        <is>
          <t>N/D</t>
        </is>
      </c>
      <c r="P74" s="140" t="inlineStr">
        <is>
          <t>N/D</t>
        </is>
      </c>
      <c r="Q74" s="140" t="inlineStr">
        <is>
          <t>N/D</t>
        </is>
      </c>
      <c r="R74" s="140" t="inlineStr">
        <is>
          <t>N/D</t>
        </is>
      </c>
      <c r="S74" s="140" t="n">
        <v>0.01</v>
      </c>
      <c r="T74" s="74" t="inlineStr">
        <is>
          <t>N/D</t>
        </is>
      </c>
      <c r="U74" s="74" t="inlineStr">
        <is>
          <t>junior_pl</t>
        </is>
      </c>
      <c r="V74" s="74" t="inlineStr">
        <is>
          <t>direto no regulamento</t>
        </is>
      </c>
      <c r="W74" s="74" t="b">
        <v>0</v>
      </c>
      <c r="X74" s="74" t="inlineStr">
        <is>
          <t>Mínimo júnior isolado; a subordinação atual disponível agrega todas as classes subordinadas.</t>
        </is>
      </c>
      <c r="Y74" s="74" t="b">
        <v>0</v>
      </c>
      <c r="Z74" s="140" t="inlineStr">
        <is>
          <t>N/D</t>
        </is>
      </c>
      <c r="AA74" s="140" t="inlineStr">
        <is>
          <t>N/D</t>
        </is>
      </c>
      <c r="AB74" s="74" t="inlineStr">
        <is>
          <t>não medido</t>
        </is>
      </c>
      <c r="AC74" s="74" t="inlineStr">
        <is>
          <t>Agro, Indústria e Comércio</t>
        </is>
      </c>
      <c r="AD74" s="74" t="inlineStr">
        <is>
          <t>Multicarteira Agro, Indústria e Comércio</t>
        </is>
      </c>
      <c r="AE74" s="74" t="inlineStr">
        <is>
          <t>Agro / Revenda</t>
        </is>
      </c>
      <c r="AF74" s="74" t="inlineStr">
        <is>
          <t>Agro / Revenda</t>
        </is>
      </c>
      <c r="AG74" s="74" t="inlineStr">
        <is>
          <t>Agro / Revenda</t>
        </is>
      </c>
      <c r="AH74" s="74" t="inlineStr">
        <is>
          <t>Agro / Revenda</t>
        </is>
      </c>
      <c r="AI74" s="74" t="inlineStr">
        <is>
          <t>Recebíveis comerciais contra supermercados</t>
        </is>
      </c>
      <c r="AJ74" s="74" t="b">
        <v>0</v>
      </c>
      <c r="AK74" s="74" t="inlineStr">
        <is>
          <t>PENDENTE_FONTE_PRIMARIA</t>
        </is>
      </c>
      <c r="AL74" s="74" t="inlineStr">
        <is>
          <t>Pagadores supermercados constam somente na planilha</t>
        </is>
      </c>
      <c r="AM74" s="74" t="inlineStr">
        <is>
          <t>IMG_8706</t>
        </is>
      </c>
      <c r="AN74" s="74" t="inlineStr">
        <is>
          <t>Candidato</t>
        </is>
      </c>
      <c r="AO74" s="74" t="inlineStr">
        <is>
          <t>IMG_8706</t>
        </is>
      </c>
      <c r="AP74" s="74" t="inlineStr">
        <is>
          <t>N/D</t>
        </is>
      </c>
      <c r="AQ74" s="74" t="inlineStr">
        <is>
          <t>Agro / Revenda</t>
        </is>
      </c>
      <c r="AR74" s="74" t="inlineStr">
        <is>
          <t>Agro / Revenda</t>
        </is>
      </c>
      <c r="AS74" s="74" t="b">
        <v>0</v>
      </c>
      <c r="AT74" s="74" t="inlineStr">
        <is>
          <t>N/D</t>
        </is>
      </c>
      <c r="AU74" s="74" t="inlineStr">
        <is>
          <t>N/D</t>
        </is>
      </c>
      <c r="AV74" s="74" t="inlineStr">
        <is>
          <t>20%–35%</t>
        </is>
      </c>
      <c r="AW74" s="74" t="b">
        <v>1</v>
      </c>
      <c r="AX74" s="74" t="inlineStr">
        <is>
          <t>incomparável</t>
        </is>
      </c>
      <c r="AY74" s="74" t="inlineStr">
        <is>
          <t>sem benchmark confiável</t>
        </is>
      </c>
      <c r="AZ74" s="140" t="inlineStr">
        <is>
          <t>N/D</t>
        </is>
      </c>
      <c r="BA74" s="74" t="b">
        <v>0</v>
      </c>
      <c r="BB74" s="141" t="n">
        <v>0</v>
      </c>
      <c r="BC74" s="139" t="n">
        <v>1000</v>
      </c>
      <c r="BD74" s="74" t="inlineStr">
        <is>
          <t>Cotas Seniores: R$1.000,00</t>
        </is>
      </c>
      <c r="BE74" s="74" t="inlineStr">
        <is>
          <t>valor nominal unitário (VNU)</t>
        </is>
      </c>
      <c r="BF74" s="74" t="inlineStr">
        <is>
          <t>Cotas Seniores</t>
        </is>
      </c>
      <c r="BG74" s="74" t="inlineStr">
        <is>
          <t>22/12/2025</t>
        </is>
      </c>
      <c r="BH74" s="74" t="inlineStr">
        <is>
          <t>1067840</t>
        </is>
      </c>
      <c r="BI74" s="74" t="inlineStr">
        <is>
          <t>https://fnet.bmfbovespa.com.br/fnet/publico/downloadDocumento?id=1067840</t>
        </is>
      </c>
      <c r="BJ74" s="74" t="inlineStr">
        <is>
          <t>localizado documentalmente</t>
        </is>
      </c>
      <c r="BK74" s="74" t="b">
        <v>0</v>
      </c>
      <c r="BL74" s="74" t="inlineStr">
        <is>
          <t>Frimesa</t>
        </is>
      </c>
      <c r="BM74" s="74" t="inlineStr">
        <is>
          <t>cedente</t>
        </is>
      </c>
      <c r="BN74" s="74" t="inlineStr">
        <is>
          <t>N/D</t>
        </is>
      </c>
      <c r="BO74" s="74" t="inlineStr">
        <is>
          <t>a FRIMESA COOPERATIVA CENTRAL, com sede na cidade de Medianeira, Estado do Paraná, na Rua Bahia, nº 159, CEP 85723-006, inscrita no CNPJ sob o nº 77.595.395/0001-47, inclusive por meio de suas filiais</t>
        </is>
      </c>
      <c r="BP74" s="74" t="inlineStr">
        <is>
          <t>N/D</t>
        </is>
      </c>
      <c r="BQ74" s="74" t="inlineStr">
        <is>
          <t>recebíveis supermercados</t>
        </is>
      </c>
      <c r="BR74" s="74" t="inlineStr">
        <is>
          <t>cedente: https://fnet.bmfbovespa.com.br/fnet/publico/downloadDocumento?id=861191 | tipo_recebivel: IMG_8706.JPG</t>
        </is>
      </c>
      <c r="BS74" s="74" t="inlineStr">
        <is>
          <t>manual_aplicado</t>
        </is>
      </c>
      <c r="BT74" s="74" t="inlineStr">
        <is>
          <t>Denominação cortada pela largura da coluna na foto.</t>
        </is>
      </c>
      <c r="BU74" s="74" t="inlineStr">
        <is>
          <t>861191</t>
        </is>
      </c>
      <c r="BV74" s="74" t="inlineStr">
        <is>
          <t>2025-03-13</t>
        </is>
      </c>
      <c r="BW74" s="74" t="inlineStr">
        <is>
          <t>51</t>
        </is>
      </c>
      <c r="BX74" s="74" t="inlineStr">
        <is>
          <t>revisto — mínimo júnior localizado</t>
        </is>
      </c>
      <c r="BY74" s="74" t="inlineStr">
        <is>
          <t>FundosNet/B3; documento 861191; referência 2025-03-13; p. 51</t>
        </is>
      </c>
      <c r="BZ74" s="74" t="inlineStr">
        <is>
          <t>Índice de Subordinação Mezanino: cotas júnior / PL, mínimo de 1,0%.</t>
        </is>
      </c>
      <c r="CA74" s="74" t="inlineStr">
        <is>
          <t>originador; sacado/devedor</t>
        </is>
      </c>
      <c r="CB74" s="74" t="inlineStr">
        <is>
          <t>estrutura_incomparavel</t>
        </is>
      </c>
    </row>
    <row r="75" ht="31.5" customHeight="1">
      <c r="A75" s="75" t="n">
        <v>73</v>
      </c>
      <c r="B75" s="142" t="n">
        <v>51554551000138</v>
      </c>
      <c r="C75" s="75" t="inlineStr">
        <is>
          <t>51.554.551/0001-38</t>
        </is>
      </c>
      <c r="D75" s="75" t="inlineStr">
        <is>
          <t>CLASSE ÚNICA DO FIDC CRÉDITO NITRO AGRO - RESPONSABILIDADE LIMITADA</t>
        </is>
      </c>
      <c r="E75" s="75" t="inlineStr">
        <is>
          <t>CLASSE UNICA DO FIDC CREDITO NITRO AGRO RESPONSA</t>
        </is>
      </c>
      <c r="F75" s="75" t="inlineStr">
        <is>
          <t>Carteira 101</t>
        </is>
      </c>
      <c r="G75" s="75" t="inlineStr">
        <is>
          <t>2026-08</t>
        </is>
      </c>
      <c r="H75" s="75" t="inlineStr">
        <is>
          <t>localizado</t>
        </is>
      </c>
      <c r="I75" s="143" t="n">
        <v>53126766.77</v>
      </c>
      <c r="J75" s="143" t="n">
        <v>53126766.78000483</v>
      </c>
      <c r="K75" s="143" t="n">
        <v>53126766.78000483</v>
      </c>
      <c r="L75" s="144" t="n">
        <v>1.00000000018832</v>
      </c>
      <c r="M75" s="75" t="inlineStr">
        <is>
          <t>Calculado com classes reportadas e PL oficial reconciliado</t>
        </is>
      </c>
      <c r="N75" s="144" t="inlineStr">
        <is>
          <t>N/D</t>
        </is>
      </c>
      <c r="O75" s="144" t="inlineStr">
        <is>
          <t>N/D</t>
        </is>
      </c>
      <c r="P75" s="144" t="inlineStr">
        <is>
          <t>N/D</t>
        </is>
      </c>
      <c r="Q75" s="144" t="inlineStr">
        <is>
          <t>N/D</t>
        </is>
      </c>
      <c r="R75" s="144" t="n">
        <v>0.25</v>
      </c>
      <c r="S75" s="144" t="n">
        <v>0.25</v>
      </c>
      <c r="T75" s="75" t="inlineStr">
        <is>
          <t>25,0%*</t>
        </is>
      </c>
      <c r="U75" s="75" t="inlineStr">
        <is>
          <t>suporte_combinado_pl</t>
        </is>
      </c>
      <c r="V75" s="75" t="inlineStr">
        <is>
          <t>direto no regulamento</t>
        </is>
      </c>
      <c r="W75" s="75" t="b">
        <v>1</v>
      </c>
      <c r="X75" s="75" t="inlineStr">
        <is>
          <t>Suporte total ou combinado; não representa mínimo júnior isolado.</t>
        </is>
      </c>
      <c r="Y75" s="75" t="b">
        <v>1</v>
      </c>
      <c r="Z75" s="144" t="n">
        <v>0.7500000001883198</v>
      </c>
      <c r="AA75" s="144" t="n">
        <v>1.000000000251093</v>
      </c>
      <c r="AB75" s="75" t="inlineStr">
        <is>
          <t>acima do mínimo</t>
        </is>
      </c>
      <c r="AC75" s="75" t="inlineStr">
        <is>
          <t>Agro, Indústria e Comércio</t>
        </is>
      </c>
      <c r="AD75" s="75" t="inlineStr">
        <is>
          <t>Agronegócio</t>
        </is>
      </c>
      <c r="AE75" s="75" t="inlineStr">
        <is>
          <t>Agro / Revenda</t>
        </is>
      </c>
      <c r="AF75" s="75" t="inlineStr">
        <is>
          <t>Agro / Revenda</t>
        </is>
      </c>
      <c r="AG75" s="75" t="inlineStr">
        <is>
          <t>Agro / Revenda</t>
        </is>
      </c>
      <c r="AH75" s="75" t="inlineStr">
        <is>
          <t>Agro / Revenda</t>
        </is>
      </c>
      <c r="AI75" s="75" t="inlineStr">
        <is>
          <t>Venda de insumos a produtores e distribuidores</t>
        </is>
      </c>
      <c r="AJ75" s="75" t="b">
        <v>0</v>
      </c>
      <c r="AK75" s="75" t="inlineStr">
        <is>
          <t>MANTER_ALTA</t>
        </is>
      </c>
      <c r="AL75" s="75" t="inlineStr">
        <is>
          <t>Direitos do agronegócio por venda de insumos</t>
        </is>
      </c>
      <c r="AM75" s="75" t="inlineStr">
        <is>
          <t>regulamento 1261911</t>
        </is>
      </c>
      <c r="AN75" s="75" t="inlineStr">
        <is>
          <t>Não</t>
        </is>
      </c>
      <c r="AO75" s="75" t="inlineStr">
        <is>
          <t>regulamento 1261911</t>
        </is>
      </c>
      <c r="AP75" s="75" t="b">
        <v>0</v>
      </c>
      <c r="AQ75" s="75" t="inlineStr">
        <is>
          <t>Agro / Revenda</t>
        </is>
      </c>
      <c r="AR75" s="75" t="inlineStr">
        <is>
          <t>Agro / Revenda</t>
        </is>
      </c>
      <c r="AS75" s="75" t="b">
        <v>0</v>
      </c>
      <c r="AT75" s="75" t="inlineStr">
        <is>
          <t>N/D</t>
        </is>
      </c>
      <c r="AU75" s="75" t="inlineStr">
        <is>
          <t>N/D</t>
        </is>
      </c>
      <c r="AV75" s="75" t="inlineStr">
        <is>
          <t>≥ 60%</t>
        </is>
      </c>
      <c r="AW75" s="75" t="b">
        <v>1</v>
      </c>
      <c r="AX75" s="75" t="inlineStr">
        <is>
          <t>acima do piso</t>
        </is>
      </c>
      <c r="AY75" s="75" t="inlineStr">
        <is>
          <t>sem benchmark confiável</t>
        </is>
      </c>
      <c r="AZ75" s="144" t="inlineStr">
        <is>
          <t>N/D</t>
        </is>
      </c>
      <c r="BA75" s="75" t="b">
        <v>0</v>
      </c>
      <c r="BB75" s="145" t="n">
        <v>0</v>
      </c>
      <c r="BC75" s="143" t="n">
        <v>1000</v>
      </c>
      <c r="BD75" s="75" t="inlineStr">
        <is>
          <t>Cotas Subordinadas: R$1.000,00</t>
        </is>
      </c>
      <c r="BE75" s="75" t="inlineStr">
        <is>
          <t>preço/valor unitário de emissão</t>
        </is>
      </c>
      <c r="BF75" s="75" t="inlineStr">
        <is>
          <t>Cotas Subordinadas</t>
        </is>
      </c>
      <c r="BG75" s="75" t="inlineStr">
        <is>
          <t>18/06/2026</t>
        </is>
      </c>
      <c r="BH75" s="75" t="inlineStr">
        <is>
          <t>1261911</t>
        </is>
      </c>
      <c r="BI75" s="75" t="inlineStr">
        <is>
          <t>https://fnet.bmfbovespa.com.br/fnet/publico/downloadDocumento?id=1261911</t>
        </is>
      </c>
      <c r="BJ75" s="75" t="inlineStr">
        <is>
          <t>localizado documentalmente</t>
        </is>
      </c>
      <c r="BK75" s="75" t="b">
        <v>0</v>
      </c>
      <c r="BL75" s="75" t="inlineStr">
        <is>
          <t>Nitroquímica</t>
        </is>
      </c>
      <c r="BM75" s="75" t="inlineStr">
        <is>
          <t>cedente</t>
        </is>
      </c>
      <c r="BN75" s="75" t="inlineStr">
        <is>
          <t>N/D</t>
        </is>
      </c>
      <c r="BO75" s="75" t="inlineStr">
        <is>
          <t>a COMPANHIA NITRO QUÍMICA BRASILEIRA, com sede na cidade de São Paulo, Estado de São Paulo, na Avenida Doutor José Artur Nova, nº 951, São Miguel Paulista, CEP 08090-000, inscrita no CNPJ sob o nº 61.150.348/0001-50, cujas cessões não contarão com coobrigação</t>
        </is>
      </c>
      <c r="BP75" s="75" t="inlineStr">
        <is>
          <t>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t>
        </is>
      </c>
      <c r="BQ75" s="75" t="inlineStr">
        <is>
          <t>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t>
        </is>
      </c>
      <c r="BR75" s="75" t="inlineStr">
        <is>
          <t>cedente: https://fnet.bmfbovespa.com.br/fnet/publico/downloadDocumento?id=1261911 | sacado_devedor: https://fnet.bmfbovespa.com.br/fnet/publico/downloadDocumento?id=1261911 | tipo_recebivel: https://fnet.bmfbovespa.com.br/fnet/publico/downloadDocumento?id=1261911</t>
        </is>
      </c>
      <c r="BS75" s="75" t="inlineStr">
        <is>
          <t>manual_aplicado</t>
        </is>
      </c>
      <c r="BT75" s="75" t="inlineStr">
        <is>
          <t>Denominação cortada pela largura da coluna na foto.</t>
        </is>
      </c>
      <c r="BU75" s="75" t="inlineStr">
        <is>
          <t>1261911</t>
        </is>
      </c>
      <c r="BV75" s="75" t="inlineStr">
        <is>
          <t>2026-06-18</t>
        </is>
      </c>
      <c r="BW75" s="75" t="inlineStr">
        <is>
          <t>71</t>
        </is>
      </c>
      <c r="BX75" s="75" t="inlineStr">
        <is>
          <t>revisto — suporte estrutural total localizado</t>
        </is>
      </c>
      <c r="BY75" s="75" t="inlineStr">
        <is>
          <t>FundosNet/B3; documento 1261911; referência 2026-06-18; p. 71</t>
        </is>
      </c>
      <c r="BZ75" s="75" t="inlineStr">
        <is>
          <t>N/D</t>
        </is>
      </c>
      <c r="CA75" s="75" t="inlineStr">
        <is>
          <t>originador</t>
        </is>
      </c>
      <c r="CB75" s="75" t="inlineStr">
        <is>
          <t>completo_para_folga</t>
        </is>
      </c>
    </row>
    <row r="76" ht="31.5" customHeight="1">
      <c r="A76" s="74" t="n">
        <v>74</v>
      </c>
      <c r="B76" s="138" t="n">
        <v>57752597000148</v>
      </c>
      <c r="C76" s="74" t="inlineStr">
        <is>
          <t>57.752.597/0001-48</t>
        </is>
      </c>
      <c r="D76" s="74" t="inlineStr">
        <is>
          <t>AGROMERCANTIL CRÉDITO AGRO FUNDO DE INVESTIMENTO EM DIREITOS CREDITÓRIOS - RESPONSABILIDADE LIMITADA</t>
        </is>
      </c>
      <c r="E76" s="74" t="inlineStr">
        <is>
          <t>AGROMERCANTIL CREDITO AGRO FUNDO DE INVESTIMENTO EM DIREITOS CREDITORIOS</t>
        </is>
      </c>
      <c r="F76" s="74" t="inlineStr">
        <is>
          <t>Carteira 101</t>
        </is>
      </c>
      <c r="G76" s="74" t="inlineStr">
        <is>
          <t>2026-08</t>
        </is>
      </c>
      <c r="H76" s="74" t="inlineStr">
        <is>
          <t>localizado</t>
        </is>
      </c>
      <c r="I76" s="139" t="n">
        <v>70218818.03</v>
      </c>
      <c r="J76" s="139" t="n">
        <v>70218818.02999222</v>
      </c>
      <c r="K76" s="139" t="n">
        <v>23552661.73995</v>
      </c>
      <c r="L76" s="140" t="n">
        <v>0.3354180887790999</v>
      </c>
      <c r="M76" s="74" t="inlineStr">
        <is>
          <t>Calculado com classes reportadas e PL oficial reconciliado</t>
        </is>
      </c>
      <c r="N76" s="140" t="n">
        <v>0.3</v>
      </c>
      <c r="O76" s="140" t="inlineStr">
        <is>
          <t>N/D</t>
        </is>
      </c>
      <c r="P76" s="140" t="inlineStr">
        <is>
          <t>N/D</t>
        </is>
      </c>
      <c r="Q76" s="140" t="inlineStr">
        <is>
          <t>N/D</t>
        </is>
      </c>
      <c r="R76" s="140" t="inlineStr">
        <is>
          <t>N/D</t>
        </is>
      </c>
      <c r="S76" s="140" t="n">
        <v>0.3</v>
      </c>
      <c r="T76" s="74" t="inlineStr">
        <is>
          <t>N/D</t>
        </is>
      </c>
      <c r="U76" s="74" t="inlineStr">
        <is>
          <t>junior_pl</t>
        </is>
      </c>
      <c r="V76" s="74" t="inlineStr">
        <is>
          <t>direto no regulamento</t>
        </is>
      </c>
      <c r="W76" s="74" t="b">
        <v>0</v>
      </c>
      <c r="X76" s="74" t="inlineStr">
        <is>
          <t>Mínimo júnior isolado; a subordinação atual disponível agrega todas as classes subordinadas.</t>
        </is>
      </c>
      <c r="Y76" s="74" t="b">
        <v>0</v>
      </c>
      <c r="Z76" s="140" t="inlineStr">
        <is>
          <t>N/D</t>
        </is>
      </c>
      <c r="AA76" s="140" t="inlineStr">
        <is>
          <t>N/D</t>
        </is>
      </c>
      <c r="AB76" s="74" t="inlineStr">
        <is>
          <t>não medido</t>
        </is>
      </c>
      <c r="AC76" s="74" t="inlineStr">
        <is>
          <t>Agro, Indústria e Comércio</t>
        </is>
      </c>
      <c r="AD76" s="74" t="inlineStr">
        <is>
          <t>Multicarteira Agro, Indústria e Comércio</t>
        </is>
      </c>
      <c r="AE76" s="74" t="inlineStr">
        <is>
          <t>Agro / Revenda</t>
        </is>
      </c>
      <c r="AF76" s="74" t="inlineStr">
        <is>
          <t>Agro / Revenda</t>
        </is>
      </c>
      <c r="AG76" s="74" t="inlineStr">
        <is>
          <t>Agro / Revenda</t>
        </is>
      </c>
      <c r="AH76" s="74" t="inlineStr">
        <is>
          <t>Agro / Revenda</t>
        </is>
      </c>
      <c r="AI76" s="74" t="inlineStr">
        <is>
          <t>Comercialização de grãos</t>
        </is>
      </c>
      <c r="AJ76" s="74" t="b">
        <v>0</v>
      </c>
      <c r="AK76" s="74" t="inlineStr">
        <is>
          <t>MANTER_ALTA</t>
        </is>
      </c>
      <c r="AL76" s="74" t="inlineStr">
        <is>
          <t>Cedente Agromercantil e lastro de grãos</t>
        </is>
      </c>
      <c r="AM76" s="74" t="inlineStr">
        <is>
          <t>IMG_8706</t>
        </is>
      </c>
      <c r="AN76" s="74" t="inlineStr">
        <is>
          <t>Não</t>
        </is>
      </c>
      <c r="AO76" s="74" t="inlineStr">
        <is>
          <t>IMG_8706</t>
        </is>
      </c>
      <c r="AP76" s="74" t="b">
        <v>0</v>
      </c>
      <c r="AQ76" s="74" t="inlineStr">
        <is>
          <t>Agro / Revenda</t>
        </is>
      </c>
      <c r="AR76" s="74" t="inlineStr">
        <is>
          <t>Agro / Revenda</t>
        </is>
      </c>
      <c r="AS76" s="74" t="b">
        <v>0</v>
      </c>
      <c r="AT76" s="74" t="inlineStr">
        <is>
          <t>N/D</t>
        </is>
      </c>
      <c r="AU76" s="74" t="inlineStr">
        <is>
          <t>N/D</t>
        </is>
      </c>
      <c r="AV76" s="74" t="inlineStr">
        <is>
          <t>20%–35%</t>
        </is>
      </c>
      <c r="AW76" s="74" t="b">
        <v>1</v>
      </c>
      <c r="AX76" s="74" t="inlineStr">
        <is>
          <t>incomparável</t>
        </is>
      </c>
      <c r="AY76" s="74" t="inlineStr">
        <is>
          <t>sem benchmark confiável</t>
        </is>
      </c>
      <c r="AZ76" s="140" t="inlineStr">
        <is>
          <t>N/D</t>
        </is>
      </c>
      <c r="BA76" s="74" t="b">
        <v>0</v>
      </c>
      <c r="BB76" s="141" t="n">
        <v>0</v>
      </c>
      <c r="BC76" s="139" t="inlineStr">
        <is>
          <t>N/D</t>
        </is>
      </c>
      <c r="BD76" s="74" t="inlineStr">
        <is>
          <t>N/D</t>
        </is>
      </c>
      <c r="BE76" s="74" t="inlineStr">
        <is>
          <t>N/D</t>
        </is>
      </c>
      <c r="BF76" s="74" t="inlineStr">
        <is>
          <t>N/D</t>
        </is>
      </c>
      <c r="BG76" s="74" t="inlineStr">
        <is>
          <t>N/D</t>
        </is>
      </c>
      <c r="BH76" s="74" t="inlineStr">
        <is>
          <t>N/D</t>
        </is>
      </c>
      <c r="BI76" s="74" t="inlineStr">
        <is>
          <t>N/D</t>
        </is>
      </c>
      <c r="BJ76" s="74" t="inlineStr">
        <is>
          <t>não localizado</t>
        </is>
      </c>
      <c r="BK76" s="74" t="b">
        <v>0</v>
      </c>
      <c r="BL76" s="74" t="inlineStr">
        <is>
          <t>AGROMERCANTIL</t>
        </is>
      </c>
      <c r="BM76" s="74" t="inlineStr">
        <is>
          <t>cedente</t>
        </is>
      </c>
      <c r="BN76" s="74" t="inlineStr">
        <is>
          <t>N/D</t>
        </is>
      </c>
      <c r="BO76" s="74" t="inlineStr">
        <is>
          <t>AGROMERCANTIL</t>
        </is>
      </c>
      <c r="BP76" s="74" t="inlineStr">
        <is>
          <t>N/D</t>
        </is>
      </c>
      <c r="BQ76" s="74" t="inlineStr">
        <is>
          <t>Comercializadora de grãos</t>
        </is>
      </c>
      <c r="BR76" s="74" t="inlineStr">
        <is>
          <t>cedente: IMG_8706.JPG | tipo_recebivel: IMG_8706.JPG</t>
        </is>
      </c>
      <c r="BS76" s="74" t="inlineStr">
        <is>
          <t>manual_aplicado</t>
        </is>
      </c>
      <c r="BT76" s="74" t="inlineStr">
        <is>
          <t>Denominação cortada pela largura da coluna na foto.</t>
        </is>
      </c>
      <c r="BU76" s="74" t="inlineStr">
        <is>
          <t>1200681</t>
        </is>
      </c>
      <c r="BV76" s="74" t="inlineStr">
        <is>
          <t>2026-05-21</t>
        </is>
      </c>
      <c r="BW76" s="74" t="inlineStr">
        <is>
          <t>44</t>
        </is>
      </c>
      <c r="BX76" s="74" t="inlineStr">
        <is>
          <t>revisto — mínimo júnior localizado</t>
        </is>
      </c>
      <c r="BY76" s="74" t="inlineStr">
        <is>
          <t>FundosNet/B3; documento 1200681; referência 2026-05-21; p. 44</t>
        </is>
      </c>
      <c r="BZ76" s="74" t="inlineStr">
        <is>
          <t>Totalidade das cotas subordinadas júnior / PL, mínimo de 30,0%.</t>
        </is>
      </c>
      <c r="CA76" s="74" t="inlineStr">
        <is>
          <t>preço unitário da cota; originador; sacado/devedor</t>
        </is>
      </c>
      <c r="CB76" s="74" t="inlineStr">
        <is>
          <t>estrutura_incomparavel</t>
        </is>
      </c>
    </row>
    <row r="77" ht="31.5" customHeight="1">
      <c r="A77" s="75" t="n">
        <v>75</v>
      </c>
      <c r="B77" s="142" t="n">
        <v>47425750000179</v>
      </c>
      <c r="C77" s="75" t="inlineStr">
        <is>
          <t>47.425.750/0001-79</t>
        </is>
      </c>
      <c r="D77" s="75" t="inlineStr">
        <is>
          <t>CEREALIS FUNDO DE INVESTIMENTO EM DIREITOS CREDITÓRIOS</t>
        </is>
      </c>
      <c r="E77" s="75" t="inlineStr">
        <is>
          <t>FIDC CROPFIELD CEREALIS</t>
        </is>
      </c>
      <c r="F77" s="75" t="inlineStr">
        <is>
          <t>Carteira 101</t>
        </is>
      </c>
      <c r="G77" s="75" t="inlineStr">
        <is>
          <t>2026-08</t>
        </is>
      </c>
      <c r="H77" s="75" t="inlineStr">
        <is>
          <t>localizado</t>
        </is>
      </c>
      <c r="I77" s="143" t="n">
        <v>221895953.89</v>
      </c>
      <c r="J77" s="143" t="n">
        <v>221895953.889965</v>
      </c>
      <c r="K77" s="143" t="n">
        <v>117772572.7202548</v>
      </c>
      <c r="L77" s="144" t="n">
        <v>0.5307558369389556</v>
      </c>
      <c r="M77" s="75" t="inlineStr">
        <is>
          <t>Calculado com classes reportadas e PL oficial reconciliado</t>
        </is>
      </c>
      <c r="N77" s="144" t="n">
        <v>0.25</v>
      </c>
      <c r="O77" s="144" t="inlineStr">
        <is>
          <t>N/D</t>
        </is>
      </c>
      <c r="P77" s="144" t="inlineStr">
        <is>
          <t>N/D</t>
        </is>
      </c>
      <c r="Q77" s="144" t="inlineStr">
        <is>
          <t>N/D</t>
        </is>
      </c>
      <c r="R77" s="144" t="inlineStr">
        <is>
          <t>N/D</t>
        </is>
      </c>
      <c r="S77" s="144" t="n">
        <v>0.25</v>
      </c>
      <c r="T77" s="75" t="inlineStr">
        <is>
          <t>N/D</t>
        </is>
      </c>
      <c r="U77" s="75" t="inlineStr">
        <is>
          <t>junior_pl</t>
        </is>
      </c>
      <c r="V77" s="75" t="inlineStr">
        <is>
          <t>direto no regulamento</t>
        </is>
      </c>
      <c r="W77" s="75" t="b">
        <v>0</v>
      </c>
      <c r="X77" s="75" t="inlineStr">
        <is>
          <t>Mínimo júnior isolado; a subordinação atual disponível agrega todas as classes subordinadas.</t>
        </is>
      </c>
      <c r="Y77" s="75" t="b">
        <v>0</v>
      </c>
      <c r="Z77" s="144" t="inlineStr">
        <is>
          <t>N/D</t>
        </is>
      </c>
      <c r="AA77" s="144" t="inlineStr">
        <is>
          <t>N/D</t>
        </is>
      </c>
      <c r="AB77" s="75" t="inlineStr">
        <is>
          <t>não medido</t>
        </is>
      </c>
      <c r="AC77" s="75" t="inlineStr">
        <is>
          <t>Agro, Indústria e Comércio</t>
        </is>
      </c>
      <c r="AD77" s="75" t="inlineStr">
        <is>
          <t>Agronegócio</t>
        </is>
      </c>
      <c r="AE77" s="75" t="inlineStr">
        <is>
          <t>Agro / Revenda</t>
        </is>
      </c>
      <c r="AF77" s="75" t="inlineStr">
        <is>
          <t>Agro / Revenda</t>
        </is>
      </c>
      <c r="AG77" s="75" t="inlineStr">
        <is>
          <t>Agro / Revenda</t>
        </is>
      </c>
      <c r="AH77" s="75" t="inlineStr">
        <is>
          <t>Agro / Revenda</t>
        </is>
      </c>
      <c r="AI77" s="75" t="inlineStr">
        <is>
          <t>Lastro agro não isolado</t>
        </is>
      </c>
      <c r="AJ77" s="75" t="b">
        <v>0</v>
      </c>
      <c r="AK77" s="75" t="inlineStr">
        <is>
          <t>PENDENTE_DOCUMENTAL</t>
        </is>
      </c>
      <c r="AL77" s="75" t="inlineStr">
        <is>
          <t>Nenhum originador, cedente, devedor ou tipo foi localizado</t>
        </is>
      </c>
      <c r="AM77" s="75" t="inlineStr">
        <is>
          <t>regulamento 1237988 apenas estrutural</t>
        </is>
      </c>
      <c r="AN77" s="75" t="inlineStr">
        <is>
          <t>Pendente</t>
        </is>
      </c>
      <c r="AO77" s="75" t="inlineStr">
        <is>
          <t>regulamento 1237988 apenas estrutural</t>
        </is>
      </c>
      <c r="AP77" s="75" t="inlineStr">
        <is>
          <t>N/D</t>
        </is>
      </c>
      <c r="AQ77" s="75" t="inlineStr">
        <is>
          <t>Agro / Revenda</t>
        </is>
      </c>
      <c r="AR77" s="75" t="inlineStr">
        <is>
          <t>Agro / Revenda</t>
        </is>
      </c>
      <c r="AS77" s="75" t="b">
        <v>0</v>
      </c>
      <c r="AT77" s="75" t="inlineStr">
        <is>
          <t>N/D</t>
        </is>
      </c>
      <c r="AU77" s="75" t="inlineStr">
        <is>
          <t>N/D</t>
        </is>
      </c>
      <c r="AV77" s="75" t="inlineStr">
        <is>
          <t>35%–60%</t>
        </is>
      </c>
      <c r="AW77" s="75" t="b">
        <v>1</v>
      </c>
      <c r="AX77" s="75" t="inlineStr">
        <is>
          <t>incomparável</t>
        </is>
      </c>
      <c r="AY77" s="75" t="inlineStr">
        <is>
          <t>sem benchmark confiável</t>
        </is>
      </c>
      <c r="AZ77" s="144" t="inlineStr">
        <is>
          <t>N/D</t>
        </is>
      </c>
      <c r="BA77" s="75" t="b">
        <v>0</v>
      </c>
      <c r="BB77" s="145" t="n">
        <v>0</v>
      </c>
      <c r="BC77" s="143" t="inlineStr">
        <is>
          <t>N/D</t>
        </is>
      </c>
      <c r="BD77" s="75" t="inlineStr">
        <is>
          <t>N/D</t>
        </is>
      </c>
      <c r="BE77" s="75" t="inlineStr">
        <is>
          <t>N/D</t>
        </is>
      </c>
      <c r="BF77" s="75" t="inlineStr">
        <is>
          <t>N/D</t>
        </is>
      </c>
      <c r="BG77" s="75" t="inlineStr">
        <is>
          <t>N/D</t>
        </is>
      </c>
      <c r="BH77" s="75" t="inlineStr">
        <is>
          <t>N/D</t>
        </is>
      </c>
      <c r="BI77" s="75" t="inlineStr">
        <is>
          <t>N/D</t>
        </is>
      </c>
      <c r="BJ77" s="75" t="inlineStr">
        <is>
          <t>não localizado</t>
        </is>
      </c>
      <c r="BK77" s="75" t="b">
        <v>0</v>
      </c>
      <c r="BL77" s="75" t="inlineStr">
        <is>
          <t>N/D</t>
        </is>
      </c>
      <c r="BM77" s="75" t="inlineStr">
        <is>
          <t>N/D</t>
        </is>
      </c>
      <c r="BN77" s="75" t="inlineStr">
        <is>
          <t>N/D</t>
        </is>
      </c>
      <c r="BO77" s="75" t="inlineStr">
        <is>
          <t>N/D</t>
        </is>
      </c>
      <c r="BP77" s="75" t="inlineStr">
        <is>
          <t>N/D</t>
        </is>
      </c>
      <c r="BQ77" s="75" t="inlineStr">
        <is>
          <t>N/D</t>
        </is>
      </c>
      <c r="BR77" s="75" t="inlineStr">
        <is>
          <t>N/D</t>
        </is>
      </c>
      <c r="BS77" s="75" t="inlineStr">
        <is>
          <t>sem_overlay</t>
        </is>
      </c>
      <c r="BT77" s="75" t="inlineStr">
        <is>
          <t>N/D</t>
        </is>
      </c>
      <c r="BU77" s="75" t="inlineStr">
        <is>
          <t>1237988</t>
        </is>
      </c>
      <c r="BV77" s="75" t="inlineStr">
        <is>
          <t>2026-07-02</t>
        </is>
      </c>
      <c r="BW77" s="75" t="inlineStr">
        <is>
          <t>30</t>
        </is>
      </c>
      <c r="BX77" s="75" t="inlineStr">
        <is>
          <t>revisto — mínimo júnior calculado de cláusulas contratuais</t>
        </is>
      </c>
      <c r="BY77" s="75" t="inlineStr">
        <is>
          <t>FundosNet/B3; documento 1237988; referência 2026-07-02; p. 30</t>
        </is>
      </c>
      <c r="BZ77" s="75" t="inlineStr">
        <is>
          <t>Mínimo júnior calculado: subordinadas = 50,0% do PL e júnior = 50,0% das subordinadas.</t>
        </is>
      </c>
      <c r="CA77" s="75" t="inlineStr">
        <is>
          <t>preço unitário da cota; originador; cedente; sacado/devedor; tipo de recebível</t>
        </is>
      </c>
      <c r="CB77" s="75" t="inlineStr">
        <is>
          <t>estrutura_incomparavel</t>
        </is>
      </c>
    </row>
    <row r="78" ht="31.5" customHeight="1">
      <c r="A78" s="74" t="n">
        <v>76</v>
      </c>
      <c r="B78" s="138" t="n">
        <v>37035970000132</v>
      </c>
      <c r="C78" s="74" t="inlineStr">
        <is>
          <t>37.035.970/0001-32</t>
        </is>
      </c>
      <c r="D78" s="74" t="inlineStr">
        <is>
          <t>CD CASH FUNDO DE INVESTIMENTO EM DIREITOS CREDITÓRIOS RESPONSABILIDADE LIMITADA</t>
        </is>
      </c>
      <c r="E78" s="74" t="inlineStr">
        <is>
          <t>CD BANCK FIDC</t>
        </is>
      </c>
      <c r="F78" s="74" t="inlineStr">
        <is>
          <t>Carteira 101</t>
        </is>
      </c>
      <c r="G78" s="74" t="inlineStr">
        <is>
          <t>2026-08</t>
        </is>
      </c>
      <c r="H78" s="74" t="inlineStr">
        <is>
          <t>localizado</t>
        </is>
      </c>
      <c r="I78" s="139" t="n">
        <v>299962532.22</v>
      </c>
      <c r="J78" s="139" t="n">
        <v>299962532.2089869</v>
      </c>
      <c r="K78" s="139" t="n">
        <v>140331393.9195107</v>
      </c>
      <c r="L78" s="140" t="n">
        <v>0.4678297415378137</v>
      </c>
      <c r="M78" s="74" t="inlineStr">
        <is>
          <t>Calculado com classes reportadas e PL oficial reconciliado</t>
        </is>
      </c>
      <c r="N78" s="140" t="n">
        <v>0.3</v>
      </c>
      <c r="O78" s="140" t="inlineStr">
        <is>
          <t>N/D</t>
        </is>
      </c>
      <c r="P78" s="140" t="inlineStr">
        <is>
          <t>N/D</t>
        </is>
      </c>
      <c r="Q78" s="140" t="inlineStr">
        <is>
          <t>N/D</t>
        </is>
      </c>
      <c r="R78" s="140" t="inlineStr">
        <is>
          <t>N/D</t>
        </is>
      </c>
      <c r="S78" s="140" t="n">
        <v>0.3</v>
      </c>
      <c r="T78" s="74" t="inlineStr">
        <is>
          <t>N/D</t>
        </is>
      </c>
      <c r="U78" s="74" t="inlineStr">
        <is>
          <t>junior_pl</t>
        </is>
      </c>
      <c r="V78" s="74" t="inlineStr">
        <is>
          <t>direto no regulamento</t>
        </is>
      </c>
      <c r="W78" s="74" t="b">
        <v>0</v>
      </c>
      <c r="X78" s="74" t="inlineStr">
        <is>
          <t>Mínimo júnior isolado; a subordinação atual disponível agrega todas as classes subordinadas.</t>
        </is>
      </c>
      <c r="Y78" s="74" t="b">
        <v>0</v>
      </c>
      <c r="Z78" s="140" t="inlineStr">
        <is>
          <t>N/D</t>
        </is>
      </c>
      <c r="AA78" s="140" t="inlineStr">
        <is>
          <t>N/D</t>
        </is>
      </c>
      <c r="AB78" s="74" t="inlineStr">
        <is>
          <t>não medido</t>
        </is>
      </c>
      <c r="AC78" s="74" t="inlineStr">
        <is>
          <t>Agro, Indústria e Comércio</t>
        </is>
      </c>
      <c r="AD78" s="74" t="inlineStr">
        <is>
          <t>Multicarteira Agro, Indústria e Comércio</t>
        </is>
      </c>
      <c r="AE78" s="74" t="inlineStr">
        <is>
          <t>Agro / Revenda</t>
        </is>
      </c>
      <c r="AF78" s="74" t="inlineStr">
        <is>
          <t>Agro / Revenda</t>
        </is>
      </c>
      <c r="AG78" s="74" t="inlineStr">
        <is>
          <t>Agro / Revenda</t>
        </is>
      </c>
      <c r="AH78" s="74" t="inlineStr">
        <is>
          <t>Agro / Revenda</t>
        </is>
      </c>
      <c r="AI78" s="74" t="inlineStr">
        <is>
          <t>Insumos agrícolas, inclui não performados</t>
        </is>
      </c>
      <c r="AJ78" s="74" t="b">
        <v>0</v>
      </c>
      <c r="AK78" s="74" t="inlineStr">
        <is>
          <t>MANTER_ALTA</t>
        </is>
      </c>
      <c r="AL78" s="74" t="inlineStr">
        <is>
          <t>CHDS e insumos agrícolas com prazo safra</t>
        </is>
      </c>
      <c r="AM78" s="74" t="inlineStr">
        <is>
          <t>IMG_8706</t>
        </is>
      </c>
      <c r="AN78" s="74" t="inlineStr">
        <is>
          <t>Não</t>
        </is>
      </c>
      <c r="AO78" s="74" t="inlineStr">
        <is>
          <t>IMG_8706</t>
        </is>
      </c>
      <c r="AP78" s="74" t="b">
        <v>0</v>
      </c>
      <c r="AQ78" s="74" t="inlineStr">
        <is>
          <t>Agro / Revenda</t>
        </is>
      </c>
      <c r="AR78" s="74" t="inlineStr">
        <is>
          <t>Agro / Revenda</t>
        </is>
      </c>
      <c r="AS78" s="74" t="b">
        <v>0</v>
      </c>
      <c r="AT78" s="74" t="inlineStr">
        <is>
          <t>N/D</t>
        </is>
      </c>
      <c r="AU78" s="74" t="inlineStr">
        <is>
          <t>N/D</t>
        </is>
      </c>
      <c r="AV78" s="74" t="inlineStr">
        <is>
          <t>35%–60%</t>
        </is>
      </c>
      <c r="AW78" s="74" t="b">
        <v>1</v>
      </c>
      <c r="AX78" s="74" t="inlineStr">
        <is>
          <t>incomparável</t>
        </is>
      </c>
      <c r="AY78" s="74" t="inlineStr">
        <is>
          <t>sem benchmark confiável</t>
        </is>
      </c>
      <c r="AZ78" s="140" t="inlineStr">
        <is>
          <t>N/D</t>
        </is>
      </c>
      <c r="BA78" s="74" t="b">
        <v>0</v>
      </c>
      <c r="BB78" s="141" t="n">
        <v>0</v>
      </c>
      <c r="BC78" s="139" t="inlineStr">
        <is>
          <t>N/D</t>
        </is>
      </c>
      <c r="BD78" s="74" t="inlineStr">
        <is>
          <t>N/D</t>
        </is>
      </c>
      <c r="BE78" s="74" t="inlineStr">
        <is>
          <t>N/D</t>
        </is>
      </c>
      <c r="BF78" s="74" t="inlineStr">
        <is>
          <t>N/D</t>
        </is>
      </c>
      <c r="BG78" s="74" t="inlineStr">
        <is>
          <t>N/D</t>
        </is>
      </c>
      <c r="BH78" s="74" t="inlineStr">
        <is>
          <t>N/D</t>
        </is>
      </c>
      <c r="BI78" s="74" t="inlineStr">
        <is>
          <t>N/D</t>
        </is>
      </c>
      <c r="BJ78" s="74" t="inlineStr">
        <is>
          <t>não localizado</t>
        </is>
      </c>
      <c r="BK78" s="74" t="b">
        <v>0</v>
      </c>
      <c r="BL78" s="74" t="inlineStr">
        <is>
          <t>CHD'S</t>
        </is>
      </c>
      <c r="BM78" s="74" t="inlineStr">
        <is>
          <t>cedente</t>
        </is>
      </c>
      <c r="BN78" s="74" t="inlineStr">
        <is>
          <t>N/D</t>
        </is>
      </c>
      <c r="BO78" s="74" t="inlineStr">
        <is>
          <t>CHDS do Brasil</t>
        </is>
      </c>
      <c r="BP78" s="74" t="inlineStr">
        <is>
          <t>N/D</t>
        </is>
      </c>
      <c r="BQ78" s="74" t="inlineStr">
        <is>
          <t>Insumos Agrícolas - prazo Safra; possui não performados</t>
        </is>
      </c>
      <c r="BR78" s="74" t="inlineStr">
        <is>
          <t>cedente: https://fnet.bmfbovespa.com.br/fnet/publico/downloadDocumento?id=1128089 | tipo_recebivel: IMG_8706.JPG</t>
        </is>
      </c>
      <c r="BS78" s="74" t="inlineStr">
        <is>
          <t>manual_aplicado</t>
        </is>
      </c>
      <c r="BT78" s="74" t="inlineStr">
        <is>
          <t>N/D</t>
        </is>
      </c>
      <c r="BU78" s="74" t="inlineStr">
        <is>
          <t>1187379</t>
        </is>
      </c>
      <c r="BV78" s="74" t="inlineStr">
        <is>
          <t>2026-05-12</t>
        </is>
      </c>
      <c r="BW78" s="74" t="inlineStr">
        <is>
          <t>43</t>
        </is>
      </c>
      <c r="BX78" s="74" t="inlineStr">
        <is>
          <t>revisto — mínimo júnior calculado de cláusulas contratuais</t>
        </is>
      </c>
      <c r="BY78" s="74" t="inlineStr">
        <is>
          <t>FundosNet/B3; documento 1187379; referência 2026-05-12; p. 43</t>
        </is>
      </c>
      <c r="BZ78" s="74" t="inlineStr">
        <is>
          <t>Mínimo júnior calculado: subordinadas = 40,0% do PL e júnior = 75,0% das subordinadas.</t>
        </is>
      </c>
      <c r="CA78" s="74" t="inlineStr">
        <is>
          <t>preço unitário da cota; originador; sacado/devedor</t>
        </is>
      </c>
      <c r="CB78" s="74" t="inlineStr">
        <is>
          <t>estrutura_incomparavel</t>
        </is>
      </c>
    </row>
    <row r="79" ht="31.5" customHeight="1">
      <c r="A79" s="75" t="n">
        <v>77</v>
      </c>
      <c r="B79" s="142" t="n">
        <v>17468142000180</v>
      </c>
      <c r="C79" s="75" t="inlineStr">
        <is>
          <t>17.468.142/0001-80</t>
        </is>
      </c>
      <c r="D79" s="75" t="inlineStr">
        <is>
          <t>VALOREM FUNDO DE INVESTIMENTO EM DIREITOS CREDITÓRIOS MULTISETORIAL RESPONSABILIDADE LIMITADA</t>
        </is>
      </c>
      <c r="E79" s="75" t="inlineStr">
        <is>
          <t>VALOREM FIDC MULTISSETORIAL</t>
        </is>
      </c>
      <c r="F79" s="75" t="inlineStr">
        <is>
          <t>Carteira 101</t>
        </is>
      </c>
      <c r="G79" s="75" t="inlineStr">
        <is>
          <t>2026-08</t>
        </is>
      </c>
      <c r="H79" s="75" t="inlineStr">
        <is>
          <t>localizado</t>
        </is>
      </c>
      <c r="I79" s="143" t="n">
        <v>519990915.25</v>
      </c>
      <c r="J79" s="143" t="n">
        <v>519990915.3849365</v>
      </c>
      <c r="K79" s="143" t="n">
        <v>247775385.9750158</v>
      </c>
      <c r="L79" s="144" t="n">
        <v>0.4764994516411714</v>
      </c>
      <c r="M79" s="75" t="inlineStr">
        <is>
          <t>Calculado com classes reportadas e PL oficial reconciliado</t>
        </is>
      </c>
      <c r="N79" s="144" t="n">
        <v>0.15</v>
      </c>
      <c r="O79" s="144" t="inlineStr">
        <is>
          <t>N/D</t>
        </is>
      </c>
      <c r="P79" s="144" t="inlineStr">
        <is>
          <t>N/D</t>
        </is>
      </c>
      <c r="Q79" s="144" t="inlineStr">
        <is>
          <t>N/D</t>
        </is>
      </c>
      <c r="R79" s="144" t="inlineStr">
        <is>
          <t>N/D</t>
        </is>
      </c>
      <c r="S79" s="144" t="n">
        <v>0.15</v>
      </c>
      <c r="T79" s="75" t="inlineStr">
        <is>
          <t>N/D</t>
        </is>
      </c>
      <c r="U79" s="75" t="inlineStr">
        <is>
          <t>junior_pl</t>
        </is>
      </c>
      <c r="V79" s="75" t="inlineStr">
        <is>
          <t>direto no regulamento</t>
        </is>
      </c>
      <c r="W79" s="75" t="b">
        <v>0</v>
      </c>
      <c r="X79" s="75" t="inlineStr">
        <is>
          <t>Mínimo júnior isolado; a subordinação atual disponível agrega todas as classes subordinadas.</t>
        </is>
      </c>
      <c r="Y79" s="75" t="b">
        <v>0</v>
      </c>
      <c r="Z79" s="144" t="inlineStr">
        <is>
          <t>N/D</t>
        </is>
      </c>
      <c r="AA79" s="144" t="inlineStr">
        <is>
          <t>N/D</t>
        </is>
      </c>
      <c r="AB79" s="75" t="inlineStr">
        <is>
          <t>não medido</t>
        </is>
      </c>
      <c r="AC79" s="75" t="inlineStr">
        <is>
          <t>Fomento Mercantil</t>
        </is>
      </c>
      <c r="AD79" s="75" t="inlineStr">
        <is>
          <t>Fomento Mercantil</t>
        </is>
      </c>
      <c r="AE79" s="75" t="inlineStr">
        <is>
          <t>Factoring</t>
        </is>
      </c>
      <c r="AF79" s="75" t="inlineStr">
        <is>
          <t>Factoring</t>
        </is>
      </c>
      <c r="AG79" s="75" t="inlineStr">
        <is>
          <t>Factoring</t>
        </is>
      </c>
      <c r="AH79" s="75" t="inlineStr">
        <is>
          <t>Factoring</t>
        </is>
      </c>
      <c r="AI79" s="75" t="inlineStr">
        <is>
          <t>N/D</t>
        </is>
      </c>
      <c r="AJ79" s="75" t="b">
        <v>0</v>
      </c>
      <c r="AK79" s="75" t="inlineStr">
        <is>
          <t>fora da revisão Financeiro/Agro</t>
        </is>
      </c>
      <c r="AL79" s="75" t="inlineStr">
        <is>
          <t>N/D</t>
        </is>
      </c>
      <c r="AM79" s="75" t="inlineStr">
        <is>
          <t>N/D</t>
        </is>
      </c>
      <c r="AN79" s="75" t="inlineStr">
        <is>
          <t>N/D</t>
        </is>
      </c>
      <c r="AO79" s="75" t="inlineStr">
        <is>
          <t>N/D</t>
        </is>
      </c>
      <c r="AP79" s="75" t="inlineStr">
        <is>
          <t>N/D</t>
        </is>
      </c>
      <c r="AQ79" s="75" t="inlineStr">
        <is>
          <t>Factoring</t>
        </is>
      </c>
      <c r="AR79" s="75" t="inlineStr">
        <is>
          <t>Factoring</t>
        </is>
      </c>
      <c r="AS79" s="75" t="b">
        <v>0</v>
      </c>
      <c r="AT79" s="75" t="inlineStr">
        <is>
          <t>N/D</t>
        </is>
      </c>
      <c r="AU79" s="75" t="inlineStr">
        <is>
          <t>N/D</t>
        </is>
      </c>
      <c r="AV79" s="75" t="inlineStr">
        <is>
          <t>35%–60%</t>
        </is>
      </c>
      <c r="AW79" s="75" t="b">
        <v>1</v>
      </c>
      <c r="AX79" s="75" t="inlineStr">
        <is>
          <t>incomparável</t>
        </is>
      </c>
      <c r="AY79" s="75" t="inlineStr">
        <is>
          <t>sem benchmark confiável</t>
        </is>
      </c>
      <c r="AZ79" s="144" t="inlineStr">
        <is>
          <t>N/D</t>
        </is>
      </c>
      <c r="BA79" s="75" t="b">
        <v>0</v>
      </c>
      <c r="BB79" s="145" t="n">
        <v>2</v>
      </c>
      <c r="BC79" s="143" t="n">
        <v>100000</v>
      </c>
      <c r="BD79" s="75" t="inlineStr">
        <is>
          <t>Cotas Subordinadas Mezanino: R$100.000,00</t>
        </is>
      </c>
      <c r="BE79" s="75" t="inlineStr">
        <is>
          <t>preço/valor unitário de emissão</t>
        </is>
      </c>
      <c r="BF79" s="75" t="inlineStr">
        <is>
          <t>Cotas Subordinadas Mezanino</t>
        </is>
      </c>
      <c r="BG79" s="75" t="inlineStr">
        <is>
          <t>30/07/2026</t>
        </is>
      </c>
      <c r="BH79" s="75" t="inlineStr">
        <is>
          <t>1271235</t>
        </is>
      </c>
      <c r="BI79" s="75" t="inlineStr">
        <is>
          <t>https://fnet.bmfbovespa.com.br/fnet/publico/downloadDocumento?id=1271235</t>
        </is>
      </c>
      <c r="BJ79" s="75" t="inlineStr">
        <is>
          <t>localizado documentalmente</t>
        </is>
      </c>
      <c r="BK79" s="75" t="b">
        <v>0</v>
      </c>
      <c r="BL79" s="75" t="inlineStr">
        <is>
          <t>Multicedentes &amp; Multisacados</t>
        </is>
      </c>
      <c r="BM79" s="75" t="inlineStr">
        <is>
          <t>cedente</t>
        </is>
      </c>
      <c r="BN79" s="75" t="inlineStr">
        <is>
          <t>N/D</t>
        </is>
      </c>
      <c r="BO79" s="75" t="inlineStr">
        <is>
          <t>todas as pessoas físicas ou jurídicas que cedem os Direitos Creditórios para a Classe</t>
        </is>
      </c>
      <c r="BP79" s="75" t="inlineStr">
        <is>
          <t>pessoas físicas e/ou jurídicas que figurem na qualidade de devedores dos Direitos Creditórios, podendo ser denominado também como “Sacado”</t>
        </is>
      </c>
      <c r="BQ79" s="75" t="inlineStr">
        <is>
          <t>a) direitos e títulos representativos de crédito,</t>
        </is>
      </c>
      <c r="BR79" s="75" t="inlineStr">
        <is>
          <t>cedente: https://fnet.bmfbovespa.com.br/fnet/publico/downloadDocumento?id=1271235 | sacado_devedor: https://fnet.bmfbovespa.com.br/fnet/publico/downloadDocumento?id=1271235 | tipo_recebivel: https://fnet.bmfbovespa.com.br/fnet/publico/downloadDocumento?id=1271235</t>
        </is>
      </c>
      <c r="BS79" s="75" t="inlineStr">
        <is>
          <t>manual_aplicado</t>
        </is>
      </c>
      <c r="BT79" s="75" t="inlineStr">
        <is>
          <t>N/D</t>
        </is>
      </c>
      <c r="BU79" s="75" t="inlineStr">
        <is>
          <t>1157934</t>
        </is>
      </c>
      <c r="BV79" s="75" t="inlineStr">
        <is>
          <t>2026-04-09</t>
        </is>
      </c>
      <c r="BW79" s="75" t="inlineStr">
        <is>
          <t>102</t>
        </is>
      </c>
      <c r="BX79" s="75" t="inlineStr">
        <is>
          <t>revisto — mínimo júnior localizado</t>
        </is>
      </c>
      <c r="BY79" s="75" t="inlineStr">
        <is>
          <t>FundosNet/B3; documento 1157934; referência 2026-04-09; p. 102</t>
        </is>
      </c>
      <c r="BZ79" s="75" t="inlineStr">
        <is>
          <t>Índice de Subordinação Mezanino: cotas júnior / PL, mínimo de 15,0%.</t>
        </is>
      </c>
      <c r="CA79" s="75" t="inlineStr">
        <is>
          <t>originador</t>
        </is>
      </c>
      <c r="CB79" s="75" t="inlineStr">
        <is>
          <t>estrutura_incomparavel</t>
        </is>
      </c>
    </row>
    <row r="80" ht="31.5" customHeight="1">
      <c r="A80" s="74" t="n">
        <v>78</v>
      </c>
      <c r="B80" s="138" t="n">
        <v>29492605000129</v>
      </c>
      <c r="C80" s="74" t="inlineStr">
        <is>
          <t>29.492.605/0001-29</t>
        </is>
      </c>
      <c r="D80" s="74" t="inlineStr">
        <is>
          <t>GAZIN FUNDO DE INVESTIMENTO EM DIREITOS CREDITÓRIOS MULTISSEGMENTOS - RESPONSABILIDADE LIMITADA</t>
        </is>
      </c>
      <c r="E80" s="74" t="inlineStr">
        <is>
          <t>GAZIN FUNDO DE INVESTIMENTO EM DIREITOS CREDITORIO</t>
        </is>
      </c>
      <c r="F80" s="74" t="inlineStr">
        <is>
          <t>Carteira 101</t>
        </is>
      </c>
      <c r="G80" s="74" t="inlineStr">
        <is>
          <t>2026-08</t>
        </is>
      </c>
      <c r="H80" s="74" t="inlineStr">
        <is>
          <t>localizado</t>
        </is>
      </c>
      <c r="I80" s="139" t="n">
        <v>2661374071.86</v>
      </c>
      <c r="J80" s="139" t="n">
        <v>2661374071.85765</v>
      </c>
      <c r="K80" s="139" t="n">
        <v>1851613584.3</v>
      </c>
      <c r="L80" s="140" t="n">
        <v>0.6957359372656438</v>
      </c>
      <c r="M80" s="74" t="inlineStr">
        <is>
          <t>Calculado com classes reportadas e PL oficial reconciliado</t>
        </is>
      </c>
      <c r="N80" s="140" t="n">
        <v>0.51</v>
      </c>
      <c r="O80" s="140" t="inlineStr">
        <is>
          <t>N/D</t>
        </is>
      </c>
      <c r="P80" s="140" t="inlineStr">
        <is>
          <t>N/D</t>
        </is>
      </c>
      <c r="Q80" s="140" t="n">
        <v>0.51</v>
      </c>
      <c r="R80" s="140" t="inlineStr">
        <is>
          <t>N/D</t>
        </is>
      </c>
      <c r="S80" s="140" t="n">
        <v>0.51</v>
      </c>
      <c r="T80" s="74" t="inlineStr">
        <is>
          <t>51,0%</t>
        </is>
      </c>
      <c r="U80" s="74" t="inlineStr">
        <is>
          <t>junior_pl</t>
        </is>
      </c>
      <c r="V80" s="74" t="inlineStr">
        <is>
          <t>direto no regulamento</t>
        </is>
      </c>
      <c r="W80" s="74" t="b">
        <v>1</v>
      </c>
      <c r="X80" s="74" t="inlineStr">
        <is>
          <t>Estrutura documental com cotas seniores e juniores; a métrica atual e o piso usam o total subordinado sobre o PL.</t>
        </is>
      </c>
      <c r="Y80" s="74" t="b">
        <v>0</v>
      </c>
      <c r="Z80" s="140" t="n">
        <v>0.1857359372656437</v>
      </c>
      <c r="AA80" s="140" t="n">
        <v>0.3790529331951913</v>
      </c>
      <c r="AB80" s="74" t="inlineStr">
        <is>
          <t>acima do mínimo</t>
        </is>
      </c>
      <c r="AC80" s="74" t="inlineStr">
        <is>
          <t>Agro, Indústria e Comércio</t>
        </is>
      </c>
      <c r="AD80" s="74" t="inlineStr">
        <is>
          <t>Multicarteira Agro, Indústria e Comércio</t>
        </is>
      </c>
      <c r="AE80" s="74" t="inlineStr">
        <is>
          <t>Agro / Revenda</t>
        </is>
      </c>
      <c r="AF80" s="74" t="inlineStr">
        <is>
          <t>Agro / Revenda</t>
        </is>
      </c>
      <c r="AG80" s="74" t="inlineStr">
        <is>
          <t>Agro / Revenda</t>
        </is>
      </c>
      <c r="AH80" s="74" t="inlineStr">
        <is>
          <t>Agro / Revenda</t>
        </is>
      </c>
      <c r="AI80" s="74" t="inlineStr">
        <is>
          <t>Recebíveis Gazin, natureza contratual não isolada</t>
        </is>
      </c>
      <c r="AJ80" s="74" t="b">
        <v>0</v>
      </c>
      <c r="AK80" s="74" t="inlineStr">
        <is>
          <t>PENDENTE_DOCUMENTAL</t>
        </is>
      </c>
      <c r="AL80" s="74" t="inlineStr">
        <is>
          <t>Falta distinguir crédito ao consumidor, cartão ou duplicatas comerciais</t>
        </is>
      </c>
      <c r="AM80" s="74" t="inlineStr">
        <is>
          <t>rating 321548 + regulamento 1117213</t>
        </is>
      </c>
      <c r="AN80" s="74" t="inlineStr">
        <is>
          <t>Pendente</t>
        </is>
      </c>
      <c r="AO80" s="74" t="inlineStr">
        <is>
          <t>rating 321548 + regulamento 1117213</t>
        </is>
      </c>
      <c r="AP80" s="74" t="inlineStr">
        <is>
          <t>N/D</t>
        </is>
      </c>
      <c r="AQ80" s="74" t="inlineStr">
        <is>
          <t>Agro / Revenda</t>
        </is>
      </c>
      <c r="AR80" s="74" t="inlineStr">
        <is>
          <t>Agro / Revenda</t>
        </is>
      </c>
      <c r="AS80" s="74" t="b">
        <v>0</v>
      </c>
      <c r="AT80" s="74" t="inlineStr">
        <is>
          <t>N/D</t>
        </is>
      </c>
      <c r="AU80" s="74" t="inlineStr">
        <is>
          <t>N/D</t>
        </is>
      </c>
      <c r="AV80" s="74" t="inlineStr">
        <is>
          <t>≥ 60%</t>
        </is>
      </c>
      <c r="AW80" s="74" t="b">
        <v>1</v>
      </c>
      <c r="AX80" s="74" t="inlineStr">
        <is>
          <t>acima do piso</t>
        </is>
      </c>
      <c r="AY80" s="74" t="inlineStr">
        <is>
          <t>sem benchmark confiável</t>
        </is>
      </c>
      <c r="AZ80" s="140" t="inlineStr">
        <is>
          <t>N/D</t>
        </is>
      </c>
      <c r="BA80" s="74" t="b">
        <v>0</v>
      </c>
      <c r="BB80" s="141" t="n">
        <v>0</v>
      </c>
      <c r="BC80" s="139" t="inlineStr">
        <is>
          <t>N/D</t>
        </is>
      </c>
      <c r="BD80" s="74" t="inlineStr">
        <is>
          <t>N/D</t>
        </is>
      </c>
      <c r="BE80" s="74" t="inlineStr">
        <is>
          <t>N/D</t>
        </is>
      </c>
      <c r="BF80" s="74" t="inlineStr">
        <is>
          <t>N/D</t>
        </is>
      </c>
      <c r="BG80" s="74" t="inlineStr">
        <is>
          <t>N/D</t>
        </is>
      </c>
      <c r="BH80" s="74" t="inlineStr">
        <is>
          <t>N/D</t>
        </is>
      </c>
      <c r="BI80" s="74" t="inlineStr">
        <is>
          <t>N/D</t>
        </is>
      </c>
      <c r="BJ80" s="74" t="inlineStr">
        <is>
          <t>não localizado</t>
        </is>
      </c>
      <c r="BK80" s="74" t="b">
        <v>0</v>
      </c>
      <c r="BL80" s="74" t="inlineStr">
        <is>
          <t>N/D</t>
        </is>
      </c>
      <c r="BM80" s="74" t="inlineStr">
        <is>
          <t>N/D</t>
        </is>
      </c>
      <c r="BN80" s="74" t="inlineStr">
        <is>
          <t>N/D</t>
        </is>
      </c>
      <c r="BO80" s="74" t="inlineStr">
        <is>
          <t>Gazin</t>
        </is>
      </c>
      <c r="BP80" s="74" t="inlineStr">
        <is>
          <t>N/D</t>
        </is>
      </c>
      <c r="BQ80" s="74" t="inlineStr">
        <is>
          <t>N/D</t>
        </is>
      </c>
      <c r="BR80" s="74" t="inlineStr">
        <is>
          <t>cedente: https://fnet.bmfbovespa.com.br/fnet/publico/downloadDocumento?id=321548</t>
        </is>
      </c>
      <c r="BS80" s="74" t="inlineStr">
        <is>
          <t>sem_overlay</t>
        </is>
      </c>
      <c r="BT80" s="74" t="inlineStr">
        <is>
          <t>N/D</t>
        </is>
      </c>
      <c r="BU80" s="74" t="inlineStr">
        <is>
          <t>1117213</t>
        </is>
      </c>
      <c r="BV80" s="74" t="inlineStr">
        <is>
          <t>2026-02-12</t>
        </is>
      </c>
      <c r="BW80" s="74" t="inlineStr">
        <is>
          <t>44</t>
        </is>
      </c>
      <c r="BX80" s="74" t="inlineStr">
        <is>
          <t>revisto — mínimo júnior localizado</t>
        </is>
      </c>
      <c r="BY80" s="74" t="inlineStr">
        <is>
          <t>FundosNet/B3; documento 1117213; referência 2026-02-12; p. 44</t>
        </is>
      </c>
      <c r="BZ80" s="74" t="inlineStr">
        <is>
          <t>O regulamento contém apenas cotas seniores e juniores; índice de subordinação mínimo de 51,0%.</t>
        </is>
      </c>
      <c r="CA80" s="74" t="inlineStr">
        <is>
          <t>preço unitário da cota; originador; sacado/devedor; tipo de recebível</t>
        </is>
      </c>
      <c r="CB80" s="74" t="inlineStr">
        <is>
          <t>completo_para_folga</t>
        </is>
      </c>
    </row>
    <row r="81" ht="31.5" customHeight="1">
      <c r="A81" s="75" t="n">
        <v>79</v>
      </c>
      <c r="B81" s="142" t="n">
        <v>31739396000117</v>
      </c>
      <c r="C81" s="75" t="inlineStr">
        <is>
          <t>31.739.396/0001-17</t>
        </is>
      </c>
      <c r="D81" s="75" t="inlineStr">
        <is>
          <t>LF III FUNDO DE INVESTIMENTO EM DIREITOS CREDITÓRIOS DE RESPONSABILIDADE LIMITADA</t>
        </is>
      </c>
      <c r="E81" s="75" t="inlineStr">
        <is>
          <t>FIDC LF III</t>
        </is>
      </c>
      <c r="F81" s="75" t="inlineStr">
        <is>
          <t>Carteira 101</t>
        </is>
      </c>
      <c r="G81" s="75" t="inlineStr">
        <is>
          <t>2026-08</t>
        </is>
      </c>
      <c r="H81" s="75" t="inlineStr">
        <is>
          <t>localizado</t>
        </is>
      </c>
      <c r="I81" s="143" t="n">
        <v>1385277422.28</v>
      </c>
      <c r="J81" s="143" t="n">
        <v>1385277422.273283</v>
      </c>
      <c r="K81" s="143" t="n">
        <v>110505472.2774216</v>
      </c>
      <c r="L81" s="144" t="n">
        <v>0.07977136600951949</v>
      </c>
      <c r="M81" s="75" t="inlineStr">
        <is>
          <t>Calculado com classes reportadas e PL oficial reconciliado</t>
        </is>
      </c>
      <c r="N81" s="144" t="n">
        <v>0.005</v>
      </c>
      <c r="O81" s="144" t="inlineStr">
        <is>
          <t>N/D</t>
        </is>
      </c>
      <c r="P81" s="144" t="inlineStr">
        <is>
          <t>N/D</t>
        </is>
      </c>
      <c r="Q81" s="144" t="inlineStr">
        <is>
          <t>N/D</t>
        </is>
      </c>
      <c r="R81" s="144" t="inlineStr">
        <is>
          <t>N/D</t>
        </is>
      </c>
      <c r="S81" s="144" t="n">
        <v>0.005</v>
      </c>
      <c r="T81" s="75" t="inlineStr">
        <is>
          <t>N/D</t>
        </is>
      </c>
      <c r="U81" s="75" t="inlineStr">
        <is>
          <t>junior_pl</t>
        </is>
      </c>
      <c r="V81" s="75" t="inlineStr">
        <is>
          <t>direto no regulamento</t>
        </is>
      </c>
      <c r="W81" s="75" t="b">
        <v>0</v>
      </c>
      <c r="X81" s="75" t="inlineStr">
        <is>
          <t>Mínimo júnior isolado; a subordinação atual disponível agrega todas as classes subordinadas.</t>
        </is>
      </c>
      <c r="Y81" s="75" t="b">
        <v>0</v>
      </c>
      <c r="Z81" s="144" t="inlineStr">
        <is>
          <t>N/D</t>
        </is>
      </c>
      <c r="AA81" s="144" t="inlineStr">
        <is>
          <t>N/D</t>
        </is>
      </c>
      <c r="AB81" s="75" t="inlineStr">
        <is>
          <t>não medido</t>
        </is>
      </c>
      <c r="AC81" s="75" t="inlineStr">
        <is>
          <t>Agro, Indústria e Comércio</t>
        </is>
      </c>
      <c r="AD81" s="75" t="inlineStr">
        <is>
          <t>Recebíveis Comerciais</t>
        </is>
      </c>
      <c r="AE81" s="75" t="inlineStr">
        <is>
          <t>Agro / Revenda</t>
        </is>
      </c>
      <c r="AF81" s="75" t="inlineStr">
        <is>
          <t>Agro / Revenda</t>
        </is>
      </c>
      <c r="AG81" s="75" t="inlineStr">
        <is>
          <t>Adquirência</t>
        </is>
      </c>
      <c r="AH81" s="75" t="inlineStr">
        <is>
          <t>Adquirência</t>
        </is>
      </c>
      <c r="AI81" s="75" t="inlineStr">
        <is>
          <t>N/D</t>
        </is>
      </c>
      <c r="AJ81" s="75" t="b">
        <v>0</v>
      </c>
      <c r="AK81" s="75" t="inlineStr">
        <is>
          <t>fora da revisão Financeiro/Agro</t>
        </is>
      </c>
      <c r="AL81" s="75" t="inlineStr">
        <is>
          <t>N/D</t>
        </is>
      </c>
      <c r="AM81" s="75" t="inlineStr">
        <is>
          <t>N/D</t>
        </is>
      </c>
      <c r="AN81" s="75" t="inlineStr">
        <is>
          <t>N/D</t>
        </is>
      </c>
      <c r="AO81" s="75" t="inlineStr">
        <is>
          <t>N/D</t>
        </is>
      </c>
      <c r="AP81" s="75" t="inlineStr">
        <is>
          <t>N/D</t>
        </is>
      </c>
      <c r="AQ81" s="75" t="inlineStr">
        <is>
          <t>Adquirência</t>
        </is>
      </c>
      <c r="AR81" s="75" t="inlineStr">
        <is>
          <t>Agro / Revenda</t>
        </is>
      </c>
      <c r="AS81" s="75" t="b">
        <v>1</v>
      </c>
      <c r="AT81" s="75" t="inlineStr">
        <is>
          <t>FundosNet/B3 doc. 1146939, p. 10; IMG_8706.JPG</t>
        </is>
      </c>
      <c r="AU81" s="75" t="inlineStr">
        <is>
          <t>Recebíveis da Listo IP contra emissores derivados de transações em arranjos de pagamento.</t>
        </is>
      </c>
      <c r="AV81" s="75" t="inlineStr">
        <is>
          <t>&lt; 10%</t>
        </is>
      </c>
      <c r="AW81" s="75" t="b">
        <v>1</v>
      </c>
      <c r="AX81" s="75" t="inlineStr">
        <is>
          <t>incomparável</t>
        </is>
      </c>
      <c r="AY81" s="75" t="inlineStr">
        <is>
          <t>sem benchmark confiável</t>
        </is>
      </c>
      <c r="AZ81" s="144" t="inlineStr">
        <is>
          <t>N/D</t>
        </is>
      </c>
      <c r="BA81" s="75" t="b">
        <v>0</v>
      </c>
      <c r="BB81" s="145" t="n">
        <v>0</v>
      </c>
      <c r="BC81" s="143" t="n">
        <v>1000</v>
      </c>
      <c r="BD81" s="75" t="inlineStr">
        <is>
          <t>Cotas Seniores: R$1.000,00</t>
        </is>
      </c>
      <c r="BE81" s="75" t="inlineStr">
        <is>
          <t>valor nominal unitário (VNU)</t>
        </is>
      </c>
      <c r="BF81" s="75" t="inlineStr">
        <is>
          <t>Cotas Seniores</t>
        </is>
      </c>
      <c r="BG81" s="75" t="inlineStr">
        <is>
          <t>20/01/2026</t>
        </is>
      </c>
      <c r="BH81" s="75" t="inlineStr">
        <is>
          <t>1088682</t>
        </is>
      </c>
      <c r="BI81" s="75" t="inlineStr">
        <is>
          <t>https://fnet.bmfbovespa.com.br/fnet/publico/downloadDocumento?id=1088682</t>
        </is>
      </c>
      <c r="BJ81" s="75" t="inlineStr">
        <is>
          <t>localizado documentalmente</t>
        </is>
      </c>
      <c r="BK81" s="75" t="b">
        <v>0</v>
      </c>
      <c r="BL81" s="75" t="inlineStr">
        <is>
          <t>Listo IP</t>
        </is>
      </c>
      <c r="BM81" s="75" t="inlineStr">
        <is>
          <t>cedente</t>
        </is>
      </c>
      <c r="BN81" s="75" t="inlineStr">
        <is>
          <t>LISTO INSTITUIÇÃO DE PAGAMENTO LTDA.</t>
        </is>
      </c>
      <c r="BO81" s="75" t="inlineStr">
        <is>
          <t>Listo IP</t>
        </is>
      </c>
      <c r="BP81" s="75" t="inlineStr">
        <is>
          <t>N/D</t>
        </is>
      </c>
      <c r="BQ81" s="75" t="inlineStr">
        <is>
          <t>os direitos creditórios detidos pela Cedente em face dos Devedores, equivalentes ao valor total das Transações de Pagamento realizadas pelos Usuários com a utilização de Instrumentos de Pagamentos para a aquisição de bens ou serviços nos Estabeleciment os Credenciados, após o desconto das taxas que constituem a remuneração dos Devedores (Emissores) e das Bandeiras, bem como de outras eventuais retenções previstas nas regras do Arranjo de Pagamento (tais como Chargebacks), conforme aplicável</t>
        </is>
      </c>
      <c r="BR81" s="75" t="inlineStr">
        <is>
          <t>originador: https://fnet.bmfbovespa.com.br/fnet/publico/downloadDocumento?id=1237167 | cedente: IMG_8706.JPG | tipo_recebivel: https://fnet.bmfbovespa.com.br/fnet/publico/downloadDocumento?id=1146939</t>
        </is>
      </c>
      <c r="BS81" s="75" t="inlineStr">
        <is>
          <t>manual_aplicado</t>
        </is>
      </c>
      <c r="BT81" s="75" t="inlineStr">
        <is>
          <t>OBS da foto: lista de concentração pré-aprovada.</t>
        </is>
      </c>
      <c r="BU81" s="75" t="inlineStr">
        <is>
          <t>1146939</t>
        </is>
      </c>
      <c r="BV81" s="75" t="inlineStr">
        <is>
          <t>2026-03-27</t>
        </is>
      </c>
      <c r="BW81" s="75" t="inlineStr">
        <is>
          <t>39</t>
        </is>
      </c>
      <c r="BX81" s="75" t="inlineStr">
        <is>
          <t>revisto — mínimo júnior localizado</t>
        </is>
      </c>
      <c r="BY81" s="75" t="inlineStr">
        <is>
          <t>FundosNet/B3; documento 1146939; referência 2026-03-27; p. 39</t>
        </is>
      </c>
      <c r="BZ81" s="75" t="inlineStr">
        <is>
          <t>Cotas subordinadas júnior / PL, mínimo de 0,5%.</t>
        </is>
      </c>
      <c r="CA81" s="75" t="inlineStr">
        <is>
          <t>sacado/devedor</t>
        </is>
      </c>
      <c r="CB81" s="75" t="inlineStr">
        <is>
          <t>estrutura_incomparavel</t>
        </is>
      </c>
    </row>
    <row r="82" ht="31.5" customHeight="1">
      <c r="A82" s="74" t="n">
        <v>80</v>
      </c>
      <c r="B82" s="138" t="n">
        <v>26749095000134</v>
      </c>
      <c r="C82" s="74" t="inlineStr">
        <is>
          <t>26.749.095/0001-34</t>
        </is>
      </c>
      <c r="D82" s="74" t="inlineStr">
        <is>
          <t>PRAVALER CRÉDITO UNIVERSITÁRIO II FUNDO DE INVESTIMENTO EM DIREITOS CREDITÓRIOS - RESP LIMITADAL</t>
        </is>
      </c>
      <c r="E82" s="74" t="inlineStr">
        <is>
          <t>CREDITO UNIVERSITARIO II FUNDO DE INVESTIMENTO EM</t>
        </is>
      </c>
      <c r="F82" s="74" t="inlineStr">
        <is>
          <t>Carteira 101</t>
        </is>
      </c>
      <c r="G82" s="74" t="inlineStr">
        <is>
          <t>2026-08</t>
        </is>
      </c>
      <c r="H82" s="74" t="inlineStr">
        <is>
          <t>localizado</t>
        </is>
      </c>
      <c r="I82" s="139" t="n">
        <v>446999328.88</v>
      </c>
      <c r="J82" s="139" t="n">
        <v>446999328.8559182</v>
      </c>
      <c r="K82" s="139" t="n">
        <v>104053050.1739254</v>
      </c>
      <c r="L82" s="140" t="n">
        <v>0.2327812223670232</v>
      </c>
      <c r="M82" s="74" t="inlineStr">
        <is>
          <t>Calculado com classes reportadas e PL oficial reconciliado</t>
        </is>
      </c>
      <c r="N82" s="140" t="n">
        <v>0.1</v>
      </c>
      <c r="O82" s="140" t="inlineStr">
        <is>
          <t>N/D</t>
        </is>
      </c>
      <c r="P82" s="140" t="inlineStr">
        <is>
          <t>N/D</t>
        </is>
      </c>
      <c r="Q82" s="140" t="inlineStr">
        <is>
          <t>N/D</t>
        </is>
      </c>
      <c r="R82" s="140" t="inlineStr">
        <is>
          <t>N/D</t>
        </is>
      </c>
      <c r="S82" s="140" t="n">
        <v>0.1</v>
      </c>
      <c r="T82" s="74" t="inlineStr">
        <is>
          <t>N/D</t>
        </is>
      </c>
      <c r="U82" s="74" t="inlineStr">
        <is>
          <t>junior_pl</t>
        </is>
      </c>
      <c r="V82" s="74" t="inlineStr">
        <is>
          <t>direto no regulamento</t>
        </is>
      </c>
      <c r="W82" s="74" t="b">
        <v>0</v>
      </c>
      <c r="X82" s="74" t="inlineStr">
        <is>
          <t>Mínimo júnior isolado; a subordinação atual disponível agrega mais de uma classe subordinada ou usa denominador distinto.</t>
        </is>
      </c>
      <c r="Y82" s="74" t="b">
        <v>0</v>
      </c>
      <c r="Z82" s="140" t="inlineStr">
        <is>
          <t>N/D</t>
        </is>
      </c>
      <c r="AA82" s="140" t="inlineStr">
        <is>
          <t>N/D</t>
        </is>
      </c>
      <c r="AB82" s="74" t="inlineStr">
        <is>
          <t>não medido</t>
        </is>
      </c>
      <c r="AC82" s="74" t="inlineStr">
        <is>
          <t>Financeiro</t>
        </is>
      </c>
      <c r="AD82" s="74" t="inlineStr">
        <is>
          <t>Crédito Pessoal</t>
        </is>
      </c>
      <c r="AE82" s="74" t="inlineStr">
        <is>
          <t>Financeiro</t>
        </is>
      </c>
      <c r="AF82" s="74" t="inlineStr">
        <is>
          <t>Financeiro</t>
        </is>
      </c>
      <c r="AG82" s="74" t="inlineStr">
        <is>
          <t>Financeiro</t>
        </is>
      </c>
      <c r="AH82" s="74" t="inlineStr">
        <is>
          <t>Financeiro</t>
        </is>
      </c>
      <c r="AI82" s="74" t="inlineStr">
        <is>
          <t>Crédito estudantil</t>
        </is>
      </c>
      <c r="AJ82" s="74" t="b">
        <v>0</v>
      </c>
      <c r="AK82" s="74" t="inlineStr">
        <is>
          <t>MANTER_ALTA</t>
        </is>
      </c>
      <c r="AL82" s="74" t="inlineStr">
        <is>
          <t>Risco de financiamento estudantil Pravaler</t>
        </is>
      </c>
      <c r="AM82" s="74" t="inlineStr">
        <is>
          <t>IMG_8706</t>
        </is>
      </c>
      <c r="AN82" s="74" t="inlineStr">
        <is>
          <t>Não</t>
        </is>
      </c>
      <c r="AO82" s="74" t="inlineStr">
        <is>
          <t>IMG_8706</t>
        </is>
      </c>
      <c r="AP82" s="74" t="b">
        <v>0</v>
      </c>
      <c r="AQ82" s="74" t="inlineStr">
        <is>
          <t>Financeiro</t>
        </is>
      </c>
      <c r="AR82" s="74" t="inlineStr">
        <is>
          <t>Financeiro</t>
        </is>
      </c>
      <c r="AS82" s="74" t="b">
        <v>0</v>
      </c>
      <c r="AT82" s="74" t="inlineStr">
        <is>
          <t>N/D</t>
        </is>
      </c>
      <c r="AU82" s="74" t="inlineStr">
        <is>
          <t>N/D</t>
        </is>
      </c>
      <c r="AV82" s="74" t="inlineStr">
        <is>
          <t>20%–35%</t>
        </is>
      </c>
      <c r="AW82" s="74" t="b">
        <v>1</v>
      </c>
      <c r="AX82" s="74" t="inlineStr">
        <is>
          <t>incomparável</t>
        </is>
      </c>
      <c r="AY82" s="74" t="inlineStr">
        <is>
          <t>abaixo do mercado</t>
        </is>
      </c>
      <c r="AZ82" s="140" t="n">
        <v>-0.073412558329461</v>
      </c>
      <c r="BA82" s="74" t="b">
        <v>1</v>
      </c>
      <c r="BB82" s="141" t="n">
        <v>12</v>
      </c>
      <c r="BC82" s="139" t="n">
        <v>1000</v>
      </c>
      <c r="BD82" s="74" t="inlineStr">
        <is>
          <t>R$1.000,00</t>
        </is>
      </c>
      <c r="BE82" s="74" t="inlineStr">
        <is>
          <t>preço/valor unitário de emissão</t>
        </is>
      </c>
      <c r="BF82" s="74" t="inlineStr">
        <is>
          <t>N/D</t>
        </is>
      </c>
      <c r="BG82" s="74" t="inlineStr">
        <is>
          <t>2025-11-19</t>
        </is>
      </c>
      <c r="BH82" s="74" t="inlineStr">
        <is>
          <t>1061833</t>
        </is>
      </c>
      <c r="BI82" s="74" t="inlineStr">
        <is>
          <t>https://fnet.bmfbovespa.com.br/fnet/publico/downloadDocumento?id=1061833</t>
        </is>
      </c>
      <c r="BJ82" s="74" t="inlineStr">
        <is>
          <t>localizado documentalmente</t>
        </is>
      </c>
      <c r="BK82" s="74" t="b">
        <v>1</v>
      </c>
      <c r="BL82" s="74" t="inlineStr">
        <is>
          <t>Pravaler</t>
        </is>
      </c>
      <c r="BM82" s="74" t="inlineStr">
        <is>
          <t>cedente</t>
        </is>
      </c>
      <c r="BN82" s="74" t="inlineStr">
        <is>
          <t>N/D</t>
        </is>
      </c>
      <c r="BO82" s="74" t="inlineStr">
        <is>
          <t>Pravaler</t>
        </is>
      </c>
      <c r="BP82" s="74" t="inlineStr">
        <is>
          <t>N/D</t>
        </is>
      </c>
      <c r="BQ82" s="74" t="inlineStr">
        <is>
          <t>Crédito Estudantil</t>
        </is>
      </c>
      <c r="BR82" s="74" t="inlineStr">
        <is>
          <t>cedente: IMG_8706.JPG | tipo_recebivel: IMG_8706.JPG</t>
        </is>
      </c>
      <c r="BS82" s="74" t="inlineStr">
        <is>
          <t>manual_aplicado</t>
        </is>
      </c>
      <c r="BT82" s="74" t="inlineStr">
        <is>
          <t>Denominação cortada pela largura da coluna na foto.</t>
        </is>
      </c>
      <c r="BU82" s="74" t="inlineStr">
        <is>
          <t>1061833</t>
        </is>
      </c>
      <c r="BV82" s="74" t="inlineStr">
        <is>
          <t>2025-11-19</t>
        </is>
      </c>
      <c r="BW82" s="74" t="inlineStr">
        <is>
          <t>152</t>
        </is>
      </c>
      <c r="BX82" s="74" t="inlineStr">
        <is>
          <t>revisto — mínimo júnior localizado</t>
        </is>
      </c>
      <c r="BY82" s="74" t="inlineStr">
        <is>
          <t>FundosNet/B3; documento 1061833; referência 2025-11-19; p. 152</t>
        </is>
      </c>
      <c r="BZ82" s="74" t="inlineStr">
        <is>
          <t>Cotas júnior / PL, mínimo de 10,0%; passa a 15,0% quando o atraso supera 6,0%.</t>
        </is>
      </c>
      <c r="CA82" s="74" t="inlineStr">
        <is>
          <t>originador; sacado/devedor</t>
        </is>
      </c>
      <c r="CB82" s="74" t="inlineStr">
        <is>
          <t>estrutura_incomparavel</t>
        </is>
      </c>
    </row>
    <row r="83" ht="31.5" customHeight="1">
      <c r="A83" s="75" t="n">
        <v>81</v>
      </c>
      <c r="B83" s="142" t="n">
        <v>62393829000159</v>
      </c>
      <c r="C83" s="75" t="inlineStr">
        <is>
          <t>62.393.829/0001-59</t>
        </is>
      </c>
      <c r="D83" s="75" t="inlineStr">
        <is>
          <t>FUNDO DE INVESTIMENTO EM DIREITOS CREDITÓRIOS COMERCIAIS MEDICI I - RESPONSABILIDADE LIMITADA</t>
        </is>
      </c>
      <c r="E83" s="75" t="inlineStr">
        <is>
          <t>TOP 2025 V FIDC RESP LIMITADA</t>
        </is>
      </c>
      <c r="F83" s="75" t="inlineStr">
        <is>
          <t>Carteira 101</t>
        </is>
      </c>
      <c r="G83" s="75" t="inlineStr">
        <is>
          <t>2026-08</t>
        </is>
      </c>
      <c r="H83" s="75" t="inlineStr">
        <is>
          <t>localizado</t>
        </is>
      </c>
      <c r="I83" s="143" t="n">
        <v>3389462172.19</v>
      </c>
      <c r="J83" s="143" t="n">
        <v>3389462172.185181</v>
      </c>
      <c r="K83" s="143" t="n">
        <v>181329541.1527641</v>
      </c>
      <c r="L83" s="144" t="n">
        <v>0.05349802769316744</v>
      </c>
      <c r="M83" s="75" t="inlineStr">
        <is>
          <t>Calculado com classes reportadas e PL oficial reconciliado</t>
        </is>
      </c>
      <c r="N83" s="144" t="n">
        <v>0.05</v>
      </c>
      <c r="O83" s="144" t="inlineStr">
        <is>
          <t>N/D</t>
        </is>
      </c>
      <c r="P83" s="144" t="inlineStr">
        <is>
          <t>N/D</t>
        </is>
      </c>
      <c r="Q83" s="144" t="n">
        <v>0.05</v>
      </c>
      <c r="R83" s="144" t="inlineStr">
        <is>
          <t>N/D</t>
        </is>
      </c>
      <c r="S83" s="144" t="n">
        <v>0.05</v>
      </c>
      <c r="T83" s="75" t="inlineStr">
        <is>
          <t>5,0%</t>
        </is>
      </c>
      <c r="U83" s="75" t="inlineStr">
        <is>
          <t>junior_pl</t>
        </is>
      </c>
      <c r="V83" s="75" t="inlineStr">
        <is>
          <t>direto no regulamento</t>
        </is>
      </c>
      <c r="W83" s="75" t="b">
        <v>1</v>
      </c>
      <c r="X83" s="75" t="inlineStr">
        <is>
          <t>Estrutura com uma única classe subordinada; métrica atual e piso usam o total subordinado sobre o PL.</t>
        </is>
      </c>
      <c r="Y83" s="75" t="b">
        <v>0</v>
      </c>
      <c r="Z83" s="144" t="n">
        <v>0.003498027693167434</v>
      </c>
      <c r="AA83" s="144" t="n">
        <v>0.003682134413860457</v>
      </c>
      <c r="AB83" s="75" t="inlineStr">
        <is>
          <t>folga estreita</t>
        </is>
      </c>
      <c r="AC83" s="75" t="inlineStr">
        <is>
          <t>Agro, Indústria e Comércio</t>
        </is>
      </c>
      <c r="AD83" s="75" t="inlineStr">
        <is>
          <t>Crédito Corporativo</t>
        </is>
      </c>
      <c r="AE83" s="75" t="inlineStr">
        <is>
          <t>Agro / Revenda</t>
        </is>
      </c>
      <c r="AF83" s="75" t="inlineStr">
        <is>
          <t>Agro / Revenda</t>
        </is>
      </c>
      <c r="AG83" s="75" t="inlineStr">
        <is>
          <t>Agro / Revenda</t>
        </is>
      </c>
      <c r="AH83" s="75" t="inlineStr">
        <is>
          <t>Risco Corporativo</t>
        </is>
      </c>
      <c r="AI83" s="75" t="inlineStr">
        <is>
          <t>Monosacado/concentrado BRF e Marfrig</t>
        </is>
      </c>
      <c r="AJ83" s="75" t="b">
        <v>1</v>
      </c>
      <c r="AK83" s="75" t="inlineStr">
        <is>
          <t>APLICAR_ALTA</t>
        </is>
      </c>
      <c r="AL83" s="75" t="inlineStr">
        <is>
          <t>Risco corporativo concentrado em BRF e Marfrig, conforme classificação explícita fornecida para o slide</t>
        </is>
      </c>
      <c r="AM83" s="75" t="inlineStr">
        <is>
          <t>Comentário explícito do usuário e IMG_8706.JPG</t>
        </is>
      </c>
      <c r="AN83" s="75" t="inlineStr">
        <is>
          <t>Não</t>
        </is>
      </c>
      <c r="AO83" s="75" t="inlineStr">
        <is>
          <t>Comentário explícito do usuário e IMG_8706.JPG</t>
        </is>
      </c>
      <c r="AP83" s="75" t="b">
        <v>0</v>
      </c>
      <c r="AQ83" s="75" t="inlineStr">
        <is>
          <t>Risco Corporativo</t>
        </is>
      </c>
      <c r="AR83" s="75" t="inlineStr">
        <is>
          <t>Agro / Revenda</t>
        </is>
      </c>
      <c r="AS83" s="75" t="b">
        <v>1</v>
      </c>
      <c r="AT83" s="75" t="inlineStr">
        <is>
          <t>Comentário explícito do usuário e IMG_8706.JPG</t>
        </is>
      </c>
      <c r="AU83" s="75" t="inlineStr">
        <is>
          <t>Risco corporativo concentrado em BRF e Marfrig, conforme classificação explícita fornecida para o slide</t>
        </is>
      </c>
      <c r="AV83" s="75" t="inlineStr">
        <is>
          <t>&lt; 10%</t>
        </is>
      </c>
      <c r="AW83" s="75" t="b">
        <v>1</v>
      </c>
      <c r="AX83" s="75" t="inlineStr">
        <is>
          <t>até 2 p.p. acima</t>
        </is>
      </c>
      <c r="AY83" s="75" t="inlineStr">
        <is>
          <t>sem benchmark confiável</t>
        </is>
      </c>
      <c r="AZ83" s="144" t="inlineStr">
        <is>
          <t>N/D</t>
        </is>
      </c>
      <c r="BA83" s="75" t="b">
        <v>0</v>
      </c>
      <c r="BB83" s="145" t="n">
        <v>0</v>
      </c>
      <c r="BC83" s="143" t="n">
        <v>1000</v>
      </c>
      <c r="BD83" s="75" t="inlineStr">
        <is>
          <t>cotas seniores: R$1.000,00</t>
        </is>
      </c>
      <c r="BE83" s="75" t="inlineStr">
        <is>
          <t>valor nominal unitário (VNU)</t>
        </is>
      </c>
      <c r="BF83" s="75" t="inlineStr">
        <is>
          <t>cotas seniores</t>
        </is>
      </c>
      <c r="BG83" s="75" t="inlineStr">
        <is>
          <t>21/01/2026</t>
        </is>
      </c>
      <c r="BH83" s="75" t="inlineStr">
        <is>
          <t>1089672</t>
        </is>
      </c>
      <c r="BI83" s="75" t="inlineStr">
        <is>
          <t>https://fnet.bmfbovespa.com.br/fnet/publico/downloadDocumento?id=1089672</t>
        </is>
      </c>
      <c r="BJ83" s="75" t="inlineStr">
        <is>
          <t>localizado documentalmente</t>
        </is>
      </c>
      <c r="BK83" s="75" t="b">
        <v>0</v>
      </c>
      <c r="BL83" s="75" t="inlineStr">
        <is>
          <t>Multicedente</t>
        </is>
      </c>
      <c r="BM83" s="75" t="inlineStr">
        <is>
          <t>cedente</t>
        </is>
      </c>
      <c r="BN83" s="75" t="inlineStr">
        <is>
          <t>N/D</t>
        </is>
      </c>
      <c r="BO83" s="75" t="inlineStr">
        <is>
          <t>Multicedente</t>
        </is>
      </c>
      <c r="BP83" s="75" t="inlineStr">
        <is>
          <t>BRF</t>
        </is>
      </c>
      <c r="BQ83" s="75" t="inlineStr">
        <is>
          <t>Risco Sacado BRF</t>
        </is>
      </c>
      <c r="BR83" s="75" t="inlineStr">
        <is>
          <t>cedente: IMG_8706.JPG | sacado_devedor: IMG_8706.JPG | tipo_recebivel: IMG_8706.JPG</t>
        </is>
      </c>
      <c r="BS83" s="75" t="inlineStr">
        <is>
          <t>manual_aplicado</t>
        </is>
      </c>
      <c r="BT83" s="75" t="inlineStr">
        <is>
          <t>BRF foi desmembrado somente porque a fonte escreve literalmente Risco Sacado BRF.</t>
        </is>
      </c>
      <c r="BU83" s="75" t="inlineStr">
        <is>
          <t>1242436</t>
        </is>
      </c>
      <c r="BV83" s="75" t="inlineStr">
        <is>
          <t>2026-07-08</t>
        </is>
      </c>
      <c r="BW83" s="75" t="inlineStr">
        <is>
          <t>40–41</t>
        </is>
      </c>
      <c r="BX83" s="75" t="inlineStr">
        <is>
          <t>revisto — mínimo júnior localizado</t>
        </is>
      </c>
      <c r="BY83" s="75" t="inlineStr">
        <is>
          <t>FundosNet/B3; documento 1242436; referência 2026-07-08; p. 40–41</t>
        </is>
      </c>
      <c r="BZ83" s="75" t="inlineStr">
        <is>
          <t>Cotas subordinadas júnior / PL, mínimo regular de 5,0%; transição temporária de 3,0% encerrada.</t>
        </is>
      </c>
      <c r="CA83" s="75" t="inlineStr">
        <is>
          <t>originador</t>
        </is>
      </c>
      <c r="CB83" s="75" t="inlineStr">
        <is>
          <t>completo_para_folga</t>
        </is>
      </c>
    </row>
    <row r="84" ht="31.5" customHeight="1">
      <c r="A84" s="74" t="n">
        <v>82</v>
      </c>
      <c r="B84" s="138" t="n">
        <v>47640584000123</v>
      </c>
      <c r="C84" s="74" t="inlineStr">
        <is>
          <t>47.640.584/0001-23</t>
        </is>
      </c>
      <c r="D84" s="74" t="inlineStr">
        <is>
          <t>SOL AGORA GREEN ESG FIDC IS SEGMENTO FINANCEIRO DE RESPONSABILIDADE LIMITADA</t>
        </is>
      </c>
      <c r="E84" s="74" t="inlineStr">
        <is>
          <t>SOL AGORA GREEN ESG FIDC IS SEGMENTO FINANCEIRO DE</t>
        </is>
      </c>
      <c r="F84" s="74" t="inlineStr">
        <is>
          <t>Carteira 101</t>
        </is>
      </c>
      <c r="G84" s="74" t="inlineStr">
        <is>
          <t>2026-08</t>
        </is>
      </c>
      <c r="H84" s="74" t="inlineStr">
        <is>
          <t>localizado</t>
        </is>
      </c>
      <c r="I84" s="139" t="n">
        <v>276270331.42</v>
      </c>
      <c r="J84" s="139" t="n">
        <v>276270331.4697955</v>
      </c>
      <c r="K84" s="139" t="n">
        <v>87728482.79005201</v>
      </c>
      <c r="L84" s="140" t="n">
        <v>0.3175457977667633</v>
      </c>
      <c r="M84" s="74" t="inlineStr">
        <is>
          <t>Calculado com classes reportadas e PL oficial reconciliado</t>
        </is>
      </c>
      <c r="N84" s="140" t="n">
        <v>0.1</v>
      </c>
      <c r="O84" s="140" t="inlineStr">
        <is>
          <t>N/D</t>
        </is>
      </c>
      <c r="P84" s="140" t="inlineStr">
        <is>
          <t>N/D</t>
        </is>
      </c>
      <c r="Q84" s="140" t="inlineStr">
        <is>
          <t>N/D</t>
        </is>
      </c>
      <c r="R84" s="140" t="inlineStr">
        <is>
          <t>N/D</t>
        </is>
      </c>
      <c r="S84" s="140" t="n">
        <v>0.1</v>
      </c>
      <c r="T84" s="74" t="inlineStr">
        <is>
          <t>N/D</t>
        </is>
      </c>
      <c r="U84" s="74" t="inlineStr">
        <is>
          <t>junior_pl</t>
        </is>
      </c>
      <c r="V84" s="74" t="inlineStr">
        <is>
          <t>direto no regulamento</t>
        </is>
      </c>
      <c r="W84" s="74" t="b">
        <v>0</v>
      </c>
      <c r="X84" s="74" t="inlineStr">
        <is>
          <t>Mínimo júnior isolado; a subordinação atual disponível agrega todas as classes subordinadas.</t>
        </is>
      </c>
      <c r="Y84" s="74" t="b">
        <v>0</v>
      </c>
      <c r="Z84" s="140" t="inlineStr">
        <is>
          <t>N/D</t>
        </is>
      </c>
      <c r="AA84" s="140" t="inlineStr">
        <is>
          <t>N/D</t>
        </is>
      </c>
      <c r="AB84" s="74" t="inlineStr">
        <is>
          <t>não medido</t>
        </is>
      </c>
      <c r="AC84" s="74" t="inlineStr">
        <is>
          <t>Financeiro</t>
        </is>
      </c>
      <c r="AD84" s="74" t="inlineStr">
        <is>
          <t>Crédito Pessoal</t>
        </is>
      </c>
      <c r="AE84" s="74" t="inlineStr">
        <is>
          <t>Financeiro</t>
        </is>
      </c>
      <c r="AF84" s="74" t="inlineStr">
        <is>
          <t>Financeiro</t>
        </is>
      </c>
      <c r="AG84" s="74" t="inlineStr">
        <is>
          <t>Financeiro</t>
        </is>
      </c>
      <c r="AH84" s="74" t="inlineStr">
        <is>
          <t>Financeiro</t>
        </is>
      </c>
      <c r="AI84" s="74" t="inlineStr">
        <is>
          <t>Financiamento solar, CCBs</t>
        </is>
      </c>
      <c r="AJ84" s="74" t="b">
        <v>0</v>
      </c>
      <c r="AK84" s="74" t="inlineStr">
        <is>
          <t>MANTER_ALTA</t>
        </is>
      </c>
      <c r="AL84" s="74" t="inlineStr">
        <is>
          <t>Devedores PF/PJ financiam projetos solares por CCB</t>
        </is>
      </c>
      <c r="AM84" s="74" t="inlineStr">
        <is>
          <t>regulamento + IMG_8706</t>
        </is>
      </c>
      <c r="AN84" s="74" t="inlineStr">
        <is>
          <t>Não</t>
        </is>
      </c>
      <c r="AO84" s="74" t="inlineStr">
        <is>
          <t>regulamento + IMG_8706</t>
        </is>
      </c>
      <c r="AP84" s="74" t="b">
        <v>0</v>
      </c>
      <c r="AQ84" s="74" t="inlineStr">
        <is>
          <t>Financeiro</t>
        </is>
      </c>
      <c r="AR84" s="74" t="inlineStr">
        <is>
          <t>Financeiro</t>
        </is>
      </c>
      <c r="AS84" s="74" t="b">
        <v>0</v>
      </c>
      <c r="AT84" s="74" t="inlineStr">
        <is>
          <t>N/D</t>
        </is>
      </c>
      <c r="AU84" s="74" t="inlineStr">
        <is>
          <t>N/D</t>
        </is>
      </c>
      <c r="AV84" s="74" t="inlineStr">
        <is>
          <t>20%–35%</t>
        </is>
      </c>
      <c r="AW84" s="74" t="b">
        <v>1</v>
      </c>
      <c r="AX84" s="74" t="inlineStr">
        <is>
          <t>incomparável</t>
        </is>
      </c>
      <c r="AY84" s="74" t="inlineStr">
        <is>
          <t>em linha com o mercado</t>
        </is>
      </c>
      <c r="AZ84" s="140" t="n">
        <v>0.01135201707027916</v>
      </c>
      <c r="BA84" s="74" t="b">
        <v>1</v>
      </c>
      <c r="BB84" s="141" t="n">
        <v>12</v>
      </c>
      <c r="BC84" s="139" t="n">
        <v>1000</v>
      </c>
      <c r="BD84" s="74" t="inlineStr">
        <is>
          <t>Cotas Seniores: R$1.000,00</t>
        </is>
      </c>
      <c r="BE84" s="74" t="inlineStr">
        <is>
          <t>preço/valor unitário de emissão</t>
        </is>
      </c>
      <c r="BF84" s="74" t="inlineStr">
        <is>
          <t>Cotas Seniores</t>
        </is>
      </c>
      <c r="BG84" s="74" t="inlineStr">
        <is>
          <t>13/06/2025</t>
        </is>
      </c>
      <c r="BH84" s="74" t="inlineStr">
        <is>
          <t>930974</t>
        </is>
      </c>
      <c r="BI84" s="74" t="inlineStr">
        <is>
          <t>https://fnet.bmfbovespa.com.br/fnet/publico/downloadDocumento?id=930974</t>
        </is>
      </c>
      <c r="BJ84" s="74" t="inlineStr">
        <is>
          <t>localizado documentalmente</t>
        </is>
      </c>
      <c r="BK84" s="74" t="b">
        <v>0</v>
      </c>
      <c r="BL84" s="74" t="inlineStr">
        <is>
          <t>BMP</t>
        </is>
      </c>
      <c r="BM84" s="74" t="inlineStr">
        <is>
          <t>cedente</t>
        </is>
      </c>
      <c r="BN84" s="74" t="inlineStr">
        <is>
          <t>Sol Agora</t>
        </is>
      </c>
      <c r="BO84" s="74" t="inlineStr">
        <is>
          <t>BMP</t>
        </is>
      </c>
      <c r="BP84" s="74" t="inlineStr">
        <is>
          <t>pessoas físicas ou jurídicas que obtenham um financiamento de Projetos de Geração Energia Elétrica junto a uma Instituição Financeira Parceira por meio da Plataforma Sol Agora</t>
        </is>
      </c>
      <c r="BQ84" s="74" t="inlineStr">
        <is>
          <t>Recebíveis: CCBs</t>
        </is>
      </c>
      <c r="BR84" s="74" t="inlineStr">
        <is>
          <t>originador: https://fnet.bmfbovespa.com.br/fnet/publico/downloadDocumento?id=721487 | cedente: IMG_8706.JPG | sacado_devedor: https://fnet.bmfbovespa.com.br/fnet/publico/downloadDocumento?id=930974 | tipo_recebivel: IMG_8706.JPG</t>
        </is>
      </c>
      <c r="BS84" s="74" t="inlineStr">
        <is>
          <t>manual_aplicado</t>
        </is>
      </c>
      <c r="BT84" s="74" t="inlineStr">
        <is>
          <t>OBS da foto: a Sol Agora é o originador, mas o cedente das CCBs é o BMP (true sale). Os papéis foram desmembrados somente porque estão escritos literalmente na fonte. Denominação cortada.</t>
        </is>
      </c>
      <c r="BU84" s="74" t="inlineStr">
        <is>
          <t>930974</t>
        </is>
      </c>
      <c r="BV84" s="74" t="inlineStr">
        <is>
          <t>2025-06-13</t>
        </is>
      </c>
      <c r="BW84" s="74" t="inlineStr">
        <is>
          <t>91</t>
        </is>
      </c>
      <c r="BX84" s="74" t="inlineStr">
        <is>
          <t>revisto — mínimo júnior localizado</t>
        </is>
      </c>
      <c r="BY84" s="74" t="inlineStr">
        <is>
          <t>FundosNet/B3; documento 930974; referência 2025-06-13; p. 91</t>
        </is>
      </c>
      <c r="BZ84" s="74" t="inlineStr">
        <is>
          <t>Cotas júnior / PL ajustado: 10,0% até o 24º mês e 12,5% após esse período.</t>
        </is>
      </c>
      <c r="CA84" s="74" t="inlineStr">
        <is>
          <t>Nenhum</t>
        </is>
      </c>
      <c r="CB84" s="74" t="inlineStr">
        <is>
          <t>estrutura_incomparavel</t>
        </is>
      </c>
    </row>
    <row r="85" ht="31.5" customHeight="1">
      <c r="A85" s="75" t="n">
        <v>83</v>
      </c>
      <c r="B85" s="142" t="n">
        <v>57028406000108</v>
      </c>
      <c r="C85" s="75" t="inlineStr">
        <is>
          <t>57.028.406/0001-08</t>
        </is>
      </c>
      <c r="D85" s="75" t="inlineStr">
        <is>
          <t>IS GREEN SOLFÁCIL VI FUNDO DE INVESTIMENTO EM DIREITOS CREDITÓRIOS RESPONSABILIDADE LIMITADA</t>
        </is>
      </c>
      <c r="E85" s="75" t="inlineStr">
        <is>
          <t>IS GREEN SOLFACIL VI FIDC RL</t>
        </is>
      </c>
      <c r="F85" s="75" t="inlineStr">
        <is>
          <t>Carteira 101</t>
        </is>
      </c>
      <c r="G85" s="75" t="inlineStr">
        <is>
          <t>2026-08</t>
        </is>
      </c>
      <c r="H85" s="75" t="inlineStr">
        <is>
          <t>localizado</t>
        </is>
      </c>
      <c r="I85" s="143" t="n">
        <v>145184643.99</v>
      </c>
      <c r="J85" s="143" t="n">
        <v>145184643.989649</v>
      </c>
      <c r="K85" s="143" t="n">
        <v>36574058.08069424</v>
      </c>
      <c r="L85" s="144" t="n">
        <v>0.251914094187629</v>
      </c>
      <c r="M85" s="75" t="inlineStr">
        <is>
          <t>Calculado com classes reportadas e PL oficial reconciliado</t>
        </is>
      </c>
      <c r="N85" s="144" t="n">
        <v>0.02</v>
      </c>
      <c r="O85" s="144" t="inlineStr">
        <is>
          <t>N/D</t>
        </is>
      </c>
      <c r="P85" s="144" t="inlineStr">
        <is>
          <t>N/D</t>
        </is>
      </c>
      <c r="Q85" s="144" t="inlineStr">
        <is>
          <t>N/D</t>
        </is>
      </c>
      <c r="R85" s="144" t="inlineStr">
        <is>
          <t>N/D</t>
        </is>
      </c>
      <c r="S85" s="144" t="n">
        <v>0.02</v>
      </c>
      <c r="T85" s="75" t="inlineStr">
        <is>
          <t>N/D</t>
        </is>
      </c>
      <c r="U85" s="75" t="inlineStr">
        <is>
          <t>junior_pl</t>
        </is>
      </c>
      <c r="V85" s="75" t="inlineStr">
        <is>
          <t>direto no regulamento</t>
        </is>
      </c>
      <c r="W85" s="75" t="b">
        <v>0</v>
      </c>
      <c r="X85" s="75" t="inlineStr">
        <is>
          <t>Mínimo júnior isolado; a subordinação atual disponível agrega todas as classes subordinadas.</t>
        </is>
      </c>
      <c r="Y85" s="75" t="b">
        <v>0</v>
      </c>
      <c r="Z85" s="144" t="inlineStr">
        <is>
          <t>N/D</t>
        </is>
      </c>
      <c r="AA85" s="144" t="inlineStr">
        <is>
          <t>N/D</t>
        </is>
      </c>
      <c r="AB85" s="75" t="inlineStr">
        <is>
          <t>não medido</t>
        </is>
      </c>
      <c r="AC85" s="75" t="inlineStr">
        <is>
          <t>Financeiro</t>
        </is>
      </c>
      <c r="AD85" s="75" t="inlineStr">
        <is>
          <t>Crédito Pessoal</t>
        </is>
      </c>
      <c r="AE85" s="75" t="inlineStr">
        <is>
          <t>Financeiro</t>
        </is>
      </c>
      <c r="AF85" s="75" t="inlineStr">
        <is>
          <t>Financeiro</t>
        </is>
      </c>
      <c r="AG85" s="75" t="inlineStr">
        <is>
          <t>Financeiro</t>
        </is>
      </c>
      <c r="AH85" s="75" t="inlineStr">
        <is>
          <t>Financeiro</t>
        </is>
      </c>
      <c r="AI85" s="75" t="inlineStr">
        <is>
          <t>Financiamento solar, recebíveis performados</t>
        </is>
      </c>
      <c r="AJ85" s="75" t="b">
        <v>0</v>
      </c>
      <c r="AK85" s="75" t="inlineStr">
        <is>
          <t>MANTER_ALTA</t>
        </is>
      </c>
      <c r="AL85" s="75" t="inlineStr">
        <is>
          <t>Recebíveis de financiamento de placas solares</t>
        </is>
      </c>
      <c r="AM85" s="75" t="inlineStr">
        <is>
          <t>IMG_8706</t>
        </is>
      </c>
      <c r="AN85" s="75" t="inlineStr">
        <is>
          <t>Não</t>
        </is>
      </c>
      <c r="AO85" s="75" t="inlineStr">
        <is>
          <t>IMG_8706</t>
        </is>
      </c>
      <c r="AP85" s="75" t="b">
        <v>0</v>
      </c>
      <c r="AQ85" s="75" t="inlineStr">
        <is>
          <t>Financeiro</t>
        </is>
      </c>
      <c r="AR85" s="75" t="inlineStr">
        <is>
          <t>Financeiro</t>
        </is>
      </c>
      <c r="AS85" s="75" t="b">
        <v>0</v>
      </c>
      <c r="AT85" s="75" t="inlineStr">
        <is>
          <t>N/D</t>
        </is>
      </c>
      <c r="AU85" s="75" t="inlineStr">
        <is>
          <t>N/D</t>
        </is>
      </c>
      <c r="AV85" s="75" t="inlineStr">
        <is>
          <t>20%–35%</t>
        </is>
      </c>
      <c r="AW85" s="75" t="b">
        <v>1</v>
      </c>
      <c r="AX85" s="75" t="inlineStr">
        <is>
          <t>incomparável</t>
        </is>
      </c>
      <c r="AY85" s="75" t="inlineStr">
        <is>
          <t>abaixo do mercado</t>
        </is>
      </c>
      <c r="AZ85" s="144" t="n">
        <v>-0.05427968650885517</v>
      </c>
      <c r="BA85" s="75" t="b">
        <v>1</v>
      </c>
      <c r="BB85" s="145" t="n">
        <v>12</v>
      </c>
      <c r="BC85" s="143" t="n">
        <v>1000</v>
      </c>
      <c r="BD85" s="75" t="inlineStr">
        <is>
          <t>Cotas Seniores: R$ 1.000,00 | Cotas Subordinadas Mezanino: R$ 1.000,00</t>
        </is>
      </c>
      <c r="BE85" s="75" t="inlineStr">
        <is>
          <t>preço/valor unitário de emissão</t>
        </is>
      </c>
      <c r="BF85" s="75" t="inlineStr">
        <is>
          <t>Cotas Seniores | Cotas Subordinadas Mezanino</t>
        </is>
      </c>
      <c r="BG85" s="75" t="inlineStr">
        <is>
          <t>06/12/2024</t>
        </is>
      </c>
      <c r="BH85" s="75" t="inlineStr">
        <is>
          <t>796086</t>
        </is>
      </c>
      <c r="BI85" s="75" t="inlineStr">
        <is>
          <t>https://fnet.bmfbovespa.com.br/fnet/publico/downloadDocumento?id=796086</t>
        </is>
      </c>
      <c r="BJ85" s="75" t="inlineStr">
        <is>
          <t>localizado documentalmente — múltiplos valores/classes</t>
        </is>
      </c>
      <c r="BK85" s="75" t="b">
        <v>1</v>
      </c>
      <c r="BL85" s="75" t="inlineStr">
        <is>
          <t>Solfácil SCD</t>
        </is>
      </c>
      <c r="BM85" s="75" t="inlineStr">
        <is>
          <t>cedente</t>
        </is>
      </c>
      <c r="BN85" s="75" t="inlineStr">
        <is>
          <t>Solfácil Energia</t>
        </is>
      </c>
      <c r="BO85" s="75" t="inlineStr">
        <is>
          <t>Solfácil SCD</t>
        </is>
      </c>
      <c r="BP85" s="75" t="inlineStr">
        <is>
          <t>N/D</t>
        </is>
      </c>
      <c r="BQ85" s="75" t="inlineStr">
        <is>
          <t>Direitos Creditórios performados oriundos de financiamento de instalação de placas solares</t>
        </is>
      </c>
      <c r="BR85" s="75" t="inlineStr">
        <is>
          <t>originador: https://fnet.bmfbovespa.com.br/fnet/publico/downloadDocumento?id=1048522 | cedente: IMG_8706.JPG | tipo_recebivel: IMG_8706.JPG</t>
        </is>
      </c>
      <c r="BS85" s="75" t="inlineStr">
        <is>
          <t>manual_aplicado</t>
        </is>
      </c>
      <c r="BT85" s="75" t="inlineStr">
        <is>
          <t>FIDC pulverizado para aquisição dos direitos creditórios descritos.</t>
        </is>
      </c>
      <c r="BU85" s="75" t="inlineStr">
        <is>
          <t>1202319</t>
        </is>
      </c>
      <c r="BV85" s="75" t="inlineStr">
        <is>
          <t>2026-05-21</t>
        </is>
      </c>
      <c r="BW85" s="75" t="inlineStr">
        <is>
          <t>112</t>
        </is>
      </c>
      <c r="BX85" s="75" t="inlineStr">
        <is>
          <t>revisto — mínimo júnior localizado</t>
        </is>
      </c>
      <c r="BY85" s="75" t="inlineStr">
        <is>
          <t>FundosNet/B3; documento 1202319; referência 2026-05-21; p. 112</t>
        </is>
      </c>
      <c r="BZ85" s="75" t="inlineStr">
        <is>
          <t>Índice de Subordinação das cotas júnior / PL, mínimo de 2,0%.</t>
        </is>
      </c>
      <c r="CA85" s="75" t="inlineStr">
        <is>
          <t>sacado/devedor</t>
        </is>
      </c>
      <c r="CB85" s="75" t="inlineStr">
        <is>
          <t>estrutura_incomparavel</t>
        </is>
      </c>
    </row>
    <row r="86" ht="31.5" customHeight="1">
      <c r="A86" s="74" t="n">
        <v>84</v>
      </c>
      <c r="B86" s="138" t="n">
        <v>31570767000180</v>
      </c>
      <c r="C86" s="74" t="inlineStr">
        <is>
          <t>31.570.767/0001-80</t>
        </is>
      </c>
      <c r="D86" s="74" t="inlineStr">
        <is>
          <t>FUNDO DE INVESTIMENTO EM DIREITOS CREDITÓRIOS TRADEPAY VAREJO I - RESPONSABILIDADE LIMITADA</t>
        </is>
      </c>
      <c r="E86" s="74" t="inlineStr">
        <is>
          <t>FUNDO DE INVESTIMENTO EM DIREITOS</t>
        </is>
      </c>
      <c r="F86" s="74" t="inlineStr">
        <is>
          <t>Carteira 101</t>
        </is>
      </c>
      <c r="G86" s="74" t="inlineStr">
        <is>
          <t>2026-08</t>
        </is>
      </c>
      <c r="H86" s="74" t="inlineStr">
        <is>
          <t>localizado</t>
        </is>
      </c>
      <c r="I86" s="139" t="n">
        <v>685449556.03</v>
      </c>
      <c r="J86" s="139" t="n">
        <v>685449556.027949</v>
      </c>
      <c r="K86" s="139" t="n">
        <v>153934288.9795356</v>
      </c>
      <c r="L86" s="140" t="n">
        <v>0.2245742048052306</v>
      </c>
      <c r="M86" s="74" t="inlineStr">
        <is>
          <t>Calculado com classes reportadas e PL oficial reconciliado</t>
        </is>
      </c>
      <c r="N86" s="140" t="n">
        <v>0.05</v>
      </c>
      <c r="O86" s="140" t="inlineStr">
        <is>
          <t>N/D</t>
        </is>
      </c>
      <c r="P86" s="140" t="inlineStr">
        <is>
          <t>N/D</t>
        </is>
      </c>
      <c r="Q86" s="140" t="inlineStr">
        <is>
          <t>N/D</t>
        </is>
      </c>
      <c r="R86" s="140" t="inlineStr">
        <is>
          <t>N/D</t>
        </is>
      </c>
      <c r="S86" s="140" t="n">
        <v>0.05</v>
      </c>
      <c r="T86" s="74" t="inlineStr">
        <is>
          <t>N/D</t>
        </is>
      </c>
      <c r="U86" s="74" t="inlineStr">
        <is>
          <t>junior_pl</t>
        </is>
      </c>
      <c r="V86" s="74" t="inlineStr">
        <is>
          <t>direto no regulamento</t>
        </is>
      </c>
      <c r="W86" s="74" t="b">
        <v>0</v>
      </c>
      <c r="X86" s="74" t="inlineStr">
        <is>
          <t>Mínimo júnior isolado; a subordinação atual disponível agrega todas as classes subordinadas.</t>
        </is>
      </c>
      <c r="Y86" s="74" t="b">
        <v>0</v>
      </c>
      <c r="Z86" s="140" t="inlineStr">
        <is>
          <t>N/D</t>
        </is>
      </c>
      <c r="AA86" s="140" t="inlineStr">
        <is>
          <t>N/D</t>
        </is>
      </c>
      <c r="AB86" s="74" t="inlineStr">
        <is>
          <t>não medido</t>
        </is>
      </c>
      <c r="AC86" s="74" t="inlineStr">
        <is>
          <t>Agro, Indústria e Comércio</t>
        </is>
      </c>
      <c r="AD86" s="74" t="inlineStr">
        <is>
          <t>Recebíveis Comerciais</t>
        </is>
      </c>
      <c r="AE86" s="74" t="inlineStr">
        <is>
          <t>Agro / Revenda</t>
        </is>
      </c>
      <c r="AF86" s="74" t="inlineStr">
        <is>
          <t>Agro / Revenda</t>
        </is>
      </c>
      <c r="AG86" s="74" t="inlineStr">
        <is>
          <t>Agro / Revenda</t>
        </is>
      </c>
      <c r="AH86" s="74" t="inlineStr">
        <is>
          <t>Risco Corporativo</t>
        </is>
      </c>
      <c r="AI86" s="74" t="inlineStr">
        <is>
          <t>Recebíveis comerciais pulverizados Trademaster</t>
        </is>
      </c>
      <c r="AJ86" s="74" t="b">
        <v>1</v>
      </c>
      <c r="AK86" s="74" t="inlineStr">
        <is>
          <t>APLICAR_ALTA</t>
        </is>
      </c>
      <c r="AL86" s="74" t="inlineStr">
        <is>
          <t>Notas fiscais e duplicatas de vendas/serviços, mínimo 2.500 devedores e máximo 5% por devedor</t>
        </is>
      </c>
      <c r="AM86" s="74" t="inlineStr">
        <is>
          <t>regulamento 1203635, 80 páginas</t>
        </is>
      </c>
      <c r="AN86" s="74" t="inlineStr">
        <is>
          <t>Candidato</t>
        </is>
      </c>
      <c r="AO86" s="74" t="inlineStr">
        <is>
          <t>regulamento 1203635, 80 páginas</t>
        </is>
      </c>
      <c r="AP86" s="74" t="inlineStr">
        <is>
          <t>N/D</t>
        </is>
      </c>
      <c r="AQ86" s="74" t="inlineStr">
        <is>
          <t>Risco Corporativo</t>
        </is>
      </c>
      <c r="AR86" s="74" t="inlineStr">
        <is>
          <t>Agro / Revenda</t>
        </is>
      </c>
      <c r="AS86" s="74" t="b">
        <v>1</v>
      </c>
      <c r="AT86" s="74" t="inlineStr">
        <is>
          <t>regulamento 1203635, 80 páginas</t>
        </is>
      </c>
      <c r="AU86" s="74" t="inlineStr">
        <is>
          <t>Notas fiscais e duplicatas de vendas/serviços, mínimo 2.500 devedores e máximo 5% por devedor</t>
        </is>
      </c>
      <c r="AV86" s="74" t="inlineStr">
        <is>
          <t>20%–35%</t>
        </is>
      </c>
      <c r="AW86" s="74" t="b">
        <v>1</v>
      </c>
      <c r="AX86" s="74" t="inlineStr">
        <is>
          <t>incomparável</t>
        </is>
      </c>
      <c r="AY86" s="74" t="inlineStr">
        <is>
          <t>sem benchmark confiável</t>
        </is>
      </c>
      <c r="AZ86" s="140" t="inlineStr">
        <is>
          <t>N/D</t>
        </is>
      </c>
      <c r="BA86" s="74" t="b">
        <v>0</v>
      </c>
      <c r="BB86" s="141" t="n">
        <v>0</v>
      </c>
      <c r="BC86" s="139" t="inlineStr">
        <is>
          <t>N/D</t>
        </is>
      </c>
      <c r="BD86" s="74" t="inlineStr">
        <is>
          <t>N/D</t>
        </is>
      </c>
      <c r="BE86" s="74" t="inlineStr">
        <is>
          <t>N/D</t>
        </is>
      </c>
      <c r="BF86" s="74" t="inlineStr">
        <is>
          <t>N/D</t>
        </is>
      </c>
      <c r="BG86" s="74" t="inlineStr">
        <is>
          <t>N/D</t>
        </is>
      </c>
      <c r="BH86" s="74" t="inlineStr">
        <is>
          <t>N/D</t>
        </is>
      </c>
      <c r="BI86" s="74" t="inlineStr">
        <is>
          <t>N/D</t>
        </is>
      </c>
      <c r="BJ86" s="74" t="inlineStr">
        <is>
          <t>não localizado</t>
        </is>
      </c>
      <c r="BK86" s="74" t="b">
        <v>0</v>
      </c>
      <c r="BL86" s="74" t="inlineStr">
        <is>
          <t>Trademaster</t>
        </is>
      </c>
      <c r="BM86" s="74" t="inlineStr">
        <is>
          <t>cedente</t>
        </is>
      </c>
      <c r="BN86" s="74" t="inlineStr">
        <is>
          <t>N/D</t>
        </is>
      </c>
      <c r="BO86" s="74" t="inlineStr">
        <is>
          <t>Trademaster</t>
        </is>
      </c>
      <c r="BP86" s="74" t="inlineStr">
        <is>
          <t>N/D</t>
        </is>
      </c>
      <c r="BQ86" s="74" t="inlineStr">
        <is>
          <t>N/D</t>
        </is>
      </c>
      <c r="BR86" s="74" t="inlineStr">
        <is>
          <t>cedente: IMG_8706.JPG</t>
        </is>
      </c>
      <c r="BS86" s="74" t="inlineStr">
        <is>
          <t>manual_aplicado</t>
        </is>
      </c>
      <c r="BT86" s="74" t="inlineStr">
        <is>
          <t>Denominação cortada pela largura da coluna na foto.</t>
        </is>
      </c>
      <c r="BU86" s="74" t="inlineStr">
        <is>
          <t>1203635</t>
        </is>
      </c>
      <c r="BV86" s="74" t="inlineStr">
        <is>
          <t>2026-05-25</t>
        </is>
      </c>
      <c r="BW86" s="74" t="inlineStr">
        <is>
          <t>39</t>
        </is>
      </c>
      <c r="BX86" s="74" t="inlineStr">
        <is>
          <t>revisto — mínimo júnior localizado</t>
        </is>
      </c>
      <c r="BY86" s="74" t="inlineStr">
        <is>
          <t>FundosNet/B3; documento 1203635; referência 2026-05-25; p. 39</t>
        </is>
      </c>
      <c r="BZ86" s="74" t="inlineStr">
        <is>
          <t>Cotas subordinadas júnior / PL, mínimo de 5,0%.</t>
        </is>
      </c>
      <c r="CA86" s="74" t="inlineStr">
        <is>
          <t>preço unitário da cota; originador; sacado/devedor; tipo de recebível</t>
        </is>
      </c>
      <c r="CB86" s="74" t="inlineStr">
        <is>
          <t>estrutura_incomparavel</t>
        </is>
      </c>
    </row>
    <row r="87" ht="31.5" customHeight="1">
      <c r="A87" s="75" t="n">
        <v>85</v>
      </c>
      <c r="B87" s="142" t="n">
        <v>54464892000100</v>
      </c>
      <c r="C87" s="75" t="inlineStr">
        <is>
          <t>54.464.892/0001-00</t>
        </is>
      </c>
      <c r="D87" s="75" t="inlineStr">
        <is>
          <t>FUNDO DE INVESTIMENTO EM DIREITOS CREDITÓRIOS MT FGTS RECEIVABLES II</t>
        </is>
      </c>
      <c r="E87" s="75" t="inlineStr">
        <is>
          <t>FUNDO I E D C MF RECEIV</t>
        </is>
      </c>
      <c r="F87" s="75" t="inlineStr">
        <is>
          <t>Carteira 101</t>
        </is>
      </c>
      <c r="G87" s="75" t="inlineStr">
        <is>
          <t>2026-08</t>
        </is>
      </c>
      <c r="H87" s="75" t="inlineStr">
        <is>
          <t>localizado</t>
        </is>
      </c>
      <c r="I87" s="143" t="n">
        <v>665402914.1</v>
      </c>
      <c r="J87" s="143" t="n">
        <v>664908350.2394052</v>
      </c>
      <c r="K87" s="143" t="n">
        <v>133959133.4796962</v>
      </c>
      <c r="L87" s="144" t="n">
        <v>0.2013203288429906</v>
      </c>
      <c r="M87" s="75" t="inlineStr">
        <is>
          <t>Calculado com classes reportadas e PL oficial reconciliado</t>
        </is>
      </c>
      <c r="N87" s="144" t="n">
        <v>0.035</v>
      </c>
      <c r="O87" s="144" t="inlineStr">
        <is>
          <t>N/D</t>
        </is>
      </c>
      <c r="P87" s="144" t="inlineStr">
        <is>
          <t>N/D</t>
        </is>
      </c>
      <c r="Q87" s="144" t="inlineStr">
        <is>
          <t>N/D</t>
        </is>
      </c>
      <c r="R87" s="144" t="inlineStr">
        <is>
          <t>N/D</t>
        </is>
      </c>
      <c r="S87" s="144" t="n">
        <v>0.035</v>
      </c>
      <c r="T87" s="75" t="inlineStr">
        <is>
          <t>N/D</t>
        </is>
      </c>
      <c r="U87" s="75" t="inlineStr">
        <is>
          <t>junior_pl</t>
        </is>
      </c>
      <c r="V87" s="75" t="inlineStr">
        <is>
          <t>direto no regulamento</t>
        </is>
      </c>
      <c r="W87" s="75" t="b">
        <v>0</v>
      </c>
      <c r="X87" s="75" t="inlineStr">
        <is>
          <t>Mínimo júnior isolado; a subordinação atual disponível agrega mais de uma classe subordinada ou usa denominador distinto.</t>
        </is>
      </c>
      <c r="Y87" s="75" t="b">
        <v>0</v>
      </c>
      <c r="Z87" s="144" t="inlineStr">
        <is>
          <t>N/D</t>
        </is>
      </c>
      <c r="AA87" s="144" t="inlineStr">
        <is>
          <t>N/D</t>
        </is>
      </c>
      <c r="AB87" s="75" t="inlineStr">
        <is>
          <t>não medido</t>
        </is>
      </c>
      <c r="AC87" s="75" t="inlineStr">
        <is>
          <t>Financeiro</t>
        </is>
      </c>
      <c r="AD87" s="75" t="inlineStr">
        <is>
          <t>Crédito Pessoal</t>
        </is>
      </c>
      <c r="AE87" s="75" t="inlineStr">
        <is>
          <t>Consignado FGTS</t>
        </is>
      </c>
      <c r="AF87" s="75" t="inlineStr">
        <is>
          <t>Consignado FGTS</t>
        </is>
      </c>
      <c r="AG87" s="75" t="inlineStr">
        <is>
          <t>Consignado INSS e FGTS</t>
        </is>
      </c>
      <c r="AH87" s="75" t="inlineStr">
        <is>
          <t>Consignado INSS e FGTS</t>
        </is>
      </c>
      <c r="AI87" s="75" t="inlineStr">
        <is>
          <t>N/D</t>
        </is>
      </c>
      <c r="AJ87" s="75" t="b">
        <v>0</v>
      </c>
      <c r="AK87" s="75" t="inlineStr">
        <is>
          <t>fora da revisão Financeiro/Agro</t>
        </is>
      </c>
      <c r="AL87" s="75" t="inlineStr">
        <is>
          <t>N/D</t>
        </is>
      </c>
      <c r="AM87" s="75" t="inlineStr">
        <is>
          <t>N/D</t>
        </is>
      </c>
      <c r="AN87" s="75" t="inlineStr">
        <is>
          <t>N/D</t>
        </is>
      </c>
      <c r="AO87" s="75" t="inlineStr">
        <is>
          <t>N/D</t>
        </is>
      </c>
      <c r="AP87" s="75" t="inlineStr">
        <is>
          <t>N/D</t>
        </is>
      </c>
      <c r="AQ87" s="75" t="inlineStr">
        <is>
          <t>Consignado INSS e FGTS</t>
        </is>
      </c>
      <c r="AR87" s="75" t="inlineStr">
        <is>
          <t>Consignado INSS e FGTS</t>
        </is>
      </c>
      <c r="AS87" s="75" t="b">
        <v>0</v>
      </c>
      <c r="AT87" s="75" t="inlineStr">
        <is>
          <t>N/D</t>
        </is>
      </c>
      <c r="AU87" s="75" t="inlineStr">
        <is>
          <t>N/D</t>
        </is>
      </c>
      <c r="AV87" s="75" t="inlineStr">
        <is>
          <t>20%–35%</t>
        </is>
      </c>
      <c r="AW87" s="75" t="b">
        <v>1</v>
      </c>
      <c r="AX87" s="75" t="inlineStr">
        <is>
          <t>incomparável</t>
        </is>
      </c>
      <c r="AY87" s="75" t="inlineStr">
        <is>
          <t>em linha com o mercado</t>
        </is>
      </c>
      <c r="AZ87" s="144" t="n">
        <v>0.01854088768350012</v>
      </c>
      <c r="BA87" s="75" t="b">
        <v>1</v>
      </c>
      <c r="BB87" s="145" t="n">
        <v>5</v>
      </c>
      <c r="BC87" s="143" t="n">
        <v>1000</v>
      </c>
      <c r="BD87" s="75" t="inlineStr">
        <is>
          <t>Cotas Subordinadas Mezanino: R$ 1.000,00</t>
        </is>
      </c>
      <c r="BE87" s="75" t="inlineStr">
        <is>
          <t>valor nominal unitário (VNU)</t>
        </is>
      </c>
      <c r="BF87" s="75" t="inlineStr">
        <is>
          <t>Cotas Subordinadas Mezanino</t>
        </is>
      </c>
      <c r="BG87" s="75" t="inlineStr">
        <is>
          <t>10/11/2025</t>
        </is>
      </c>
      <c r="BH87" s="75" t="inlineStr">
        <is>
          <t>1033290</t>
        </is>
      </c>
      <c r="BI87" s="75" t="inlineStr">
        <is>
          <t>https://fnet.bmfbovespa.com.br/fnet/publico/downloadDocumento?id=1033290</t>
        </is>
      </c>
      <c r="BJ87" s="75" t="inlineStr">
        <is>
          <t>localizado documentalmente</t>
        </is>
      </c>
      <c r="BK87" s="75" t="b">
        <v>0</v>
      </c>
      <c r="BL87" s="75" t="inlineStr">
        <is>
          <t>75% Parati / 25% QI Tech</t>
        </is>
      </c>
      <c r="BM87" s="75" t="inlineStr">
        <is>
          <t>cedente</t>
        </is>
      </c>
      <c r="BN87" s="75" t="inlineStr">
        <is>
          <t>N/D</t>
        </is>
      </c>
      <c r="BO87" s="75" t="inlineStr">
        <is>
          <t>75% Parati / 25% QI Tech</t>
        </is>
      </c>
      <c r="BP87" s="75" t="inlineStr">
        <is>
          <t>N/D</t>
        </is>
      </c>
      <c r="BQ87" s="75" t="inlineStr">
        <is>
          <t>N/D</t>
        </is>
      </c>
      <c r="BR87" s="75" t="inlineStr">
        <is>
          <t>cedente: IMG_8707.jpg</t>
        </is>
      </c>
      <c r="BS87" s="75" t="inlineStr">
        <is>
          <t>manual_aplicado</t>
        </is>
      </c>
      <c r="BT87" s="75" t="inlineStr">
        <is>
          <t>OBS da foto: Rating atual Ba1; se ajustar o rating na base, pode considerar perspectiva estável. Denominação cortada.</t>
        </is>
      </c>
      <c r="BU87" s="75" t="inlineStr">
        <is>
          <t>884293</t>
        </is>
      </c>
      <c r="BV87" s="75" t="inlineStr">
        <is>
          <t>2025-04-23</t>
        </is>
      </c>
      <c r="BW87" s="75" t="inlineStr">
        <is>
          <t>85–86</t>
        </is>
      </c>
      <c r="BX87" s="75" t="inlineStr">
        <is>
          <t>revisto — mínimo júnior localizado</t>
        </is>
      </c>
      <c r="BY87" s="75" t="inlineStr">
        <is>
          <t>FundosNet/B3; documento 884293; referência 2025-04-23; p. 85–86</t>
        </is>
      </c>
      <c r="BZ87" s="75" t="inlineStr">
        <is>
          <t>Cotas júnior / PL, mínimo de 3,5% no período de investimento e 5,0% depois.</t>
        </is>
      </c>
      <c r="CA87" s="75" t="inlineStr">
        <is>
          <t>originador; sacado/devedor; tipo de recebível</t>
        </is>
      </c>
      <c r="CB87" s="75" t="inlineStr">
        <is>
          <t>estrutura_incomparavel</t>
        </is>
      </c>
    </row>
    <row r="88" ht="31.5" customHeight="1">
      <c r="A88" s="74" t="n">
        <v>86</v>
      </c>
      <c r="B88" s="138" t="n">
        <v>11468186000124</v>
      </c>
      <c r="C88" s="74" t="inlineStr">
        <is>
          <t>11.468.186/0001-24</t>
        </is>
      </c>
      <c r="D88" s="74" t="inlineStr">
        <is>
          <t>ATLANTA FUNDO DE INVESTIMENTO EM DIREITOS CREDITÓRIOS DE RESPONSABILIDADE LIMITADA</t>
        </is>
      </c>
      <c r="E88" s="74" t="inlineStr">
        <is>
          <t>ATLANTA FIDC NAO PADRONIZADO</t>
        </is>
      </c>
      <c r="F88" s="74" t="inlineStr">
        <is>
          <t>Carteira 101</t>
        </is>
      </c>
      <c r="G88" s="74" t="inlineStr">
        <is>
          <t>2026-08</t>
        </is>
      </c>
      <c r="H88" s="74" t="inlineStr">
        <is>
          <t>localizado</t>
        </is>
      </c>
      <c r="I88" s="139" t="n">
        <v>1897667543.94</v>
      </c>
      <c r="J88" s="139" t="n">
        <v>1897667543.962512</v>
      </c>
      <c r="K88" s="139" t="n">
        <v>1672962101.882594</v>
      </c>
      <c r="L88" s="140" t="n">
        <v>0.8815886150474677</v>
      </c>
      <c r="M88" s="74" t="inlineStr">
        <is>
          <t>Calculado com classes reportadas e PL oficial reconciliado</t>
        </is>
      </c>
      <c r="N88" s="140" t="n">
        <v>0.5</v>
      </c>
      <c r="O88" s="140" t="inlineStr">
        <is>
          <t>N/D</t>
        </is>
      </c>
      <c r="P88" s="140" t="inlineStr">
        <is>
          <t>N/D</t>
        </is>
      </c>
      <c r="Q88" s="140" t="inlineStr">
        <is>
          <t>N/D</t>
        </is>
      </c>
      <c r="R88" s="140" t="inlineStr">
        <is>
          <t>N/D</t>
        </is>
      </c>
      <c r="S88" s="140" t="n">
        <v>0.5</v>
      </c>
      <c r="T88" s="74" t="inlineStr">
        <is>
          <t>N/D</t>
        </is>
      </c>
      <c r="U88" s="74" t="inlineStr">
        <is>
          <t>junior_pl</t>
        </is>
      </c>
      <c r="V88" s="74" t="inlineStr">
        <is>
          <t>direto no regulamento</t>
        </is>
      </c>
      <c r="W88" s="74" t="b">
        <v>0</v>
      </c>
      <c r="X88" s="74" t="inlineStr">
        <is>
          <t>Mínimo júnior isolado; a subordinação atual disponível agrega todas as classes subordinadas.</t>
        </is>
      </c>
      <c r="Y88" s="74" t="b">
        <v>0</v>
      </c>
      <c r="Z88" s="140" t="inlineStr">
        <is>
          <t>N/D</t>
        </is>
      </c>
      <c r="AA88" s="140" t="inlineStr">
        <is>
          <t>N/D</t>
        </is>
      </c>
      <c r="AB88" s="74" t="inlineStr">
        <is>
          <t>não medido</t>
        </is>
      </c>
      <c r="AC88" s="74" t="inlineStr">
        <is>
          <t>Fomento Mercantil</t>
        </is>
      </c>
      <c r="AD88" s="74" t="inlineStr">
        <is>
          <t>Fomento Mercantil</t>
        </is>
      </c>
      <c r="AE88" s="74" t="inlineStr">
        <is>
          <t>Factoring</t>
        </is>
      </c>
      <c r="AF88" s="74" t="inlineStr">
        <is>
          <t>Factoring</t>
        </is>
      </c>
      <c r="AG88" s="74" t="inlineStr">
        <is>
          <t>Factoring</t>
        </is>
      </c>
      <c r="AH88" s="74" t="inlineStr">
        <is>
          <t>Factoring</t>
        </is>
      </c>
      <c r="AI88" s="74" t="inlineStr">
        <is>
          <t>N/D</t>
        </is>
      </c>
      <c r="AJ88" s="74" t="b">
        <v>0</v>
      </c>
      <c r="AK88" s="74" t="inlineStr">
        <is>
          <t>fora da revisão Financeiro/Agro</t>
        </is>
      </c>
      <c r="AL88" s="74" t="inlineStr">
        <is>
          <t>N/D</t>
        </is>
      </c>
      <c r="AM88" s="74" t="inlineStr">
        <is>
          <t>N/D</t>
        </is>
      </c>
      <c r="AN88" s="74" t="inlineStr">
        <is>
          <t>N/D</t>
        </is>
      </c>
      <c r="AO88" s="74" t="inlineStr">
        <is>
          <t>N/D</t>
        </is>
      </c>
      <c r="AP88" s="74" t="inlineStr">
        <is>
          <t>N/D</t>
        </is>
      </c>
      <c r="AQ88" s="74" t="inlineStr">
        <is>
          <t>Factoring</t>
        </is>
      </c>
      <c r="AR88" s="74" t="inlineStr">
        <is>
          <t>Factoring</t>
        </is>
      </c>
      <c r="AS88" s="74" t="b">
        <v>0</v>
      </c>
      <c r="AT88" s="74" t="inlineStr">
        <is>
          <t>N/D</t>
        </is>
      </c>
      <c r="AU88" s="74" t="inlineStr">
        <is>
          <t>N/D</t>
        </is>
      </c>
      <c r="AV88" s="74" t="inlineStr">
        <is>
          <t>≥ 60%</t>
        </is>
      </c>
      <c r="AW88" s="74" t="b">
        <v>1</v>
      </c>
      <c r="AX88" s="74" t="inlineStr">
        <is>
          <t>incomparável</t>
        </is>
      </c>
      <c r="AY88" s="74" t="inlineStr">
        <is>
          <t>sem benchmark confiável</t>
        </is>
      </c>
      <c r="AZ88" s="140" t="inlineStr">
        <is>
          <t>N/D</t>
        </is>
      </c>
      <c r="BA88" s="74" t="b">
        <v>0</v>
      </c>
      <c r="BB88" s="141" t="n">
        <v>2</v>
      </c>
      <c r="BC88" s="139" t="n">
        <v>1000000</v>
      </c>
      <c r="BD88" s="74" t="inlineStr">
        <is>
          <t>Cotas Seniores: R$ 1.000.000,00</t>
        </is>
      </c>
      <c r="BE88" s="74" t="inlineStr">
        <is>
          <t>preço/valor unitário de emissão</t>
        </is>
      </c>
      <c r="BF88" s="74" t="inlineStr">
        <is>
          <t>Cotas Seniores</t>
        </is>
      </c>
      <c r="BG88" s="74" t="inlineStr">
        <is>
          <t>06/03/2026</t>
        </is>
      </c>
      <c r="BH88" s="74" t="inlineStr">
        <is>
          <t>1130308</t>
        </is>
      </c>
      <c r="BI88" s="74" t="inlineStr">
        <is>
          <t>https://fnet.bmfbovespa.com.br/fnet/publico/downloadDocumento?id=1130308</t>
        </is>
      </c>
      <c r="BJ88" s="74" t="inlineStr">
        <is>
          <t>localizado documentalmente</t>
        </is>
      </c>
      <c r="BK88" s="74" t="b">
        <v>0</v>
      </c>
      <c r="BL88" s="74" t="inlineStr">
        <is>
          <t>Multicedentes e Multisacados</t>
        </is>
      </c>
      <c r="BM88" s="74" t="inlineStr">
        <is>
          <t>cedente</t>
        </is>
      </c>
      <c r="BN88" s="74" t="inlineStr">
        <is>
          <t>N/D</t>
        </is>
      </c>
      <c r="BO88" s="74" t="inlineStr">
        <is>
          <t>Multicedentes e Multisacados</t>
        </is>
      </c>
      <c r="BP88" s="74" t="inlineStr">
        <is>
          <t>N/D</t>
        </is>
      </c>
      <c r="BQ88" s="74" t="inlineStr">
        <is>
          <t>FIDC Multicedentes &amp; Multisacados</t>
        </is>
      </c>
      <c r="BR88" s="74" t="inlineStr">
        <is>
          <t>cedente: IMG_8707.jpg | tipo_recebivel: IMG_8707.jpg</t>
        </is>
      </c>
      <c r="BS88" s="74" t="inlineStr">
        <is>
          <t>manual_aplicado</t>
        </is>
      </c>
      <c r="BT88" s="74" t="inlineStr">
        <is>
          <t>N/D</t>
        </is>
      </c>
      <c r="BU88" s="74" t="inlineStr">
        <is>
          <t>1130308</t>
        </is>
      </c>
      <c r="BV88" s="74" t="inlineStr">
        <is>
          <t>2026-03-06</t>
        </is>
      </c>
      <c r="BW88" s="74" t="inlineStr">
        <is>
          <t>47</t>
        </is>
      </c>
      <c r="BX88" s="74" t="inlineStr">
        <is>
          <t>revisto — mínimo júnior localizado</t>
        </is>
      </c>
      <c r="BY88" s="74" t="inlineStr">
        <is>
          <t>FundosNet/B3; documento 1130308; referência 2026-03-06; p. 47</t>
        </is>
      </c>
      <c r="BZ88" s="74" t="inlineStr">
        <is>
          <t>Cotas subordinadas júnior / PL, mínimo de 50,0%.</t>
        </is>
      </c>
      <c r="CA88" s="74" t="inlineStr">
        <is>
          <t>originador; sacado/devedor</t>
        </is>
      </c>
      <c r="CB88" s="74" t="inlineStr">
        <is>
          <t>estrutura_incomparavel</t>
        </is>
      </c>
    </row>
    <row r="89" ht="31.5" customHeight="1">
      <c r="A89" s="75" t="n">
        <v>87</v>
      </c>
      <c r="B89" s="142" t="n">
        <v>43193260000133</v>
      </c>
      <c r="C89" s="75" t="inlineStr">
        <is>
          <t>43.193.260/0001-33</t>
        </is>
      </c>
      <c r="D89" s="75" t="inlineStr">
        <is>
          <t>RESIDENCE CLUB FUNDO DE INVESTIMENTO EM DIREITOS CREDITÓRIOS</t>
        </is>
      </c>
      <c r="E89" s="75" t="inlineStr">
        <is>
          <t>RESIDENCE CLUB FIDC</t>
        </is>
      </c>
      <c r="F89" s="75" t="inlineStr">
        <is>
          <t>Carteira 101</t>
        </is>
      </c>
      <c r="G89" s="75" t="inlineStr">
        <is>
          <t>2026-08</t>
        </is>
      </c>
      <c r="H89" s="75" t="inlineStr">
        <is>
          <t>localizado</t>
        </is>
      </c>
      <c r="I89" s="143" t="n">
        <v>395747815.23</v>
      </c>
      <c r="J89" s="143" t="n">
        <v>395747815.2319025</v>
      </c>
      <c r="K89" s="143" t="n">
        <v>267722134.2486351</v>
      </c>
      <c r="L89" s="144" t="n">
        <v>0.6764968091941097</v>
      </c>
      <c r="M89" s="75" t="inlineStr">
        <is>
          <t>Calculado com classes reportadas e PL oficial reconciliado</t>
        </is>
      </c>
      <c r="N89" s="144" t="inlineStr">
        <is>
          <t>N/D</t>
        </is>
      </c>
      <c r="O89" s="144" t="n">
        <v>0.15</v>
      </c>
      <c r="P89" s="144" t="inlineStr">
        <is>
          <t>N/D</t>
        </is>
      </c>
      <c r="Q89" s="144" t="n">
        <v>0.5</v>
      </c>
      <c r="R89" s="144" t="inlineStr">
        <is>
          <t>N/D</t>
        </is>
      </c>
      <c r="S89" s="144" t="n">
        <v>0.5</v>
      </c>
      <c r="T89" s="75" t="inlineStr">
        <is>
          <t>50,0%*</t>
        </is>
      </c>
      <c r="U89" s="75" t="inlineStr">
        <is>
          <t>junior_pl_calculado</t>
        </is>
      </c>
      <c r="V89" s="75" t="inlineStr">
        <is>
          <t>calculado: 50,0% × 30,0%</t>
        </is>
      </c>
      <c r="W89" s="75" t="b">
        <v>0</v>
      </c>
      <c r="X89" s="75" t="inlineStr">
        <is>
          <t>Mínimo júnior isolado; a subordinação atual disponível agrega mais de uma classe subordinada ou usa denominador distinto.</t>
        </is>
      </c>
      <c r="Y89" s="75" t="b">
        <v>1</v>
      </c>
      <c r="Z89" s="144" t="inlineStr">
        <is>
          <t>N/D</t>
        </is>
      </c>
      <c r="AA89" s="144" t="inlineStr">
        <is>
          <t>N/D</t>
        </is>
      </c>
      <c r="AB89" s="75" t="inlineStr">
        <is>
          <t>não medido</t>
        </is>
      </c>
      <c r="AC89" s="75" t="inlineStr">
        <is>
          <t>Financeiro</t>
        </is>
      </c>
      <c r="AD89" s="75" t="inlineStr">
        <is>
          <t>Crédito Imobiliário</t>
        </is>
      </c>
      <c r="AE89" s="75" t="inlineStr">
        <is>
          <t>Financeiro</t>
        </is>
      </c>
      <c r="AF89" s="75" t="inlineStr">
        <is>
          <t>Financeiro</t>
        </is>
      </c>
      <c r="AG89" s="75" t="inlineStr">
        <is>
          <t>Financeiro</t>
        </is>
      </c>
      <c r="AH89" s="75" t="inlineStr">
        <is>
          <t>Financeiro</t>
        </is>
      </c>
      <c r="AI89" s="75" t="inlineStr">
        <is>
          <t>Tipo de crédito não isolado</t>
        </is>
      </c>
      <c r="AJ89" s="75" t="b">
        <v>0</v>
      </c>
      <c r="AK89" s="75" t="inlineStr">
        <is>
          <t>PENDENTE_DOCUMENTAL</t>
        </is>
      </c>
      <c r="AL89" s="75" t="inlineStr">
        <is>
          <t>Somente VCI foi identificada</t>
        </is>
      </c>
      <c r="AM89" s="75" t="inlineStr">
        <is>
          <t>IMG_8707 + regulamento 1044387</t>
        </is>
      </c>
      <c r="AN89" s="75" t="inlineStr">
        <is>
          <t>Pendente</t>
        </is>
      </c>
      <c r="AO89" s="75" t="inlineStr">
        <is>
          <t>IMG_8707 + regulamento 1044387</t>
        </is>
      </c>
      <c r="AP89" s="75" t="inlineStr">
        <is>
          <t>N/D</t>
        </is>
      </c>
      <c r="AQ89" s="75" t="inlineStr">
        <is>
          <t>Financeiro</t>
        </is>
      </c>
      <c r="AR89" s="75" t="inlineStr">
        <is>
          <t>Financeiro</t>
        </is>
      </c>
      <c r="AS89" s="75" t="b">
        <v>0</v>
      </c>
      <c r="AT89" s="75" t="inlineStr">
        <is>
          <t>N/D</t>
        </is>
      </c>
      <c r="AU89" s="75" t="inlineStr">
        <is>
          <t>N/D</t>
        </is>
      </c>
      <c r="AV89" s="75" t="inlineStr">
        <is>
          <t>≥ 60%</t>
        </is>
      </c>
      <c r="AW89" s="75" t="b">
        <v>1</v>
      </c>
      <c r="AX89" s="75" t="inlineStr">
        <is>
          <t>incomparável</t>
        </is>
      </c>
      <c r="AY89" s="75" t="inlineStr">
        <is>
          <t>acima do mercado</t>
        </is>
      </c>
      <c r="AZ89" s="144" t="n">
        <v>0.3703030284976255</v>
      </c>
      <c r="BA89" s="75" t="b">
        <v>1</v>
      </c>
      <c r="BB89" s="145" t="n">
        <v>12</v>
      </c>
      <c r="BC89" s="143" t="n">
        <v>1000</v>
      </c>
      <c r="BD89" s="75" t="inlineStr">
        <is>
          <t>Cotas Seniores: R$ 1.000,00</t>
        </is>
      </c>
      <c r="BE89" s="75" t="inlineStr">
        <is>
          <t>valor nominal unitário (VNU)</t>
        </is>
      </c>
      <c r="BF89" s="75" t="inlineStr">
        <is>
          <t>Cotas Seniores</t>
        </is>
      </c>
      <c r="BG89" s="75" t="inlineStr">
        <is>
          <t>29/05/2023</t>
        </is>
      </c>
      <c r="BH89" s="75" t="inlineStr">
        <is>
          <t>470871</t>
        </is>
      </c>
      <c r="BI89" s="75" t="inlineStr">
        <is>
          <t>https://fnet.bmfbovespa.com.br/fnet/publico/downloadDocumento?id=470871</t>
        </is>
      </c>
      <c r="BJ89" s="75" t="inlineStr">
        <is>
          <t>localizado documentalmente</t>
        </is>
      </c>
      <c r="BK89" s="75" t="b">
        <v>0</v>
      </c>
      <c r="BL89" s="75" t="inlineStr">
        <is>
          <t>VCI</t>
        </is>
      </c>
      <c r="BM89" s="75" t="inlineStr">
        <is>
          <t>cedente</t>
        </is>
      </c>
      <c r="BN89" s="75" t="inlineStr">
        <is>
          <t>N/D</t>
        </is>
      </c>
      <c r="BO89" s="75" t="inlineStr">
        <is>
          <t>VCI</t>
        </is>
      </c>
      <c r="BP89" s="75" t="inlineStr">
        <is>
          <t>N/D</t>
        </is>
      </c>
      <c r="BQ89" s="75" t="inlineStr">
        <is>
          <t>N/D</t>
        </is>
      </c>
      <c r="BR89" s="75" t="inlineStr">
        <is>
          <t>cedente: IMG_8707.jpg</t>
        </is>
      </c>
      <c r="BS89" s="75" t="inlineStr">
        <is>
          <t>manual_aplicado</t>
        </is>
      </c>
      <c r="BT89" s="75" t="inlineStr">
        <is>
          <t>OBS aparece apenas como FIDC de receb... e foi excluída da transcrição estruturada.</t>
        </is>
      </c>
      <c r="BU89" s="75" t="inlineStr">
        <is>
          <t>1044387</t>
        </is>
      </c>
      <c r="BV89" s="75" t="inlineStr">
        <is>
          <t>2025-11-17</t>
        </is>
      </c>
      <c r="BW89" s="75" t="inlineStr">
        <is>
          <t>26</t>
        </is>
      </c>
      <c r="BX89" s="75" t="inlineStr">
        <is>
          <t>revisto — mínimo júnior localizado</t>
        </is>
      </c>
      <c r="BY89" s="75" t="inlineStr">
        <is>
          <t>FundosNet/B3; documento 1044387; referência 2025-11-17; p. 26</t>
        </is>
      </c>
      <c r="BZ89" s="75" t="inlineStr">
        <is>
          <t>Mínimo júnior calculado: subordinadas = 50,0% do PL e júnior = 30,0% das subordinadas.</t>
        </is>
      </c>
      <c r="CA89" s="75" t="inlineStr">
        <is>
          <t>originador; sacado/devedor; tipo de recebível</t>
        </is>
      </c>
      <c r="CB89" s="75" t="inlineStr">
        <is>
          <t>estrutura_incomparavel</t>
        </is>
      </c>
    </row>
    <row r="90" ht="31.5" customHeight="1">
      <c r="A90" s="74" t="n">
        <v>88</v>
      </c>
      <c r="B90" s="138" t="n">
        <v>58152340000118</v>
      </c>
      <c r="C90" s="74" t="inlineStr">
        <is>
          <t>58.152.340/0001-18</t>
        </is>
      </c>
      <c r="D90" s="74" t="inlineStr">
        <is>
          <t>MAREE II FUNDO DE INVESTIMENTO EM DIREITOS CREDITÓRIOS SEGMENTO FINANCEIRO - RESPONSABILIDADE LTDA</t>
        </is>
      </c>
      <c r="E90" s="74" t="inlineStr">
        <is>
          <t>MONEE II FUNDO DE INVESTIMENTO</t>
        </is>
      </c>
      <c r="F90" s="74" t="inlineStr">
        <is>
          <t>Carteira 101</t>
        </is>
      </c>
      <c r="G90" s="74" t="inlineStr">
        <is>
          <t>2026-08</t>
        </is>
      </c>
      <c r="H90" s="74" t="inlineStr">
        <is>
          <t>localizado</t>
        </is>
      </c>
      <c r="I90" s="139" t="n">
        <v>495258391.26</v>
      </c>
      <c r="J90" s="139" t="n">
        <v>495258391.2595997</v>
      </c>
      <c r="K90" s="139" t="n">
        <v>244134654.2545997</v>
      </c>
      <c r="L90" s="140" t="n">
        <v>0.4929440037017652</v>
      </c>
      <c r="M90" s="74" t="inlineStr">
        <is>
          <t>Calculado com classes reportadas e PL oficial reconciliado</t>
        </is>
      </c>
      <c r="N90" s="140" t="n">
        <v>0.3</v>
      </c>
      <c r="O90" s="140" t="inlineStr">
        <is>
          <t>N/D</t>
        </is>
      </c>
      <c r="P90" s="140" t="inlineStr">
        <is>
          <t>N/D</t>
        </is>
      </c>
      <c r="Q90" s="140" t="n">
        <v>0.3</v>
      </c>
      <c r="R90" s="140" t="inlineStr">
        <is>
          <t>N/D</t>
        </is>
      </c>
      <c r="S90" s="140" t="n">
        <v>0.3</v>
      </c>
      <c r="T90" s="74" t="inlineStr">
        <is>
          <t>30,0%</t>
        </is>
      </c>
      <c r="U90" s="74" t="inlineStr">
        <is>
          <t>junior_pl</t>
        </is>
      </c>
      <c r="V90" s="74" t="inlineStr">
        <is>
          <t>direto no regulamento</t>
        </is>
      </c>
      <c r="W90" s="74" t="b">
        <v>1</v>
      </c>
      <c r="X90" s="74" t="inlineStr">
        <is>
          <t>Estrutura com uma única classe subordinada; métrica atual e piso usam o total subordinado sobre o PL.</t>
        </is>
      </c>
      <c r="Y90" s="74" t="b">
        <v>0</v>
      </c>
      <c r="Z90" s="140" t="n">
        <v>0.1929440037017652</v>
      </c>
      <c r="AA90" s="140" t="n">
        <v>0.2756342910025217</v>
      </c>
      <c r="AB90" s="74" t="inlineStr">
        <is>
          <t>acima do mínimo</t>
        </is>
      </c>
      <c r="AC90" s="74" t="inlineStr">
        <is>
          <t>Financeiro</t>
        </is>
      </c>
      <c r="AD90" s="74" t="inlineStr">
        <is>
          <t>Crédito Pessoal</t>
        </is>
      </c>
      <c r="AE90" s="74" t="inlineStr">
        <is>
          <t>Financeiro</t>
        </is>
      </c>
      <c r="AF90" s="74" t="inlineStr">
        <is>
          <t>Financeiro</t>
        </is>
      </c>
      <c r="AG90" s="74" t="inlineStr">
        <is>
          <t>Financeiro</t>
        </is>
      </c>
      <c r="AH90" s="74" t="inlineStr">
        <is>
          <t>Financeiro</t>
        </is>
      </c>
      <c r="AI90" s="74" t="inlineStr">
        <is>
          <t>Empréstimos Monee SCD, CCBs</t>
        </is>
      </c>
      <c r="AJ90" s="74" t="b">
        <v>0</v>
      </c>
      <c r="AK90" s="74" t="inlineStr">
        <is>
          <t>MANTER_ALTA</t>
        </is>
      </c>
      <c r="AL90" s="74" t="inlineStr">
        <is>
          <t>CCBs originadas em empréstimos da Monee SCD</t>
        </is>
      </c>
      <c r="AM90" s="74" t="inlineStr">
        <is>
          <t>regulamento 1191019, 117 páginas</t>
        </is>
      </c>
      <c r="AN90" s="74" t="inlineStr">
        <is>
          <t>Não</t>
        </is>
      </c>
      <c r="AO90" s="74" t="inlineStr">
        <is>
          <t>regulamento 1191019, 117 páginas</t>
        </is>
      </c>
      <c r="AP90" s="74" t="b">
        <v>0</v>
      </c>
      <c r="AQ90" s="74" t="inlineStr">
        <is>
          <t>Financeiro</t>
        </is>
      </c>
      <c r="AR90" s="74" t="inlineStr">
        <is>
          <t>Financeiro</t>
        </is>
      </c>
      <c r="AS90" s="74" t="b">
        <v>0</v>
      </c>
      <c r="AT90" s="74" t="inlineStr">
        <is>
          <t>N/D</t>
        </is>
      </c>
      <c r="AU90" s="74" t="inlineStr">
        <is>
          <t>N/D</t>
        </is>
      </c>
      <c r="AV90" s="74" t="inlineStr">
        <is>
          <t>35%–60%</t>
        </is>
      </c>
      <c r="AW90" s="74" t="b">
        <v>1</v>
      </c>
      <c r="AX90" s="74" t="inlineStr">
        <is>
          <t>acima do piso</t>
        </is>
      </c>
      <c r="AY90" s="74" t="inlineStr">
        <is>
          <t>acima do mercado</t>
        </is>
      </c>
      <c r="AZ90" s="140" t="n">
        <v>0.186750223005281</v>
      </c>
      <c r="BA90" s="74" t="b">
        <v>1</v>
      </c>
      <c r="BB90" s="141" t="n">
        <v>12</v>
      </c>
      <c r="BC90" s="139" t="inlineStr">
        <is>
          <t>N/D</t>
        </is>
      </c>
      <c r="BD90" s="74" t="inlineStr">
        <is>
          <t>N/D</t>
        </is>
      </c>
      <c r="BE90" s="74" t="inlineStr">
        <is>
          <t>N/D</t>
        </is>
      </c>
      <c r="BF90" s="74" t="inlineStr">
        <is>
          <t>N/D</t>
        </is>
      </c>
      <c r="BG90" s="74" t="inlineStr">
        <is>
          <t>N/D</t>
        </is>
      </c>
      <c r="BH90" s="74" t="inlineStr">
        <is>
          <t>N/D</t>
        </is>
      </c>
      <c r="BI90" s="74" t="inlineStr">
        <is>
          <t>N/D</t>
        </is>
      </c>
      <c r="BJ90" s="74" t="inlineStr">
        <is>
          <t>não localizado</t>
        </is>
      </c>
      <c r="BK90" s="74" t="b">
        <v>0</v>
      </c>
      <c r="BL90" s="74" t="inlineStr">
        <is>
          <t>SHPP IP</t>
        </is>
      </c>
      <c r="BM90" s="74" t="inlineStr">
        <is>
          <t>cedente</t>
        </is>
      </c>
      <c r="BN90" s="74" t="inlineStr">
        <is>
          <t>N/D</t>
        </is>
      </c>
      <c r="BO90" s="74" t="inlineStr">
        <is>
          <t>SHPP IP</t>
        </is>
      </c>
      <c r="BP90" s="74" t="inlineStr">
        <is>
          <t>N/D</t>
        </is>
      </c>
      <c r="BQ90" s="74" t="inlineStr">
        <is>
          <t>N/D</t>
        </is>
      </c>
      <c r="BR90" s="74" t="inlineStr">
        <is>
          <t>cedente: IMG_8707.jpg</t>
        </is>
      </c>
      <c r="BS90" s="74" t="inlineStr">
        <is>
          <t>manual_aplicado</t>
        </is>
      </c>
      <c r="BT90" s="74" t="inlineStr">
        <is>
          <t>Denominação cortada pela largura da coluna na foto.</t>
        </is>
      </c>
      <c r="BU90" s="74" t="inlineStr">
        <is>
          <t>1191019</t>
        </is>
      </c>
      <c r="BV90" s="74" t="inlineStr">
        <is>
          <t>2026-05-14</t>
        </is>
      </c>
      <c r="BW90" s="74" t="inlineStr">
        <is>
          <t>105</t>
        </is>
      </c>
      <c r="BX90" s="74" t="inlineStr">
        <is>
          <t>revisto — mínimo júnior localizado</t>
        </is>
      </c>
      <c r="BY90" s="74" t="inlineStr">
        <is>
          <t>FundosNet/B3; documento 1191019; referência 2026-05-14; p. 105</t>
        </is>
      </c>
      <c r="BZ90" s="74" t="inlineStr">
        <is>
          <t>Cotas subordinadas / PL, mínimo de 30,0%; estrutura com uma única classe residual.</t>
        </is>
      </c>
      <c r="CA90" s="74" t="inlineStr">
        <is>
          <t>preço unitário da cota; originador; sacado/devedor; tipo de recebível</t>
        </is>
      </c>
      <c r="CB90" s="74" t="inlineStr">
        <is>
          <t>completo_para_folga</t>
        </is>
      </c>
    </row>
    <row r="91" ht="31.5" customHeight="1">
      <c r="A91" s="75" t="n">
        <v>89</v>
      </c>
      <c r="B91" s="142" t="n">
        <v>52340225000190</v>
      </c>
      <c r="C91" s="75" t="inlineStr">
        <is>
          <t>52.340.225/0001-90</t>
        </is>
      </c>
      <c r="D91" s="75" t="inlineStr">
        <is>
          <t>INOVA CREDTECH III FIDC SEGMENTO MULTICARTEIRA DE RESPONSABILIDADE LIMITADA</t>
        </is>
      </c>
      <c r="E91" s="75" t="inlineStr">
        <is>
          <t>INOVA CREDTECH III FUNDO DE INVESTIMENTO</t>
        </is>
      </c>
      <c r="F91" s="75" t="inlineStr">
        <is>
          <t>Carteira 101</t>
        </is>
      </c>
      <c r="G91" s="75" t="inlineStr">
        <is>
          <t>2026-08</t>
        </is>
      </c>
      <c r="H91" s="75" t="inlineStr">
        <is>
          <t>localizado</t>
        </is>
      </c>
      <c r="I91" s="143" t="n">
        <v>90733937.2</v>
      </c>
      <c r="J91" s="143" t="n">
        <v>90733937.19976635</v>
      </c>
      <c r="K91" s="143" t="n">
        <v>18197819.59999143</v>
      </c>
      <c r="L91" s="144" t="n">
        <v>0.2005624374028755</v>
      </c>
      <c r="M91" s="75" t="inlineStr">
        <is>
          <t>Calculado com classes reportadas e PL oficial reconciliado</t>
        </is>
      </c>
      <c r="N91" s="144" t="n">
        <v>0.075</v>
      </c>
      <c r="O91" s="144" t="inlineStr">
        <is>
          <t>N/D</t>
        </is>
      </c>
      <c r="P91" s="144" t="inlineStr">
        <is>
          <t>N/D</t>
        </is>
      </c>
      <c r="Q91" s="144" t="inlineStr">
        <is>
          <t>N/D</t>
        </is>
      </c>
      <c r="R91" s="144" t="inlineStr">
        <is>
          <t>N/D</t>
        </is>
      </c>
      <c r="S91" s="144" t="n">
        <v>0.075</v>
      </c>
      <c r="T91" s="75" t="inlineStr">
        <is>
          <t>N/D</t>
        </is>
      </c>
      <c r="U91" s="75" t="inlineStr">
        <is>
          <t>junior_pl</t>
        </is>
      </c>
      <c r="V91" s="75" t="inlineStr">
        <is>
          <t>direto no regulamento</t>
        </is>
      </c>
      <c r="W91" s="75" t="b">
        <v>0</v>
      </c>
      <c r="X91" s="75" t="inlineStr">
        <is>
          <t>Mínimo júnior isolado; a subordinação atual disponível agrega todas as classes subordinadas.</t>
        </is>
      </c>
      <c r="Y91" s="75" t="b">
        <v>0</v>
      </c>
      <c r="Z91" s="144" t="inlineStr">
        <is>
          <t>N/D</t>
        </is>
      </c>
      <c r="AA91" s="144" t="inlineStr">
        <is>
          <t>N/D</t>
        </is>
      </c>
      <c r="AB91" s="75" t="inlineStr">
        <is>
          <t>não medido</t>
        </is>
      </c>
      <c r="AC91" s="75" t="inlineStr">
        <is>
          <t>Agro, Indústria e Comércio</t>
        </is>
      </c>
      <c r="AD91" s="75" t="inlineStr">
        <is>
          <t>Multicarteira Agro, Indústria e Comércio</t>
        </is>
      </c>
      <c r="AE91" s="75" t="inlineStr">
        <is>
          <t>Agro / Revenda</t>
        </is>
      </c>
      <c r="AF91" s="75" t="inlineStr">
        <is>
          <t>Agro / Revenda</t>
        </is>
      </c>
      <c r="AG91" s="75" t="inlineStr">
        <is>
          <t>Agro / Revenda</t>
        </is>
      </c>
      <c r="AH91" s="75" t="inlineStr">
        <is>
          <t>Risco Corporativo</t>
        </is>
      </c>
      <c r="AI91" s="75" t="inlineStr">
        <is>
          <t>Duplicatas, notas comerciais e CCBs corporativas</t>
        </is>
      </c>
      <c r="AJ91" s="75" t="b">
        <v>1</v>
      </c>
      <c r="AK91" s="75" t="inlineStr">
        <is>
          <t>APLICAR_ALTA</t>
        </is>
      </c>
      <c r="AL91" s="75" t="inlineStr">
        <is>
          <t>Instrumentos corporativos explícitos, com originadora e porte ainda ausentes</t>
        </is>
      </c>
      <c r="AM91" s="75" t="inlineStr">
        <is>
          <t>regulamento 1171206</t>
        </is>
      </c>
      <c r="AN91" s="75" t="inlineStr">
        <is>
          <t>Candidato</t>
        </is>
      </c>
      <c r="AO91" s="75" t="inlineStr">
        <is>
          <t>regulamento 1171206</t>
        </is>
      </c>
      <c r="AP91" s="75" t="inlineStr">
        <is>
          <t>N/D</t>
        </is>
      </c>
      <c r="AQ91" s="75" t="inlineStr">
        <is>
          <t>Risco Corporativo</t>
        </is>
      </c>
      <c r="AR91" s="75" t="inlineStr">
        <is>
          <t>Agro / Revenda</t>
        </is>
      </c>
      <c r="AS91" s="75" t="b">
        <v>1</v>
      </c>
      <c r="AT91" s="75" t="inlineStr">
        <is>
          <t>regulamento 1171206</t>
        </is>
      </c>
      <c r="AU91" s="75" t="inlineStr">
        <is>
          <t>Instrumentos corporativos explícitos, com originadora e porte ainda ausentes</t>
        </is>
      </c>
      <c r="AV91" s="75" t="inlineStr">
        <is>
          <t>20%–35%</t>
        </is>
      </c>
      <c r="AW91" s="75" t="b">
        <v>1</v>
      </c>
      <c r="AX91" s="75" t="inlineStr">
        <is>
          <t>incomparável</t>
        </is>
      </c>
      <c r="AY91" s="75" t="inlineStr">
        <is>
          <t>sem benchmark confiável</t>
        </is>
      </c>
      <c r="AZ91" s="144" t="inlineStr">
        <is>
          <t>N/D</t>
        </is>
      </c>
      <c r="BA91" s="75" t="b">
        <v>0</v>
      </c>
      <c r="BB91" s="145" t="n">
        <v>0</v>
      </c>
      <c r="BC91" s="143" t="n">
        <v>1000</v>
      </c>
      <c r="BD91" s="75" t="inlineStr">
        <is>
          <t>R$ 1.000,00</t>
        </is>
      </c>
      <c r="BE91" s="75" t="inlineStr">
        <is>
          <t>preço/valor unitário de emissão</t>
        </is>
      </c>
      <c r="BF91" s="75" t="inlineStr">
        <is>
          <t>N/D</t>
        </is>
      </c>
      <c r="BG91" s="75" t="inlineStr">
        <is>
          <t>30/09/2025</t>
        </is>
      </c>
      <c r="BH91" s="75" t="inlineStr">
        <is>
          <t>1010103</t>
        </is>
      </c>
      <c r="BI91" s="75" t="inlineStr">
        <is>
          <t>https://fnet.bmfbovespa.com.br/fnet/publico/downloadDocumento?id=1010103</t>
        </is>
      </c>
      <c r="BJ91" s="75" t="inlineStr">
        <is>
          <t>localizado documentalmente</t>
        </is>
      </c>
      <c r="BK91" s="75" t="b">
        <v>1</v>
      </c>
      <c r="BL91" s="75" t="inlineStr">
        <is>
          <t>N/D</t>
        </is>
      </c>
      <c r="BM91" s="75" t="inlineStr">
        <is>
          <t>N/D</t>
        </is>
      </c>
      <c r="BN91" s="75" t="inlineStr">
        <is>
          <t>N/D</t>
        </is>
      </c>
      <c r="BO91" s="75" t="inlineStr">
        <is>
          <t>N/D</t>
        </is>
      </c>
      <c r="BP91" s="75" t="inlineStr">
        <is>
          <t>o devedor dos Direitos Creditórios Adquiridos</t>
        </is>
      </c>
      <c r="BQ91" s="75" t="inlineStr">
        <is>
          <t>os direitos creditórios originados pela Originadora e devidos pelos Devedores, os quais podem ser formalizados por Duplicatas, Notas Comerciais ou CCBs</t>
        </is>
      </c>
      <c r="BR91" s="75" t="inlineStr">
        <is>
          <t>sacado_devedor: https://fnet.bmfbovespa.com.br/fnet/publico/downloadDocumento?id=1171206 | tipo_recebivel: https://fnet.bmfbovespa.com.br/fnet/publico/downloadDocumento?id=1171206</t>
        </is>
      </c>
      <c r="BS91" s="75" t="inlineStr">
        <is>
          <t>sem_overlay</t>
        </is>
      </c>
      <c r="BT91" s="75" t="inlineStr">
        <is>
          <t>N/D</t>
        </is>
      </c>
      <c r="BU91" s="75" t="inlineStr">
        <is>
          <t>1171206</t>
        </is>
      </c>
      <c r="BV91" s="75" t="inlineStr">
        <is>
          <t>2026-03-25</t>
        </is>
      </c>
      <c r="BW91" s="75" t="inlineStr">
        <is>
          <t>77</t>
        </is>
      </c>
      <c r="BX91" s="75" t="inlineStr">
        <is>
          <t>revisto — mínimo júnior localizado</t>
        </is>
      </c>
      <c r="BY91" s="75" t="inlineStr">
        <is>
          <t>FundosNet/B3; documento 1171206; referência 2026-03-25; p. 77</t>
        </is>
      </c>
      <c r="BZ91" s="75" t="inlineStr">
        <is>
          <t>Índice de Subordinação Mezanino B: cotas júnior / PL, mínimo de 7,5%.</t>
        </is>
      </c>
      <c r="CA91" s="75" t="inlineStr">
        <is>
          <t>originador; cedente</t>
        </is>
      </c>
      <c r="CB91" s="75" t="inlineStr">
        <is>
          <t>estrutura_incomparavel</t>
        </is>
      </c>
    </row>
    <row r="92" ht="31.5" customHeight="1">
      <c r="A92" s="74" t="n">
        <v>90</v>
      </c>
      <c r="B92" s="138" t="n">
        <v>63546406000194</v>
      </c>
      <c r="C92" s="74" t="inlineStr">
        <is>
          <t>63.546.406/0001-94</t>
        </is>
      </c>
      <c r="D92" s="74" t="inlineStr">
        <is>
          <t>PINE INSS III FUNDO DE INVESTIMENTO EM DIREITOS CREDITÓRIOS RESPONSABILIDADE LIMITADA</t>
        </is>
      </c>
      <c r="E92" s="74" t="inlineStr">
        <is>
          <t>PINE INSS III FUNDO DE INVESTIMENTO EM DIREITOS CREDITORIOS RESPONSABILIDADE</t>
        </is>
      </c>
      <c r="F92" s="74" t="inlineStr">
        <is>
          <t>Carteira 101</t>
        </is>
      </c>
      <c r="G92" s="74" t="inlineStr">
        <is>
          <t>2026-08</t>
        </is>
      </c>
      <c r="H92" s="74" t="inlineStr">
        <is>
          <t>localizado</t>
        </is>
      </c>
      <c r="I92" s="139" t="n">
        <v>1114518773.65</v>
      </c>
      <c r="J92" s="139" t="n">
        <v>1114518773.6475</v>
      </c>
      <c r="K92" s="139" t="n">
        <v>175077833.4301875</v>
      </c>
      <c r="L92" s="140" t="n">
        <v>0.1570882766351394</v>
      </c>
      <c r="M92" s="74" t="inlineStr">
        <is>
          <t>Calculado com classes reportadas e PL oficial reconciliado</t>
        </is>
      </c>
      <c r="N92" s="140" t="n">
        <v>0.015</v>
      </c>
      <c r="O92" s="140" t="inlineStr">
        <is>
          <t>N/D</t>
        </is>
      </c>
      <c r="P92" s="140" t="inlineStr">
        <is>
          <t>N/D</t>
        </is>
      </c>
      <c r="Q92" s="140" t="inlineStr">
        <is>
          <t>N/D</t>
        </is>
      </c>
      <c r="R92" s="140" t="inlineStr">
        <is>
          <t>N/D</t>
        </is>
      </c>
      <c r="S92" s="140" t="n">
        <v>0.015</v>
      </c>
      <c r="T92" s="74" t="inlineStr">
        <is>
          <t>N/D</t>
        </is>
      </c>
      <c r="U92" s="74" t="inlineStr">
        <is>
          <t>junior_pl</t>
        </is>
      </c>
      <c r="V92" s="74" t="inlineStr">
        <is>
          <t>direto no regulamento</t>
        </is>
      </c>
      <c r="W92" s="74" t="b">
        <v>0</v>
      </c>
      <c r="X92" s="74" t="inlineStr">
        <is>
          <t>Mínimo júnior isolado; a subordinação atual disponível agrega todas as classes subordinadas.</t>
        </is>
      </c>
      <c r="Y92" s="74" t="b">
        <v>0</v>
      </c>
      <c r="Z92" s="140" t="inlineStr">
        <is>
          <t>N/D</t>
        </is>
      </c>
      <c r="AA92" s="140" t="inlineStr">
        <is>
          <t>N/D</t>
        </is>
      </c>
      <c r="AB92" s="74" t="inlineStr">
        <is>
          <t>não medido</t>
        </is>
      </c>
      <c r="AC92" s="74" t="inlineStr">
        <is>
          <t>Financeiro</t>
        </is>
      </c>
      <c r="AD92" s="74" t="inlineStr">
        <is>
          <t>Multicarteira Financeiro</t>
        </is>
      </c>
      <c r="AE92" s="74" t="inlineStr">
        <is>
          <t>Consignado INSS</t>
        </is>
      </c>
      <c r="AF92" s="74" t="inlineStr">
        <is>
          <t>Consignado INSS</t>
        </is>
      </c>
      <c r="AG92" s="74" t="inlineStr">
        <is>
          <t>Consignado INSS e FGTS</t>
        </is>
      </c>
      <c r="AH92" s="74" t="inlineStr">
        <is>
          <t>Consignado INSS e FGTS</t>
        </is>
      </c>
      <c r="AI92" s="74" t="inlineStr">
        <is>
          <t>N/D</t>
        </is>
      </c>
      <c r="AJ92" s="74" t="b">
        <v>0</v>
      </c>
      <c r="AK92" s="74" t="inlineStr">
        <is>
          <t>fora da revisão Financeiro/Agro</t>
        </is>
      </c>
      <c r="AL92" s="74" t="inlineStr">
        <is>
          <t>N/D</t>
        </is>
      </c>
      <c r="AM92" s="74" t="inlineStr">
        <is>
          <t>N/D</t>
        </is>
      </c>
      <c r="AN92" s="74" t="inlineStr">
        <is>
          <t>N/D</t>
        </is>
      </c>
      <c r="AO92" s="74" t="inlineStr">
        <is>
          <t>N/D</t>
        </is>
      </c>
      <c r="AP92" s="74" t="inlineStr">
        <is>
          <t>N/D</t>
        </is>
      </c>
      <c r="AQ92" s="74" t="inlineStr">
        <is>
          <t>Consignado INSS e FGTS</t>
        </is>
      </c>
      <c r="AR92" s="74" t="inlineStr">
        <is>
          <t>Consignado INSS e FGTS</t>
        </is>
      </c>
      <c r="AS92" s="74" t="b">
        <v>0</v>
      </c>
      <c r="AT92" s="74" t="inlineStr">
        <is>
          <t>N/D</t>
        </is>
      </c>
      <c r="AU92" s="74" t="inlineStr">
        <is>
          <t>N/D</t>
        </is>
      </c>
      <c r="AV92" s="74" t="inlineStr">
        <is>
          <t>15%–20%</t>
        </is>
      </c>
      <c r="AW92" s="74" t="b">
        <v>1</v>
      </c>
      <c r="AX92" s="74" t="inlineStr">
        <is>
          <t>incomparável</t>
        </is>
      </c>
      <c r="AY92" s="74" t="inlineStr">
        <is>
          <t>em linha com o mercado</t>
        </is>
      </c>
      <c r="AZ92" s="140" t="n">
        <v>-0.002801605328526607</v>
      </c>
      <c r="BA92" s="74" t="b">
        <v>1</v>
      </c>
      <c r="BB92" s="141" t="n">
        <v>5</v>
      </c>
      <c r="BC92" s="139" t="n">
        <v>1000</v>
      </c>
      <c r="BD92" s="74" t="inlineStr">
        <is>
          <t>R$ 1.000,00 | cotas seniores: R$ 1.000,00 | cotas subordinadas júnior: R$ 1.000,00 | cotas subordinadas mezanino: R$ 1.000,00</t>
        </is>
      </c>
      <c r="BE92" s="74" t="inlineStr">
        <is>
          <t>preço/valor unitário de emissão | valor nominal unitário (VNU)</t>
        </is>
      </c>
      <c r="BF92" s="74" t="inlineStr">
        <is>
          <t>cotas seniores | cotas subordinadas júnior | cotas subordinadas mezanino</t>
        </is>
      </c>
      <c r="BG92" s="74" t="inlineStr">
        <is>
          <t>2026-03-05</t>
        </is>
      </c>
      <c r="BH92" s="74" t="inlineStr">
        <is>
          <t>1130481 | 1130478</t>
        </is>
      </c>
      <c r="BI92" s="74" t="inlineStr">
        <is>
          <t>https://fnet.bmfbovespa.com.br/fnet/publico/downloadDocumento?id=1130481 | https://fnet.bmfbovespa.com.br/fnet/publico/downloadDocumento?id=1130478</t>
        </is>
      </c>
      <c r="BJ92" s="74" t="inlineStr">
        <is>
          <t>localizado documentalmente — múltiplos valores/classes</t>
        </is>
      </c>
      <c r="BK92" s="74" t="b">
        <v>1</v>
      </c>
      <c r="BL92" s="74" t="inlineStr">
        <is>
          <t>N/D</t>
        </is>
      </c>
      <c r="BM92" s="74" t="inlineStr">
        <is>
          <t>N/D</t>
        </is>
      </c>
      <c r="BN92" s="74" t="inlineStr">
        <is>
          <t>N/D</t>
        </is>
      </c>
      <c r="BO92" s="74" t="inlineStr">
        <is>
          <t>o Banco Pine, conforme o caso;</t>
        </is>
      </c>
      <c r="BP92" s="74" t="inlineStr">
        <is>
          <t>os devedores das CCBs relativas aos Direitos Creditórios;</t>
        </is>
      </c>
      <c r="BQ92" s="74" t="inlineStr">
        <is>
          <t>N/D</t>
        </is>
      </c>
      <c r="BR92" s="74" t="inlineStr">
        <is>
          <t>cedente: https://fnet.bmfbovespa.com.br/fnet/publico/downloadDocumento?id=1130481 | sacado_devedor: https://fnet.bmfbovespa.com.br/fnet/publico/downloadDocumento?id=1130481</t>
        </is>
      </c>
      <c r="BS92" s="74" t="inlineStr">
        <is>
          <t>sem_overlay</t>
        </is>
      </c>
      <c r="BT92" s="74" t="inlineStr">
        <is>
          <t>N/D</t>
        </is>
      </c>
      <c r="BU92" s="74" t="inlineStr">
        <is>
          <t>1130481</t>
        </is>
      </c>
      <c r="BV92" s="74" t="inlineStr">
        <is>
          <t>2026-03-05</t>
        </is>
      </c>
      <c r="BW92" s="74" t="inlineStr">
        <is>
          <t>142</t>
        </is>
      </c>
      <c r="BX92" s="74" t="inlineStr">
        <is>
          <t>revisto — mínimo júnior localizado</t>
        </is>
      </c>
      <c r="BY92" s="74" t="inlineStr">
        <is>
          <t>FundosNet/B3; documento 1130481; referência 2026-03-05; p. 142</t>
        </is>
      </c>
      <c r="BZ92" s="74" t="inlineStr">
        <is>
          <t>Cotas júnior / PL sem efeito de derivativos: mínimo inicial de 1,5%; meta de 2,5%.</t>
        </is>
      </c>
      <c r="CA92" s="74" t="inlineStr">
        <is>
          <t>originador; tipo de recebível</t>
        </is>
      </c>
      <c r="CB92" s="74" t="inlineStr">
        <is>
          <t>estrutura_incomparavel</t>
        </is>
      </c>
    </row>
    <row r="93" ht="31.5" customHeight="1">
      <c r="A93" s="75" t="n">
        <v>91</v>
      </c>
      <c r="B93" s="142" t="n">
        <v>37294759000134</v>
      </c>
      <c r="C93" s="75" t="inlineStr">
        <is>
          <t>37.294.759/0001-34</t>
        </is>
      </c>
      <c r="D93" s="75" t="inlineStr">
        <is>
          <t>GALLERIA HOME EQUITY FIDC</t>
        </is>
      </c>
      <c r="E93" s="75" t="inlineStr">
        <is>
          <t>FUNDO I E D C GALLERIA</t>
        </is>
      </c>
      <c r="F93" s="75" t="inlineStr">
        <is>
          <t>Carteira 101</t>
        </is>
      </c>
      <c r="G93" s="75" t="inlineStr">
        <is>
          <t>2026-08</t>
        </is>
      </c>
      <c r="H93" s="75" t="inlineStr">
        <is>
          <t>localizado</t>
        </is>
      </c>
      <c r="I93" s="143" t="n">
        <v>513190809.52</v>
      </c>
      <c r="J93" s="143" t="n">
        <v>513190809.0452346</v>
      </c>
      <c r="K93" s="143" t="n">
        <v>161698241.5808339</v>
      </c>
      <c r="L93" s="144" t="n">
        <v>0.3150840556401901</v>
      </c>
      <c r="M93" s="75" t="inlineStr">
        <is>
          <t>Calculado com classes reportadas e PL oficial reconciliado</t>
        </is>
      </c>
      <c r="N93" s="144" t="inlineStr">
        <is>
          <t>N/D</t>
        </is>
      </c>
      <c r="O93" s="144" t="inlineStr">
        <is>
          <t>N/D</t>
        </is>
      </c>
      <c r="P93" s="144" t="inlineStr">
        <is>
          <t>N/D</t>
        </is>
      </c>
      <c r="Q93" s="144" t="n">
        <v>0.047619047619</v>
      </c>
      <c r="R93" s="144" t="inlineStr">
        <is>
          <t>N/D</t>
        </is>
      </c>
      <c r="S93" s="144" t="n">
        <v>0.047619047619</v>
      </c>
      <c r="T93" s="75" t="inlineStr">
        <is>
          <t>4,76%*</t>
        </is>
      </c>
      <c r="U93" s="75" t="inlineStr">
        <is>
          <t>suporte_total_pl</t>
        </is>
      </c>
      <c r="V93" s="75" t="inlineStr">
        <is>
          <t>calculado: 1 − 1/1,05</t>
        </is>
      </c>
      <c r="W93" s="75" t="b">
        <v>1</v>
      </c>
      <c r="X93" s="75" t="inlineStr">
        <is>
          <t>Suporte total ou combinado; não representa mínimo júnior isolado.</t>
        </is>
      </c>
      <c r="Y93" s="75" t="b">
        <v>1</v>
      </c>
      <c r="Z93" s="144" t="n">
        <v>0.2674650080211901</v>
      </c>
      <c r="AA93" s="144" t="n">
        <v>0.2808382584222356</v>
      </c>
      <c r="AB93" s="75" t="inlineStr">
        <is>
          <t>acima do mínimo</t>
        </is>
      </c>
      <c r="AC93" s="75" t="inlineStr">
        <is>
          <t>Financeiro</t>
        </is>
      </c>
      <c r="AD93" s="75" t="inlineStr">
        <is>
          <t>Multicarteira Financeiro</t>
        </is>
      </c>
      <c r="AE93" s="75" t="inlineStr">
        <is>
          <t>Financeiro</t>
        </is>
      </c>
      <c r="AF93" s="75" t="inlineStr">
        <is>
          <t>Financeiro</t>
        </is>
      </c>
      <c r="AG93" s="75" t="inlineStr">
        <is>
          <t>Financeiro</t>
        </is>
      </c>
      <c r="AH93" s="75" t="inlineStr">
        <is>
          <t>Financeiro</t>
        </is>
      </c>
      <c r="AI93" s="75" t="inlineStr">
        <is>
          <t>Home equity PF/PJ, CCB com alienação fiduciária</t>
        </is>
      </c>
      <c r="AJ93" s="75" t="b">
        <v>0</v>
      </c>
      <c r="AK93" s="75" t="inlineStr">
        <is>
          <t>MANTER_ALTA</t>
        </is>
      </c>
      <c r="AL93" s="75" t="inlineStr">
        <is>
          <t>CCBs com garantia imobiliária</t>
        </is>
      </c>
      <c r="AM93" s="75" t="inlineStr">
        <is>
          <t>IMG_8707</t>
        </is>
      </c>
      <c r="AN93" s="75" t="inlineStr">
        <is>
          <t>Não</t>
        </is>
      </c>
      <c r="AO93" s="75" t="inlineStr">
        <is>
          <t>IMG_8707</t>
        </is>
      </c>
      <c r="AP93" s="75" t="b">
        <v>0</v>
      </c>
      <c r="AQ93" s="75" t="inlineStr">
        <is>
          <t>Financeiro</t>
        </is>
      </c>
      <c r="AR93" s="75" t="inlineStr">
        <is>
          <t>Financeiro</t>
        </is>
      </c>
      <c r="AS93" s="75" t="b">
        <v>0</v>
      </c>
      <c r="AT93" s="75" t="inlineStr">
        <is>
          <t>N/D</t>
        </is>
      </c>
      <c r="AU93" s="75" t="inlineStr">
        <is>
          <t>N/D</t>
        </is>
      </c>
      <c r="AV93" s="75" t="inlineStr">
        <is>
          <t>20%–35%</t>
        </is>
      </c>
      <c r="AW93" s="75" t="b">
        <v>1</v>
      </c>
      <c r="AX93" s="75" t="inlineStr">
        <is>
          <t>acima do piso</t>
        </is>
      </c>
      <c r="AY93" s="75" t="inlineStr">
        <is>
          <t>em linha com o mercado</t>
        </is>
      </c>
      <c r="AZ93" s="144" t="n">
        <v>0.008890274943705923</v>
      </c>
      <c r="BA93" s="75" t="b">
        <v>1</v>
      </c>
      <c r="BB93" s="145" t="n">
        <v>12</v>
      </c>
      <c r="BC93" s="143" t="n">
        <v>1</v>
      </c>
      <c r="BD93" s="75" t="inlineStr">
        <is>
          <t>Cotas Subordinadas Mezanino: R$ 1,00</t>
        </is>
      </c>
      <c r="BE93" s="75" t="inlineStr">
        <is>
          <t>preço/valor unitário de emissão</t>
        </is>
      </c>
      <c r="BF93" s="75" t="inlineStr">
        <is>
          <t>Cotas Subordinadas Mezanino</t>
        </is>
      </c>
      <c r="BG93" s="75" t="inlineStr">
        <is>
          <t>10/07/2026</t>
        </is>
      </c>
      <c r="BH93" s="75" t="inlineStr">
        <is>
          <t>1243617</t>
        </is>
      </c>
      <c r="BI93" s="75" t="inlineStr">
        <is>
          <t>https://fnet.bmfbovespa.com.br/fnet/publico/downloadDocumento?id=1243617</t>
        </is>
      </c>
      <c r="BJ93" s="75" t="inlineStr">
        <is>
          <t>localizado documentalmente</t>
        </is>
      </c>
      <c r="BK93" s="75" t="b">
        <v>0</v>
      </c>
      <c r="BL93" s="75" t="inlineStr">
        <is>
          <t>Galleria SCD</t>
        </is>
      </c>
      <c r="BM93" s="75" t="inlineStr">
        <is>
          <t>cedente</t>
        </is>
      </c>
      <c r="BN93" s="75" t="inlineStr">
        <is>
          <t>N/D</t>
        </is>
      </c>
      <c r="BO93" s="75" t="inlineStr">
        <is>
          <t>Galleria SCD</t>
        </is>
      </c>
      <c r="BP93" s="75" t="inlineStr">
        <is>
          <t>N/D</t>
        </is>
      </c>
      <c r="BQ93" s="75" t="inlineStr">
        <is>
          <t>CCBs com AF de Imóvel oriundos de empréstimo PF e PJs</t>
        </is>
      </c>
      <c r="BR93" s="75" t="inlineStr">
        <is>
          <t>cedente: IMG_8707.jpg | tipo_recebivel: IMG_8707.jpg</t>
        </is>
      </c>
      <c r="BS93" s="75" t="inlineStr">
        <is>
          <t>manual_aplicado</t>
        </is>
      </c>
      <c r="BT93" s="75" t="inlineStr">
        <is>
          <t>N/D</t>
        </is>
      </c>
      <c r="BU93" s="75" t="inlineStr">
        <is>
          <t>927443</t>
        </is>
      </c>
      <c r="BV93" s="75" t="inlineStr">
        <is>
          <t>2026-07-10</t>
        </is>
      </c>
      <c r="BW93" s="75" t="inlineStr">
        <is>
          <t>110</t>
        </is>
      </c>
      <c r="BX93" s="75" t="inlineStr">
        <is>
          <t>revisto — suporte estrutural total localizado</t>
        </is>
      </c>
      <c r="BY93" s="75" t="inlineStr">
        <is>
          <t>FundosNet/B3; documento 927443; referência 2026-07-10; p. 110</t>
        </is>
      </c>
      <c r="BZ93" s="75" t="inlineStr">
        <is>
          <t>N/D</t>
        </is>
      </c>
      <c r="CA93" s="75" t="inlineStr">
        <is>
          <t>originador; sacado/devedor</t>
        </is>
      </c>
      <c r="CB93" s="75" t="inlineStr">
        <is>
          <t>completo_para_folga</t>
        </is>
      </c>
    </row>
    <row r="94" ht="31.5" customHeight="1">
      <c r="A94" s="74" t="n">
        <v>92</v>
      </c>
      <c r="B94" s="138" t="n">
        <v>42085830000109</v>
      </c>
      <c r="C94" s="74" t="inlineStr">
        <is>
          <t>42.085.830/0001-09</t>
        </is>
      </c>
      <c r="D94" s="74" t="inlineStr">
        <is>
          <t>CLOUDWALK AKIRA I FUNDO DE INVESTIMENTO EM DIREITOS CREDITÓRIOS SEGMENTO MEIOS DE PAGAMENTO</t>
        </is>
      </c>
      <c r="E94" s="74" t="inlineStr">
        <is>
          <t>CLOUDWALK AKIRA I FUNDO DE INVESTIMENTO EM DIREITO</t>
        </is>
      </c>
      <c r="F94" s="74" t="inlineStr">
        <is>
          <t>Carteira 101</t>
        </is>
      </c>
      <c r="G94" s="74" t="inlineStr">
        <is>
          <t>2026-08</t>
        </is>
      </c>
      <c r="H94" s="74" t="inlineStr">
        <is>
          <t>localizado</t>
        </is>
      </c>
      <c r="I94" s="139" t="n">
        <v>225091227.33</v>
      </c>
      <c r="J94" s="139" t="n">
        <v>225091227.3300217</v>
      </c>
      <c r="K94" s="139" t="n">
        <v>16523823.77002167</v>
      </c>
      <c r="L94" s="140" t="n">
        <v>0.07340945254075383</v>
      </c>
      <c r="M94" s="74" t="inlineStr">
        <is>
          <t>Calculado com classes reportadas e PL oficial reconciliado</t>
        </is>
      </c>
      <c r="N94" s="140" t="n">
        <v>0.03</v>
      </c>
      <c r="O94" s="140" t="inlineStr">
        <is>
          <t>N/D</t>
        </is>
      </c>
      <c r="P94" s="140" t="inlineStr">
        <is>
          <t>N/D</t>
        </is>
      </c>
      <c r="Q94" s="140" t="n">
        <v>0.03</v>
      </c>
      <c r="R94" s="140" t="inlineStr">
        <is>
          <t>N/D</t>
        </is>
      </c>
      <c r="S94" s="140" t="n">
        <v>0.03</v>
      </c>
      <c r="T94" s="74" t="inlineStr">
        <is>
          <t>3,0%</t>
        </is>
      </c>
      <c r="U94" s="74" t="inlineStr">
        <is>
          <t>junior_pl</t>
        </is>
      </c>
      <c r="V94" s="74" t="inlineStr">
        <is>
          <t>direto no regulamento</t>
        </is>
      </c>
      <c r="W94" s="74" t="b">
        <v>1</v>
      </c>
      <c r="X94" s="74" t="inlineStr">
        <is>
          <t>Estrutura com uma única classe subordinada; métrica atual e piso usam o total subordinado sobre o PL.</t>
        </is>
      </c>
      <c r="Y94" s="74" t="b">
        <v>0</v>
      </c>
      <c r="Z94" s="140" t="n">
        <v>0.04340945254075383</v>
      </c>
      <c r="AA94" s="140" t="n">
        <v>0.0447520129286122</v>
      </c>
      <c r="AB94" s="74" t="inlineStr">
        <is>
          <t>acima do mínimo</t>
        </is>
      </c>
      <c r="AC94" s="74" t="inlineStr">
        <is>
          <t>Financeiro</t>
        </is>
      </c>
      <c r="AD94" s="74" t="inlineStr">
        <is>
          <t>Adquirência</t>
        </is>
      </c>
      <c r="AE94" s="74" t="inlineStr">
        <is>
          <t>Adquirência</t>
        </is>
      </c>
      <c r="AF94" s="74" t="inlineStr">
        <is>
          <t>Adquirência</t>
        </is>
      </c>
      <c r="AG94" s="74" t="inlineStr">
        <is>
          <t>Adquirência</t>
        </is>
      </c>
      <c r="AH94" s="74" t="inlineStr">
        <is>
          <t>Adquirência</t>
        </is>
      </c>
      <c r="AI94" s="74" t="inlineStr">
        <is>
          <t>N/D</t>
        </is>
      </c>
      <c r="AJ94" s="74" t="b">
        <v>0</v>
      </c>
      <c r="AK94" s="74" t="inlineStr">
        <is>
          <t>fora da revisão Financeiro/Agro</t>
        </is>
      </c>
      <c r="AL94" s="74" t="inlineStr">
        <is>
          <t>N/D</t>
        </is>
      </c>
      <c r="AM94" s="74" t="inlineStr">
        <is>
          <t>N/D</t>
        </is>
      </c>
      <c r="AN94" s="74" t="inlineStr">
        <is>
          <t>N/D</t>
        </is>
      </c>
      <c r="AO94" s="74" t="inlineStr">
        <is>
          <t>N/D</t>
        </is>
      </c>
      <c r="AP94" s="74" t="inlineStr">
        <is>
          <t>N/D</t>
        </is>
      </c>
      <c r="AQ94" s="74" t="inlineStr">
        <is>
          <t>Adquirência</t>
        </is>
      </c>
      <c r="AR94" s="74" t="inlineStr">
        <is>
          <t>Adquirência</t>
        </is>
      </c>
      <c r="AS94" s="74" t="b">
        <v>0</v>
      </c>
      <c r="AT94" s="74" t="inlineStr">
        <is>
          <t>N/D</t>
        </is>
      </c>
      <c r="AU94" s="74" t="inlineStr">
        <is>
          <t>N/D</t>
        </is>
      </c>
      <c r="AV94" s="74" t="inlineStr">
        <is>
          <t>&lt; 10%</t>
        </is>
      </c>
      <c r="AW94" s="74" t="b">
        <v>1</v>
      </c>
      <c r="AX94" s="74" t="inlineStr">
        <is>
          <t>acima do piso</t>
        </is>
      </c>
      <c r="AY94" s="74" t="inlineStr">
        <is>
          <t>abaixo do mercado</t>
        </is>
      </c>
      <c r="AZ94" s="140" t="n">
        <v>-0.08765690964990615</v>
      </c>
      <c r="BA94" s="74" t="b">
        <v>1</v>
      </c>
      <c r="BB94" s="141" t="n">
        <v>14</v>
      </c>
      <c r="BC94" s="139" t="n">
        <v>1000</v>
      </c>
      <c r="BD94" s="74" t="inlineStr">
        <is>
          <t>Cotas Seniores: R$1.000 | Cotas Subordinadas: R$1.000</t>
        </is>
      </c>
      <c r="BE94" s="74" t="inlineStr">
        <is>
          <t>valor nominal unitário (VNU)</t>
        </is>
      </c>
      <c r="BF94" s="74" t="inlineStr">
        <is>
          <t>Cotas Seniores | Cotas Subordinadas</t>
        </is>
      </c>
      <c r="BG94" s="74" t="inlineStr">
        <is>
          <t>2025-07-24</t>
        </is>
      </c>
      <c r="BH94" s="74" t="inlineStr">
        <is>
          <t>966441</t>
        </is>
      </c>
      <c r="BI94" s="74" t="inlineStr">
        <is>
          <t>https://fnet.bmfbovespa.com.br/fnet/publico/downloadDocumento?id=966441</t>
        </is>
      </c>
      <c r="BJ94" s="74" t="inlineStr">
        <is>
          <t>localizado documentalmente — múltiplos valores/classes</t>
        </is>
      </c>
      <c r="BK94" s="74" t="b">
        <v>1</v>
      </c>
      <c r="BL94" s="74" t="inlineStr">
        <is>
          <t>Cloudwalk IP</t>
        </is>
      </c>
      <c r="BM94" s="74" t="inlineStr">
        <is>
          <t>cedente</t>
        </is>
      </c>
      <c r="BN94" s="74" t="inlineStr">
        <is>
          <t>N/D</t>
        </is>
      </c>
      <c r="BO94" s="74" t="inlineStr">
        <is>
          <t>a CloudWalk que, de tempos em tempos, nos termos do Contrato de Cessão, cede seus respectivos Direitos Creditórios Elegíveis ao Fundo</t>
        </is>
      </c>
      <c r="BP94" s="74" t="inlineStr">
        <is>
          <t>os Emissores Qualificados</t>
        </is>
      </c>
      <c r="BQ94" s="74" t="inlineStr">
        <is>
          <t>os direitos creditórios de tempos em tempos detidos pela Cedente em face dos Devedores , conforme as regras dos Arranjos de Pagamentos, decorrentes de Transações de Pagamento realizadas por Usuários-Finais com a utilização de Instrumentos de Pagamento, Página 97 de 116</t>
        </is>
      </c>
      <c r="BR94" s="74" t="inlineStr">
        <is>
          <t>cedente: https://fnet.bmfbovespa.com.br/fnet/publico/downloadDocumento?id=966441 | sacado_devedor: https://fnet.bmfbovespa.com.br/fnet/publico/downloadDocumento?id=966441 | tipo_recebivel: https://fnet.bmfbovespa.com.br/fnet/publico/downloadDocumento?id=966441</t>
        </is>
      </c>
      <c r="BS94" s="74" t="inlineStr">
        <is>
          <t>manual_aplicado</t>
        </is>
      </c>
      <c r="BT94" s="74" t="inlineStr">
        <is>
          <t>OBS da foto: Risco Banco Emissor Itaú. Denominação cortada.</t>
        </is>
      </c>
      <c r="BU94" s="74" t="inlineStr">
        <is>
          <t>966441</t>
        </is>
      </c>
      <c r="BV94" s="74" t="inlineStr">
        <is>
          <t>2025-07-24</t>
        </is>
      </c>
      <c r="BW94" s="74" t="inlineStr">
        <is>
          <t>99</t>
        </is>
      </c>
      <c r="BX94" s="74" t="inlineStr">
        <is>
          <t>revisto — mínimo júnior localizado</t>
        </is>
      </c>
      <c r="BY94" s="74" t="inlineStr">
        <is>
          <t>FundosNet/B3; documento 966441; referência 2025-07-24; p. 99</t>
        </is>
      </c>
      <c r="BZ94" s="74" t="inlineStr">
        <is>
          <t>Cotas subordinadas / PL, mínimo de 3,0%; estrutura com uma única classe residual.</t>
        </is>
      </c>
      <c r="CA94" s="74" t="inlineStr">
        <is>
          <t>originador</t>
        </is>
      </c>
      <c r="CB94" s="74" t="inlineStr">
        <is>
          <t>completo_para_folga</t>
        </is>
      </c>
    </row>
    <row r="95" ht="31.5" customHeight="1">
      <c r="A95" s="75" t="n">
        <v>93</v>
      </c>
      <c r="B95" s="142" t="n">
        <v>61288838000117</v>
      </c>
      <c r="C95" s="75" t="inlineStr">
        <is>
          <t>61.288.838/0001-17</t>
        </is>
      </c>
      <c r="D95" s="75" t="inlineStr">
        <is>
          <t>IFOOD PAGO CRÉDITO III FUNDO DE INVESTIMENTO EM DIREITOS CREDITÓRIOS FINANCEIRO RESP. LIMITADA</t>
        </is>
      </c>
      <c r="E95" s="75" t="inlineStr">
        <is>
          <t>FIDC MOVILE III</t>
        </is>
      </c>
      <c r="F95" s="75" t="inlineStr">
        <is>
          <t>Carteira 101</t>
        </is>
      </c>
      <c r="G95" s="75" t="inlineStr">
        <is>
          <t>2026-08</t>
        </is>
      </c>
      <c r="H95" s="75" t="inlineStr">
        <is>
          <t>localizado</t>
        </is>
      </c>
      <c r="I95" s="143" t="n">
        <v>943956123.03</v>
      </c>
      <c r="J95" s="143" t="n">
        <v>943956123.0291308</v>
      </c>
      <c r="K95" s="143" t="n">
        <v>238826164.2707918</v>
      </c>
      <c r="L95" s="144" t="n">
        <v>0.2530055777425172</v>
      </c>
      <c r="M95" s="75" t="inlineStr">
        <is>
          <t>Calculado com classes reportadas e PL oficial reconciliado</t>
        </is>
      </c>
      <c r="N95" s="144" t="n">
        <v>0.15</v>
      </c>
      <c r="O95" s="144" t="inlineStr">
        <is>
          <t>N/D</t>
        </is>
      </c>
      <c r="P95" s="144" t="inlineStr">
        <is>
          <t>N/D</t>
        </is>
      </c>
      <c r="Q95" s="144" t="inlineStr">
        <is>
          <t>N/D</t>
        </is>
      </c>
      <c r="R95" s="144" t="inlineStr">
        <is>
          <t>N/D</t>
        </is>
      </c>
      <c r="S95" s="144" t="n">
        <v>0.15</v>
      </c>
      <c r="T95" s="75" t="inlineStr">
        <is>
          <t>N/D</t>
        </is>
      </c>
      <c r="U95" s="75" t="inlineStr">
        <is>
          <t>junior_pl</t>
        </is>
      </c>
      <c r="V95" s="75" t="inlineStr">
        <is>
          <t>direto no regulamento</t>
        </is>
      </c>
      <c r="W95" s="75" t="b">
        <v>0</v>
      </c>
      <c r="X95" s="75" t="inlineStr">
        <is>
          <t>Mínimo júnior isolado; a subordinação atual disponível agrega todas as classes subordinadas.</t>
        </is>
      </c>
      <c r="Y95" s="75" t="b">
        <v>0</v>
      </c>
      <c r="Z95" s="144" t="inlineStr">
        <is>
          <t>N/D</t>
        </is>
      </c>
      <c r="AA95" s="144" t="inlineStr">
        <is>
          <t>N/D</t>
        </is>
      </c>
      <c r="AB95" s="75" t="inlineStr">
        <is>
          <t>não medido</t>
        </is>
      </c>
      <c r="AC95" s="75" t="inlineStr">
        <is>
          <t>Financeiro</t>
        </is>
      </c>
      <c r="AD95" s="75" t="inlineStr">
        <is>
          <t>Multicarteira Financeiro</t>
        </is>
      </c>
      <c r="AE95" s="75" t="inlineStr">
        <is>
          <t>Financeiro</t>
        </is>
      </c>
      <c r="AF95" s="75" t="inlineStr">
        <is>
          <t>Financeiro</t>
        </is>
      </c>
      <c r="AG95" s="75" t="inlineStr">
        <is>
          <t>Financeiro</t>
        </is>
      </c>
      <c r="AH95" s="75" t="inlineStr">
        <is>
          <t>Financeiro</t>
        </is>
      </c>
      <c r="AI95" s="75" t="inlineStr">
        <is>
          <t>Estrutura mista, CCB + recebíveis de credenciadoras</t>
        </is>
      </c>
      <c r="AJ95" s="75" t="b">
        <v>0</v>
      </c>
      <c r="AK95" s="75" t="inlineStr">
        <is>
          <t>MANTER_ASTERISCO</t>
        </is>
      </c>
      <c r="AL95" s="75" t="inlineStr">
        <is>
          <t>Combina crédito e adquirência</t>
        </is>
      </c>
      <c r="AM95" s="75" t="inlineStr">
        <is>
          <t>regulamentos 1073756 e 1240846</t>
        </is>
      </c>
      <c r="AN95" s="75" t="inlineStr">
        <is>
          <t>Não</t>
        </is>
      </c>
      <c r="AO95" s="75" t="inlineStr">
        <is>
          <t>regulamentos 1073756 e 1240846</t>
        </is>
      </c>
      <c r="AP95" s="75" t="b">
        <v>0</v>
      </c>
      <c r="AQ95" s="75" t="inlineStr">
        <is>
          <t>Financeiro</t>
        </is>
      </c>
      <c r="AR95" s="75" t="inlineStr">
        <is>
          <t>Financeiro</t>
        </is>
      </c>
      <c r="AS95" s="75" t="b">
        <v>0</v>
      </c>
      <c r="AT95" s="75" t="inlineStr">
        <is>
          <t>N/D</t>
        </is>
      </c>
      <c r="AU95" s="75" t="inlineStr">
        <is>
          <t>N/D</t>
        </is>
      </c>
      <c r="AV95" s="75" t="inlineStr">
        <is>
          <t>20%–35%</t>
        </is>
      </c>
      <c r="AW95" s="75" t="b">
        <v>1</v>
      </c>
      <c r="AX95" s="75" t="inlineStr">
        <is>
          <t>incomparável</t>
        </is>
      </c>
      <c r="AY95" s="75" t="inlineStr">
        <is>
          <t>abaixo do mercado</t>
        </is>
      </c>
      <c r="AZ95" s="144" t="n">
        <v>-0.05318820295396698</v>
      </c>
      <c r="BA95" s="75" t="b">
        <v>1</v>
      </c>
      <c r="BB95" s="145" t="n">
        <v>12</v>
      </c>
      <c r="BC95" s="143" t="n">
        <v>1000</v>
      </c>
      <c r="BD95" s="75" t="inlineStr">
        <is>
          <t>Cotas Seniores: R$ 1.000,00</t>
        </is>
      </c>
      <c r="BE95" s="75" t="inlineStr">
        <is>
          <t>preço/valor unitário de emissão</t>
        </is>
      </c>
      <c r="BF95" s="75" t="inlineStr">
        <is>
          <t>Cotas Seniores</t>
        </is>
      </c>
      <c r="BG95" s="75" t="inlineStr">
        <is>
          <t>14/07/2026</t>
        </is>
      </c>
      <c r="BH95" s="75" t="inlineStr">
        <is>
          <t>1247950</t>
        </is>
      </c>
      <c r="BI95" s="75" t="inlineStr">
        <is>
          <t>https://fnet.bmfbovespa.com.br/fnet/publico/downloadDocumento?id=1247950</t>
        </is>
      </c>
      <c r="BJ95" s="75" t="inlineStr">
        <is>
          <t>localizado documentalmente</t>
        </is>
      </c>
      <c r="BK95" s="75" t="b">
        <v>0</v>
      </c>
      <c r="BL95" s="75" t="inlineStr">
        <is>
          <t>MovilePay / iFood</t>
        </is>
      </c>
      <c r="BM95" s="75" t="inlineStr">
        <is>
          <t>cedente</t>
        </is>
      </c>
      <c r="BN95" s="75" t="inlineStr">
        <is>
          <t>N/D</t>
        </is>
      </c>
      <c r="BO95" s="75" t="inlineStr">
        <is>
          <t>a Subcredenciadora</t>
        </is>
      </c>
      <c r="BP95" s="75" t="inlineStr">
        <is>
          <t>pessoas físicas ou jurídicas que possuam uma Conta Digital do Devedor CCB e que emitam uma CCB em favor da Instituição Financeira Parceira, conforme aplicável, com o objetivo de realizar uma operação de crédito</t>
        </is>
      </c>
      <c r="BQ95" s="75" t="inlineStr">
        <is>
          <t>os Direitos Creditórios CCB e os Direitos Creditórios Credenciadoras, quando referidos em conjunto ou indistintamente</t>
        </is>
      </c>
      <c r="BR95" s="75" t="inlineStr">
        <is>
          <t>cedente: https://fnet.bmfbovespa.com.br/fnet/publico/downloadDocumento?id=1073756 | sacado_devedor: https://fnet.bmfbovespa.com.br/fnet/publico/downloadDocumento?id=1073756 | tipo_recebivel: https://fnet.bmfbovespa.com.br/fnet/publico/downloadDocumento?id=1073756</t>
        </is>
      </c>
      <c r="BS95" s="75" t="inlineStr">
        <is>
          <t>manual_aplicado</t>
        </is>
      </c>
      <c r="BT95" s="75" t="inlineStr">
        <is>
          <t>N/D</t>
        </is>
      </c>
      <c r="BU95" s="75" t="inlineStr">
        <is>
          <t>1240846</t>
        </is>
      </c>
      <c r="BV95" s="75" t="inlineStr">
        <is>
          <t>2026-07-03</t>
        </is>
      </c>
      <c r="BW95" s="75" t="inlineStr">
        <is>
          <t>114</t>
        </is>
      </c>
      <c r="BX95" s="75" t="inlineStr">
        <is>
          <t>revisto — mínimo júnior localizado</t>
        </is>
      </c>
      <c r="BY95" s="75" t="inlineStr">
        <is>
          <t>FundosNet/B3; documento 1240846; referência 2026-07-03; p. 114</t>
        </is>
      </c>
      <c r="BZ95" s="75" t="inlineStr">
        <is>
          <t>Índice de Subordinação Mezanino: cotas júnior / PL, mínimo de 15,0%.</t>
        </is>
      </c>
      <c r="CA95" s="75" t="inlineStr">
        <is>
          <t>originador</t>
        </is>
      </c>
      <c r="CB95" s="75" t="inlineStr">
        <is>
          <t>estrutura_incomparavel</t>
        </is>
      </c>
    </row>
    <row r="96" ht="31.5" customHeight="1">
      <c r="A96" s="74" t="n">
        <v>94</v>
      </c>
      <c r="B96" s="138" t="n">
        <v>30035329000159</v>
      </c>
      <c r="C96" s="74" t="inlineStr">
        <is>
          <t>30.035.329/0001-59</t>
        </is>
      </c>
      <c r="D96" s="74" t="inlineStr">
        <is>
          <t>VIA INVEST II FUNDO DE INVESTIMENTO EM DIREITOS CREDITÓRIOS RESPONSABILIDADE LIMITADA</t>
        </is>
      </c>
      <c r="E96" s="74" t="inlineStr">
        <is>
          <t>VIAINVEST II FIDC MULTISSETORIAL</t>
        </is>
      </c>
      <c r="F96" s="74" t="inlineStr">
        <is>
          <t>Carteira 101</t>
        </is>
      </c>
      <c r="G96" s="74" t="inlineStr">
        <is>
          <t>2026-08</t>
        </is>
      </c>
      <c r="H96" s="74" t="inlineStr">
        <is>
          <t>localizado</t>
        </is>
      </c>
      <c r="I96" s="139" t="n">
        <v>233621604.94</v>
      </c>
      <c r="J96" s="139" t="n">
        <v>233621604.9243134</v>
      </c>
      <c r="K96" s="139" t="n">
        <v>101395673.3043759</v>
      </c>
      <c r="L96" s="140" t="n">
        <v>0.4340166797947344</v>
      </c>
      <c r="M96" s="74" t="inlineStr">
        <is>
          <t>Calculado com classes reportadas e PL oficial reconciliado</t>
        </is>
      </c>
      <c r="N96" s="140" t="n">
        <v>0.15</v>
      </c>
      <c r="O96" s="140" t="inlineStr">
        <is>
          <t>N/D</t>
        </is>
      </c>
      <c r="P96" s="140" t="inlineStr">
        <is>
          <t>N/D</t>
        </is>
      </c>
      <c r="Q96" s="140" t="inlineStr">
        <is>
          <t>N/D</t>
        </is>
      </c>
      <c r="R96" s="140" t="inlineStr">
        <is>
          <t>N/D</t>
        </is>
      </c>
      <c r="S96" s="140" t="n">
        <v>0.15</v>
      </c>
      <c r="T96" s="74" t="inlineStr">
        <is>
          <t>N/D</t>
        </is>
      </c>
      <c r="U96" s="74" t="inlineStr">
        <is>
          <t>junior_pl</t>
        </is>
      </c>
      <c r="V96" s="74" t="inlineStr">
        <is>
          <t>direto no regulamento</t>
        </is>
      </c>
      <c r="W96" s="74" t="b">
        <v>0</v>
      </c>
      <c r="X96" s="74" t="inlineStr">
        <is>
          <t>Mínimo júnior isolado; a subordinação atual disponível agrega mais de uma classe subordinada ou usa denominador distinto.</t>
        </is>
      </c>
      <c r="Y96" s="74" t="b">
        <v>0</v>
      </c>
      <c r="Z96" s="140" t="inlineStr">
        <is>
          <t>N/D</t>
        </is>
      </c>
      <c r="AA96" s="140" t="inlineStr">
        <is>
          <t>N/D</t>
        </is>
      </c>
      <c r="AB96" s="74" t="inlineStr">
        <is>
          <t>não medido</t>
        </is>
      </c>
      <c r="AC96" s="74" t="inlineStr">
        <is>
          <t>Financeiro</t>
        </is>
      </c>
      <c r="AD96" s="74" t="inlineStr">
        <is>
          <t>Crédito Consignado</t>
        </is>
      </c>
      <c r="AE96" s="74" t="inlineStr">
        <is>
          <t>Financeiro</t>
        </is>
      </c>
      <c r="AF96" s="74" t="inlineStr">
        <is>
          <t>Financeiro</t>
        </is>
      </c>
      <c r="AG96" s="74" t="inlineStr">
        <is>
          <t>Financeiro</t>
        </is>
      </c>
      <c r="AH96" s="74" t="inlineStr">
        <is>
          <t>Consignado INSS e FGTS</t>
        </is>
      </c>
      <c r="AI96" s="74" t="inlineStr">
        <is>
          <t>Antecipação do saque-aniversário FGTS, CCBs</t>
        </is>
      </c>
      <c r="AJ96" s="74" t="b">
        <v>1</v>
      </c>
      <c r="AK96" s="74" t="inlineStr">
        <is>
          <t>APLICAR_ALTA</t>
        </is>
      </c>
      <c r="AL96" s="74" t="inlineStr">
        <is>
          <t>Devedores são titulares de FGTS e emitem CCB</t>
        </is>
      </c>
      <c r="AM96" s="74" t="inlineStr">
        <is>
          <t>regulamento + auditoria documental</t>
        </is>
      </c>
      <c r="AN96" s="74" t="inlineStr">
        <is>
          <t>Não</t>
        </is>
      </c>
      <c r="AO96" s="74" t="inlineStr">
        <is>
          <t>regulamento + auditoria documental</t>
        </is>
      </c>
      <c r="AP96" s="74" t="b">
        <v>0</v>
      </c>
      <c r="AQ96" s="74" t="inlineStr">
        <is>
          <t>Consignado INSS e FGTS</t>
        </is>
      </c>
      <c r="AR96" s="74" t="inlineStr">
        <is>
          <t>Financeiro</t>
        </is>
      </c>
      <c r="AS96" s="74" t="b">
        <v>1</v>
      </c>
      <c r="AT96" s="74" t="inlineStr">
        <is>
          <t>regulamento + auditoria documental</t>
        </is>
      </c>
      <c r="AU96" s="74" t="inlineStr">
        <is>
          <t>Devedores são titulares de FGTS e emitem CCB</t>
        </is>
      </c>
      <c r="AV96" s="74" t="inlineStr">
        <is>
          <t>35%–60%</t>
        </is>
      </c>
      <c r="AW96" s="74" t="b">
        <v>1</v>
      </c>
      <c r="AX96" s="74" t="inlineStr">
        <is>
          <t>incomparável</t>
        </is>
      </c>
      <c r="AY96" s="74" t="inlineStr">
        <is>
          <t>acima do mercado</t>
        </is>
      </c>
      <c r="AZ96" s="140" t="n">
        <v>0.1278228990982502</v>
      </c>
      <c r="BA96" s="74" t="b">
        <v>1</v>
      </c>
      <c r="BB96" s="141" t="n">
        <v>12</v>
      </c>
      <c r="BC96" s="139" t="n">
        <v>1000</v>
      </c>
      <c r="BD96" s="74" t="inlineStr">
        <is>
          <t>Cotas Seniores: R$ 1.000,00</t>
        </is>
      </c>
      <c r="BE96" s="74" t="inlineStr">
        <is>
          <t>valor nominal unitário (VNU)</t>
        </is>
      </c>
      <c r="BF96" s="74" t="inlineStr">
        <is>
          <t>Cotas Seniores</t>
        </is>
      </c>
      <c r="BG96" s="74" t="inlineStr">
        <is>
          <t>30/09/2025</t>
        </is>
      </c>
      <c r="BH96" s="74" t="inlineStr">
        <is>
          <t>1003989</t>
        </is>
      </c>
      <c r="BI96" s="74" t="inlineStr">
        <is>
          <t>https://fnet.bmfbovespa.com.br/fnet/publico/downloadDocumento?id=1003989</t>
        </is>
      </c>
      <c r="BJ96" s="74" t="inlineStr">
        <is>
          <t>localizado documentalmente</t>
        </is>
      </c>
      <c r="BK96" s="74" t="b">
        <v>0</v>
      </c>
      <c r="BL96" s="74" t="inlineStr">
        <is>
          <t>BMP (Bancarizador)</t>
        </is>
      </c>
      <c r="BM96" s="74" t="inlineStr">
        <is>
          <t>cedente</t>
        </is>
      </c>
      <c r="BN96" s="74" t="inlineStr">
        <is>
          <t>N/D</t>
        </is>
      </c>
      <c r="BO96" s="74" t="inlineStr">
        <is>
          <t>BMP (Bancarizador)</t>
        </is>
      </c>
      <c r="BP96" s="74" t="inlineStr">
        <is>
          <t>pessoas físicas titulares de contas vinculadas do FGTS e que estejam com a opção da modalidade de Saque Aniversário vigente na data da contratação do empréstimo e emissão de CCBs, e que figurem na qualidade de devedores dos Direitos Creditórios</t>
        </is>
      </c>
      <c r="BQ96" s="74" t="inlineStr">
        <is>
          <t>N/D</t>
        </is>
      </c>
      <c r="BR96" s="74" t="inlineStr">
        <is>
          <t>cedente: IMG_8707.jpg | sacado_devedor: https://fnet.bmfbovespa.com.br/fnet/publico/downloadDocumento?id=998769</t>
        </is>
      </c>
      <c r="BS96" s="74" t="inlineStr">
        <is>
          <t>manual_aplicado</t>
        </is>
      </c>
      <c r="BT96" s="74" t="inlineStr">
        <is>
          <t>OBS parcialmente legível: Via Invest (Gestorada grupo faz co-gestão). Denominação cortada.</t>
        </is>
      </c>
      <c r="BU96" s="74" t="inlineStr">
        <is>
          <t>998769</t>
        </is>
      </c>
      <c r="BV96" s="74" t="inlineStr">
        <is>
          <t>2025-09-22</t>
        </is>
      </c>
      <c r="BW96" s="74" t="inlineStr">
        <is>
          <t>44; 64</t>
        </is>
      </c>
      <c r="BX96" s="74" t="inlineStr">
        <is>
          <t>revisto — mínimo júnior localizado</t>
        </is>
      </c>
      <c r="BY96" s="74" t="inlineStr">
        <is>
          <t>FundosNet/B3; documento 998769; referência 2025-09-22; p. 44; 64</t>
        </is>
      </c>
      <c r="BZ96" s="74" t="inlineStr">
        <is>
          <t>Índice mantido pelas cotas júnior / PL, mínimo de 15,0%; há classe mezanino.</t>
        </is>
      </c>
      <c r="CA96" s="74" t="inlineStr">
        <is>
          <t>originador; tipo de recebível</t>
        </is>
      </c>
      <c r="CB96" s="74" t="inlineStr">
        <is>
          <t>estrutura_incomparavel</t>
        </is>
      </c>
    </row>
    <row r="97" ht="31.5" customHeight="1">
      <c r="A97" s="75" t="n">
        <v>95</v>
      </c>
      <c r="B97" s="142" t="n">
        <v>63657457000193</v>
      </c>
      <c r="C97" s="75" t="inlineStr">
        <is>
          <t>63.657.457/0001-93</t>
        </is>
      </c>
      <c r="D97" s="75" t="inlineStr">
        <is>
          <t>MSV3 FUNDO DE INVESTIMENTO EM DIREITOS CREDITÓRIOS RECEBÍVEIS COMERCIAIS RESPONSABILIDADE LIMITADA</t>
        </is>
      </c>
      <c r="E97" s="75" t="inlineStr">
        <is>
          <t>MSV3 FUNDO DE INVESTIMENTO EM DIREITOS CREDITORIOS RECEBIVEIS COMERCIAIS</t>
        </is>
      </c>
      <c r="F97" s="75" t="inlineStr">
        <is>
          <t>Carteira 101</t>
        </is>
      </c>
      <c r="G97" s="75" t="inlineStr">
        <is>
          <t>2026-08</t>
        </is>
      </c>
      <c r="H97" s="75" t="inlineStr">
        <is>
          <t>localizado</t>
        </is>
      </c>
      <c r="I97" s="143" t="n">
        <v>310777311.22</v>
      </c>
      <c r="J97" s="143" t="n">
        <v>310777311.2188825</v>
      </c>
      <c r="K97" s="143" t="n">
        <v>112495491.2391325</v>
      </c>
      <c r="L97" s="144" t="n">
        <v>0.3619810300742858</v>
      </c>
      <c r="M97" s="75" t="inlineStr">
        <is>
          <t>Calculado com classes reportadas e PL oficial reconciliado</t>
        </is>
      </c>
      <c r="N97" s="144" t="n">
        <v>0.25</v>
      </c>
      <c r="O97" s="144" t="inlineStr">
        <is>
          <t>N/D</t>
        </is>
      </c>
      <c r="P97" s="144" t="inlineStr">
        <is>
          <t>N/D</t>
        </is>
      </c>
      <c r="Q97" s="144" t="inlineStr">
        <is>
          <t>N/D</t>
        </is>
      </c>
      <c r="R97" s="144" t="inlineStr">
        <is>
          <t>N/D</t>
        </is>
      </c>
      <c r="S97" s="144" t="n">
        <v>0.25</v>
      </c>
      <c r="T97" s="75" t="inlineStr">
        <is>
          <t>N/D</t>
        </is>
      </c>
      <c r="U97" s="75" t="inlineStr">
        <is>
          <t>junior_pl</t>
        </is>
      </c>
      <c r="V97" s="75" t="inlineStr">
        <is>
          <t>direto no regulamento</t>
        </is>
      </c>
      <c r="W97" s="75" t="b">
        <v>0</v>
      </c>
      <c r="X97" s="75" t="inlineStr">
        <is>
          <t>Mínimo júnior isolado; a subordinação atual disponível agrega todas as classes subordinadas.</t>
        </is>
      </c>
      <c r="Y97" s="75" t="b">
        <v>0</v>
      </c>
      <c r="Z97" s="144" t="inlineStr">
        <is>
          <t>N/D</t>
        </is>
      </c>
      <c r="AA97" s="144" t="inlineStr">
        <is>
          <t>N/D</t>
        </is>
      </c>
      <c r="AB97" s="75" t="inlineStr">
        <is>
          <t>não medido</t>
        </is>
      </c>
      <c r="AC97" s="75" t="inlineStr">
        <is>
          <t>Agro, Indústria e Comércio</t>
        </is>
      </c>
      <c r="AD97" s="75" t="inlineStr">
        <is>
          <t>Recebíveis Comerciais</t>
        </is>
      </c>
      <c r="AE97" s="75" t="inlineStr">
        <is>
          <t>Agro / Revenda</t>
        </is>
      </c>
      <c r="AF97" s="75" t="inlineStr">
        <is>
          <t>Agro / Revenda</t>
        </is>
      </c>
      <c r="AG97" s="75" t="inlineStr">
        <is>
          <t>Agro / Revenda</t>
        </is>
      </c>
      <c r="AH97" s="75" t="inlineStr">
        <is>
          <t>Risco Corporativo</t>
        </is>
      </c>
      <c r="AI97" s="75" t="inlineStr">
        <is>
          <t>Recebíveis comerciais de serviços/indústria</t>
        </is>
      </c>
      <c r="AJ97" s="75" t="b">
        <v>1</v>
      </c>
      <c r="AK97" s="75" t="inlineStr">
        <is>
          <t>APLICAR_ALTA</t>
        </is>
      </c>
      <c r="AL97" s="75" t="inlineStr">
        <is>
          <t>Originadores ligados à Manserv e carteira comercial</t>
        </is>
      </c>
      <c r="AM97" s="75" t="inlineStr">
        <is>
          <t>rating 1118693</t>
        </is>
      </c>
      <c r="AN97" s="75" t="inlineStr">
        <is>
          <t>Candidato</t>
        </is>
      </c>
      <c r="AO97" s="75" t="inlineStr">
        <is>
          <t>rating 1118693</t>
        </is>
      </c>
      <c r="AP97" s="75" t="inlineStr">
        <is>
          <t>N/D</t>
        </is>
      </c>
      <c r="AQ97" s="75" t="inlineStr">
        <is>
          <t>Risco Corporativo</t>
        </is>
      </c>
      <c r="AR97" s="75" t="inlineStr">
        <is>
          <t>Agro / Revenda</t>
        </is>
      </c>
      <c r="AS97" s="75" t="b">
        <v>1</v>
      </c>
      <c r="AT97" s="75" t="inlineStr">
        <is>
          <t>rating 1118693</t>
        </is>
      </c>
      <c r="AU97" s="75" t="inlineStr">
        <is>
          <t>Originadores ligados à Manserv e carteira comercial</t>
        </is>
      </c>
      <c r="AV97" s="75" t="inlineStr">
        <is>
          <t>35%–60%</t>
        </is>
      </c>
      <c r="AW97" s="75" t="b">
        <v>1</v>
      </c>
      <c r="AX97" s="75" t="inlineStr">
        <is>
          <t>incomparável</t>
        </is>
      </c>
      <c r="AY97" s="75" t="inlineStr">
        <is>
          <t>sem benchmark confiável</t>
        </is>
      </c>
      <c r="AZ97" s="144" t="inlineStr">
        <is>
          <t>N/D</t>
        </is>
      </c>
      <c r="BA97" s="75" t="b">
        <v>0</v>
      </c>
      <c r="BB97" s="145" t="n">
        <v>0</v>
      </c>
      <c r="BC97" s="143" t="n">
        <v>1000</v>
      </c>
      <c r="BD97" s="75" t="inlineStr">
        <is>
          <t>R$ 1.000,00</t>
        </is>
      </c>
      <c r="BE97" s="75" t="inlineStr">
        <is>
          <t>preço/valor unitário de emissão</t>
        </is>
      </c>
      <c r="BF97" s="75" t="inlineStr">
        <is>
          <t>N/D</t>
        </is>
      </c>
      <c r="BG97" s="75" t="inlineStr">
        <is>
          <t>27/05/2026</t>
        </is>
      </c>
      <c r="BH97" s="75" t="inlineStr">
        <is>
          <t>1205333</t>
        </is>
      </c>
      <c r="BI97" s="75" t="inlineStr">
        <is>
          <t>https://fnet.bmfbovespa.com.br/fnet/publico/downloadDocumento?id=1205333</t>
        </is>
      </c>
      <c r="BJ97" s="75" t="inlineStr">
        <is>
          <t>localizado documentalmente</t>
        </is>
      </c>
      <c r="BK97" s="75" t="b">
        <v>1</v>
      </c>
      <c r="BL97" s="75" t="inlineStr">
        <is>
          <t>N/D</t>
        </is>
      </c>
      <c r="BM97" s="75" t="inlineStr">
        <is>
          <t>N/D</t>
        </is>
      </c>
      <c r="BN97" s="75" t="inlineStr">
        <is>
          <t>N/D</t>
        </is>
      </c>
      <c r="BO97" s="75" t="inlineStr">
        <is>
          <t>Originadores</t>
        </is>
      </c>
      <c r="BP97" s="75" t="inlineStr">
        <is>
          <t>não tenham relação com qualquer comercialização de tabaco ou qualquer espécie de fumo ou com distribuição de combustíveis (exceto, nesse último caso, se forem companhias abertas), conforme informado pela respectiva</t>
        </is>
      </c>
      <c r="BQ97" s="75" t="inlineStr">
        <is>
          <t>N/D</t>
        </is>
      </c>
      <c r="BR97" s="75" t="inlineStr">
        <is>
          <t>cedente: https://fnet.bmfbovespa.com.br/fnet/publico/downloadDocumento?id=1118693 | sacado_devedor: https://fnet.bmfbovespa.com.br/fnet/publico/downloadDocumento?id=1118693</t>
        </is>
      </c>
      <c r="BS97" s="75" t="inlineStr">
        <is>
          <t>sem_overlay</t>
        </is>
      </c>
      <c r="BT97" s="75" t="inlineStr">
        <is>
          <t>N/D</t>
        </is>
      </c>
      <c r="BU97" s="75" t="inlineStr">
        <is>
          <t>1205333</t>
        </is>
      </c>
      <c r="BV97" s="75" t="inlineStr">
        <is>
          <t>2026-05-27</t>
        </is>
      </c>
      <c r="BW97" s="75" t="inlineStr">
        <is>
          <t>28</t>
        </is>
      </c>
      <c r="BX97" s="75" t="inlineStr">
        <is>
          <t>revisto — mínimo júnior localizado</t>
        </is>
      </c>
      <c r="BY97" s="75" t="inlineStr">
        <is>
          <t>FundosNet/B3; documento 1205333; referência 2026-05-27; p. 28</t>
        </is>
      </c>
      <c r="BZ97" s="75" t="inlineStr">
        <is>
          <t>Cotas subordinadas júnior / PL, mínimo de 25,0%.</t>
        </is>
      </c>
      <c r="CA97" s="75" t="inlineStr">
        <is>
          <t>originador; tipo de recebível</t>
        </is>
      </c>
      <c r="CB97" s="75" t="inlineStr">
        <is>
          <t>estrutura_incomparavel</t>
        </is>
      </c>
    </row>
    <row r="98" ht="31.5" customHeight="1">
      <c r="A98" s="74" t="n">
        <v>96</v>
      </c>
      <c r="B98" s="138" t="n">
        <v>63066147000102</v>
      </c>
      <c r="C98" s="74" t="inlineStr">
        <is>
          <t>63.066.147/0001-02</t>
        </is>
      </c>
      <c r="D98" s="74" t="inlineStr">
        <is>
          <t>FUNDO DE INVESTIMENTO EM DIREITOS CREDITÓRIOS INCLUSÃO CREDIÁRIA RESPONSABILIDADE LIMITADA</t>
        </is>
      </c>
      <c r="E98" s="74" t="inlineStr">
        <is>
          <t>FUNDO DE INVESTIMENTO EM DIREITOS</t>
        </is>
      </c>
      <c r="F98" s="74" t="inlineStr">
        <is>
          <t>Carteira 101</t>
        </is>
      </c>
      <c r="G98" s="74" t="inlineStr">
        <is>
          <t>2026-08</t>
        </is>
      </c>
      <c r="H98" s="74" t="inlineStr">
        <is>
          <t>localizado</t>
        </is>
      </c>
      <c r="I98" s="139" t="n">
        <v>183309658.13</v>
      </c>
      <c r="J98" s="139" t="n">
        <v>183309658.1298708</v>
      </c>
      <c r="K98" s="139" t="n">
        <v>94666172.82015762</v>
      </c>
      <c r="L98" s="140" t="n">
        <v>0.5164276328147535</v>
      </c>
      <c r="M98" s="74" t="inlineStr">
        <is>
          <t>Calculado com classes reportadas e PL oficial reconciliado</t>
        </is>
      </c>
      <c r="N98" s="140" t="n">
        <v>0.125</v>
      </c>
      <c r="O98" s="140" t="inlineStr">
        <is>
          <t>N/D</t>
        </is>
      </c>
      <c r="P98" s="140" t="inlineStr">
        <is>
          <t>N/D</t>
        </is>
      </c>
      <c r="Q98" s="140" t="inlineStr">
        <is>
          <t>N/D</t>
        </is>
      </c>
      <c r="R98" s="140" t="inlineStr">
        <is>
          <t>N/D</t>
        </is>
      </c>
      <c r="S98" s="140" t="n">
        <v>0.125</v>
      </c>
      <c r="T98" s="74" t="inlineStr">
        <is>
          <t>N/D</t>
        </is>
      </c>
      <c r="U98" s="74" t="inlineStr">
        <is>
          <t>junior_pl</t>
        </is>
      </c>
      <c r="V98" s="74" t="inlineStr">
        <is>
          <t>direto no regulamento</t>
        </is>
      </c>
      <c r="W98" s="74" t="b">
        <v>0</v>
      </c>
      <c r="X98" s="74" t="inlineStr">
        <is>
          <t>Mínimo júnior isolado; a subordinação atual disponível agrega todas as classes subordinadas.</t>
        </is>
      </c>
      <c r="Y98" s="74" t="b">
        <v>0</v>
      </c>
      <c r="Z98" s="140" t="inlineStr">
        <is>
          <t>N/D</t>
        </is>
      </c>
      <c r="AA98" s="140" t="inlineStr">
        <is>
          <t>N/D</t>
        </is>
      </c>
      <c r="AB98" s="74" t="inlineStr">
        <is>
          <t>não medido</t>
        </is>
      </c>
      <c r="AC98" s="74" t="inlineStr">
        <is>
          <t>Financeiro</t>
        </is>
      </c>
      <c r="AD98" s="74" t="inlineStr">
        <is>
          <t>Multicarteira Financeiro</t>
        </is>
      </c>
      <c r="AE98" s="74" t="inlineStr">
        <is>
          <t>Financeiro</t>
        </is>
      </c>
      <c r="AF98" s="74" t="inlineStr">
        <is>
          <t>Financeiro</t>
        </is>
      </c>
      <c r="AG98" s="74" t="inlineStr">
        <is>
          <t>Financeiro</t>
        </is>
      </c>
      <c r="AH98" s="74" t="inlineStr">
        <is>
          <t>Financeiro</t>
        </is>
      </c>
      <c r="AI98" s="74" t="inlineStr">
        <is>
          <t>Crédito Supersim, CCBs</t>
        </is>
      </c>
      <c r="AJ98" s="74" t="b">
        <v>0</v>
      </c>
      <c r="AK98" s="74" t="inlineStr">
        <is>
          <t>MANTER_ALTA</t>
        </is>
      </c>
      <c r="AL98" s="74" t="inlineStr">
        <is>
          <t>Direitos são CCBs de operações de crédito</t>
        </is>
      </c>
      <c r="AM98" s="74" t="inlineStr">
        <is>
          <t>regulamento 1085943</t>
        </is>
      </c>
      <c r="AN98" s="74" t="inlineStr">
        <is>
          <t>Não</t>
        </is>
      </c>
      <c r="AO98" s="74" t="inlineStr">
        <is>
          <t>regulamento 1085943</t>
        </is>
      </c>
      <c r="AP98" s="74" t="b">
        <v>0</v>
      </c>
      <c r="AQ98" s="74" t="inlineStr">
        <is>
          <t>Financeiro</t>
        </is>
      </c>
      <c r="AR98" s="74" t="inlineStr">
        <is>
          <t>Financeiro</t>
        </is>
      </c>
      <c r="AS98" s="74" t="b">
        <v>0</v>
      </c>
      <c r="AT98" s="74" t="inlineStr">
        <is>
          <t>N/D</t>
        </is>
      </c>
      <c r="AU98" s="74" t="inlineStr">
        <is>
          <t>N/D</t>
        </is>
      </c>
      <c r="AV98" s="74" t="inlineStr">
        <is>
          <t>35%–60%</t>
        </is>
      </c>
      <c r="AW98" s="74" t="b">
        <v>1</v>
      </c>
      <c r="AX98" s="74" t="inlineStr">
        <is>
          <t>incomparável</t>
        </is>
      </c>
      <c r="AY98" s="74" t="inlineStr">
        <is>
          <t>acima do mercado</t>
        </is>
      </c>
      <c r="AZ98" s="140" t="n">
        <v>0.2102338521182693</v>
      </c>
      <c r="BA98" s="74" t="b">
        <v>1</v>
      </c>
      <c r="BB98" s="141" t="n">
        <v>12</v>
      </c>
      <c r="BC98" s="139" t="n">
        <v>1000</v>
      </c>
      <c r="BD98" s="74" t="inlineStr">
        <is>
          <t>R$ 1.000,00</t>
        </is>
      </c>
      <c r="BE98" s="74" t="inlineStr">
        <is>
          <t>valor nominal unitário (VNU)</t>
        </is>
      </c>
      <c r="BF98" s="74" t="inlineStr">
        <is>
          <t>N/D</t>
        </is>
      </c>
      <c r="BG98" s="74" t="inlineStr">
        <is>
          <t>2026-01-15</t>
        </is>
      </c>
      <c r="BH98" s="74" t="inlineStr">
        <is>
          <t>1085943</t>
        </is>
      </c>
      <c r="BI98" s="74" t="inlineStr">
        <is>
          <t>https://fnet.bmfbovespa.com.br/fnet/publico/downloadDocumento?id=1085943</t>
        </is>
      </c>
      <c r="BJ98" s="74" t="inlineStr">
        <is>
          <t>localizado documentalmente</t>
        </is>
      </c>
      <c r="BK98" s="74" t="b">
        <v>1</v>
      </c>
      <c r="BL98" s="74" t="inlineStr">
        <is>
          <t>Supersim</t>
        </is>
      </c>
      <c r="BM98" s="74" t="inlineStr">
        <is>
          <t>cedente</t>
        </is>
      </c>
      <c r="BN98" s="74" t="inlineStr">
        <is>
          <t>N/D</t>
        </is>
      </c>
      <c r="BO98" s="74" t="inlineStr">
        <is>
          <t>Supersim</t>
        </is>
      </c>
      <c r="BP98" s="74" t="inlineStr">
        <is>
          <t>N/D</t>
        </is>
      </c>
      <c r="BQ98" s="74" t="inlineStr">
        <is>
          <t>todos os direitos de crédito vincendos adquiridos ou a serem adquiridos pela Classe Única, representados por CCBs decorrentes da concessão de Crédito Docusign Envelope ID: 9DE35450-3BDE-4638-A712-3F4C7F8F1EF5</t>
        </is>
      </c>
      <c r="BR98" s="74" t="inlineStr">
        <is>
          <t>cedente: IMG_8707.jpg | tipo_recebivel: https://fnet.bmfbovespa.com.br/fnet/publico/downloadDocumento?id=1085943</t>
        </is>
      </c>
      <c r="BS98" s="74" t="inlineStr">
        <is>
          <t>manual_aplicado</t>
        </is>
      </c>
      <c r="BT98" s="74" t="inlineStr">
        <is>
          <t>Denominação cortada pela largura da coluna na foto.</t>
        </is>
      </c>
      <c r="BU98" s="74" t="inlineStr">
        <is>
          <t>1085946</t>
        </is>
      </c>
      <c r="BV98" s="74" t="inlineStr">
        <is>
          <t>2026-01-15</t>
        </is>
      </c>
      <c r="BW98" s="74" t="inlineStr">
        <is>
          <t>12</t>
        </is>
      </c>
      <c r="BX98" s="74" t="inlineStr">
        <is>
          <t>revisto — mínimo júnior localizado</t>
        </is>
      </c>
      <c r="BY98" s="74" t="inlineStr">
        <is>
          <t>FundosNet/B3; documento 1085946; referência 2026-01-15; p. 12</t>
        </is>
      </c>
      <c r="BZ98" s="74" t="inlineStr">
        <is>
          <t>Cotas júnior / PL, mínimo de 12,5%; 17,5% enquanto houver rebaixamento contratualmente definido.</t>
        </is>
      </c>
      <c r="CA98" s="74" t="inlineStr">
        <is>
          <t>originador; sacado/devedor</t>
        </is>
      </c>
      <c r="CB98" s="74" t="inlineStr">
        <is>
          <t>estrutura_incomparavel</t>
        </is>
      </c>
    </row>
    <row r="99" ht="31.5" customHeight="1">
      <c r="A99" s="75" t="n">
        <v>97</v>
      </c>
      <c r="B99" s="142" t="n">
        <v>65836995000170</v>
      </c>
      <c r="C99" s="75" t="inlineStr">
        <is>
          <t>65.836.995/0001-70</t>
        </is>
      </c>
      <c r="D99" s="75" t="inlineStr">
        <is>
          <t>PNEUCASH II FUNDO DE INVESTIMENTO EM DIREITOS CREDITÓRIOS DE CLASSE ÚNICA FECHADA RESP LIMITADA</t>
        </is>
      </c>
      <c r="E99" s="75" t="inlineStr">
        <is>
          <t>DAYCOVAL 0410 FUNDO DE INV EM DIREITOS CREDITORIOS</t>
        </is>
      </c>
      <c r="F99" s="75" t="inlineStr">
        <is>
          <t>Carteira 101</t>
        </is>
      </c>
      <c r="G99" s="75" t="inlineStr">
        <is>
          <t>2026-08</t>
        </is>
      </c>
      <c r="H99" s="75" t="inlineStr">
        <is>
          <t>localizado</t>
        </is>
      </c>
      <c r="I99" s="143" t="n">
        <v>182594776.53</v>
      </c>
      <c r="J99" s="143" t="n">
        <v>182230097.419965</v>
      </c>
      <c r="K99" s="143" t="n">
        <v>31477704.529965</v>
      </c>
      <c r="L99" s="144" t="n">
        <v>0.1723910460537915</v>
      </c>
      <c r="M99" s="75" t="inlineStr">
        <is>
          <t>Calculado com classes reportadas e PL oficial reconciliado</t>
        </is>
      </c>
      <c r="N99" s="144" t="inlineStr">
        <is>
          <t>N/D</t>
        </is>
      </c>
      <c r="O99" s="144" t="inlineStr">
        <is>
          <t>N/D</t>
        </is>
      </c>
      <c r="P99" s="144" t="inlineStr">
        <is>
          <t>N/D</t>
        </is>
      </c>
      <c r="Q99" s="144" t="n">
        <v>0.2</v>
      </c>
      <c r="R99" s="144" t="inlineStr">
        <is>
          <t>N/D</t>
        </is>
      </c>
      <c r="S99" s="144" t="n">
        <v>0.2</v>
      </c>
      <c r="T99" s="75" t="inlineStr">
        <is>
          <t>20,0%*</t>
        </is>
      </c>
      <c r="U99" s="75" t="inlineStr">
        <is>
          <t>suporte_total_pl</t>
        </is>
      </c>
      <c r="V99" s="75" t="inlineStr">
        <is>
          <t>direto no regulamento</t>
        </is>
      </c>
      <c r="W99" s="75" t="b">
        <v>1</v>
      </c>
      <c r="X99" s="75" t="inlineStr">
        <is>
          <t>Suporte total ou combinado; não representa mínimo júnior isolado.</t>
        </is>
      </c>
      <c r="Y99" s="75" t="b">
        <v>1</v>
      </c>
      <c r="Z99" s="144" t="n">
        <v>-0.02760895394620852</v>
      </c>
      <c r="AA99" s="144" t="n">
        <v>-0.03451119243276065</v>
      </c>
      <c r="AB99" s="75" t="inlineStr">
        <is>
          <t>abaixo do mínimo</t>
        </is>
      </c>
      <c r="AC99" s="75" t="inlineStr">
        <is>
          <t>Financeiro</t>
        </is>
      </c>
      <c r="AD99" s="75" t="inlineStr">
        <is>
          <t>Multicarteira Financeiro</t>
        </is>
      </c>
      <c r="AE99" s="75" t="inlineStr">
        <is>
          <t>Financeiro</t>
        </is>
      </c>
      <c r="AF99" s="75" t="inlineStr">
        <is>
          <t>Financeiro</t>
        </is>
      </c>
      <c r="AG99" s="75" t="inlineStr">
        <is>
          <t>Financeiro</t>
        </is>
      </c>
      <c r="AH99" s="75" t="inlineStr">
        <is>
          <t>Risco Corporativo</t>
        </is>
      </c>
      <c r="AI99" s="75" t="inlineStr">
        <is>
          <t>Recebíveis comerciais de produtos Cantu Store</t>
        </is>
      </c>
      <c r="AJ99" s="75" t="b">
        <v>1</v>
      </c>
      <c r="AK99" s="75" t="inlineStr">
        <is>
          <t>APLICAR_ALTA</t>
        </is>
      </c>
      <c r="AL99" s="75" t="inlineStr">
        <is>
          <t>Vendas locais a prazo para PF/PJ</t>
        </is>
      </c>
      <c r="AM99" s="75" t="inlineStr">
        <is>
          <t>regulamento 1184844</t>
        </is>
      </c>
      <c r="AN99" s="75" t="inlineStr">
        <is>
          <t>Candidato</t>
        </is>
      </c>
      <c r="AO99" s="75" t="inlineStr">
        <is>
          <t>regulamento 1184844</t>
        </is>
      </c>
      <c r="AP99" s="75" t="inlineStr">
        <is>
          <t>N/D</t>
        </is>
      </c>
      <c r="AQ99" s="75" t="inlineStr">
        <is>
          <t>Risco Corporativo</t>
        </is>
      </c>
      <c r="AR99" s="75" t="inlineStr">
        <is>
          <t>Financeiro</t>
        </is>
      </c>
      <c r="AS99" s="75" t="b">
        <v>1</v>
      </c>
      <c r="AT99" s="75" t="inlineStr">
        <is>
          <t>regulamento 1184844</t>
        </is>
      </c>
      <c r="AU99" s="75" t="inlineStr">
        <is>
          <t>Vendas locais a prazo para PF/PJ</t>
        </is>
      </c>
      <c r="AV99" s="75" t="inlineStr">
        <is>
          <t>15%–20%</t>
        </is>
      </c>
      <c r="AW99" s="75" t="b">
        <v>1</v>
      </c>
      <c r="AX99" s="75" t="inlineStr">
        <is>
          <t>abaixo do piso</t>
        </is>
      </c>
      <c r="AY99" s="75" t="inlineStr">
        <is>
          <t>abaixo do mercado</t>
        </is>
      </c>
      <c r="AZ99" s="144" t="n">
        <v>-0.1338027346426927</v>
      </c>
      <c r="BA99" s="75" t="b">
        <v>1</v>
      </c>
      <c r="BB99" s="145" t="n">
        <v>12</v>
      </c>
      <c r="BC99" s="143" t="n">
        <v>1000</v>
      </c>
      <c r="BD99" s="75" t="inlineStr">
        <is>
          <t>Cotas Subordinadas Junior: R$ 1.000,00 | Cotas Subordinadas Mezanino: R$ 1.000,00 | Série de Cotas Seniores: R$ 1.000,00</t>
        </is>
      </c>
      <c r="BE99" s="75" t="inlineStr">
        <is>
          <t>preço/valor unitário de emissão</t>
        </is>
      </c>
      <c r="BF99" s="75" t="inlineStr">
        <is>
          <t>Cotas Subordinadas Junior | Cotas Subordinadas Mezanino | Série de Cotas Seniores</t>
        </is>
      </c>
      <c r="BG99" s="75" t="inlineStr">
        <is>
          <t>2026-05-11</t>
        </is>
      </c>
      <c r="BH99" s="75" t="inlineStr">
        <is>
          <t>1188501</t>
        </is>
      </c>
      <c r="BI99" s="75" t="inlineStr">
        <is>
          <t>https://fnet.bmfbovespa.com.br/fnet/publico/downloadDocumento?id=1188501</t>
        </is>
      </c>
      <c r="BJ99" s="75" t="inlineStr">
        <is>
          <t>localizado documentalmente — múltiplos valores/classes</t>
        </is>
      </c>
      <c r="BK99" s="75" t="b">
        <v>1</v>
      </c>
      <c r="BL99" s="75" t="inlineStr">
        <is>
          <t>Cantu Store</t>
        </is>
      </c>
      <c r="BM99" s="75" t="inlineStr">
        <is>
          <t>cedente</t>
        </is>
      </c>
      <c r="BN99" s="75" t="inlineStr">
        <is>
          <t>N/D</t>
        </is>
      </c>
      <c r="BO99" s="75" t="inlineStr">
        <is>
          <t>Cantu Store</t>
        </is>
      </c>
      <c r="BP99" s="75" t="inlineStr">
        <is>
          <t>os devedores (sacados), pessoas físicas ou jurídicas, que tenham estabelecido relação de consumo dos Direitos Creditórios com as Cedentes</t>
        </is>
      </c>
      <c r="BQ99" s="75" t="inlineStr">
        <is>
          <t>os direitos creditórios performados (cujos respectivos Produtos foram entregues ou retirados, ou com pedidos emitidos) vincendos, existentes, livres e desimpedidos de quaisquer ônus, gravames ou restrições, de titularidade das Cedentes, originados no âmbito de Operações a Prazo envolvendo Produtos celebradas entre as Cedentes e seus respectivos Devedores, no mercado local, expressos em moeda corrente nacional, cujas respectivas transações sejam sempre representadas por Documentos Comprobatórios</t>
        </is>
      </c>
      <c r="BR99" s="75" t="inlineStr">
        <is>
          <t>cedente: IMG_8707.jpg | sacado_devedor: https://fnet.bmfbovespa.com.br/fnet/publico/downloadDocumento?id=1184844 | tipo_recebivel: https://fnet.bmfbovespa.com.br/fnet/publico/downloadDocumento?id=1184844</t>
        </is>
      </c>
      <c r="BS99" s="75" t="inlineStr">
        <is>
          <t>manual_aplicado</t>
        </is>
      </c>
      <c r="BT99" s="75" t="inlineStr">
        <is>
          <t>N/D</t>
        </is>
      </c>
      <c r="BU99" s="75" t="inlineStr">
        <is>
          <t>1184847</t>
        </is>
      </c>
      <c r="BV99" s="75" t="inlineStr">
        <is>
          <t>2026-05-11</t>
        </is>
      </c>
      <c r="BW99" s="75" t="inlineStr">
        <is>
          <t>49–50</t>
        </is>
      </c>
      <c r="BX99" s="75" t="inlineStr">
        <is>
          <t>revisto — suporte estrutural total localizado</t>
        </is>
      </c>
      <c r="BY99" s="75" t="inlineStr">
        <is>
          <t>FundosNet/B3; documento 1184847; referência 2026-05-11; p. 49–50</t>
        </is>
      </c>
      <c r="BZ99" s="75" t="inlineStr">
        <is>
          <t>N/D</t>
        </is>
      </c>
      <c r="CA99" s="75" t="inlineStr">
        <is>
          <t>originador</t>
        </is>
      </c>
      <c r="CB99" s="75" t="inlineStr">
        <is>
          <t>completo_para_folga</t>
        </is>
      </c>
    </row>
    <row r="100" ht="31.5" customHeight="1">
      <c r="A100" s="74" t="n">
        <v>98</v>
      </c>
      <c r="B100" s="138" t="n">
        <v>65873297000145</v>
      </c>
      <c r="C100" s="74" t="inlineStr">
        <is>
          <t>65.873.297/0001-45</t>
        </is>
      </c>
      <c r="D100" s="74" t="inlineStr">
        <is>
          <t>ARCELORMITTAL VÉRTICE FUNDO DE INVESTIMENTO EM DIREITOS CREDITÓRIOS COMERCIAIS - RESP LIMITADA</t>
        </is>
      </c>
      <c r="E100" s="74" t="inlineStr">
        <is>
          <t>ARCELORMITTAL VERTICE FUNDO DE INVESTIMENTO EM DIREITOS CRED</t>
        </is>
      </c>
      <c r="F100" s="74" t="inlineStr">
        <is>
          <t>Carteira 101</t>
        </is>
      </c>
      <c r="G100" s="74" t="inlineStr">
        <is>
          <t>2026-08</t>
        </is>
      </c>
      <c r="H100" s="74" t="inlineStr">
        <is>
          <t>localizado</t>
        </is>
      </c>
      <c r="I100" s="139" t="n">
        <v>162615517.81</v>
      </c>
      <c r="J100" s="139" t="n">
        <v>162615517.8094126</v>
      </c>
      <c r="K100" s="139" t="n">
        <v>33298654.78989262</v>
      </c>
      <c r="L100" s="140" t="n">
        <v>0.2047692325943873</v>
      </c>
      <c r="M100" s="74" t="inlineStr">
        <is>
          <t>Calculado com classes reportadas e PL oficial reconciliado</t>
        </is>
      </c>
      <c r="N100" s="140" t="n">
        <v>0.12</v>
      </c>
      <c r="O100" s="140" t="inlineStr">
        <is>
          <t>N/D</t>
        </is>
      </c>
      <c r="P100" s="140" t="inlineStr">
        <is>
          <t>N/D</t>
        </is>
      </c>
      <c r="Q100" s="140" t="n">
        <v>0.12</v>
      </c>
      <c r="R100" s="140" t="inlineStr">
        <is>
          <t>N/D</t>
        </is>
      </c>
      <c r="S100" s="140" t="n">
        <v>0.12</v>
      </c>
      <c r="T100" s="74" t="inlineStr">
        <is>
          <t>12,0%</t>
        </is>
      </c>
      <c r="U100" s="74" t="inlineStr">
        <is>
          <t>junior_pl</t>
        </is>
      </c>
      <c r="V100" s="74" t="inlineStr">
        <is>
          <t>direto no regulamento</t>
        </is>
      </c>
      <c r="W100" s="74" t="b">
        <v>1</v>
      </c>
      <c r="X100" s="74" t="inlineStr">
        <is>
          <t>Estrutura com uma única classe subordinada; métrica atual e piso usam o total subordinado sobre o PL.</t>
        </is>
      </c>
      <c r="Y100" s="74" t="b">
        <v>0</v>
      </c>
      <c r="Z100" s="140" t="n">
        <v>0.08476923259438729</v>
      </c>
      <c r="AA100" s="140" t="n">
        <v>0.09632867340271282</v>
      </c>
      <c r="AB100" s="74" t="inlineStr">
        <is>
          <t>acima do mínimo</t>
        </is>
      </c>
      <c r="AC100" s="74" t="inlineStr">
        <is>
          <t>Agro, Indústria e Comércio</t>
        </is>
      </c>
      <c r="AD100" s="74" t="inlineStr">
        <is>
          <t>Recebíveis Comerciais</t>
        </is>
      </c>
      <c r="AE100" s="74" t="inlineStr">
        <is>
          <t>Agro / Revenda</t>
        </is>
      </c>
      <c r="AF100" s="74" t="inlineStr">
        <is>
          <t>Agro / Revenda</t>
        </is>
      </c>
      <c r="AG100" s="74" t="inlineStr">
        <is>
          <t>Agro / Revenda</t>
        </is>
      </c>
      <c r="AH100" s="74" t="inlineStr">
        <is>
          <t>Risco Corporativo</t>
        </is>
      </c>
      <c r="AI100" s="74" t="inlineStr">
        <is>
          <t>Supplier finance, ArcelorMittal como devedora</t>
        </is>
      </c>
      <c r="AJ100" s="74" t="b">
        <v>1</v>
      </c>
      <c r="AK100" s="74" t="inlineStr">
        <is>
          <t>APLICAR_ALTA</t>
        </is>
      </c>
      <c r="AL100" s="74" t="inlineStr">
        <is>
          <t>Fornecedores cedem notas fiscais devidas pela ArcelorMittal</t>
        </is>
      </c>
      <c r="AM100" s="74" t="inlineStr">
        <is>
          <t>regulamento 1226438</t>
        </is>
      </c>
      <c r="AN100" s="74" t="inlineStr">
        <is>
          <t>Não</t>
        </is>
      </c>
      <c r="AO100" s="74" t="inlineStr">
        <is>
          <t>regulamento 1226438</t>
        </is>
      </c>
      <c r="AP100" s="74" t="b">
        <v>0</v>
      </c>
      <c r="AQ100" s="74" t="inlineStr">
        <is>
          <t>Risco Corporativo</t>
        </is>
      </c>
      <c r="AR100" s="74" t="inlineStr">
        <is>
          <t>Agro / Revenda</t>
        </is>
      </c>
      <c r="AS100" s="74" t="b">
        <v>1</v>
      </c>
      <c r="AT100" s="74" t="inlineStr">
        <is>
          <t>regulamento 1226438</t>
        </is>
      </c>
      <c r="AU100" s="74" t="inlineStr">
        <is>
          <t>Fornecedores cedem notas fiscais devidas pela ArcelorMittal</t>
        </is>
      </c>
      <c r="AV100" s="74" t="inlineStr">
        <is>
          <t>20%–35%</t>
        </is>
      </c>
      <c r="AW100" s="74" t="b">
        <v>1</v>
      </c>
      <c r="AX100" s="74" t="inlineStr">
        <is>
          <t>acima do piso</t>
        </is>
      </c>
      <c r="AY100" s="74" t="inlineStr">
        <is>
          <t>sem benchmark confiável</t>
        </is>
      </c>
      <c r="AZ100" s="140" t="inlineStr">
        <is>
          <t>N/D</t>
        </is>
      </c>
      <c r="BA100" s="74" t="b">
        <v>0</v>
      </c>
      <c r="BB100" s="141" t="n">
        <v>0</v>
      </c>
      <c r="BC100" s="139" t="n">
        <v>1000</v>
      </c>
      <c r="BD100" s="74" t="inlineStr">
        <is>
          <t>Cotas Seniores: R$ 1.000,00 | Cotas Subordinadas: R$ 1.000,00</t>
        </is>
      </c>
      <c r="BE100" s="74" t="inlineStr">
        <is>
          <t>preço/valor unitário de emissão</t>
        </is>
      </c>
      <c r="BF100" s="74" t="inlineStr">
        <is>
          <t>Cotas Seniores | Cotas Subordinadas</t>
        </is>
      </c>
      <c r="BG100" s="74" t="inlineStr">
        <is>
          <t>20/05/2026</t>
        </is>
      </c>
      <c r="BH100" s="74" t="inlineStr">
        <is>
          <t>1226438</t>
        </is>
      </c>
      <c r="BI100" s="74" t="inlineStr">
        <is>
          <t>https://fnet.bmfbovespa.com.br/fnet/publico/downloadDocumento?id=1226438</t>
        </is>
      </c>
      <c r="BJ100" s="74" t="inlineStr">
        <is>
          <t>localizado documentalmente — múltiplos valores/classes</t>
        </is>
      </c>
      <c r="BK100" s="74" t="b">
        <v>1</v>
      </c>
      <c r="BL100" s="74" t="inlineStr">
        <is>
          <t>N/D</t>
        </is>
      </c>
      <c r="BM100" s="74" t="inlineStr">
        <is>
          <t>N/D</t>
        </is>
      </c>
      <c r="BN100" s="74" t="inlineStr">
        <is>
          <t>N/D</t>
        </is>
      </c>
      <c r="BO100" s="74" t="inlineStr">
        <is>
          <t>os Fornecedores que cedem Direitos Creditórios à Classe</t>
        </is>
      </c>
      <c r="BP100" s="74" t="inlineStr">
        <is>
          <t>N/D</t>
        </is>
      </c>
      <c r="BQ100" s="74" t="inlineStr">
        <is>
          <t>os direitos creditórios performados, decorrentes das Notas Fiscais, devidos pelas Devedoras, representativos de operações comerciais de venda de produtos ou prestação de serviços pelos Fornecedores às Devedoras, representados pelos Documentos Comprobatórios</t>
        </is>
      </c>
      <c r="BR100" s="74" t="inlineStr">
        <is>
          <t>cedente: https://fnet.bmfbovespa.com.br/fnet/publico/downloadDocumento?id=1226438 | tipo_recebivel: https://fnet.bmfbovespa.com.br/fnet/publico/downloadDocumento?id=1226438</t>
        </is>
      </c>
      <c r="BS100" s="74" t="inlineStr">
        <is>
          <t>sem_overlay</t>
        </is>
      </c>
      <c r="BT100" s="74" t="inlineStr">
        <is>
          <t>N/D</t>
        </is>
      </c>
      <c r="BU100" s="74" t="inlineStr">
        <is>
          <t>1226438</t>
        </is>
      </c>
      <c r="BV100" s="74" t="inlineStr">
        <is>
          <t>2026-05-20</t>
        </is>
      </c>
      <c r="BW100" s="74" t="inlineStr">
        <is>
          <t>34</t>
        </is>
      </c>
      <c r="BX100" s="74" t="inlineStr">
        <is>
          <t>revisto — mínimo júnior localizado</t>
        </is>
      </c>
      <c r="BY100" s="74" t="inlineStr">
        <is>
          <t>FundosNet/B3; documento 1226438; referência 2026-05-20; p. 34</t>
        </is>
      </c>
      <c r="BZ100" s="74" t="inlineStr">
        <is>
          <t>Cotas subordinadas / PL, mínimo de 12,0%; estrutura com uma única classe residual.</t>
        </is>
      </c>
      <c r="CA100" s="74" t="inlineStr">
        <is>
          <t>originador; sacado/devedor</t>
        </is>
      </c>
      <c r="CB100" s="74" t="inlineStr">
        <is>
          <t>completo_para_folga</t>
        </is>
      </c>
    </row>
    <row r="101" ht="31.5" customHeight="1">
      <c r="A101" s="75" t="n">
        <v>99</v>
      </c>
      <c r="B101" s="142" t="n">
        <v>65347578000164</v>
      </c>
      <c r="C101" s="75" t="inlineStr">
        <is>
          <t>65.347.578/0001-64</t>
        </is>
      </c>
      <c r="D101" s="75" t="inlineStr">
        <is>
          <t>ICRED INSS III FUNDO DE INVESTIMENTO EM DIREITOS CREDITÓRIOS RESPONSABILIDADE LIMITADA</t>
        </is>
      </c>
      <c r="E101" s="75" t="inlineStr">
        <is>
          <t>ICRED INSS III FUNDO DE INVESTIMENTO EM DIREITOS CREDITORIOS RESPONSABILIDADE</t>
        </is>
      </c>
      <c r="F101" s="75" t="inlineStr">
        <is>
          <t>Carteira 101</t>
        </is>
      </c>
      <c r="G101" s="75" t="inlineStr">
        <is>
          <t>2026-08</t>
        </is>
      </c>
      <c r="H101" s="75" t="inlineStr">
        <is>
          <t>localizado</t>
        </is>
      </c>
      <c r="I101" s="143" t="n">
        <v>800875167.29</v>
      </c>
      <c r="J101" s="143" t="n">
        <v>800875167.2888583</v>
      </c>
      <c r="K101" s="143" t="n">
        <v>113041386.5797734</v>
      </c>
      <c r="L101" s="144" t="n">
        <v>0.141147323823615</v>
      </c>
      <c r="M101" s="75" t="inlineStr">
        <is>
          <t>Calculado com classes reportadas e PL oficial reconciliado</t>
        </is>
      </c>
      <c r="N101" s="144" t="n">
        <v>0.025</v>
      </c>
      <c r="O101" s="144" t="inlineStr">
        <is>
          <t>N/D</t>
        </is>
      </c>
      <c r="P101" s="144" t="inlineStr">
        <is>
          <t>N/D</t>
        </is>
      </c>
      <c r="Q101" s="144" t="inlineStr">
        <is>
          <t>N/D</t>
        </is>
      </c>
      <c r="R101" s="144" t="inlineStr">
        <is>
          <t>N/D</t>
        </is>
      </c>
      <c r="S101" s="144" t="n">
        <v>0.025</v>
      </c>
      <c r="T101" s="75" t="inlineStr">
        <is>
          <t>N/D</t>
        </is>
      </c>
      <c r="U101" s="75" t="inlineStr">
        <is>
          <t>junior_pl</t>
        </is>
      </c>
      <c r="V101" s="75" t="inlineStr">
        <is>
          <t>direto no regulamento</t>
        </is>
      </c>
      <c r="W101" s="75" t="b">
        <v>0</v>
      </c>
      <c r="X101" s="75" t="inlineStr">
        <is>
          <t>Mínimo júnior isolado; a subordinação atual disponível agrega todas as classes subordinadas.</t>
        </is>
      </c>
      <c r="Y101" s="75" t="b">
        <v>0</v>
      </c>
      <c r="Z101" s="144" t="inlineStr">
        <is>
          <t>N/D</t>
        </is>
      </c>
      <c r="AA101" s="144" t="inlineStr">
        <is>
          <t>N/D</t>
        </is>
      </c>
      <c r="AB101" s="75" t="inlineStr">
        <is>
          <t>não medido</t>
        </is>
      </c>
      <c r="AC101" s="75" t="inlineStr">
        <is>
          <t>Financeiro</t>
        </is>
      </c>
      <c r="AD101" s="75" t="inlineStr">
        <is>
          <t>Multicarteira Financeiro</t>
        </is>
      </c>
      <c r="AE101" s="75" t="inlineStr">
        <is>
          <t>Consignado INSS</t>
        </is>
      </c>
      <c r="AF101" s="75" t="inlineStr">
        <is>
          <t>Consignado INSS</t>
        </is>
      </c>
      <c r="AG101" s="75" t="inlineStr">
        <is>
          <t>Consignado INSS e FGTS</t>
        </is>
      </c>
      <c r="AH101" s="75" t="inlineStr">
        <is>
          <t>Consignado INSS e FGTS</t>
        </is>
      </c>
      <c r="AI101" s="75" t="inlineStr">
        <is>
          <t>N/D</t>
        </is>
      </c>
      <c r="AJ101" s="75" t="b">
        <v>0</v>
      </c>
      <c r="AK101" s="75" t="inlineStr">
        <is>
          <t>fora da revisão Financeiro/Agro</t>
        </is>
      </c>
      <c r="AL101" s="75" t="inlineStr">
        <is>
          <t>N/D</t>
        </is>
      </c>
      <c r="AM101" s="75" t="inlineStr">
        <is>
          <t>N/D</t>
        </is>
      </c>
      <c r="AN101" s="75" t="inlineStr">
        <is>
          <t>N/D</t>
        </is>
      </c>
      <c r="AO101" s="75" t="inlineStr">
        <is>
          <t>N/D</t>
        </is>
      </c>
      <c r="AP101" s="75" t="inlineStr">
        <is>
          <t>N/D</t>
        </is>
      </c>
      <c r="AQ101" s="75" t="inlineStr">
        <is>
          <t>Consignado INSS e FGTS</t>
        </is>
      </c>
      <c r="AR101" s="75" t="inlineStr">
        <is>
          <t>Consignado INSS e FGTS</t>
        </is>
      </c>
      <c r="AS101" s="75" t="b">
        <v>0</v>
      </c>
      <c r="AT101" s="75" t="inlineStr">
        <is>
          <t>N/D</t>
        </is>
      </c>
      <c r="AU101" s="75" t="inlineStr">
        <is>
          <t>N/D</t>
        </is>
      </c>
      <c r="AV101" s="75" t="inlineStr">
        <is>
          <t>10%–15%</t>
        </is>
      </c>
      <c r="AW101" s="75" t="b">
        <v>1</v>
      </c>
      <c r="AX101" s="75" t="inlineStr">
        <is>
          <t>incomparável</t>
        </is>
      </c>
      <c r="AY101" s="75" t="inlineStr">
        <is>
          <t>em linha com o mercado</t>
        </is>
      </c>
      <c r="AZ101" s="144" t="n">
        <v>-0.01874255814005102</v>
      </c>
      <c r="BA101" s="75" t="b">
        <v>1</v>
      </c>
      <c r="BB101" s="145" t="n">
        <v>5</v>
      </c>
      <c r="BC101" s="143" t="n">
        <v>1000</v>
      </c>
      <c r="BD101" s="75" t="inlineStr">
        <is>
          <t>R$ 1.000,00</t>
        </is>
      </c>
      <c r="BE101" s="75" t="inlineStr">
        <is>
          <t>preço/valor unitário de emissão</t>
        </is>
      </c>
      <c r="BF101" s="75" t="inlineStr">
        <is>
          <t>N/D</t>
        </is>
      </c>
      <c r="BG101" s="75" t="inlineStr">
        <is>
          <t>25/05/2026</t>
        </is>
      </c>
      <c r="BH101" s="75" t="inlineStr">
        <is>
          <t>1211821</t>
        </is>
      </c>
      <c r="BI101" s="75" t="inlineStr">
        <is>
          <t>https://fnet.bmfbovespa.com.br/fnet/publico/downloadDocumento?id=1211821</t>
        </is>
      </c>
      <c r="BJ101" s="75" t="inlineStr">
        <is>
          <t>localizado documentalmente</t>
        </is>
      </c>
      <c r="BK101" s="75" t="b">
        <v>1</v>
      </c>
      <c r="BL101" s="75" t="inlineStr">
        <is>
          <t>N/D</t>
        </is>
      </c>
      <c r="BM101" s="75" t="inlineStr">
        <is>
          <t>N/D</t>
        </is>
      </c>
      <c r="BN101" s="75" t="inlineStr">
        <is>
          <t>N/D</t>
        </is>
      </c>
      <c r="BO101" s="75" t="inlineStr">
        <is>
          <t>N/D</t>
        </is>
      </c>
      <c r="BP101" s="75" t="inlineStr">
        <is>
          <t>N/D</t>
        </is>
      </c>
      <c r="BQ101" s="75" t="inlineStr">
        <is>
          <t>N/D</t>
        </is>
      </c>
      <c r="BR101" s="75" t="inlineStr">
        <is>
          <t>N/D</t>
        </is>
      </c>
      <c r="BS101" s="75" t="inlineStr">
        <is>
          <t>sem_overlay</t>
        </is>
      </c>
      <c r="BT101" s="75" t="inlineStr">
        <is>
          <t>N/D</t>
        </is>
      </c>
      <c r="BU101" s="75" t="inlineStr">
        <is>
          <t>1211821</t>
        </is>
      </c>
      <c r="BV101" s="75" t="inlineStr">
        <is>
          <t>2026-05-25</t>
        </is>
      </c>
      <c r="BW101" s="75" t="inlineStr">
        <is>
          <t>186</t>
        </is>
      </c>
      <c r="BX101" s="75" t="inlineStr">
        <is>
          <t>revisto — mínimo júnior localizado</t>
        </is>
      </c>
      <c r="BY101" s="75" t="inlineStr">
        <is>
          <t>FundosNet/B3; documento 1211821; referência 2026-05-25; p. 186</t>
        </is>
      </c>
      <c r="BZ101" s="75" t="inlineStr">
        <is>
          <t>Cotas júnior / PL: mínimo inicial de 2,5%; 4,0% após o índice atingir esse patamar.</t>
        </is>
      </c>
      <c r="CA101" s="75" t="inlineStr">
        <is>
          <t>originador; cedente; sacado/devedor; tipo de recebível</t>
        </is>
      </c>
      <c r="CB101" s="75" t="inlineStr">
        <is>
          <t>estrutura_incomparavel</t>
        </is>
      </c>
    </row>
    <row r="102" ht="31.5" customHeight="1">
      <c r="A102" s="74" t="n">
        <v>100</v>
      </c>
      <c r="B102" s="138" t="n">
        <v>18185812000114</v>
      </c>
      <c r="C102" s="74" t="inlineStr">
        <is>
          <t>18.185.812/0001-14</t>
        </is>
      </c>
      <c r="D102" s="74" t="inlineStr">
        <is>
          <t>GAVEA SUL FUNDO DE INVESTIMENTO EM DIREITOS CREDITÓRIOS MULTISSETORIAL LP</t>
        </is>
      </c>
      <c r="E102" s="74" t="inlineStr">
        <is>
          <t>GAVEA SUL FUNDO DE INVESTIMENTO EM DIREITOS CREDITORIOS MULTISSETORIAL</t>
        </is>
      </c>
      <c r="F102" s="74" t="inlineStr">
        <is>
          <t>Carteira 101</t>
        </is>
      </c>
      <c r="G102" s="74" t="inlineStr">
        <is>
          <t>2026-08</t>
        </is>
      </c>
      <c r="H102" s="74" t="inlineStr">
        <is>
          <t>localizado</t>
        </is>
      </c>
      <c r="I102" s="139" t="n">
        <v>548070996.6799999</v>
      </c>
      <c r="J102" s="139" t="n">
        <v>548070996.7042251</v>
      </c>
      <c r="K102" s="139" t="n">
        <v>265696296.4893388</v>
      </c>
      <c r="L102" s="140" t="n">
        <v>0.4847844496403261</v>
      </c>
      <c r="M102" s="74" t="inlineStr">
        <is>
          <t>Calculado com classes reportadas e PL oficial reconciliado</t>
        </is>
      </c>
      <c r="N102" s="140" t="n">
        <v>0.22</v>
      </c>
      <c r="O102" s="140" t="inlineStr">
        <is>
          <t>N/D</t>
        </is>
      </c>
      <c r="P102" s="140" t="inlineStr">
        <is>
          <t>N/D</t>
        </is>
      </c>
      <c r="Q102" s="140" t="inlineStr">
        <is>
          <t>N/D</t>
        </is>
      </c>
      <c r="R102" s="140" t="inlineStr">
        <is>
          <t>N/D</t>
        </is>
      </c>
      <c r="S102" s="140" t="n">
        <v>0.22</v>
      </c>
      <c r="T102" s="74" t="inlineStr">
        <is>
          <t>N/D</t>
        </is>
      </c>
      <c r="U102" s="74" t="inlineStr">
        <is>
          <t>junior_pl</t>
        </is>
      </c>
      <c r="V102" s="74" t="inlineStr">
        <is>
          <t>direto no regulamento</t>
        </is>
      </c>
      <c r="W102" s="74" t="b">
        <v>0</v>
      </c>
      <c r="X102" s="74" t="inlineStr">
        <is>
          <t>Mínimo júnior isolado; a subordinação atual disponível agrega todas as classes subordinadas.</t>
        </is>
      </c>
      <c r="Y102" s="74" t="b">
        <v>0</v>
      </c>
      <c r="Z102" s="140" t="inlineStr">
        <is>
          <t>N/D</t>
        </is>
      </c>
      <c r="AA102" s="140" t="inlineStr">
        <is>
          <t>N/D</t>
        </is>
      </c>
      <c r="AB102" s="74" t="inlineStr">
        <is>
          <t>não medido</t>
        </is>
      </c>
      <c r="AC102" s="74" t="inlineStr">
        <is>
          <t>Fomento Mercantil</t>
        </is>
      </c>
      <c r="AD102" s="74" t="inlineStr">
        <is>
          <t>Fomento Mercantil</t>
        </is>
      </c>
      <c r="AE102" s="74" t="inlineStr">
        <is>
          <t>Factoring</t>
        </is>
      </c>
      <c r="AF102" s="74" t="inlineStr">
        <is>
          <t>Factoring</t>
        </is>
      </c>
      <c r="AG102" s="74" t="inlineStr">
        <is>
          <t>Factoring</t>
        </is>
      </c>
      <c r="AH102" s="74" t="inlineStr">
        <is>
          <t>Factoring</t>
        </is>
      </c>
      <c r="AI102" s="74" t="inlineStr">
        <is>
          <t>N/D</t>
        </is>
      </c>
      <c r="AJ102" s="74" t="b">
        <v>0</v>
      </c>
      <c r="AK102" s="74" t="inlineStr">
        <is>
          <t>fora da revisão Financeiro/Agro</t>
        </is>
      </c>
      <c r="AL102" s="74" t="inlineStr">
        <is>
          <t>N/D</t>
        </is>
      </c>
      <c r="AM102" s="74" t="inlineStr">
        <is>
          <t>N/D</t>
        </is>
      </c>
      <c r="AN102" s="74" t="inlineStr">
        <is>
          <t>N/D</t>
        </is>
      </c>
      <c r="AO102" s="74" t="inlineStr">
        <is>
          <t>N/D</t>
        </is>
      </c>
      <c r="AP102" s="74" t="inlineStr">
        <is>
          <t>N/D</t>
        </is>
      </c>
      <c r="AQ102" s="74" t="inlineStr">
        <is>
          <t>Factoring</t>
        </is>
      </c>
      <c r="AR102" s="74" t="inlineStr">
        <is>
          <t>Factoring</t>
        </is>
      </c>
      <c r="AS102" s="74" t="b">
        <v>0</v>
      </c>
      <c r="AT102" s="74" t="inlineStr">
        <is>
          <t>N/D</t>
        </is>
      </c>
      <c r="AU102" s="74" t="inlineStr">
        <is>
          <t>N/D</t>
        </is>
      </c>
      <c r="AV102" s="74" t="inlineStr">
        <is>
          <t>35%–60%</t>
        </is>
      </c>
      <c r="AW102" s="74" t="b">
        <v>1</v>
      </c>
      <c r="AX102" s="74" t="inlineStr">
        <is>
          <t>incomparável</t>
        </is>
      </c>
      <c r="AY102" s="74" t="inlineStr">
        <is>
          <t>sem benchmark confiável</t>
        </is>
      </c>
      <c r="AZ102" s="140" t="inlineStr">
        <is>
          <t>N/D</t>
        </is>
      </c>
      <c r="BA102" s="74" t="b">
        <v>0</v>
      </c>
      <c r="BB102" s="141" t="n">
        <v>2</v>
      </c>
      <c r="BC102" s="139" t="n">
        <v>1000</v>
      </c>
      <c r="BD102" s="74" t="inlineStr">
        <is>
          <t>Cotas Seniores: R$ 1.000,00 | Cotas Subordinadas: R$ 1.000,00 | Cotas Subordinadas Mezanino: R$ 1.000,00</t>
        </is>
      </c>
      <c r="BE102" s="74" t="inlineStr">
        <is>
          <t>preço/valor unitário de emissão</t>
        </is>
      </c>
      <c r="BF102" s="74" t="inlineStr">
        <is>
          <t>Cotas Seniores | Cotas Subordinadas | Cotas Subordinadas Mezanino</t>
        </is>
      </c>
      <c r="BG102" s="74" t="inlineStr">
        <is>
          <t>2025-10-13</t>
        </is>
      </c>
      <c r="BH102" s="74" t="inlineStr">
        <is>
          <t>1011996</t>
        </is>
      </c>
      <c r="BI102" s="74" t="inlineStr">
        <is>
          <t>https://fnet.bmfbovespa.com.br/fnet/publico/downloadDocumento?id=1011996</t>
        </is>
      </c>
      <c r="BJ102" s="74" t="inlineStr">
        <is>
          <t>localizado documentalmente — múltiplos valores/classes</t>
        </is>
      </c>
      <c r="BK102" s="74" t="b">
        <v>1</v>
      </c>
      <c r="BL102" s="74" t="inlineStr">
        <is>
          <t>N/D</t>
        </is>
      </c>
      <c r="BM102" s="74" t="inlineStr">
        <is>
          <t>N/D</t>
        </is>
      </c>
      <c r="BN102" s="74" t="inlineStr">
        <is>
          <t>N/D</t>
        </is>
      </c>
      <c r="BO102" s="74" t="inlineStr">
        <is>
          <t>5 outros 4,62% 3,17% 3,03% 2,46% 2,41% 84,29%</t>
        </is>
      </c>
      <c r="BP102" s="74" t="inlineStr">
        <is>
          <t>5 outros Tipo Recebível valor % PL Duplicata 318.392.662,74R$ 68,17% Duplicata de Servico Fisico 27.816.143,36R$ 5,96% Nota Comercial Pós 37.486.768,91R$ 8,03%</t>
        </is>
      </c>
      <c r="BQ102" s="74" t="inlineStr">
        <is>
          <t>N/D</t>
        </is>
      </c>
      <c r="BR102" s="74" t="inlineStr">
        <is>
          <t>cedente: https://fnet.bmfbovespa.com.br/fnet/publico/downloadDocumento?id=1118448 | sacado_devedor: https://fnet.bmfbovespa.com.br/fnet/publico/downloadDocumento?id=1118448</t>
        </is>
      </c>
      <c r="BS102" s="74" t="inlineStr">
        <is>
          <t>sem_overlay</t>
        </is>
      </c>
      <c r="BT102" s="74" t="inlineStr">
        <is>
          <t>N/D</t>
        </is>
      </c>
      <c r="BU102" s="74" t="inlineStr">
        <is>
          <t>1011996</t>
        </is>
      </c>
      <c r="BV102" s="74" t="inlineStr">
        <is>
          <t>2025-10-13</t>
        </is>
      </c>
      <c r="BW102" s="74" t="inlineStr">
        <is>
          <t>53</t>
        </is>
      </c>
      <c r="BX102" s="74" t="inlineStr">
        <is>
          <t>revisto — mínimo júnior localizado</t>
        </is>
      </c>
      <c r="BY102" s="74" t="inlineStr">
        <is>
          <t>FundosNet/B3; documento 1011996; referência 2025-10-13; p. 53</t>
        </is>
      </c>
      <c r="BZ102" s="74" t="inlineStr">
        <is>
          <t>Cotas subordinadas júnior / PL, mínimo de 22,0%.</t>
        </is>
      </c>
      <c r="CA102" s="74" t="inlineStr">
        <is>
          <t>originador; tipo de recebível</t>
        </is>
      </c>
      <c r="CB102" s="74" t="inlineStr">
        <is>
          <t>estrutura_incomparavel</t>
        </is>
      </c>
    </row>
    <row r="103" ht="31.5" customHeight="1">
      <c r="A103" s="75" t="n">
        <v>101</v>
      </c>
      <c r="B103" s="142" t="n">
        <v>49113994000141</v>
      </c>
      <c r="C103" s="75" t="inlineStr">
        <is>
          <t>49.113.994/0001-41</t>
        </is>
      </c>
      <c r="D103" s="75" t="inlineStr">
        <is>
          <t>FUNDO DE INVESTIMENTO EM DIREITOS CREDITÓRIOS CAP - RESPONSABILIDADE LIMITADA</t>
        </is>
      </c>
      <c r="E103" s="75" t="inlineStr">
        <is>
          <t>FUNDO DE INVESTIMENTO EM DIREITOS CREDITORIOS CAP RESPONSABILIDADE LIMITADA</t>
        </is>
      </c>
      <c r="F103" s="75" t="inlineStr">
        <is>
          <t>Carteira 101</t>
        </is>
      </c>
      <c r="G103" s="75" t="inlineStr">
        <is>
          <t>2026-08</t>
        </is>
      </c>
      <c r="H103" s="75" t="inlineStr">
        <is>
          <t>localizado</t>
        </is>
      </c>
      <c r="I103" s="143" t="n">
        <v>106701784.11</v>
      </c>
      <c r="J103" s="143" t="n">
        <v>106701784.0784375</v>
      </c>
      <c r="K103" s="143" t="n">
        <v>47112152.61270887</v>
      </c>
      <c r="L103" s="144" t="n">
        <v>0.4415310672232102</v>
      </c>
      <c r="M103" s="75" t="inlineStr">
        <is>
          <t>Calculado com classes reportadas e PL oficial reconciliado</t>
        </is>
      </c>
      <c r="N103" s="144" t="n">
        <v>0.14</v>
      </c>
      <c r="O103" s="144" t="inlineStr">
        <is>
          <t>N/D</t>
        </is>
      </c>
      <c r="P103" s="144" t="inlineStr">
        <is>
          <t>N/D</t>
        </is>
      </c>
      <c r="Q103" s="144" t="inlineStr">
        <is>
          <t>N/D</t>
        </is>
      </c>
      <c r="R103" s="144" t="inlineStr">
        <is>
          <t>N/D</t>
        </is>
      </c>
      <c r="S103" s="144" t="n">
        <v>0.14</v>
      </c>
      <c r="T103" s="75" t="inlineStr">
        <is>
          <t>N/D</t>
        </is>
      </c>
      <c r="U103" s="75" t="inlineStr">
        <is>
          <t>junior_pl</t>
        </is>
      </c>
      <c r="V103" s="75" t="inlineStr">
        <is>
          <t>direto no regulamento</t>
        </is>
      </c>
      <c r="W103" s="75" t="b">
        <v>0</v>
      </c>
      <c r="X103" s="75" t="inlineStr">
        <is>
          <t>Mínimo júnior isolado; a subordinação atual disponível agrega todas as classes subordinadas.</t>
        </is>
      </c>
      <c r="Y103" s="75" t="b">
        <v>0</v>
      </c>
      <c r="Z103" s="144" t="inlineStr">
        <is>
          <t>N/D</t>
        </is>
      </c>
      <c r="AA103" s="144" t="inlineStr">
        <is>
          <t>N/D</t>
        </is>
      </c>
      <c r="AB103" s="75" t="inlineStr">
        <is>
          <t>não medido</t>
        </is>
      </c>
      <c r="AC103" s="75" t="inlineStr">
        <is>
          <t>Financeiro</t>
        </is>
      </c>
      <c r="AD103" s="75" t="inlineStr">
        <is>
          <t>Crédito Pessoal</t>
        </is>
      </c>
      <c r="AE103" s="75" t="inlineStr">
        <is>
          <t>Financeiro</t>
        </is>
      </c>
      <c r="AF103" s="75" t="inlineStr">
        <is>
          <t>Financeiro</t>
        </is>
      </c>
      <c r="AG103" s="75" t="inlineStr">
        <is>
          <t>Financeiro</t>
        </is>
      </c>
      <c r="AH103" s="75" t="inlineStr">
        <is>
          <t>Financeiro</t>
        </is>
      </c>
      <c r="AI103" s="75" t="inlineStr">
        <is>
          <t>Tipo de crédito não isolado</t>
        </is>
      </c>
      <c r="AJ103" s="75" t="b">
        <v>0</v>
      </c>
      <c r="AK103" s="75" t="inlineStr">
        <is>
          <t>PENDENTE_DOCUMENTAL</t>
        </is>
      </c>
      <c r="AL103" s="75" t="inlineStr">
        <is>
          <t>Nenhum originador, cedente, devedor ou tipo localizado</t>
        </is>
      </c>
      <c r="AM103" s="75" t="inlineStr">
        <is>
          <t>regulamento 788104 apenas estrutural</t>
        </is>
      </c>
      <c r="AN103" s="75" t="inlineStr">
        <is>
          <t>Pendente</t>
        </is>
      </c>
      <c r="AO103" s="75" t="inlineStr">
        <is>
          <t>regulamento 788104 apenas estrutural</t>
        </is>
      </c>
      <c r="AP103" s="75" t="inlineStr">
        <is>
          <t>N/D</t>
        </is>
      </c>
      <c r="AQ103" s="75" t="inlineStr">
        <is>
          <t>Financeiro</t>
        </is>
      </c>
      <c r="AR103" s="75" t="inlineStr">
        <is>
          <t>Financeiro</t>
        </is>
      </c>
      <c r="AS103" s="75" t="b">
        <v>0</v>
      </c>
      <c r="AT103" s="75" t="inlineStr">
        <is>
          <t>N/D</t>
        </is>
      </c>
      <c r="AU103" s="75" t="inlineStr">
        <is>
          <t>N/D</t>
        </is>
      </c>
      <c r="AV103" s="75" t="inlineStr">
        <is>
          <t>35%–60%</t>
        </is>
      </c>
      <c r="AW103" s="75" t="b">
        <v>1</v>
      </c>
      <c r="AX103" s="75" t="inlineStr">
        <is>
          <t>incomparável</t>
        </is>
      </c>
      <c r="AY103" s="75" t="inlineStr">
        <is>
          <t>acima do mercado</t>
        </is>
      </c>
      <c r="AZ103" s="144" t="n">
        <v>0.135337286526726</v>
      </c>
      <c r="BA103" s="75" t="b">
        <v>1</v>
      </c>
      <c r="BB103" s="145" t="n">
        <v>12</v>
      </c>
      <c r="BC103" s="143" t="n">
        <v>1000</v>
      </c>
      <c r="BD103" s="75" t="inlineStr">
        <is>
          <t>Cotas Subordinadas Júnior: R$ 1.000,00</t>
        </is>
      </c>
      <c r="BE103" s="75" t="inlineStr">
        <is>
          <t>preço/valor unitário de emissão</t>
        </is>
      </c>
      <c r="BF103" s="75" t="inlineStr">
        <is>
          <t>Cotas Subordinadas Júnior</t>
        </is>
      </c>
      <c r="BG103" s="75" t="inlineStr">
        <is>
          <t>22/11/2024</t>
        </is>
      </c>
      <c r="BH103" s="75" t="inlineStr">
        <is>
          <t>788104</t>
        </is>
      </c>
      <c r="BI103" s="75" t="inlineStr">
        <is>
          <t>https://fnet.bmfbovespa.com.br/fnet/publico/downloadDocumento?id=788104</t>
        </is>
      </c>
      <c r="BJ103" s="75" t="inlineStr">
        <is>
          <t>localizado documentalmente</t>
        </is>
      </c>
      <c r="BK103" s="75" t="b">
        <v>0</v>
      </c>
      <c r="BL103" s="75" t="inlineStr">
        <is>
          <t>N/D</t>
        </is>
      </c>
      <c r="BM103" s="75" t="inlineStr">
        <is>
          <t>N/D</t>
        </is>
      </c>
      <c r="BN103" s="75" t="inlineStr">
        <is>
          <t>N/D</t>
        </is>
      </c>
      <c r="BO103" s="75" t="inlineStr">
        <is>
          <t>N/D</t>
        </is>
      </c>
      <c r="BP103" s="75" t="inlineStr">
        <is>
          <t>N/D</t>
        </is>
      </c>
      <c r="BQ103" s="75" t="inlineStr">
        <is>
          <t>N/D</t>
        </is>
      </c>
      <c r="BR103" s="75" t="inlineStr">
        <is>
          <t>N/D</t>
        </is>
      </c>
      <c r="BS103" s="75" t="inlineStr">
        <is>
          <t>sem_overlay</t>
        </is>
      </c>
      <c r="BT103" s="75" t="inlineStr">
        <is>
          <t>N/D</t>
        </is>
      </c>
      <c r="BU103" s="75" t="inlineStr">
        <is>
          <t>788104</t>
        </is>
      </c>
      <c r="BV103" s="75" t="inlineStr">
        <is>
          <t>2024-11-22</t>
        </is>
      </c>
      <c r="BW103" s="75" t="inlineStr">
        <is>
          <t>53</t>
        </is>
      </c>
      <c r="BX103" s="75" t="inlineStr">
        <is>
          <t>revisto — mínimo júnior localizado</t>
        </is>
      </c>
      <c r="BY103" s="75" t="inlineStr">
        <is>
          <t>FundosNet/B3; documento 788104; referência 2024-11-22; p. 53</t>
        </is>
      </c>
      <c r="BZ103" s="75" t="inlineStr">
        <is>
          <t>Cotas júnior / PL: mínimo de 14,0%; 15,0% no último dia útil de cada mês.</t>
        </is>
      </c>
      <c r="CA103" s="75" t="inlineStr">
        <is>
          <t>originador; cedente; sacado/devedor; tipo de recebível</t>
        </is>
      </c>
      <c r="CB103" s="75" t="inlineStr">
        <is>
          <t>estrutura_incomparavel</t>
        </is>
      </c>
    </row>
  </sheetData>
  <mergeCells count="13">
    <mergeCell ref="BC3:BK3"/>
    <mergeCell ref="BL3:BT3"/>
    <mergeCell ref="A2:CB2"/>
    <mergeCell ref="A3:H3"/>
    <mergeCell ref="I3:M3"/>
    <mergeCell ref="BU3:BZ3"/>
    <mergeCell ref="CA3:CB3"/>
    <mergeCell ref="AC3:AP3"/>
    <mergeCell ref="A1:CB1"/>
    <mergeCell ref="AQ3:AX3"/>
    <mergeCell ref="W3:AB3"/>
    <mergeCell ref="AY3:BB3"/>
    <mergeCell ref="N3:V3"/>
  </mergeCells>
  <conditionalFormatting sqref="AB5:AB103">
    <cfRule type="containsText" priority="1" operator="containsText" dxfId="0" text="abaixo do mínimo"/>
    <cfRule type="containsText" priority="2" operator="containsText" dxfId="1" text="folga estreita"/>
    <cfRule type="containsText" priority="3" operator="containsText" dxfId="2" text="acima do mínimo"/>
    <cfRule type="containsText" priority="4" operator="containsText" dxfId="3" text="não medido"/>
  </conditionalFormatting>
  <conditionalFormatting sqref="AE5:AE103">
    <cfRule type="containsText" priority="5" operator="containsText" dxfId="4" text="Adquirência"/>
    <cfRule type="containsText" priority="6" operator="containsText" dxfId="5" text="Agro / revenda"/>
    <cfRule type="containsText" priority="7" operator="containsText" dxfId="6" text="Consignado INSS"/>
    <cfRule type="containsText" priority="8" operator="containsText" dxfId="7" text="Consignado FGTS"/>
    <cfRule type="containsText" priority="9" operator="containsText" dxfId="8" text="Consignado CLT"/>
    <cfRule type="containsText" priority="10" operator="containsText" dxfId="9" text="Consignado estadual"/>
    <cfRule type="containsText" priority="11" operator="containsText" dxfId="10" text="Veículos"/>
    <cfRule type="containsText" priority="12" operator="containsText" dxfId="11" text="Cartão consignado"/>
    <cfRule type="containsText" priority="13" operator="containsText" dxfId="12" text="Factoring"/>
    <cfRule type="containsText" priority="14" operator="containsText" dxfId="13" text="Crédito PJ"/>
    <cfRule type="containsText" priority="15" operator="containsText" dxfId="14" text="Financeiro"/>
    <cfRule type="containsText" priority="16" operator="containsText" dxfId="15" text="Outros"/>
  </conditionalFormatting>
  <conditionalFormatting sqref="BS5:BS103">
    <cfRule type="containsText" priority="17" operator="containsText" dxfId="1" text="manual_aplicado"/>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03"/>
  <sheetViews>
    <sheetView workbookViewId="0">
      <pane xSplit="3" ySplit="4" topLeftCell="D5" activePane="bottomRight" state="frozen"/>
      <selection activeCell="A1" sqref="A1"/>
    </sheetView>
  </sheetViews>
  <sheetFormatPr baseColWidth="8" defaultRowHeight="15"/>
  <cols>
    <col width="8.75" customWidth="1" min="1" max="1"/>
    <col width="15.63000011444092" customWidth="1" min="2" max="2"/>
    <col width="53.75" customWidth="1" min="3" max="3"/>
    <col width="32.5" customWidth="1" min="4" max="4"/>
    <col width="23.1299991607666" customWidth="1" min="5" max="5"/>
    <col width="30" customWidth="1" min="6" max="6"/>
  </cols>
  <sheetData>
    <row r="1" ht="25.5" customHeight="1">
      <c r="A1" s="26" t="inlineStr">
        <is>
          <t>Nomes editáveis · rótulos dos gráficos nativos</t>
        </is>
      </c>
    </row>
    <row r="2" ht="33" customHeight="1">
      <c r="A2" s="29" t="inlineStr">
        <is>
          <t>Edite somente a coluna Nome editável para gráfico. As séries dos gráficos apontam para estas células; CNPJ, nome CVM, categoria e subtipo permanecem como referência.</t>
        </is>
      </c>
    </row>
    <row r="4" ht="25.5" customHeight="1">
      <c r="A4" s="32" t="inlineStr">
        <is>
          <t>Ordem</t>
        </is>
      </c>
      <c r="B4" s="32" t="inlineStr">
        <is>
          <t>CNPJ</t>
        </is>
      </c>
      <c r="C4" s="32" t="inlineStr">
        <is>
          <t>Nome completo CVM</t>
        </is>
      </c>
      <c r="D4" s="32" t="inlineStr">
        <is>
          <t>Nome editável para gráfico</t>
        </is>
      </c>
      <c r="E4" s="32" t="inlineStr">
        <is>
          <t>Categoria proposta</t>
        </is>
      </c>
      <c r="F4" s="32" t="inlineStr">
        <is>
          <t>Subtipo</t>
        </is>
      </c>
    </row>
    <row r="5" ht="25.5" customHeight="1">
      <c r="A5" s="104" t="n">
        <v>1</v>
      </c>
      <c r="B5" s="146" t="n">
        <v>42462306000100</v>
      </c>
      <c r="C5" s="104" t="inlineStr">
        <is>
          <t>IS GREEN SOLFÁCIL II FUNDO DE INVESTIMENTO EM DIREITOS CREDITÓRIOS DE RESPONSABILIDADE LIMITADA</t>
        </is>
      </c>
      <c r="D5" s="104" t="inlineStr">
        <is>
          <t>IS GREEN SOLFACIL II FIDC</t>
        </is>
      </c>
      <c r="E5" s="104" t="inlineStr">
        <is>
          <t>Financeiro</t>
        </is>
      </c>
      <c r="F5" s="104" t="inlineStr">
        <is>
          <t>Crédito solar / recebíveis para securitização</t>
        </is>
      </c>
    </row>
    <row r="6" ht="25.5" customHeight="1">
      <c r="A6" s="106" t="n">
        <v>2</v>
      </c>
      <c r="B6" s="147" t="n">
        <v>54810968000102</v>
      </c>
      <c r="C6" s="106" t="inlineStr">
        <is>
          <t>ANGÁ FGTS III FUNDO DE INVESTIMENTO EM DIREITOS CREDITÓRIOS</t>
        </is>
      </c>
      <c r="D6" s="106" t="inlineStr">
        <is>
          <t>ANGA FGTS III FUNDO DE INVESTIMENTO EM DIREITOS CR</t>
        </is>
      </c>
      <c r="E6" s="106" t="inlineStr">
        <is>
          <t>Consignado INSS e FGTS</t>
        </is>
      </c>
      <c r="F6" s="106" t="inlineStr">
        <is>
          <t>N/D</t>
        </is>
      </c>
    </row>
    <row r="7" ht="25.5" customHeight="1">
      <c r="A7" s="105" t="n">
        <v>3</v>
      </c>
      <c r="B7" s="148" t="n">
        <v>53270983000142</v>
      </c>
      <c r="C7" s="105" t="inlineStr">
        <is>
          <t>ANGÁ FGTS +AG FUNDO DE INVESTIMENTO EM DIREITOS CREDITÓRIOS - RESPONSABILIDADE LIMITADA</t>
        </is>
      </c>
      <c r="D7" s="105" t="inlineStr">
        <is>
          <t>ANGA FGTS MAIS AG FIDC RESPONSABILIDADE LIMITADA</t>
        </is>
      </c>
      <c r="E7" s="105" t="inlineStr">
        <is>
          <t>Consignado INSS e FGTS</t>
        </is>
      </c>
      <c r="F7" s="105" t="inlineStr">
        <is>
          <t>N/D</t>
        </is>
      </c>
    </row>
    <row r="8" ht="25.5" customHeight="1">
      <c r="A8" s="106" t="n">
        <v>4</v>
      </c>
      <c r="B8" s="147" t="n">
        <v>52968533000165</v>
      </c>
      <c r="C8" s="106" t="inlineStr">
        <is>
          <t>MCPO FUNDO DE INVESTIMENTO EM DIREITOS CREDITÓRIOS</t>
        </is>
      </c>
      <c r="D8" s="106" t="inlineStr">
        <is>
          <t>MCPO FUNDO DE INVESTIMENTO EM DIREITOS CREDITORIO</t>
        </is>
      </c>
      <c r="E8" s="106" t="inlineStr">
        <is>
          <t>Agro / Revenda</t>
        </is>
      </c>
      <c r="F8" s="106" t="inlineStr">
        <is>
          <t>Máquinas e implementos agrícolas, vendas e serviços performados</t>
        </is>
      </c>
    </row>
    <row r="9" ht="25.5" customHeight="1">
      <c r="A9" s="105" t="n">
        <v>5</v>
      </c>
      <c r="B9" s="148" t="n">
        <v>52100879000147</v>
      </c>
      <c r="C9" s="105" t="inlineStr">
        <is>
          <t>SOTREQ FUNDO DE INVESTIMENTO EM DIREITOS CREDITÓRIOS - RESPONSABILIDADE LIMITADA</t>
        </is>
      </c>
      <c r="D9" s="105" t="inlineStr">
        <is>
          <t>SOTREQ FUNDO DE INVESTIMENTO EM DIREITOS CREDITORIOS</t>
        </is>
      </c>
      <c r="E9" s="105" t="inlineStr">
        <is>
          <t>Risco Corporativo</t>
        </is>
      </c>
      <c r="F9" s="105" t="inlineStr">
        <is>
          <t>Equipamentos e serviços, recebíveis comerciais pulverizados</t>
        </is>
      </c>
    </row>
    <row r="10" ht="25.5" customHeight="1">
      <c r="A10" s="106" t="n">
        <v>6</v>
      </c>
      <c r="B10" s="147" t="n">
        <v>53662209000187</v>
      </c>
      <c r="C10" s="106" t="inlineStr">
        <is>
          <t>PNEUCASH FUNDO DE INVESTIMENTO EM DIREITOS CREDITÓRIOS DE CLASSE ÚNICA FECHADA - RESP LTDA</t>
        </is>
      </c>
      <c r="D10" s="106" t="inlineStr">
        <is>
          <t>PNEUCASH FUNDO DE INVESTIMENTO EM DIREITOS CREDITORIOS</t>
        </is>
      </c>
      <c r="E10" s="106" t="inlineStr">
        <is>
          <t>Factoring</t>
        </is>
      </c>
      <c r="F10" s="106" t="inlineStr">
        <is>
          <t>N/D</t>
        </is>
      </c>
    </row>
    <row r="11" ht="25.5" customHeight="1">
      <c r="A11" s="105" t="n">
        <v>7</v>
      </c>
      <c r="B11" s="148" t="n">
        <v>53577135000180</v>
      </c>
      <c r="C11" s="105" t="inlineStr">
        <is>
          <t>ANGÁ FGTS II FUNDO DE INVESTIMENTO EM DIREITOS CREDITÓRIOS - RESPONSABILIDADE LIMITADA</t>
        </is>
      </c>
      <c r="D11" s="105" t="inlineStr">
        <is>
          <t>ANGA FGTS II FUNDO DE INVESTIMENTO EM DIREITOS CR</t>
        </is>
      </c>
      <c r="E11" s="105" t="inlineStr">
        <is>
          <t>Consignado INSS e FGTS</t>
        </is>
      </c>
      <c r="F11" s="105" t="inlineStr">
        <is>
          <t>N/D</t>
        </is>
      </c>
    </row>
    <row r="12" ht="25.5" customHeight="1">
      <c r="A12" s="106" t="n">
        <v>8</v>
      </c>
      <c r="B12" s="147" t="n">
        <v>62626887000185</v>
      </c>
      <c r="C12" s="106" t="inlineStr">
        <is>
          <t>SUMUP SMART IV FIDC SEGMENTO MEIOS DE PAGAMENTO DE RESPONSABILIDADE LIMITADA</t>
        </is>
      </c>
      <c r="D12" s="106" t="inlineStr">
        <is>
          <t>TOP 2025 C FIDC RESP LTDA</t>
        </is>
      </c>
      <c r="E12" s="106" t="inlineStr">
        <is>
          <t>Adquirência</t>
        </is>
      </c>
      <c r="F12" s="106" t="inlineStr">
        <is>
          <t>N/D</t>
        </is>
      </c>
    </row>
    <row r="13" ht="25.5" customHeight="1">
      <c r="A13" s="105" t="n">
        <v>9</v>
      </c>
      <c r="B13" s="148" t="n">
        <v>50098465000103</v>
      </c>
      <c r="C13" s="105" t="inlineStr">
        <is>
          <t>CHEMICAL XIII - FUNDO DE INVESTIMENTO EM DIREITOS CREDITÓRIOS - INDÚSTRIA PETROQUÍMICA</t>
        </is>
      </c>
      <c r="D13" s="105" t="inlineStr">
        <is>
          <t>CHEMICAL XIII FUNDO DE INVESTIMENTO EM DIREITOS</t>
        </is>
      </c>
      <c r="E13" s="105" t="inlineStr">
        <is>
          <t>Agro / Revenda</t>
        </is>
      </c>
      <c r="F13" s="105" t="inlineStr">
        <is>
          <t>Exposição Braskem, lastro específico pendente</t>
        </is>
      </c>
    </row>
    <row r="14" ht="25.5" customHeight="1">
      <c r="A14" s="106" t="n">
        <v>10</v>
      </c>
      <c r="B14" s="147" t="n">
        <v>48967719000122</v>
      </c>
      <c r="C14" s="106" t="inlineStr">
        <is>
          <t>SOULPAY FUNDO DE INVESTIMENTO EM DIREITOS CREDITÓRIOS</t>
        </is>
      </c>
      <c r="D14" s="106" t="inlineStr">
        <is>
          <t>SOULPAY FIDC</t>
        </is>
      </c>
      <c r="E14" s="106" t="inlineStr">
        <is>
          <t>Adquirência</t>
        </is>
      </c>
      <c r="F14" s="106" t="inlineStr">
        <is>
          <t>N/D</t>
        </is>
      </c>
    </row>
    <row r="15" ht="25.5" customHeight="1">
      <c r="A15" s="105" t="n">
        <v>11</v>
      </c>
      <c r="B15" s="148" t="n">
        <v>37645417000111</v>
      </c>
      <c r="C15" s="105" t="inlineStr">
        <is>
          <t>UBYFOL AGRO III FUNDO DE INVESTIMENTO NAS CADEIAS PRODUTIVAS DO AGRONEGÓCIO - RESP LIMITADA</t>
        </is>
      </c>
      <c r="D15" s="105" t="inlineStr">
        <is>
          <t>UBYFOL AGRO FIDC III</t>
        </is>
      </c>
      <c r="E15" s="105" t="inlineStr">
        <is>
          <t>Agro / Revenda</t>
        </is>
      </c>
      <c r="F15" s="105" t="inlineStr">
        <is>
          <t>Insumos agrícolas, prazo safra</t>
        </is>
      </c>
    </row>
    <row r="16" ht="25.5" customHeight="1">
      <c r="A16" s="106" t="n">
        <v>12</v>
      </c>
      <c r="B16" s="147" t="n">
        <v>50832746000130</v>
      </c>
      <c r="C16" s="106" t="inlineStr">
        <is>
          <t>BOASAFRA FUNDO DE INVESTIMENTO EM DIREITOS CREDITÓRIOS DO AGRONEGÓCIO RESPONSABILIDADE LIMITADA</t>
        </is>
      </c>
      <c r="D16" s="106" t="inlineStr">
        <is>
          <t>BOASAFRA FIDC DO AGRONEGOCIO</t>
        </is>
      </c>
      <c r="E16" s="106" t="inlineStr">
        <is>
          <t>Agro / Revenda</t>
        </is>
      </c>
      <c r="F16" s="106" t="inlineStr">
        <is>
          <t>Insumos agrícolas, prazo safra</t>
        </is>
      </c>
    </row>
    <row r="17" ht="25.5" customHeight="1">
      <c r="A17" s="105" t="n">
        <v>13</v>
      </c>
      <c r="B17" s="148" t="n">
        <v>33076242000118</v>
      </c>
      <c r="C17" s="105" t="inlineStr">
        <is>
          <t>WORKCAP AGRO FUNDO DE INVESTIMENTO EM DIREITOS CREDITORIOS RESPONSABILIDADE LIMITADA</t>
        </is>
      </c>
      <c r="D17" s="105" t="inlineStr">
        <is>
          <t>FUNDO DE INVESTIMENTO EM DIREITOS CREDITORIOS ALBA</t>
        </is>
      </c>
      <c r="E17" s="105" t="inlineStr">
        <is>
          <t>Agro / Revenda</t>
        </is>
      </c>
      <c r="F17" s="105" t="inlineStr">
        <is>
          <t>Recebíveis Albaugh, insumos agro</t>
        </is>
      </c>
    </row>
    <row r="18" ht="25.5" customHeight="1">
      <c r="A18" s="106" t="n">
        <v>14</v>
      </c>
      <c r="B18" s="147" t="n">
        <v>44173467000109</v>
      </c>
      <c r="C18" s="106" t="inlineStr">
        <is>
          <t>MT INSS RECEIVABLES III FUNDO DE INVESTIMENTO EM DIREITOS CREDITÓRIOS RESPONSABILIDADE</t>
        </is>
      </c>
      <c r="D18" s="106" t="inlineStr">
        <is>
          <t>RECEIVABLES 48 FUNDO DE INVEST INSS MEU TUDO</t>
        </is>
      </c>
      <c r="E18" s="106" t="inlineStr">
        <is>
          <t>Consignado INSS e FGTS</t>
        </is>
      </c>
      <c r="F18" s="106" t="inlineStr">
        <is>
          <t>N/D</t>
        </is>
      </c>
    </row>
    <row r="19" ht="25.5" customHeight="1">
      <c r="A19" s="105" t="n">
        <v>15</v>
      </c>
      <c r="B19" s="148" t="n">
        <v>54252144000164</v>
      </c>
      <c r="C19" s="105" t="inlineStr">
        <is>
          <t>J17 FGTS FUNDO DE INVESTIMENTO EM DIREITOS CREDITÓRIOS FINANCEIRO - RESPONSABILIDADE LIMITADA</t>
        </is>
      </c>
      <c r="D19" s="105" t="inlineStr">
        <is>
          <t>J17 FGTS FUNDO DE INVESTIMENTO</t>
        </is>
      </c>
      <c r="E19" s="105" t="inlineStr">
        <is>
          <t>Consignado INSS e FGTS</t>
        </is>
      </c>
      <c r="F19" s="105" t="inlineStr">
        <is>
          <t>N/D</t>
        </is>
      </c>
    </row>
    <row r="20" ht="25.5" customHeight="1">
      <c r="A20" s="106" t="n">
        <v>16</v>
      </c>
      <c r="B20" s="147" t="n">
        <v>48313595000161</v>
      </c>
      <c r="C20" s="106" t="inlineStr">
        <is>
          <t>IBBA AGRO BR FUNDO DE INVESTIMENTO EM DIREITOS CREDITÓRIOS</t>
        </is>
      </c>
      <c r="D20" s="106" t="inlineStr">
        <is>
          <t>IBBA AGRO BR FUNDO DE INVESTIMENTO EM DIREITOS CRE</t>
        </is>
      </c>
      <c r="E20" s="106" t="inlineStr">
        <is>
          <t>Agro / Revenda</t>
        </is>
      </c>
      <c r="F20" s="106" t="inlineStr">
        <is>
          <t>Multicedente agro, lastro específico pendente</t>
        </is>
      </c>
    </row>
    <row r="21" ht="25.5" customHeight="1">
      <c r="A21" s="105" t="n">
        <v>17</v>
      </c>
      <c r="B21" s="148" t="n">
        <v>32526025000110</v>
      </c>
      <c r="C21" s="105" t="inlineStr">
        <is>
          <t>COBUCCIO FUNDO DE INVESTIMENTO EM DIREITOS CREDITÓRIOS DE CLASSE ÚNICA FECHADA DE RESPONS LIMITADA</t>
        </is>
      </c>
      <c r="D21" s="105" t="inlineStr">
        <is>
          <t>COBUCCIO FUNDO I F D C NAO P</t>
        </is>
      </c>
      <c r="E21" s="105" t="inlineStr">
        <is>
          <t>Financeiro</t>
        </is>
      </c>
      <c r="F21" s="105" t="inlineStr">
        <is>
          <t>Cartão e CCB PF, recebíveis de pagamento</t>
        </is>
      </c>
    </row>
    <row r="22" ht="25.5" customHeight="1">
      <c r="A22" s="106" t="n">
        <v>18</v>
      </c>
      <c r="B22" s="147" t="n">
        <v>45523699000102</v>
      </c>
      <c r="C22" s="106" t="inlineStr">
        <is>
          <t>VIXTRA FUNDO DE INVESTIMENTO EM DIREITOS CREDITÓRIOS RESPONSABILIDADE LIMITADA</t>
        </is>
      </c>
      <c r="D22" s="106" t="inlineStr">
        <is>
          <t>VIXTRA FUNDO DE INVE E D C RL</t>
        </is>
      </c>
      <c r="E22" s="106" t="inlineStr">
        <is>
          <t>Agro / Revenda</t>
        </is>
      </c>
      <c r="F22" s="106" t="inlineStr">
        <is>
          <t>Trade finance / recebíveis comerciais</t>
        </is>
      </c>
    </row>
    <row r="23" ht="25.5" customHeight="1">
      <c r="A23" s="105" t="n">
        <v>19</v>
      </c>
      <c r="B23" s="148" t="n">
        <v>54083697000130</v>
      </c>
      <c r="C23" s="105" t="inlineStr">
        <is>
          <t>PERNAMBUCANAS FIDC DE RESPONSABILIDADE LIMITADA</t>
        </is>
      </c>
      <c r="D23" s="105" t="inlineStr">
        <is>
          <t>PERNAMBUCANAS FIDC DE RESPONSABILIDADE LIMITADA</t>
        </is>
      </c>
      <c r="E23" s="105" t="inlineStr">
        <is>
          <t>Adquirência</t>
        </is>
      </c>
      <c r="F23" s="105" t="inlineStr">
        <is>
          <t>Recebíveis de transações de pagamento Pernambucanas</t>
        </is>
      </c>
    </row>
    <row r="24" ht="25.5" customHeight="1">
      <c r="A24" s="106" t="n">
        <v>20</v>
      </c>
      <c r="B24" s="147" t="n">
        <v>56936116000191</v>
      </c>
      <c r="C24" s="106" t="inlineStr">
        <is>
          <t>FATOR TARKEN FIAGRO</t>
        </is>
      </c>
      <c r="D24" s="106" t="inlineStr">
        <is>
          <t>FATOR TARKEN FUNDO DE INVESTIMENTO EM DIREITOS CRE</t>
        </is>
      </c>
      <c r="E24" s="106" t="inlineStr">
        <is>
          <t>Agro / Revenda</t>
        </is>
      </c>
      <c r="F24" s="106" t="inlineStr">
        <is>
          <t>Multicedente/multisacado, recebível comercial a confirmar</t>
        </is>
      </c>
    </row>
    <row r="25" ht="25.5" customHeight="1">
      <c r="A25" s="105" t="n">
        <v>21</v>
      </c>
      <c r="B25" s="148" t="n">
        <v>50089559000108</v>
      </c>
      <c r="C25" s="105" t="inlineStr">
        <is>
          <t>AGRICONNECTION FIAGRO</t>
        </is>
      </c>
      <c r="D25" s="105" t="inlineStr">
        <is>
          <t>AGRICONNECTION FIAGRO DIREITOS CREDITORIOS</t>
        </is>
      </c>
      <c r="E25" s="105" t="inlineStr">
        <is>
          <t>Agro / Revenda</t>
        </is>
      </c>
      <c r="F25" s="105" t="inlineStr">
        <is>
          <t>Insumos agrícolas, prazo safra</t>
        </is>
      </c>
    </row>
    <row r="26" ht="25.5" customHeight="1">
      <c r="A26" s="106" t="n">
        <v>22</v>
      </c>
      <c r="B26" s="147" t="n">
        <v>57131490000182</v>
      </c>
      <c r="C26" s="106" t="inlineStr">
        <is>
          <t>PONTO RURAL FIAGRO RESPONSABILIDADE LIMITADA</t>
        </is>
      </c>
      <c r="D26" s="106" t="inlineStr">
        <is>
          <t>PONTO RURAL FIAGRO FIDC LTDA</t>
        </is>
      </c>
      <c r="E26" s="106" t="inlineStr">
        <is>
          <t>Agro / Revenda</t>
        </is>
      </c>
      <c r="F26" s="106" t="inlineStr">
        <is>
          <t>Insumos agrícolas, prazo safra</t>
        </is>
      </c>
    </row>
    <row r="27" ht="25.5" customHeight="1">
      <c r="A27" s="105" t="n">
        <v>23</v>
      </c>
      <c r="B27" s="148" t="n">
        <v>47151680000108</v>
      </c>
      <c r="C27" s="105" t="inlineStr">
        <is>
          <t>FARM TECH IBBA I FUNDO DE INVESTIMENTO EM DIREITOS CREDITÓRIOS RESPONSABILIDADE LIMITADA</t>
        </is>
      </c>
      <c r="D27" s="105" t="inlineStr">
        <is>
          <t>FARM TECH IBBA I FUNDO DE INVESTIMENTO EM DIREITOS</t>
        </is>
      </c>
      <c r="E27" s="105" t="inlineStr">
        <is>
          <t>Agro / Revenda</t>
        </is>
      </c>
      <c r="F27" s="105" t="inlineStr">
        <is>
          <t>Multicedente agro, lastro específico pendente</t>
        </is>
      </c>
    </row>
    <row r="28" ht="25.5" customHeight="1">
      <c r="A28" s="106" t="n">
        <v>24</v>
      </c>
      <c r="B28" s="147" t="n">
        <v>43309233000183</v>
      </c>
      <c r="C28" s="106" t="inlineStr">
        <is>
          <t>FUNDO DE INVESTIMENTO EM DIREITOS CREDITÓRIOS LIVERPOOL RESPONSABILIDADE LIMITADA</t>
        </is>
      </c>
      <c r="D28" s="106" t="inlineStr">
        <is>
          <t>FUNDO DE INVESTIMENTO EM DIREITOS CREDITORIOS LIVERPOOL</t>
        </is>
      </c>
      <c r="E28" s="106" t="inlineStr">
        <is>
          <t>Agro / Revenda</t>
        </is>
      </c>
      <c r="F28" s="106" t="inlineStr">
        <is>
          <t>CPR-F, CDCA e recebíveis de distribuidores Adama</t>
        </is>
      </c>
    </row>
    <row r="29" ht="25.5" customHeight="1">
      <c r="A29" s="105" t="n">
        <v>25</v>
      </c>
      <c r="B29" s="148" t="n">
        <v>43616659000180</v>
      </c>
      <c r="C29" s="105" t="inlineStr">
        <is>
          <t>TALÓ 1 FUNDO DE INVESTIMENTO EM DIREITOS CREDITÓRIOS RESPONSABILIDADE LIMITADA</t>
        </is>
      </c>
      <c r="D29" s="105" t="inlineStr">
        <is>
          <t>TALO 1 FUNDO DE INVESTIMENTO EM DIREITOS CREDITORIOS</t>
        </is>
      </c>
      <c r="E29" s="105" t="inlineStr">
        <is>
          <t>Agro / Revenda</t>
        </is>
      </c>
      <c r="F29" s="105" t="inlineStr">
        <is>
          <t>Recebíveis de insumos Yara</t>
        </is>
      </c>
    </row>
    <row r="30" ht="25.5" customHeight="1">
      <c r="A30" s="106" t="n">
        <v>26</v>
      </c>
      <c r="B30" s="147" t="n">
        <v>52343195000176</v>
      </c>
      <c r="C30" s="106" t="inlineStr">
        <is>
          <t>FARMTECH SYNGENTA FUNDO DE INVESTIMENTO EM DIREITOS CREDITÓRIOS RESPONSABILIDADE LIMITADA</t>
        </is>
      </c>
      <c r="D30" s="106" t="inlineStr">
        <is>
          <t>FARMTECH SYNGENTA FUNDO DE INVESTIMENTO EM DIREITO</t>
        </is>
      </c>
      <c r="E30" s="106" t="inlineStr">
        <is>
          <t>Agro / Revenda</t>
        </is>
      </c>
      <c r="F30" s="106" t="inlineStr">
        <is>
          <t>Multicedente Syngenta, lastro específico pendente</t>
        </is>
      </c>
    </row>
    <row r="31" ht="25.5" customHeight="1">
      <c r="A31" s="105" t="n">
        <v>27</v>
      </c>
      <c r="B31" s="148" t="n">
        <v>44574361000117</v>
      </c>
      <c r="C31" s="105" t="inlineStr">
        <is>
          <t>FUNDO DE INVESTIMENTO EM DIREITOS CREDITORIOS UPL 02 - RESPONSABILIDADE LIMITADA</t>
        </is>
      </c>
      <c r="D31" s="105" t="inlineStr">
        <is>
          <t>FUNDO DE INVESTIMENTO EM DIREITOS CREDITORIOS UPL</t>
        </is>
      </c>
      <c r="E31" s="105" t="inlineStr">
        <is>
          <t>Agro / Revenda</t>
        </is>
      </c>
      <c r="F31" s="105" t="inlineStr">
        <is>
          <t>Insumos agrícolas, prazo safra</t>
        </is>
      </c>
    </row>
    <row r="32" ht="25.5" customHeight="1">
      <c r="A32" s="106" t="n">
        <v>29</v>
      </c>
      <c r="B32" s="147" t="n">
        <v>50857998000113</v>
      </c>
      <c r="C32" s="106" t="inlineStr">
        <is>
          <t>LEO MADEIRAS FIDC SEGMENTO MEIOS DE PAGAMENTO DE RESPONSABILIDADE LIMITADA</t>
        </is>
      </c>
      <c r="D32" s="106" t="inlineStr">
        <is>
          <t>LEO I FUNDO INV DIR CREDITORIOS</t>
        </is>
      </c>
      <c r="E32" s="106" t="inlineStr">
        <is>
          <t>Adquirência</t>
        </is>
      </c>
      <c r="F32" s="106" t="inlineStr">
        <is>
          <t>Recebíveis de pagamento, subcredenciadora como devedora</t>
        </is>
      </c>
    </row>
    <row r="33" ht="25.5" customHeight="1">
      <c r="A33" s="105" t="n">
        <v>30</v>
      </c>
      <c r="B33" s="148" t="n">
        <v>38376526000143</v>
      </c>
      <c r="C33" s="105" t="inlineStr">
        <is>
          <t>HOTFUND FUNDO DE INVESTIMENTO EM DIREITOS CREDITÓRIOS SEGMENTO MEIOS DE PAGAMENTO DE RESPONSABILIDAD</t>
        </is>
      </c>
      <c r="D33" s="105" t="inlineStr">
        <is>
          <t>HOTFUND FIDC</t>
        </is>
      </c>
      <c r="E33" s="105" t="inlineStr">
        <is>
          <t>Adquirência</t>
        </is>
      </c>
      <c r="F33" s="105" t="inlineStr">
        <is>
          <t>Recebíveis de cartão / Hotmart</t>
        </is>
      </c>
    </row>
    <row r="34" ht="25.5" customHeight="1">
      <c r="A34" s="106" t="n">
        <v>31</v>
      </c>
      <c r="B34" s="147" t="n">
        <v>45598747000121</v>
      </c>
      <c r="C34" s="106" t="inlineStr">
        <is>
          <t>SUMUP SOLO FUNDO DE INVESTIMENTO EM DIREITOS CREDITÓRIOS SEGMENTO MEIOS DE PAGAMENTO DE RESPONSABILI</t>
        </is>
      </c>
      <c r="D34" s="106" t="inlineStr">
        <is>
          <t>FIDC SUMUP</t>
        </is>
      </c>
      <c r="E34" s="106" t="inlineStr">
        <is>
          <t>Adquirência</t>
        </is>
      </c>
      <c r="F34" s="106" t="inlineStr">
        <is>
          <t>N/D</t>
        </is>
      </c>
    </row>
    <row r="35" ht="25.5" customHeight="1">
      <c r="A35" s="105" t="n">
        <v>32</v>
      </c>
      <c r="B35" s="148" t="n">
        <v>41197066000109</v>
      </c>
      <c r="C35" s="105" t="inlineStr">
        <is>
          <t>IFOOD PAGO CRÉDITO I FUNDO DE INVESTIMENTO EM DIREITOS CREDITÓRIOS FINANCEIRO DE RESP LIMITADA</t>
        </is>
      </c>
      <c r="D35" s="105" t="inlineStr">
        <is>
          <t>MOVILEPAY CREDITO I FIDC SEGMENTO FINANCEIRO DE RE</t>
        </is>
      </c>
      <c r="E35" s="105" t="inlineStr">
        <is>
          <t>Financeiro</t>
        </is>
      </c>
      <c r="F35" s="105" t="inlineStr">
        <is>
          <t>Crédito embedded PF/PJ, CCBs no ecossistema iFood</t>
        </is>
      </c>
    </row>
    <row r="36" ht="25.5" customHeight="1">
      <c r="A36" s="106" t="n">
        <v>33</v>
      </c>
      <c r="B36" s="147" t="n">
        <v>44124617000194</v>
      </c>
      <c r="C36" s="106" t="inlineStr">
        <is>
          <t>CLOUDWALK AKIRA II FIDC SEGMENTO MEIOS DE PAGAMENTO</t>
        </is>
      </c>
      <c r="D36" s="106" t="inlineStr">
        <is>
          <t>CLOUDWALK AKIRA II FUNDO DE INVESTIMENTO EM DIREITO</t>
        </is>
      </c>
      <c r="E36" s="106" t="inlineStr">
        <is>
          <t>Adquirência</t>
        </is>
      </c>
      <c r="F36" s="106" t="inlineStr">
        <is>
          <t>N/D</t>
        </is>
      </c>
    </row>
    <row r="37" ht="25.5" customHeight="1">
      <c r="A37" s="105" t="n">
        <v>34</v>
      </c>
      <c r="B37" s="148" t="n">
        <v>42085816000105</v>
      </c>
      <c r="C37" s="105" t="inlineStr">
        <is>
          <t>CLOUDWALK KICK ASS I FUNDO DE INVESTIMENTO EM DIREITOS CREDITÓRIOS SEGMENTO MEIOS DE PAGAMENTO</t>
        </is>
      </c>
      <c r="D37" s="105" t="inlineStr">
        <is>
          <t>CLOUDWALK KICK ASS I FUNDO DE INVESTIMENTO EM DIRE</t>
        </is>
      </c>
      <c r="E37" s="105" t="inlineStr">
        <is>
          <t>Adquirência</t>
        </is>
      </c>
      <c r="F37" s="105" t="inlineStr">
        <is>
          <t>N/D</t>
        </is>
      </c>
    </row>
    <row r="38" ht="25.5" customHeight="1">
      <c r="A38" s="106" t="n">
        <v>35</v>
      </c>
      <c r="B38" s="147" t="n">
        <v>38385876000176</v>
      </c>
      <c r="C38" s="106" t="inlineStr">
        <is>
          <t>ESTRATÉGIA EDUCACIONAL FUNDO DE INVESTIMENTO EM DIREITOS CREDITÓRIOS</t>
        </is>
      </c>
      <c r="D38" s="106" t="inlineStr">
        <is>
          <t>ESTRATEGIA EDUCACIONAL FIDC</t>
        </is>
      </c>
      <c r="E38" s="106" t="inlineStr">
        <is>
          <t>Adquirência</t>
        </is>
      </c>
      <c r="F38" s="106" t="inlineStr">
        <is>
          <t>Agenda de recebíveis de transações de pagamento</t>
        </is>
      </c>
    </row>
    <row r="39" ht="25.5" customHeight="1">
      <c r="A39" s="105" t="n">
        <v>36</v>
      </c>
      <c r="B39" s="148" t="n">
        <v>40919667000107</v>
      </c>
      <c r="C39" s="105" t="inlineStr">
        <is>
          <t>RECARGAPAY I FUNDO DE INVESTIMENTO EM DIREITOS CREDITÓRIOS</t>
        </is>
      </c>
      <c r="D39" s="105" t="inlineStr">
        <is>
          <t>RECARGAPAY I FUNDO DE INVESTIMENTO EM DIREITOS CRE</t>
        </is>
      </c>
      <c r="E39" s="105" t="inlineStr">
        <is>
          <t>Adquirência</t>
        </is>
      </c>
      <c r="F39" s="105" t="inlineStr">
        <is>
          <t>N/D</t>
        </is>
      </c>
    </row>
    <row r="40" ht="25.5" customHeight="1">
      <c r="A40" s="106" t="n">
        <v>37</v>
      </c>
      <c r="B40" s="147" t="n">
        <v>42102603000144</v>
      </c>
      <c r="C40" s="106" t="inlineStr">
        <is>
          <t>CLOUDWALK KICK ASS II FUNDO DE INVESTIMENTO EM DIREITOS CREDITÓRIOS SEGMENTO MEIOS DE PAGAMENTO</t>
        </is>
      </c>
      <c r="D40" s="106" t="inlineStr">
        <is>
          <t>CLOUDWALK KICK ASS II FUNDO DE INVESTIMENTO EM DIR</t>
        </is>
      </c>
      <c r="E40" s="106" t="inlineStr">
        <is>
          <t>Adquirência</t>
        </is>
      </c>
      <c r="F40" s="106" t="inlineStr">
        <is>
          <t>N/D</t>
        </is>
      </c>
    </row>
    <row r="41" ht="25.5" customHeight="1">
      <c r="A41" s="105" t="n">
        <v>38</v>
      </c>
      <c r="B41" s="148" t="n">
        <v>28169275000172</v>
      </c>
      <c r="C41" s="105" t="inlineStr">
        <is>
          <t>FUNDO DE INVESTIMENTO EM DIREITOS CREDITÓRIOS PAGSEGURO I</t>
        </is>
      </c>
      <c r="D41" s="105" t="inlineStr">
        <is>
          <t>FUNDO DE INVESTIMENTO EM DIREITOS CREDITORIOS PAGSEGURO I</t>
        </is>
      </c>
      <c r="E41" s="105" t="inlineStr">
        <is>
          <t>Adquirência</t>
        </is>
      </c>
      <c r="F41" s="105" t="inlineStr">
        <is>
          <t>N/D</t>
        </is>
      </c>
    </row>
    <row r="42" ht="25.5" customHeight="1">
      <c r="A42" s="106" t="n">
        <v>39</v>
      </c>
      <c r="B42" s="147" t="n">
        <v>38658727000133</v>
      </c>
      <c r="C42" s="106" t="inlineStr">
        <is>
          <t>FUNDO DE INVESTIMENTO EM DIREITOS CREDITÓRIOS FORNECEDORES MADEIRA MADEIRA I</t>
        </is>
      </c>
      <c r="D42" s="106" t="inlineStr">
        <is>
          <t>FIDC FORNEC MADEIRA MADEIRA I</t>
        </is>
      </c>
      <c r="E42" s="106" t="inlineStr">
        <is>
          <t>Risco Corporativo</t>
        </is>
      </c>
      <c r="F42" s="106" t="inlineStr">
        <is>
          <t>Supplier finance, MadeiraMadeira como devedora</t>
        </is>
      </c>
    </row>
    <row r="43" ht="25.5" customHeight="1">
      <c r="A43" s="105" t="n">
        <v>40</v>
      </c>
      <c r="B43" s="148" t="n">
        <v>52271464000136</v>
      </c>
      <c r="C43" s="105" t="inlineStr">
        <is>
          <t>KIWIFY FUNDO DE INVESTIMENTO EM DIREITOS CREDITÓRIOS SEGMENTO MEIOS DE PAGAMENTO DE RESPONSABILIDADE</t>
        </is>
      </c>
      <c r="D43" s="105" t="inlineStr">
        <is>
          <t>KIWIFY FUNDO DE INVESTIMENTO E</t>
        </is>
      </c>
      <c r="E43" s="105" t="inlineStr">
        <is>
          <t>Adquirência</t>
        </is>
      </c>
      <c r="F43" s="105" t="inlineStr">
        <is>
          <t>N/D</t>
        </is>
      </c>
    </row>
    <row r="44" ht="25.5" customHeight="1">
      <c r="A44" s="106" t="n">
        <v>41</v>
      </c>
      <c r="B44" s="147" t="n">
        <v>29226654000110</v>
      </c>
      <c r="C44" s="106" t="inlineStr">
        <is>
          <t>INVESTCRED FUNDO DE INVESTIMENTO EM DIREITOS CREDITÓRIOS</t>
        </is>
      </c>
      <c r="D44" s="106" t="inlineStr">
        <is>
          <t>INVESTCRED FUNDO DE INVESTIMENTO EM DIREITOS CREDI</t>
        </is>
      </c>
      <c r="E44" s="106" t="inlineStr">
        <is>
          <t>Agro / Revenda</t>
        </is>
      </c>
      <c r="F44" s="106" t="inlineStr">
        <is>
          <t>Cartão/CCB, ecossistema Credsystem</t>
        </is>
      </c>
    </row>
    <row r="45" ht="25.5" customHeight="1">
      <c r="A45" s="105" t="n">
        <v>42</v>
      </c>
      <c r="B45" s="148" t="n">
        <v>54857414000160</v>
      </c>
      <c r="C45" s="105" t="inlineStr">
        <is>
          <t>INDIE MERX RAIZ I CRÉDITO AGRO FIDC DO AGRONEGÓCIO - RESPONSABILIDADE LIMITADA</t>
        </is>
      </c>
      <c r="D45" s="105" t="inlineStr">
        <is>
          <t>INDIE MERX RAIZ I CREDITO AGRO FUNDO DE INVESTIMEN</t>
        </is>
      </c>
      <c r="E45" s="105" t="inlineStr">
        <is>
          <t>Agro / Revenda</t>
        </is>
      </c>
      <c r="F45" s="105" t="inlineStr">
        <is>
          <t>CPR-F de produtores rurais</t>
        </is>
      </c>
    </row>
    <row r="46" ht="25.5" customHeight="1">
      <c r="A46" s="106" t="n">
        <v>43</v>
      </c>
      <c r="B46" s="147" t="n">
        <v>44124465000120</v>
      </c>
      <c r="C46" s="106" t="inlineStr">
        <is>
          <t>TMAQ 21 FUNDO DE INVESTIMENTO EM DIREITOS CREDITÓRIOS DE ARRANJOS DE PAGAMENTO DE RESPONSABILIDADE L</t>
        </is>
      </c>
      <c r="D46" s="106" t="inlineStr">
        <is>
          <t>TMAQ21 FUNDO I E D CREDITORIOS</t>
        </is>
      </c>
      <c r="E46" s="106" t="inlineStr">
        <is>
          <t>Agro / Revenda</t>
        </is>
      </c>
      <c r="F46" s="106" t="inlineStr">
        <is>
          <t>Risco de emissores de cartão / arranjo ACQIO</t>
        </is>
      </c>
    </row>
    <row r="47" ht="25.5" customHeight="1">
      <c r="A47" s="105" t="n">
        <v>44</v>
      </c>
      <c r="B47" s="148" t="n">
        <v>55401645000128</v>
      </c>
      <c r="C47" s="105" t="inlineStr">
        <is>
          <t>QUATÁ FDC FGTS FUNDO DE INVESTIMENTO EM DIREITOS CREDITÓRIOS</t>
        </is>
      </c>
      <c r="D47" s="105" t="inlineStr">
        <is>
          <t>QUATA FIDC FGTS FUNDO DE INVESTIMENTO EM DIREITOS</t>
        </is>
      </c>
      <c r="E47" s="105" t="inlineStr">
        <is>
          <t>Consignado INSS e FGTS</t>
        </is>
      </c>
      <c r="F47" s="105" t="inlineStr">
        <is>
          <t>N/D</t>
        </is>
      </c>
    </row>
    <row r="48" ht="25.5" customHeight="1">
      <c r="A48" s="106" t="n">
        <v>45</v>
      </c>
      <c r="B48" s="147" t="n">
        <v>63622842000103</v>
      </c>
      <c r="C48" s="106" t="inlineStr">
        <is>
          <t>DESBRAVA UNO ARTIGOS ESPORTIVOS FUNDO DE INVESTIMENTO EM DIREITOS CREDITÓRIOS RESP LIMITADA</t>
        </is>
      </c>
      <c r="D48" s="106" t="inlineStr">
        <is>
          <t>DESBRAVA UNO ART ESP FIDC RL</t>
        </is>
      </c>
      <c r="E48" s="106" t="inlineStr">
        <is>
          <t>Risco Corporativo</t>
        </is>
      </c>
      <c r="F48" s="106" t="inlineStr">
        <is>
          <t>Notas comerciais da Dass, projeto de investimento</t>
        </is>
      </c>
    </row>
    <row r="49" ht="25.5" customHeight="1">
      <c r="A49" s="105" t="n">
        <v>46</v>
      </c>
      <c r="B49" s="148" t="n">
        <v>44272584000120</v>
      </c>
      <c r="C49" s="105" t="inlineStr">
        <is>
          <t>LAVORO AGRO FIAGRO - DIREITOS CREDITÓRIOS - RESPONSABILIDADE LIMITADA</t>
        </is>
      </c>
      <c r="D49" s="105" t="inlineStr">
        <is>
          <t>LAVORO AGRO FIDC DAS CADEIAS PRODUTIVAS AGROINDUST</t>
        </is>
      </c>
      <c r="E49" s="105" t="inlineStr">
        <is>
          <t>Agro / Revenda</t>
        </is>
      </c>
      <c r="F49" s="105" t="inlineStr">
        <is>
          <t>Recebíveis do Grupo Lavoro</t>
        </is>
      </c>
    </row>
    <row r="50" ht="25.5" customHeight="1">
      <c r="A50" s="106" t="n">
        <v>47</v>
      </c>
      <c r="B50" s="147" t="n">
        <v>62838025000116</v>
      </c>
      <c r="C50" s="106" t="inlineStr">
        <is>
          <t>ENDURANCE FUNDO DE INVESTIMENTO EM DIREITOS CREDITÓRIOS RESPONSABILIDADE LIMITADA</t>
        </is>
      </c>
      <c r="D50" s="106" t="inlineStr">
        <is>
          <t>TOP 2025 J FIDC RESP LTDA</t>
        </is>
      </c>
      <c r="E50" s="106" t="inlineStr">
        <is>
          <t>Financeiro</t>
        </is>
      </c>
      <c r="F50" s="106" t="inlineStr">
        <is>
          <t>Recebíveis de arranjos de pagamento</t>
        </is>
      </c>
    </row>
    <row r="51" ht="25.5" customHeight="1">
      <c r="A51" s="105" t="n">
        <v>48</v>
      </c>
      <c r="B51" s="148" t="n">
        <v>47280025000150</v>
      </c>
      <c r="C51" s="105" t="inlineStr">
        <is>
          <t>FIDC AGRO CAPITAL FINANCE RESPONSABILIDADE LIMITADA</t>
        </is>
      </c>
      <c r="D51" s="105" t="inlineStr">
        <is>
          <t>FUNDO DE INVESTIMENTO EM DIREITOS CREDITORIOS ALBA</t>
        </is>
      </c>
      <c r="E51" s="105" t="inlineStr">
        <is>
          <t>Agro / Revenda</t>
        </is>
      </c>
      <c r="F51" s="105" t="inlineStr">
        <is>
          <t>Recebíveis Albaugh, insumos agro</t>
        </is>
      </c>
    </row>
    <row r="52" ht="25.5" customHeight="1">
      <c r="A52" s="106" t="n">
        <v>49</v>
      </c>
      <c r="B52" s="147" t="n">
        <v>57270666000187</v>
      </c>
      <c r="C52" s="106" t="inlineStr">
        <is>
          <t>MOBILITAS FUNDO DE INVESTIMENTO EM DIREITOS CREDITÓRIOS - RESPONSABILIDADE LIMITADA</t>
        </is>
      </c>
      <c r="D52" s="106" t="inlineStr">
        <is>
          <t>MOBILITAS FIDC RL</t>
        </is>
      </c>
      <c r="E52" s="106" t="inlineStr">
        <is>
          <t>Agro / Revenda</t>
        </is>
      </c>
      <c r="F52" s="106" t="inlineStr">
        <is>
          <t>Recebíveis performados, Rede como adquirente</t>
        </is>
      </c>
    </row>
    <row r="53" ht="25.5" customHeight="1">
      <c r="A53" s="105" t="n">
        <v>50</v>
      </c>
      <c r="B53" s="148" t="n">
        <v>58288437000152</v>
      </c>
      <c r="C53" s="105" t="inlineStr">
        <is>
          <t>ALTOMAX FUNDO DE INVESTIMENTO EM DIREITOS CREDITÓRIOS SEGMENTO RECEBÍVEIS COMERCIAIS DE RESP LTDA</t>
        </is>
      </c>
      <c r="D53" s="105" t="inlineStr">
        <is>
          <t>ALTOMAX FIDC SEG RECEB COM LTD</t>
        </is>
      </c>
      <c r="E53" s="105" t="inlineStr">
        <is>
          <t>Risco Corporativo</t>
        </is>
      </c>
      <c r="F53" s="105" t="inlineStr">
        <is>
          <t>Recebíveis comerciais Altomax / grupo econômico</t>
        </is>
      </c>
    </row>
    <row r="54" ht="25.5" customHeight="1">
      <c r="A54" s="106" t="n">
        <v>51</v>
      </c>
      <c r="B54" s="147" t="n">
        <v>55476342000174</v>
      </c>
      <c r="C54" s="106" t="inlineStr">
        <is>
          <t>LAVORO AGRO II FIAGRO - DIREITOS CREDITÓRIOS - RESPONSABILIDADE LIMITADA</t>
        </is>
      </c>
      <c r="D54" s="106" t="inlineStr">
        <is>
          <t>LAVORO AGRO II FUNDO DE INVESTIMENTO EM DIREITOS C</t>
        </is>
      </c>
      <c r="E54" s="106" t="inlineStr">
        <is>
          <t>Agro / Revenda</t>
        </is>
      </c>
      <c r="F54" s="106" t="inlineStr">
        <is>
          <t>Recebíveis do Grupo Lavoro</t>
        </is>
      </c>
    </row>
    <row r="55" ht="25.5" customHeight="1">
      <c r="A55" s="105" t="n">
        <v>52</v>
      </c>
      <c r="B55" s="148" t="n">
        <v>63679792000192</v>
      </c>
      <c r="C55" s="105" t="inlineStr">
        <is>
          <t>BLUE HEALTH FIDC RECEBÍVEIS COMERCIAIS DE RESPONSABILIDADE LIMITADA</t>
        </is>
      </c>
      <c r="D55" s="105" t="inlineStr">
        <is>
          <t>BLUE HEALTH FIDC RECEB LTDA</t>
        </is>
      </c>
      <c r="E55" s="105" t="inlineStr">
        <is>
          <t>Risco Corporativo</t>
        </is>
      </c>
      <c r="F55" s="105" t="inlineStr">
        <is>
          <t>Locação de equipamentos médicos</t>
        </is>
      </c>
    </row>
    <row r="56" ht="25.5" customHeight="1">
      <c r="A56" s="106" t="n">
        <v>53</v>
      </c>
      <c r="B56" s="147" t="n">
        <v>42154687000160</v>
      </c>
      <c r="C56" s="106" t="inlineStr">
        <is>
          <t>MULTIPLIKE PLUS FUNDO DE INVESTIMENTO EM DIREITOS CREDITÓRIOS</t>
        </is>
      </c>
      <c r="D56" s="106" t="inlineStr">
        <is>
          <t>MULTIPLIKE PLUS FUNDO I D CRED</t>
        </is>
      </c>
      <c r="E56" s="106" t="inlineStr">
        <is>
          <t>Financeiro</t>
        </is>
      </c>
      <c r="F56" s="106" t="inlineStr">
        <is>
          <t>Multissetorial com predominância permitida de CCB</t>
        </is>
      </c>
    </row>
    <row r="57" ht="25.5" customHeight="1">
      <c r="A57" s="105" t="n">
        <v>54</v>
      </c>
      <c r="B57" s="148" t="n">
        <v>48946335000123</v>
      </c>
      <c r="C57" s="105" t="inlineStr">
        <is>
          <t>NAGRO OIKOS FUNDO DE INVESTIMENTO NAS CADEIAS PRODUTIVAS DO AGRONEGÓCIO</t>
        </is>
      </c>
      <c r="D57" s="105" t="inlineStr">
        <is>
          <t>NAGRO OIKOS FIAGRO FUNDO DE INVESTIMENTO EM DIREI</t>
        </is>
      </c>
      <c r="E57" s="105" t="inlineStr">
        <is>
          <t>Agro / Revenda</t>
        </is>
      </c>
      <c r="F57" s="105" t="inlineStr">
        <is>
          <t>Multicedente FIAGRO, lastro específico pendente</t>
        </is>
      </c>
    </row>
    <row r="58" ht="25.5" customHeight="1">
      <c r="A58" s="106" t="n">
        <v>55</v>
      </c>
      <c r="B58" s="147" t="n">
        <v>55374251000128</v>
      </c>
      <c r="C58" s="106" t="inlineStr">
        <is>
          <t>FUNDO DE INVESTIMENTO EM DIREITOS CREDITÓRIOS BLUE II SEGMENTO CRÉDITO CORPORATIVO DE RESP LTDA</t>
        </is>
      </c>
      <c r="D58" s="106" t="inlineStr">
        <is>
          <t>FUNDO DE INVESTIMENTO EM DIREITOS CREDITORIOS BLUE</t>
        </is>
      </c>
      <c r="E58" s="106" t="inlineStr">
        <is>
          <t>Agro / Revenda</t>
        </is>
      </c>
      <c r="F58" s="106" t="inlineStr">
        <is>
          <t>Debênture / risco Azul</t>
        </is>
      </c>
    </row>
    <row r="59" ht="25.5" customHeight="1">
      <c r="A59" s="105" t="n">
        <v>57</v>
      </c>
      <c r="B59" s="148" t="n">
        <v>48953864000154</v>
      </c>
      <c r="C59" s="105" t="inlineStr">
        <is>
          <t>FUNDO DE INVESTIMENTO EM DIREITOS CREDITORIOS ASAAS II - RESPONSABILIDADE LIMITADA</t>
        </is>
      </c>
      <c r="D59" s="105" t="inlineStr">
        <is>
          <t>FUNDO INVESTIMENTO E D C A II</t>
        </is>
      </c>
      <c r="E59" s="105" t="inlineStr">
        <is>
          <t>Adquirência</t>
        </is>
      </c>
      <c r="F59" s="105" t="inlineStr">
        <is>
          <t>URs de transações de pagamento Asaas</t>
        </is>
      </c>
    </row>
    <row r="60" ht="25.5" customHeight="1">
      <c r="A60" s="106" t="n">
        <v>58</v>
      </c>
      <c r="B60" s="147" t="n">
        <v>65976848000104</v>
      </c>
      <c r="C60" s="106" t="inlineStr">
        <is>
          <t>FUNDO DE INVESTIMENTO EM DIREITOS CREDITÓRIOS AGIBANK II RESPONSABILIDADE LIMITADA</t>
        </is>
      </c>
      <c r="D60" s="106" t="inlineStr">
        <is>
          <t>FUNDO DE INVESTIMENTO EM DIREITOS CREDITORIOS AGIBANK II</t>
        </is>
      </c>
      <c r="E60" s="106" t="inlineStr">
        <is>
          <t>Consignado INSS e FGTS</t>
        </is>
      </c>
      <c r="F60" s="106" t="inlineStr">
        <is>
          <t>N/D</t>
        </is>
      </c>
    </row>
    <row r="61" ht="25.5" customHeight="1">
      <c r="A61" s="105" t="n">
        <v>59</v>
      </c>
      <c r="B61" s="148" t="n">
        <v>50536324000117</v>
      </c>
      <c r="C61" s="105" t="inlineStr">
        <is>
          <t>MAQNELSON FUNDO DE INVESTIMENTO EM DIREITOS CREDITÓRIOS - RESPONSABILIDADE LIMITADA</t>
        </is>
      </c>
      <c r="D61" s="105" t="inlineStr">
        <is>
          <t>MAQNELSON FUNDO DE INVESTIMENTO EM DIREITOS CREDIT</t>
        </is>
      </c>
      <c r="E61" s="105" t="inlineStr">
        <is>
          <t>Agro / Revenda</t>
        </is>
      </c>
      <c r="F61" s="105" t="inlineStr">
        <is>
          <t>Venda a prazo de máquinas e implementos Maqnelson</t>
        </is>
      </c>
    </row>
    <row r="62" ht="25.5" customHeight="1">
      <c r="A62" s="106" t="n">
        <v>60</v>
      </c>
      <c r="B62" s="147" t="n">
        <v>57816252000100</v>
      </c>
      <c r="C62" s="106" t="inlineStr">
        <is>
          <t>NATURA PAY FUNDO DE INVESTIMENTO EM DIREITOS CREDITÓRIOS CRÉDITO PESSOAL SOCIAL E IS RESP LTDA</t>
        </is>
      </c>
      <c r="D62" s="106" t="inlineStr">
        <is>
          <t>NATURA PAY FUNDO DE INVESTIMENTO EM DIREITOS CREDI</t>
        </is>
      </c>
      <c r="E62" s="106" t="inlineStr">
        <is>
          <t>Financeiro</t>
        </is>
      </c>
      <c r="F62" s="106" t="inlineStr">
        <is>
          <t>Financiamento a consultoras Natura, CCBs</t>
        </is>
      </c>
    </row>
    <row r="63" ht="25.5" customHeight="1">
      <c r="A63" s="105" t="n">
        <v>61</v>
      </c>
      <c r="B63" s="148" t="n">
        <v>50473039000102</v>
      </c>
      <c r="C63" s="105" t="inlineStr">
        <is>
          <t>SELLER FIDC SEGMENTO MEIOS DE PAGAMENTO DE RESPONSABILIDADE LIMITADA</t>
        </is>
      </c>
      <c r="D63" s="105" t="inlineStr">
        <is>
          <t>SELLER FUNDO DE INVESTIMENTO EM DIREITOS CREDITORIOS</t>
        </is>
      </c>
      <c r="E63" s="105" t="inlineStr">
        <is>
          <t>Adquirência</t>
        </is>
      </c>
      <c r="F63" s="105" t="inlineStr">
        <is>
          <t>N/D</t>
        </is>
      </c>
    </row>
    <row r="64" ht="25.5" customHeight="1">
      <c r="A64" s="106" t="n">
        <v>62</v>
      </c>
      <c r="B64" s="147" t="n">
        <v>62588266000154</v>
      </c>
      <c r="C64" s="106" t="inlineStr">
        <is>
          <t>VTK FUNDO DE INVESTIMENTO EM DIREITOS CREDITÓRIOS RESPONSABILIDADE LIMITADA</t>
        </is>
      </c>
      <c r="D64" s="106" t="inlineStr">
        <is>
          <t>VTK FIDC RESP LIMIT</t>
        </is>
      </c>
      <c r="E64" s="106" t="inlineStr">
        <is>
          <t>Consignado INSS e FGTS</t>
        </is>
      </c>
      <c r="F64" s="106" t="inlineStr">
        <is>
          <t>N/D</t>
        </is>
      </c>
    </row>
    <row r="65" ht="25.5" customHeight="1">
      <c r="A65" s="105" t="n">
        <v>63</v>
      </c>
      <c r="B65" s="148" t="n">
        <v>50988212000105</v>
      </c>
      <c r="C65" s="105" t="inlineStr">
        <is>
          <t>CARTÃO DE COMPRA SUPPLIER FUNDO DE INVESTIMENTO EM DIREITOS CREDITÓRIOS II-RESPONSABILIDADE LIMITADA</t>
        </is>
      </c>
      <c r="D65" s="105" t="inlineStr">
        <is>
          <t>CARTAO DE COMPRA SUPPLIER FUNDO DE INVESTIMENTO EM</t>
        </is>
      </c>
      <c r="E65" s="105" t="inlineStr">
        <is>
          <t>Financeiro</t>
        </is>
      </c>
      <c r="F65" s="105" t="inlineStr">
        <is>
          <t>Crédito comercial/PME segurado</t>
        </is>
      </c>
    </row>
    <row r="66" ht="25.5" customHeight="1">
      <c r="A66" s="106" t="n">
        <v>64</v>
      </c>
      <c r="B66" s="147" t="n">
        <v>58476088000100</v>
      </c>
      <c r="C66" s="106" t="inlineStr">
        <is>
          <t>SAGA FUNDO DE INVESTIMENTO EM DIREITOS CREDITÓRIOS CRÉDITO PRIVADO - RESPONSABILIDADE LIMITADA</t>
        </is>
      </c>
      <c r="D66" s="106" t="inlineStr">
        <is>
          <t>CONSORCIO DALTEZ</t>
        </is>
      </c>
      <c r="E66" s="106" t="inlineStr">
        <is>
          <t>Risco Corporativo</t>
        </is>
      </c>
      <c r="F66" s="106" t="inlineStr">
        <is>
          <t>Notas comerciais de empresas/devedores</t>
        </is>
      </c>
    </row>
    <row r="67" ht="25.5" customHeight="1">
      <c r="A67" s="105" t="n">
        <v>65</v>
      </c>
      <c r="B67" s="148" t="n">
        <v>58349979000198</v>
      </c>
      <c r="C67" s="105" t="inlineStr">
        <is>
          <t>VOLKSWAGEN TERA FUNDO DE INVESTIMENTO EM DIREITOS CREDITÓRIOS RECEBÍVEIS COMERCIAIS RESP LTDA</t>
        </is>
      </c>
      <c r="D67" s="105" t="inlineStr">
        <is>
          <t>VOLKSWAGEN TERA FIDC SEGMENTO RECEBIVEIS COMERCIAI</t>
        </is>
      </c>
      <c r="E67" s="105" t="inlineStr">
        <is>
          <t>Risco Corporativo</t>
        </is>
      </c>
      <c r="F67" s="105" t="inlineStr">
        <is>
          <t>Recebíveis comerciais Volkswagen</t>
        </is>
      </c>
    </row>
    <row r="68" ht="25.5" customHeight="1">
      <c r="A68" s="106" t="n">
        <v>66</v>
      </c>
      <c r="B68" s="147" t="n">
        <v>54559035000194</v>
      </c>
      <c r="C68" s="106" t="inlineStr">
        <is>
          <t>ESTRATÉGIA VINCULADA I FUNDO DE INVESTIMENTO EM DIREITOS CREDITÓRIOS - RESPONSABILIDADE LIMITADA</t>
        </is>
      </c>
      <c r="D68" s="106" t="inlineStr">
        <is>
          <t>FUNDO DE INVESTIMENTO EM DIREITOS CREDITORIOS RESP</t>
        </is>
      </c>
      <c r="E68" s="106" t="inlineStr">
        <is>
          <t>Financeiro</t>
        </is>
      </c>
      <c r="F68" s="106" t="inlineStr">
        <is>
          <t>CDB Banco IBM vinculado a contratos de leasing</t>
        </is>
      </c>
    </row>
    <row r="69" ht="25.5" customHeight="1">
      <c r="A69" s="105" t="n">
        <v>67</v>
      </c>
      <c r="B69" s="148" t="n">
        <v>55070804000159</v>
      </c>
      <c r="C69" s="105" t="inlineStr">
        <is>
          <t>ESTRATÉGIA VINCULADA II FUNDO DE INVESTIMENTO EM DIREITOS CREDITÓRIOS - RESPONSABILIDADE LIMITADA</t>
        </is>
      </c>
      <c r="D69" s="105" t="inlineStr">
        <is>
          <t>ESTRATEGIA VINCULADA II FUNDO DE INVESTIMENTO EM D</t>
        </is>
      </c>
      <c r="E69" s="105" t="inlineStr">
        <is>
          <t>Financeiro</t>
        </is>
      </c>
      <c r="F69" s="105" t="inlineStr">
        <is>
          <t>CDB Banco IBM vinculado a contratos de leasing</t>
        </is>
      </c>
    </row>
    <row r="70" ht="25.5" customHeight="1">
      <c r="A70" s="106" t="n">
        <v>68</v>
      </c>
      <c r="B70" s="147" t="n">
        <v>43866348000179</v>
      </c>
      <c r="C70" s="106" t="inlineStr">
        <is>
          <t>FUNDO DE INVESTIMENTO EM DIREITOS CREDITÓRIOS OPEA AGRO SUMITOMO CHEMICAL RESP LIMITADA</t>
        </is>
      </c>
      <c r="D70" s="106" t="inlineStr">
        <is>
          <t>FUNDO DE INVESTIMENTO EM DIREITOS CREDITORIOS OPEA</t>
        </is>
      </c>
      <c r="E70" s="106" t="inlineStr">
        <is>
          <t>Agro / Revenda</t>
        </is>
      </c>
      <c r="F70" s="106" t="inlineStr">
        <is>
          <t>NP, CPR-F e CDCA da cadeia de insumos</t>
        </is>
      </c>
    </row>
    <row r="71" ht="25.5" customHeight="1">
      <c r="A71" s="105" t="n">
        <v>69</v>
      </c>
      <c r="B71" s="148" t="n">
        <v>47936340000192</v>
      </c>
      <c r="C71" s="105" t="inlineStr">
        <is>
          <t>FUNDO DE INVESTIMENTO NAS CADEIAS PRODUTIVAS AGROINDUSTRIAIS OPEA AGRO INSUMOS RESPONSABILIDADE LIMI</t>
        </is>
      </c>
      <c r="D71" s="105" t="inlineStr">
        <is>
          <t>FUNDO DE INVESTIMENTO EM DIREITOS CREDITORIOS OPEA</t>
        </is>
      </c>
      <c r="E71" s="105" t="inlineStr">
        <is>
          <t>Agro / Revenda</t>
        </is>
      </c>
      <c r="F71" s="105" t="inlineStr">
        <is>
          <t>Insumos agrícolas, prazo safra BASF</t>
        </is>
      </c>
    </row>
    <row r="72" ht="25.5" customHeight="1">
      <c r="A72" s="106" t="n">
        <v>70</v>
      </c>
      <c r="B72" s="147" t="n">
        <v>58291962000127</v>
      </c>
      <c r="C72" s="106" t="inlineStr">
        <is>
          <t>HELM FUNDO DE INVESTIMENTO NAS CADEIAS PRODUTIVAS DO AGRONEGÓCIO - RESPONSABILIDADE LIMITADA</t>
        </is>
      </c>
      <c r="D72" s="106" t="inlineStr">
        <is>
          <t>HELM FUNDO I E D C RESPONS</t>
        </is>
      </c>
      <c r="E72" s="106" t="inlineStr">
        <is>
          <t>Agro / Revenda</t>
        </is>
      </c>
      <c r="F72" s="106" t="inlineStr">
        <is>
          <t>Recebíveis comerciais HELM na cadeia agro</t>
        </is>
      </c>
    </row>
    <row r="73" ht="25.5" customHeight="1">
      <c r="A73" s="105" t="n">
        <v>71</v>
      </c>
      <c r="B73" s="148" t="n">
        <v>57259989000170</v>
      </c>
      <c r="C73" s="105" t="inlineStr">
        <is>
          <t>TRÊS TENTOS FIAGRO RESPONSABILIDADE LIMITADA</t>
        </is>
      </c>
      <c r="D73" s="105" t="inlineStr">
        <is>
          <t>TRES TENTOS FUNDO DE INVESTIMENTO EM DIREITOS CRE</t>
        </is>
      </c>
      <c r="E73" s="105" t="inlineStr">
        <is>
          <t>Agro / Revenda</t>
        </is>
      </c>
      <c r="F73" s="105" t="inlineStr">
        <is>
          <t>Recebíveis e CPR da 3Tentos</t>
        </is>
      </c>
    </row>
    <row r="74" ht="25.5" customHeight="1">
      <c r="A74" s="106" t="n">
        <v>72</v>
      </c>
      <c r="B74" s="147" t="n">
        <v>58171340000165</v>
      </c>
      <c r="C74" s="106" t="inlineStr">
        <is>
          <t>FRIMESA FUNDO DE INVESTIMENTO EM DIREITOS CREDITÓRIOS DE RESPONSABILIDADE LIMITADA</t>
        </is>
      </c>
      <c r="D74" s="106" t="inlineStr">
        <is>
          <t>FRIMESA FUNDO DE INVESTIMENTO EM DIREITOS CREDITOR</t>
        </is>
      </c>
      <c r="E74" s="106" t="inlineStr">
        <is>
          <t>Agro / Revenda</t>
        </is>
      </c>
      <c r="F74" s="106" t="inlineStr">
        <is>
          <t>Recebíveis comerciais contra supermercados</t>
        </is>
      </c>
    </row>
    <row r="75" ht="25.5" customHeight="1">
      <c r="A75" s="105" t="n">
        <v>73</v>
      </c>
      <c r="B75" s="148" t="n">
        <v>51554551000138</v>
      </c>
      <c r="C75" s="105" t="inlineStr">
        <is>
          <t>CLASSE ÚNICA DO FIDC CRÉDITO NITRO AGRO - RESPONSABILIDADE LIMITADA</t>
        </is>
      </c>
      <c r="D75" s="105" t="inlineStr">
        <is>
          <t>CLASSE UNICA DO FIDC CREDITO NITRO AGRO RESPONSA</t>
        </is>
      </c>
      <c r="E75" s="105" t="inlineStr">
        <is>
          <t>Agro / Revenda</t>
        </is>
      </c>
      <c r="F75" s="105" t="inlineStr">
        <is>
          <t>Venda de insumos a produtores e distribuidores</t>
        </is>
      </c>
    </row>
    <row r="76" ht="25.5" customHeight="1">
      <c r="A76" s="106" t="n">
        <v>74</v>
      </c>
      <c r="B76" s="147" t="n">
        <v>57752597000148</v>
      </c>
      <c r="C76" s="106" t="inlineStr">
        <is>
          <t>AGROMERCANTIL CRÉDITO AGRO FUNDO DE INVESTIMENTO EM DIREITOS CREDITÓRIOS - RESPONSABILIDADE LIMITADA</t>
        </is>
      </c>
      <c r="D76" s="106" t="inlineStr">
        <is>
          <t>AGROMERCANTIL CREDITO AGRO FUNDO DE INVESTIMENTO EM DIREITOS CREDITORIOS</t>
        </is>
      </c>
      <c r="E76" s="106" t="inlineStr">
        <is>
          <t>Agro / Revenda</t>
        </is>
      </c>
      <c r="F76" s="106" t="inlineStr">
        <is>
          <t>Comercialização de grãos</t>
        </is>
      </c>
    </row>
    <row r="77" ht="25.5" customHeight="1">
      <c r="A77" s="105" t="n">
        <v>75</v>
      </c>
      <c r="B77" s="148" t="n">
        <v>47425750000179</v>
      </c>
      <c r="C77" s="105" t="inlineStr">
        <is>
          <t>CEREALIS FUNDO DE INVESTIMENTO EM DIREITOS CREDITÓRIOS</t>
        </is>
      </c>
      <c r="D77" s="105" t="inlineStr">
        <is>
          <t>FIDC CROPFIELD CEREALIS</t>
        </is>
      </c>
      <c r="E77" s="105" t="inlineStr">
        <is>
          <t>Agro / Revenda</t>
        </is>
      </c>
      <c r="F77" s="105" t="inlineStr">
        <is>
          <t>Lastro agro não isolado</t>
        </is>
      </c>
    </row>
    <row r="78" ht="25.5" customHeight="1">
      <c r="A78" s="106" t="n">
        <v>76</v>
      </c>
      <c r="B78" s="147" t="n">
        <v>37035970000132</v>
      </c>
      <c r="C78" s="106" t="inlineStr">
        <is>
          <t>CD CASH FUNDO DE INVESTIMENTO EM DIREITOS CREDITÓRIOS RESPONSABILIDADE LIMITADA</t>
        </is>
      </c>
      <c r="D78" s="106" t="inlineStr">
        <is>
          <t>CD BANCK FIDC</t>
        </is>
      </c>
      <c r="E78" s="106" t="inlineStr">
        <is>
          <t>Agro / Revenda</t>
        </is>
      </c>
      <c r="F78" s="106" t="inlineStr">
        <is>
          <t>Insumos agrícolas, inclui não performados</t>
        </is>
      </c>
    </row>
    <row r="79" ht="25.5" customHeight="1">
      <c r="A79" s="105" t="n">
        <v>77</v>
      </c>
      <c r="B79" s="148" t="n">
        <v>17468142000180</v>
      </c>
      <c r="C79" s="105" t="inlineStr">
        <is>
          <t>VALOREM FUNDO DE INVESTIMENTO EM DIREITOS CREDITÓRIOS MULTISETORIAL RESPONSABILIDADE LIMITADA</t>
        </is>
      </c>
      <c r="D79" s="105" t="inlineStr">
        <is>
          <t>VALOREM FIDC MULTISSETORIAL</t>
        </is>
      </c>
      <c r="E79" s="105" t="inlineStr">
        <is>
          <t>Factoring</t>
        </is>
      </c>
      <c r="F79" s="105" t="inlineStr">
        <is>
          <t>N/D</t>
        </is>
      </c>
    </row>
    <row r="80" ht="25.5" customHeight="1">
      <c r="A80" s="106" t="n">
        <v>78</v>
      </c>
      <c r="B80" s="147" t="n">
        <v>29492605000129</v>
      </c>
      <c r="C80" s="106" t="inlineStr">
        <is>
          <t>GAZIN FUNDO DE INVESTIMENTO EM DIREITOS CREDITÓRIOS MULTISSEGMENTOS - RESPONSABILIDADE LIMITADA</t>
        </is>
      </c>
      <c r="D80" s="106" t="inlineStr">
        <is>
          <t>GAZIN FUNDO DE INVESTIMENTO EM DIREITOS CREDITORIO</t>
        </is>
      </c>
      <c r="E80" s="106" t="inlineStr">
        <is>
          <t>Agro / Revenda</t>
        </is>
      </c>
      <c r="F80" s="106" t="inlineStr">
        <is>
          <t>Recebíveis Gazin, natureza contratual não isolada</t>
        </is>
      </c>
    </row>
    <row r="81" ht="25.5" customHeight="1">
      <c r="A81" s="105" t="n">
        <v>79</v>
      </c>
      <c r="B81" s="148" t="n">
        <v>31739396000117</v>
      </c>
      <c r="C81" s="105" t="inlineStr">
        <is>
          <t>LF III FUNDO DE INVESTIMENTO EM DIREITOS CREDITÓRIOS DE RESPONSABILIDADE LIMITADA</t>
        </is>
      </c>
      <c r="D81" s="105" t="inlineStr">
        <is>
          <t>FIDC LF III</t>
        </is>
      </c>
      <c r="E81" s="105" t="inlineStr">
        <is>
          <t>Adquirência</t>
        </is>
      </c>
      <c r="F81" s="105" t="inlineStr">
        <is>
          <t>N/D</t>
        </is>
      </c>
    </row>
    <row r="82" ht="25.5" customHeight="1">
      <c r="A82" s="106" t="n">
        <v>80</v>
      </c>
      <c r="B82" s="147" t="n">
        <v>26749095000134</v>
      </c>
      <c r="C82" s="106" t="inlineStr">
        <is>
          <t>PRAVALER CRÉDITO UNIVERSITÁRIO II FUNDO DE INVESTIMENTO EM DIREITOS CREDITÓRIOS - RESP LIMITADAL</t>
        </is>
      </c>
      <c r="D82" s="106" t="inlineStr">
        <is>
          <t>CREDITO UNIVERSITARIO II FUNDO DE INVESTIMENTO EM</t>
        </is>
      </c>
      <c r="E82" s="106" t="inlineStr">
        <is>
          <t>Financeiro</t>
        </is>
      </c>
      <c r="F82" s="106" t="inlineStr">
        <is>
          <t>Crédito estudantil</t>
        </is>
      </c>
    </row>
    <row r="83" ht="25.5" customHeight="1">
      <c r="A83" s="105" t="n">
        <v>81</v>
      </c>
      <c r="B83" s="148" t="n">
        <v>62393829000159</v>
      </c>
      <c r="C83" s="105" t="inlineStr">
        <is>
          <t>FUNDO DE INVESTIMENTO EM DIREITOS CREDITÓRIOS COMERCIAIS MEDICI I - RESPONSABILIDADE LIMITADA</t>
        </is>
      </c>
      <c r="D83" s="105" t="inlineStr">
        <is>
          <t>TOP 2025 V FIDC RESP LIMITADA</t>
        </is>
      </c>
      <c r="E83" s="105" t="inlineStr">
        <is>
          <t>Risco Corporativo</t>
        </is>
      </c>
      <c r="F83" s="105" t="inlineStr">
        <is>
          <t>Monosacado/concentrado BRF e Marfrig</t>
        </is>
      </c>
    </row>
    <row r="84" ht="25.5" customHeight="1">
      <c r="A84" s="106" t="n">
        <v>82</v>
      </c>
      <c r="B84" s="147" t="n">
        <v>47640584000123</v>
      </c>
      <c r="C84" s="106" t="inlineStr">
        <is>
          <t>SOL AGORA GREEN ESG FIDC IS SEGMENTO FINANCEIRO DE RESPONSABILIDADE LIMITADA</t>
        </is>
      </c>
      <c r="D84" s="106" t="inlineStr">
        <is>
          <t>SOL AGORA GREEN ESG FIDC IS SEGMENTO FINANCEIRO DE</t>
        </is>
      </c>
      <c r="E84" s="106" t="inlineStr">
        <is>
          <t>Financeiro</t>
        </is>
      </c>
      <c r="F84" s="106" t="inlineStr">
        <is>
          <t>Financiamento solar, CCBs</t>
        </is>
      </c>
    </row>
    <row r="85" ht="25.5" customHeight="1">
      <c r="A85" s="105" t="n">
        <v>83</v>
      </c>
      <c r="B85" s="148" t="n">
        <v>57028406000108</v>
      </c>
      <c r="C85" s="105" t="inlineStr">
        <is>
          <t>IS GREEN SOLFÁCIL VI FUNDO DE INVESTIMENTO EM DIREITOS CREDITÓRIOS RESPONSABILIDADE LIMITADA</t>
        </is>
      </c>
      <c r="D85" s="105" t="inlineStr">
        <is>
          <t>IS GREEN SOLFACIL VI FIDC RL</t>
        </is>
      </c>
      <c r="E85" s="105" t="inlineStr">
        <is>
          <t>Financeiro</t>
        </is>
      </c>
      <c r="F85" s="105" t="inlineStr">
        <is>
          <t>Financiamento solar, recebíveis performados</t>
        </is>
      </c>
    </row>
    <row r="86" ht="25.5" customHeight="1">
      <c r="A86" s="106" t="n">
        <v>84</v>
      </c>
      <c r="B86" s="147" t="n">
        <v>31570767000180</v>
      </c>
      <c r="C86" s="106" t="inlineStr">
        <is>
          <t>FUNDO DE INVESTIMENTO EM DIREITOS CREDITÓRIOS TRADEPAY VAREJO I - RESPONSABILIDADE LIMITADA</t>
        </is>
      </c>
      <c r="D86" s="106" t="inlineStr">
        <is>
          <t>FUNDO DE INVESTIMENTO EM DIREITOS</t>
        </is>
      </c>
      <c r="E86" s="106" t="inlineStr">
        <is>
          <t>Risco Corporativo</t>
        </is>
      </c>
      <c r="F86" s="106" t="inlineStr">
        <is>
          <t>Recebíveis comerciais pulverizados Trademaster</t>
        </is>
      </c>
    </row>
    <row r="87" ht="25.5" customHeight="1">
      <c r="A87" s="105" t="n">
        <v>85</v>
      </c>
      <c r="B87" s="148" t="n">
        <v>54464892000100</v>
      </c>
      <c r="C87" s="105" t="inlineStr">
        <is>
          <t>FUNDO DE INVESTIMENTO EM DIREITOS CREDITÓRIOS MT FGTS RECEIVABLES II</t>
        </is>
      </c>
      <c r="D87" s="105" t="inlineStr">
        <is>
          <t>FUNDO I E D C MF RECEIV</t>
        </is>
      </c>
      <c r="E87" s="105" t="inlineStr">
        <is>
          <t>Consignado INSS e FGTS</t>
        </is>
      </c>
      <c r="F87" s="105" t="inlineStr">
        <is>
          <t>N/D</t>
        </is>
      </c>
    </row>
    <row r="88" ht="25.5" customHeight="1">
      <c r="A88" s="106" t="n">
        <v>86</v>
      </c>
      <c r="B88" s="147" t="n">
        <v>11468186000124</v>
      </c>
      <c r="C88" s="106" t="inlineStr">
        <is>
          <t>ATLANTA FUNDO DE INVESTIMENTO EM DIREITOS CREDITÓRIOS DE RESPONSABILIDADE LIMITADA</t>
        </is>
      </c>
      <c r="D88" s="106" t="inlineStr">
        <is>
          <t>ATLANTA FIDC NAO PADRONIZADO</t>
        </is>
      </c>
      <c r="E88" s="106" t="inlineStr">
        <is>
          <t>Factoring</t>
        </is>
      </c>
      <c r="F88" s="106" t="inlineStr">
        <is>
          <t>N/D</t>
        </is>
      </c>
    </row>
    <row r="89" ht="25.5" customHeight="1">
      <c r="A89" s="105" t="n">
        <v>87</v>
      </c>
      <c r="B89" s="148" t="n">
        <v>43193260000133</v>
      </c>
      <c r="C89" s="105" t="inlineStr">
        <is>
          <t>RESIDENCE CLUB FUNDO DE INVESTIMENTO EM DIREITOS CREDITÓRIOS</t>
        </is>
      </c>
      <c r="D89" s="105" t="inlineStr">
        <is>
          <t>RESIDENCE CLUB FIDC</t>
        </is>
      </c>
      <c r="E89" s="105" t="inlineStr">
        <is>
          <t>Financeiro</t>
        </is>
      </c>
      <c r="F89" s="105" t="inlineStr">
        <is>
          <t>Tipo de crédito não isolado</t>
        </is>
      </c>
    </row>
    <row r="90" ht="25.5" customHeight="1">
      <c r="A90" s="106" t="n">
        <v>88</v>
      </c>
      <c r="B90" s="147" t="n">
        <v>58152340000118</v>
      </c>
      <c r="C90" s="106" t="inlineStr">
        <is>
          <t>MAREE II FUNDO DE INVESTIMENTO EM DIREITOS CREDITÓRIOS SEGMENTO FINANCEIRO - RESPONSABILIDADE LTDA</t>
        </is>
      </c>
      <c r="D90" s="106" t="inlineStr">
        <is>
          <t>MONEE II FUNDO DE INVESTIMENTO</t>
        </is>
      </c>
      <c r="E90" s="106" t="inlineStr">
        <is>
          <t>Financeiro</t>
        </is>
      </c>
      <c r="F90" s="106" t="inlineStr">
        <is>
          <t>Empréstimos Monee SCD, CCBs</t>
        </is>
      </c>
    </row>
    <row r="91" ht="25.5" customHeight="1">
      <c r="A91" s="105" t="n">
        <v>89</v>
      </c>
      <c r="B91" s="148" t="n">
        <v>52340225000190</v>
      </c>
      <c r="C91" s="105" t="inlineStr">
        <is>
          <t>INOVA CREDTECH III FIDC SEGMENTO MULTICARTEIRA DE RESPONSABILIDADE LIMITADA</t>
        </is>
      </c>
      <c r="D91" s="105" t="inlineStr">
        <is>
          <t>INOVA CREDTECH III FUNDO DE INVESTIMENTO</t>
        </is>
      </c>
      <c r="E91" s="105" t="inlineStr">
        <is>
          <t>Risco Corporativo</t>
        </is>
      </c>
      <c r="F91" s="105" t="inlineStr">
        <is>
          <t>Duplicatas, notas comerciais e CCBs corporativas</t>
        </is>
      </c>
    </row>
    <row r="92" ht="25.5" customHeight="1">
      <c r="A92" s="106" t="n">
        <v>90</v>
      </c>
      <c r="B92" s="147" t="n">
        <v>63546406000194</v>
      </c>
      <c r="C92" s="106" t="inlineStr">
        <is>
          <t>PINE INSS III FUNDO DE INVESTIMENTO EM DIREITOS CREDITÓRIOS RESPONSABILIDADE LIMITADA</t>
        </is>
      </c>
      <c r="D92" s="106" t="inlineStr">
        <is>
          <t>PINE INSS III FUNDO DE INVESTIMENTO EM DIREITOS CREDITORIOS RESPONSABILIDADE</t>
        </is>
      </c>
      <c r="E92" s="106" t="inlineStr">
        <is>
          <t>Consignado INSS e FGTS</t>
        </is>
      </c>
      <c r="F92" s="106" t="inlineStr">
        <is>
          <t>N/D</t>
        </is>
      </c>
    </row>
    <row r="93" ht="25.5" customHeight="1">
      <c r="A93" s="105" t="n">
        <v>91</v>
      </c>
      <c r="B93" s="148" t="n">
        <v>37294759000134</v>
      </c>
      <c r="C93" s="105" t="inlineStr">
        <is>
          <t>GALLERIA HOME EQUITY FIDC</t>
        </is>
      </c>
      <c r="D93" s="105" t="inlineStr">
        <is>
          <t>FUNDO I E D C GALLERIA</t>
        </is>
      </c>
      <c r="E93" s="105" t="inlineStr">
        <is>
          <t>Financeiro</t>
        </is>
      </c>
      <c r="F93" s="105" t="inlineStr">
        <is>
          <t>Home equity PF/PJ, CCB com alienação fiduciária</t>
        </is>
      </c>
    </row>
    <row r="94" ht="25.5" customHeight="1">
      <c r="A94" s="106" t="n">
        <v>92</v>
      </c>
      <c r="B94" s="147" t="n">
        <v>42085830000109</v>
      </c>
      <c r="C94" s="106" t="inlineStr">
        <is>
          <t>CLOUDWALK AKIRA I FUNDO DE INVESTIMENTO EM DIREITOS CREDITÓRIOS SEGMENTO MEIOS DE PAGAMENTO</t>
        </is>
      </c>
      <c r="D94" s="106" t="inlineStr">
        <is>
          <t>CLOUDWALK AKIRA I FUNDO DE INVESTIMENTO EM DIREITO</t>
        </is>
      </c>
      <c r="E94" s="106" t="inlineStr">
        <is>
          <t>Adquirência</t>
        </is>
      </c>
      <c r="F94" s="106" t="inlineStr">
        <is>
          <t>N/D</t>
        </is>
      </c>
    </row>
    <row r="95" ht="25.5" customHeight="1">
      <c r="A95" s="105" t="n">
        <v>93</v>
      </c>
      <c r="B95" s="148" t="n">
        <v>61288838000117</v>
      </c>
      <c r="C95" s="105" t="inlineStr">
        <is>
          <t>IFOOD PAGO CRÉDITO III FUNDO DE INVESTIMENTO EM DIREITOS CREDITÓRIOS FINANCEIRO RESP. LIMITADA</t>
        </is>
      </c>
      <c r="D95" s="105" t="inlineStr">
        <is>
          <t>FIDC MOVILE III</t>
        </is>
      </c>
      <c r="E95" s="105" t="inlineStr">
        <is>
          <t>Financeiro</t>
        </is>
      </c>
      <c r="F95" s="105" t="inlineStr">
        <is>
          <t>Estrutura mista, CCB + recebíveis de credenciadoras</t>
        </is>
      </c>
    </row>
    <row r="96" ht="25.5" customHeight="1">
      <c r="A96" s="106" t="n">
        <v>94</v>
      </c>
      <c r="B96" s="147" t="n">
        <v>30035329000159</v>
      </c>
      <c r="C96" s="106" t="inlineStr">
        <is>
          <t>VIA INVEST II FUNDO DE INVESTIMENTO EM DIREITOS CREDITÓRIOS RESPONSABILIDADE LIMITADA</t>
        </is>
      </c>
      <c r="D96" s="106" t="inlineStr">
        <is>
          <t>VIAINVEST II FIDC MULTISSETORIAL</t>
        </is>
      </c>
      <c r="E96" s="106" t="inlineStr">
        <is>
          <t>Consignado INSS e FGTS</t>
        </is>
      </c>
      <c r="F96" s="106" t="inlineStr">
        <is>
          <t>Antecipação do saque-aniversário FGTS, CCBs</t>
        </is>
      </c>
    </row>
    <row r="97" ht="25.5" customHeight="1">
      <c r="A97" s="105" t="n">
        <v>95</v>
      </c>
      <c r="B97" s="148" t="n">
        <v>63657457000193</v>
      </c>
      <c r="C97" s="105" t="inlineStr">
        <is>
          <t>MSV3 FUNDO DE INVESTIMENTO EM DIREITOS CREDITÓRIOS RECEBÍVEIS COMERCIAIS RESPONSABILIDADE LIMITADA</t>
        </is>
      </c>
      <c r="D97" s="105" t="inlineStr">
        <is>
          <t>MSV3 FUNDO DE INVESTIMENTO EM DIREITOS CREDITORIOS RECEBIVEIS COMERCIAIS</t>
        </is>
      </c>
      <c r="E97" s="105" t="inlineStr">
        <is>
          <t>Risco Corporativo</t>
        </is>
      </c>
      <c r="F97" s="105" t="inlineStr">
        <is>
          <t>Recebíveis comerciais de serviços/indústria</t>
        </is>
      </c>
    </row>
    <row r="98" ht="25.5" customHeight="1">
      <c r="A98" s="106" t="n">
        <v>96</v>
      </c>
      <c r="B98" s="147" t="n">
        <v>63066147000102</v>
      </c>
      <c r="C98" s="106" t="inlineStr">
        <is>
          <t>FUNDO DE INVESTIMENTO EM DIREITOS CREDITÓRIOS INCLUSÃO CREDIÁRIA RESPONSABILIDADE LIMITADA</t>
        </is>
      </c>
      <c r="D98" s="106" t="inlineStr">
        <is>
          <t>FUNDO DE INVESTIMENTO EM DIREITOS</t>
        </is>
      </c>
      <c r="E98" s="106" t="inlineStr">
        <is>
          <t>Financeiro</t>
        </is>
      </c>
      <c r="F98" s="106" t="inlineStr">
        <is>
          <t>Crédito Supersim, CCBs</t>
        </is>
      </c>
    </row>
    <row r="99" ht="25.5" customHeight="1">
      <c r="A99" s="105" t="n">
        <v>97</v>
      </c>
      <c r="B99" s="148" t="n">
        <v>65836995000170</v>
      </c>
      <c r="C99" s="105" t="inlineStr">
        <is>
          <t>PNEUCASH II FUNDO DE INVESTIMENTO EM DIREITOS CREDITÓRIOS DE CLASSE ÚNICA FECHADA RESP LIMITADA</t>
        </is>
      </c>
      <c r="D99" s="105" t="inlineStr">
        <is>
          <t>DAYCOVAL 0410 FUNDO DE INV EM DIREITOS CREDITORIOS</t>
        </is>
      </c>
      <c r="E99" s="105" t="inlineStr">
        <is>
          <t>Risco Corporativo</t>
        </is>
      </c>
      <c r="F99" s="105" t="inlineStr">
        <is>
          <t>Recebíveis comerciais de produtos Cantu Store</t>
        </is>
      </c>
    </row>
    <row r="100" ht="25.5" customHeight="1">
      <c r="A100" s="106" t="n">
        <v>98</v>
      </c>
      <c r="B100" s="147" t="n">
        <v>65873297000145</v>
      </c>
      <c r="C100" s="106" t="inlineStr">
        <is>
          <t>ARCELORMITTAL VÉRTICE FUNDO DE INVESTIMENTO EM DIREITOS CREDITÓRIOS COMERCIAIS - RESP LIMITADA</t>
        </is>
      </c>
      <c r="D100" s="106" t="inlineStr">
        <is>
          <t>ARCELORMITTAL VERTICE FUNDO DE INVESTIMENTO EM DIREITOS CRED</t>
        </is>
      </c>
      <c r="E100" s="106" t="inlineStr">
        <is>
          <t>Risco Corporativo</t>
        </is>
      </c>
      <c r="F100" s="106" t="inlineStr">
        <is>
          <t>Supplier finance, ArcelorMittal como devedora</t>
        </is>
      </c>
    </row>
    <row r="101" ht="25.5" customHeight="1">
      <c r="A101" s="105" t="n">
        <v>99</v>
      </c>
      <c r="B101" s="148" t="n">
        <v>65347578000164</v>
      </c>
      <c r="C101" s="105" t="inlineStr">
        <is>
          <t>ICRED INSS III FUNDO DE INVESTIMENTO EM DIREITOS CREDITÓRIOS RESPONSABILIDADE LIMITADA</t>
        </is>
      </c>
      <c r="D101" s="105" t="inlineStr">
        <is>
          <t>ICRED INSS III FUNDO DE INVESTIMENTO EM DIREITOS CREDITORIOS RESPONSABILIDADE</t>
        </is>
      </c>
      <c r="E101" s="105" t="inlineStr">
        <is>
          <t>Consignado INSS e FGTS</t>
        </is>
      </c>
      <c r="F101" s="105" t="inlineStr">
        <is>
          <t>N/D</t>
        </is>
      </c>
    </row>
    <row r="102" ht="25.5" customHeight="1">
      <c r="A102" s="106" t="n">
        <v>100</v>
      </c>
      <c r="B102" s="147" t="n">
        <v>18185812000114</v>
      </c>
      <c r="C102" s="106" t="inlineStr">
        <is>
          <t>GAVEA SUL FUNDO DE INVESTIMENTO EM DIREITOS CREDITÓRIOS MULTISSETORIAL LP</t>
        </is>
      </c>
      <c r="D102" s="106" t="inlineStr">
        <is>
          <t>GAVEA SUL FUNDO DE INVESTIMENTO EM DIREITOS CREDITORIOS MULTISSETORIAL</t>
        </is>
      </c>
      <c r="E102" s="106" t="inlineStr">
        <is>
          <t>Factoring</t>
        </is>
      </c>
      <c r="F102" s="106" t="inlineStr">
        <is>
          <t>N/D</t>
        </is>
      </c>
    </row>
    <row r="103" ht="25.5" customHeight="1">
      <c r="A103" s="105" t="n">
        <v>101</v>
      </c>
      <c r="B103" s="148" t="n">
        <v>49113994000141</v>
      </c>
      <c r="C103" s="105" t="inlineStr">
        <is>
          <t>FUNDO DE INVESTIMENTO EM DIREITOS CREDITÓRIOS CAP - RESPONSABILIDADE LIMITADA</t>
        </is>
      </c>
      <c r="D103" s="105" t="inlineStr">
        <is>
          <t>FUNDO DE INVESTIMENTO EM DIREITOS CREDITORIOS CAP RESPONSABILIDADE LIMITADA</t>
        </is>
      </c>
      <c r="E103" s="105" t="inlineStr">
        <is>
          <t>Financeiro</t>
        </is>
      </c>
      <c r="F103" s="105" t="inlineStr">
        <is>
          <t>Tipo de crédito não isolado</t>
        </is>
      </c>
    </row>
  </sheetData>
  <mergeCells count="2">
    <mergeCell ref="A2:F2"/>
    <mergeCell ref="A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B51"/>
  <sheetViews>
    <sheetView workbookViewId="0">
      <pane xSplit="4" ySplit="4" topLeftCell="E5" activePane="bottomRight" state="frozen"/>
      <selection activeCell="A1" sqref="A1"/>
    </sheetView>
  </sheetViews>
  <sheetFormatPr baseColWidth="8" defaultRowHeight="15"/>
  <cols>
    <col width="8.130000114440918" customWidth="1" min="1" max="1"/>
    <col width="15.63000011444092" customWidth="1" min="2" max="2"/>
    <col width="16.8799991607666" customWidth="1" min="3" max="3"/>
    <col width="45" customWidth="1" min="4" max="4"/>
    <col width="32.5" customWidth="1" min="5" max="5"/>
    <col width="13.13000011444092" customWidth="1" min="6" max="6"/>
    <col width="13.13000011444092" customWidth="1" min="7" max="7"/>
    <col width="19.3799991607666" customWidth="1" min="8" max="8"/>
    <col width="16.25" customWidth="1" min="9" max="9"/>
    <col width="18.1299991607666" customWidth="1" min="10" max="10"/>
    <col width="18.1299991607666" customWidth="1" min="11" max="11"/>
    <col width="13.13000011444092" customWidth="1" min="12" max="12"/>
    <col width="32.5" customWidth="1" min="13" max="13"/>
    <col width="13.75" customWidth="1" min="14" max="14"/>
    <col width="15.63000011444092" customWidth="1" min="15" max="15"/>
    <col width="15" customWidth="1" min="16" max="16"/>
    <col width="13.13000011444092" customWidth="1" min="17" max="17"/>
    <col width="17.5" customWidth="1" min="18" max="18"/>
    <col width="16.8799991607666" customWidth="1" min="19" max="19"/>
    <col width="19.3799991607666" customWidth="1" min="20" max="20"/>
    <col width="21.25" customWidth="1" min="21" max="21"/>
    <col width="26.25" customWidth="1" min="22" max="22"/>
    <col width="11.25" customWidth="1" min="23" max="23"/>
    <col width="52.5" customWidth="1" min="24" max="24"/>
    <col width="10.25" customWidth="1" min="25" max="25"/>
    <col width="13.13000011444092" customWidth="1" min="26" max="26"/>
    <col width="16.8799991607666" customWidth="1" min="27" max="27"/>
    <col width="18.1299991607666" customWidth="1" min="28" max="28"/>
    <col width="18.75" customWidth="1" min="29" max="29"/>
    <col width="23.75" customWidth="1" min="30" max="30"/>
    <col width="22.5" customWidth="1" min="31" max="31"/>
    <col width="22.5" customWidth="1" min="32" max="32"/>
    <col width="23.1299991607666" customWidth="1" min="33" max="33"/>
    <col width="23.75" customWidth="1" min="34" max="34"/>
    <col width="28.75" customWidth="1" min="35" max="35"/>
    <col width="15.63000011444092" customWidth="1" min="36" max="36"/>
    <col width="32.5" customWidth="1" min="37" max="37"/>
    <col width="53.75" customWidth="1" min="38" max="38"/>
    <col width="48.75" customWidth="1" min="39" max="39"/>
    <col width="32.5" customWidth="1" min="40" max="40"/>
    <col width="47.5" customWidth="1" min="41" max="41"/>
    <col width="15" customWidth="1" min="42" max="42"/>
    <col width="23.1299991607666" customWidth="1" min="43" max="43"/>
    <col width="23.1299991607666" customWidth="1" min="44" max="44"/>
    <col width="13.13000011444092" customWidth="1" min="45" max="45"/>
    <col width="48.75" customWidth="1" min="46" max="46"/>
    <col width="52.5" customWidth="1" min="47" max="47"/>
    <col width="15.63000011444092" customWidth="1" min="48" max="48"/>
    <col width="14.38000011444092" customWidth="1" min="49" max="49"/>
    <col width="21.8799991607666" customWidth="1" min="50" max="50"/>
    <col width="23.75" customWidth="1" min="51" max="51"/>
    <col width="15" customWidth="1" min="52" max="52"/>
    <col width="14.38000011444092" customWidth="1" min="53" max="53"/>
    <col width="13.13000011444092" customWidth="1" min="54" max="54"/>
    <col width="18.1299991607666" customWidth="1" min="55" max="55"/>
    <col width="32.5" customWidth="1" min="56" max="56"/>
    <col width="23.75" customWidth="1" min="57" max="57"/>
    <col width="27.5" customWidth="1" min="58" max="58"/>
    <col width="16.25" customWidth="1" min="59" max="59"/>
    <col width="18.1299991607666" customWidth="1" min="60" max="60"/>
    <col width="52.5" customWidth="1" min="61" max="61"/>
    <col width="30" customWidth="1" min="62" max="62"/>
    <col width="13.13000011444092" customWidth="1" min="63" max="63"/>
    <col width="31.25" customWidth="1" min="64" max="64"/>
    <col width="18.75" customWidth="1" min="65" max="65"/>
    <col width="26.25" customWidth="1" min="66" max="66"/>
    <col width="26.25" customWidth="1" min="67" max="67"/>
    <col width="27.5" customWidth="1" min="68" max="68"/>
    <col width="41.25" customWidth="1" min="69" max="69"/>
    <col width="37.5" customWidth="1" min="70" max="70"/>
    <col width="21.8799991607666" customWidth="1" min="71" max="71"/>
    <col width="45" customWidth="1" min="72" max="72"/>
    <col width="16.25" customWidth="1" min="73" max="73"/>
    <col width="14.38000011444092" customWidth="1" min="74" max="74"/>
    <col width="17.5" customWidth="1" min="75" max="75"/>
    <col width="29.3799991607666" customWidth="1" min="76" max="76"/>
    <col width="52.5" customWidth="1" min="77" max="77"/>
    <col width="57.5" customWidth="1" min="78" max="78"/>
    <col width="40" customWidth="1" min="79" max="79"/>
    <col width="23.75" customWidth="1" min="80" max="80"/>
  </cols>
  <sheetData>
    <row r="1" ht="25.5" customHeight="1">
      <c r="A1" s="26" t="inlineStr">
        <is>
          <t>Flagships · base manipulável de risco estrutural</t>
        </is>
      </c>
    </row>
    <row r="2" ht="22.5" customHeight="1">
      <c r="A2" s="29" t="inlineStr">
        <is>
          <t>47 CNPJs flagship. Folga e capacidade aparecem somente quando a ausência de mezanino ou equivalência de tranche está comprovada.</t>
        </is>
      </c>
    </row>
    <row r="3" ht="16.5" customHeight="1">
      <c r="A3" s="42" t="inlineStr">
        <is>
          <t>IDENTIFICAÇÃO</t>
        </is>
      </c>
      <c r="I3" s="45" t="inlineStr">
        <is>
          <t>PORTE E SUBORDINAÇÃO ATUAL</t>
        </is>
      </c>
      <c r="N3" s="48" t="inlineStr">
        <is>
          <t>ÍNDICES DOCUMENTAIS</t>
        </is>
      </c>
      <c r="W3" s="52" t="inlineStr">
        <is>
          <t>COMPARABILIDADE E FOLGA</t>
        </is>
      </c>
      <c r="AC3" s="56" t="inlineStr">
        <is>
          <t>TAXONOMIA E REVISÃO DE RISCO</t>
        </is>
      </c>
      <c r="AQ3" s="60" t="inlineStr">
        <is>
          <t>MVP · 6 SLIDES</t>
        </is>
      </c>
      <c r="AY3" s="45" t="inlineStr">
        <is>
          <t>BENCHMARK DE MERCADO</t>
        </is>
      </c>
      <c r="BC3" s="64" t="inlineStr">
        <is>
          <t>PREÇO UNITÁRIO POR COTA</t>
        </is>
      </c>
      <c r="BL3" s="68" t="inlineStr">
        <is>
          <t>PARTES E RECEBÍVEL</t>
        </is>
      </c>
      <c r="BU3" s="72" t="inlineStr">
        <is>
          <t>RASTREABILIDADE</t>
        </is>
      </c>
      <c r="CA3" s="42" t="inlineStr">
        <is>
          <t>LACUNAS</t>
        </is>
      </c>
    </row>
    <row r="4" ht="25.5" customHeight="1">
      <c r="A4" s="32" t="inlineStr">
        <is>
          <t>Ordem</t>
        </is>
      </c>
      <c r="B4" s="32" t="inlineStr">
        <is>
          <t>CNPJ</t>
        </is>
      </c>
      <c r="C4" s="32" t="inlineStr">
        <is>
          <t>CNPJ formatado</t>
        </is>
      </c>
      <c r="D4" s="32" t="inlineStr">
        <is>
          <t>Nome completo do fundo (CVM)</t>
        </is>
      </c>
      <c r="E4" s="32" t="inlineStr">
        <is>
          <t>Nome de referência</t>
        </is>
      </c>
      <c r="F4" s="32" t="inlineStr">
        <is>
          <t>Coorte</t>
        </is>
      </c>
      <c r="G4" s="32" t="inlineStr">
        <is>
          <t>Data de referência</t>
        </is>
      </c>
      <c r="H4" s="32" t="inlineStr">
        <is>
          <t>Status da identidade</t>
        </is>
      </c>
      <c r="I4" s="32" t="inlineStr">
        <is>
          <t>PL atual</t>
        </is>
      </c>
      <c r="J4" s="32" t="inlineStr">
        <is>
          <t>PL das classes reportadas</t>
        </is>
      </c>
      <c r="K4" s="32" t="inlineStr">
        <is>
          <t>PL subordinado atual</t>
        </is>
      </c>
      <c r="L4" s="32" t="inlineStr">
        <is>
          <t>Sub / PL atual</t>
        </is>
      </c>
      <c r="M4" s="32" t="inlineStr">
        <is>
          <t>Status do Sub / PL</t>
        </is>
      </c>
      <c r="N4" s="32" t="inlineStr">
        <is>
          <t>Mínimo Jr literal</t>
        </is>
      </c>
      <c r="O4" s="32" t="inlineStr">
        <is>
          <t>Mínimo Jr calculado*</t>
        </is>
      </c>
      <c r="P4" s="32" t="inlineStr">
        <is>
          <t>Mínimo Jr ajustado*</t>
        </is>
      </c>
      <c r="Q4" s="32" t="inlineStr">
        <is>
          <t>Suporte total*</t>
        </is>
      </c>
      <c r="R4" s="32" t="inlineStr">
        <is>
          <t>Suporte Jr + Mezanino*</t>
        </is>
      </c>
      <c r="S4" s="32" t="inlineStr">
        <is>
          <t>Índice estrutural usado</t>
        </is>
      </c>
      <c r="T4" s="32" t="inlineStr">
        <is>
          <t>Índice estrutural exibido</t>
        </is>
      </c>
      <c r="U4" s="32" t="inlineStr">
        <is>
          <t>Natureza do índice</t>
        </is>
      </c>
      <c r="V4" s="32" t="inlineStr">
        <is>
          <t>Fórmula / regra</t>
        </is>
      </c>
      <c r="W4" s="32" t="inlineStr">
        <is>
          <t>Comparável?</t>
        </is>
      </c>
      <c r="X4" s="32" t="inlineStr">
        <is>
          <t>Motivo da comparabilidade</t>
        </is>
      </c>
      <c r="Y4" s="32" t="inlineStr">
        <is>
          <t>Exceção*</t>
        </is>
      </c>
      <c r="Z4" s="32" t="inlineStr">
        <is>
          <t>Folga / falta</t>
        </is>
      </c>
      <c r="AA4" s="32" t="inlineStr">
        <is>
          <t>Capacidade até o gatilho</t>
        </is>
      </c>
      <c r="AB4" s="32" t="inlineStr">
        <is>
          <t>Situação regulatória</t>
        </is>
      </c>
      <c r="AC4" s="32" t="inlineStr">
        <is>
          <t>Tipo</t>
        </is>
      </c>
      <c r="AD4" s="32" t="inlineStr">
        <is>
          <t>Foco</t>
        </is>
      </c>
      <c r="AE4" s="32" t="inlineStr">
        <is>
          <t>Taxonomia estrutural</t>
        </is>
      </c>
      <c r="AF4" s="32" t="inlineStr">
        <is>
          <t>Grupo de comparação</t>
        </is>
      </c>
      <c r="AG4" s="32" t="inlineStr">
        <is>
          <t>Categoria de risco atual</t>
        </is>
      </c>
      <c r="AH4" s="32" t="inlineStr">
        <is>
          <t>Categoria de risco proposta</t>
        </is>
      </c>
      <c r="AI4" s="32" t="inlineStr">
        <is>
          <t>Subtipo de risco diagnosticado</t>
        </is>
      </c>
      <c r="AJ4" s="32" t="inlineStr">
        <is>
          <t>Reclassificação proposta?</t>
        </is>
      </c>
      <c r="AK4" s="32" t="inlineStr">
        <is>
          <t>Status da avaliação</t>
        </is>
      </c>
      <c r="AL4" s="32" t="inlineStr">
        <is>
          <t>Fundamento da avaliação</t>
        </is>
      </c>
      <c r="AM4" s="32" t="inlineStr">
        <is>
          <t>Fonte da avaliação</t>
        </is>
      </c>
      <c r="AN4" s="32" t="inlineStr">
        <is>
          <t>Middle Market · status</t>
        </is>
      </c>
      <c r="AO4" s="32" t="inlineStr">
        <is>
          <t>Middle Market · evidência</t>
        </is>
      </c>
      <c r="AP4" s="32" t="inlineStr">
        <is>
          <t>Porte documentado?</t>
        </is>
      </c>
      <c r="AQ4" s="32" t="inlineStr">
        <is>
          <t>Categoria MVP</t>
        </is>
      </c>
      <c r="AR4" s="32" t="inlineStr">
        <is>
          <t>Categoria MVP original</t>
        </is>
      </c>
      <c r="AS4" s="32" t="inlineStr">
        <is>
          <t>Override editorial?</t>
        </is>
      </c>
      <c r="AT4" s="32" t="inlineStr">
        <is>
          <t>Fonte do override MVP</t>
        </is>
      </c>
      <c r="AU4" s="32" t="inlineStr">
        <is>
          <t>Motivo do override MVP</t>
        </is>
      </c>
      <c r="AV4" s="32" t="inlineStr">
        <is>
          <t>Faixa de Sub atual · MVP</t>
        </is>
      </c>
      <c r="AW4" s="32" t="inlineStr">
        <is>
          <t>Elegível nos 6 slides?</t>
        </is>
      </c>
      <c r="AX4" s="32" t="inlineStr">
        <is>
          <t>Sinal vs. mínimo estrutural</t>
        </is>
      </c>
      <c r="AY4" s="32" t="inlineStr">
        <is>
          <t>Posição vs. mercado</t>
        </is>
      </c>
      <c r="AZ4" s="32" t="inlineStr">
        <is>
          <t>Excesso vs. mediana</t>
        </is>
      </c>
      <c r="BA4" s="32" t="inlineStr">
        <is>
          <t>Benchmark confiável?</t>
        </is>
      </c>
      <c r="BB4" s="32" t="inlineStr">
        <is>
          <t>Nº de comparáveis</t>
        </is>
      </c>
      <c r="BC4" s="32" t="inlineStr">
        <is>
          <t>Preço unitário numérico</t>
        </is>
      </c>
      <c r="BD4" s="32" t="inlineStr">
        <is>
          <t>Preço por cota · leitura</t>
        </is>
      </c>
      <c r="BE4" s="32" t="inlineStr">
        <is>
          <t>Natureza do preço</t>
        </is>
      </c>
      <c r="BF4" s="32" t="inlineStr">
        <is>
          <t>Classe / série do preço</t>
        </is>
      </c>
      <c r="BG4" s="32" t="inlineStr">
        <is>
          <t>Data do documento de preço</t>
        </is>
      </c>
      <c r="BH4" s="32" t="inlineStr">
        <is>
          <t>Documento do preço</t>
        </is>
      </c>
      <c r="BI4" s="32" t="inlineStr">
        <is>
          <t>Fonte do preço</t>
        </is>
      </c>
      <c r="BJ4" s="32" t="inlineStr">
        <is>
          <t>Status do preço</t>
        </is>
      </c>
      <c r="BK4" s="32" t="inlineStr">
        <is>
          <t>Exceção de preço*</t>
        </is>
      </c>
      <c r="BL4" s="32" t="inlineStr">
        <is>
          <t>Cedente / Originador literal*</t>
        </is>
      </c>
      <c r="BM4" s="32" t="inlineStr">
        <is>
          <t>Papel literal*</t>
        </is>
      </c>
      <c r="BN4" s="32" t="inlineStr">
        <is>
          <t>Originador*</t>
        </is>
      </c>
      <c r="BO4" s="32" t="inlineStr">
        <is>
          <t>Cedente*</t>
        </is>
      </c>
      <c r="BP4" s="32" t="inlineStr">
        <is>
          <t>Sacado / devedor*</t>
        </is>
      </c>
      <c r="BQ4" s="32" t="inlineStr">
        <is>
          <t>Tipo de recebível*</t>
        </is>
      </c>
      <c r="BR4" s="32" t="inlineStr">
        <is>
          <t>Fonte das partes / recebível</t>
        </is>
      </c>
      <c r="BS4" s="32" t="inlineStr">
        <is>
          <t>Status do complemento manual</t>
        </is>
      </c>
      <c r="BT4" s="32" t="inlineStr">
        <is>
          <t>Observação do complemento manual</t>
        </is>
      </c>
      <c r="BU4" s="32" t="inlineStr">
        <is>
          <t>Documento</t>
        </is>
      </c>
      <c r="BV4" s="32" t="inlineStr">
        <is>
          <t>Data do documento</t>
        </is>
      </c>
      <c r="BW4" s="32" t="inlineStr">
        <is>
          <t>Página / cláusula</t>
        </is>
      </c>
      <c r="BX4" s="32" t="inlineStr">
        <is>
          <t>Status da curadoria</t>
        </is>
      </c>
      <c r="BY4" s="32" t="inlineStr">
        <is>
          <t>Fonte documental</t>
        </is>
      </c>
      <c r="BZ4" s="32" t="inlineStr">
        <is>
          <t>Texto do mínimo</t>
        </is>
      </c>
      <c r="CA4" s="32" t="inlineStr">
        <is>
          <t>Campos não preenchidos</t>
        </is>
      </c>
      <c r="CB4" s="32" t="inlineStr">
        <is>
          <t>Status do preenchimento</t>
        </is>
      </c>
    </row>
    <row r="5" ht="31.5" customHeight="1">
      <c r="A5" s="73" t="n">
        <v>1</v>
      </c>
      <c r="B5" s="134" t="n">
        <v>58458416000138</v>
      </c>
      <c r="C5" s="73" t="inlineStr">
        <is>
          <t>58.458.416/0001-38</t>
        </is>
      </c>
      <c r="D5" s="73" t="inlineStr">
        <is>
          <t>MT CONSIGNADO PRIVADO II FUNDO DE INVESTIMENTO EM DIREITOS CREDITÓRIOS RESPONSABILIDADE LIMITADA</t>
        </is>
      </c>
      <c r="E5" s="73" t="inlineStr">
        <is>
          <t>MT Consignado Privado I e II</t>
        </is>
      </c>
      <c r="F5" s="73" t="inlineStr">
        <is>
          <t>Flagships</t>
        </is>
      </c>
      <c r="G5" s="73" t="inlineStr">
        <is>
          <t>2026-08</t>
        </is>
      </c>
      <c r="H5" s="73" t="inlineStr">
        <is>
          <t>localizado</t>
        </is>
      </c>
      <c r="I5" s="135" t="n">
        <v>274708542.4</v>
      </c>
      <c r="J5" s="135" t="n">
        <v>274708542.3982006</v>
      </c>
      <c r="K5" s="135" t="n">
        <v>82513423.95891148</v>
      </c>
      <c r="L5" s="136" t="n">
        <v>0.3003671572715952</v>
      </c>
      <c r="M5" s="73" t="inlineStr">
        <is>
          <t>Calculado com classes reportadas e PL oficial reconciliado</t>
        </is>
      </c>
      <c r="N5" s="136" t="inlineStr">
        <is>
          <t>N/D</t>
        </is>
      </c>
      <c r="O5" s="136" t="inlineStr">
        <is>
          <t>N/D</t>
        </is>
      </c>
      <c r="P5" s="136" t="inlineStr">
        <is>
          <t>N/D</t>
        </is>
      </c>
      <c r="Q5" s="136" t="inlineStr">
        <is>
          <t>N/D</t>
        </is>
      </c>
      <c r="R5" s="136" t="inlineStr">
        <is>
          <t>N/D</t>
        </is>
      </c>
      <c r="S5" s="136" t="inlineStr">
        <is>
          <t>N/D</t>
        </is>
      </c>
      <c r="T5" s="73" t="inlineStr">
        <is>
          <t>N/D</t>
        </is>
      </c>
      <c r="U5" s="73" t="inlineStr">
        <is>
          <t>sem_indice</t>
        </is>
      </c>
      <c r="V5" s="73" t="inlineStr">
        <is>
          <t>N/D</t>
        </is>
      </c>
      <c r="W5" s="73" t="b">
        <v>0</v>
      </c>
      <c r="X5" s="73" t="inlineStr">
        <is>
          <t>N/D — mínimo estrutural ou subordinação atual ausente</t>
        </is>
      </c>
      <c r="Y5" s="73" t="b">
        <v>0</v>
      </c>
      <c r="Z5" s="136" t="inlineStr">
        <is>
          <t>N/D</t>
        </is>
      </c>
      <c r="AA5" s="136" t="inlineStr">
        <is>
          <t>N/D</t>
        </is>
      </c>
      <c r="AB5" s="73" t="inlineStr">
        <is>
          <t>não medido</t>
        </is>
      </c>
      <c r="AC5" s="73" t="inlineStr">
        <is>
          <t>N/D</t>
        </is>
      </c>
      <c r="AD5" s="73" t="inlineStr">
        <is>
          <t>N/D</t>
        </is>
      </c>
      <c r="AE5" s="73" t="inlineStr">
        <is>
          <t>Consignado CLT</t>
        </is>
      </c>
      <c r="AF5" s="73" t="inlineStr">
        <is>
          <t>Financeiro</t>
        </is>
      </c>
      <c r="AG5" s="73" t="inlineStr">
        <is>
          <t>N/D</t>
        </is>
      </c>
      <c r="AH5" s="73" t="inlineStr">
        <is>
          <t>N/D</t>
        </is>
      </c>
      <c r="AI5" s="73" t="inlineStr">
        <is>
          <t>N/D</t>
        </is>
      </c>
      <c r="AJ5" s="73" t="b">
        <v>0</v>
      </c>
      <c r="AK5" s="73" t="inlineStr">
        <is>
          <t>N/D</t>
        </is>
      </c>
      <c r="AL5" s="73" t="inlineStr">
        <is>
          <t>N/D</t>
        </is>
      </c>
      <c r="AM5" s="73" t="inlineStr">
        <is>
          <t>N/D</t>
        </is>
      </c>
      <c r="AN5" s="73" t="inlineStr">
        <is>
          <t>N/D</t>
        </is>
      </c>
      <c r="AO5" s="73" t="inlineStr">
        <is>
          <t>N/D</t>
        </is>
      </c>
      <c r="AP5" s="73" t="inlineStr">
        <is>
          <t>N/D</t>
        </is>
      </c>
      <c r="AQ5" s="73" t="inlineStr">
        <is>
          <t>N/D</t>
        </is>
      </c>
      <c r="AR5" s="73" t="inlineStr">
        <is>
          <t>N/D</t>
        </is>
      </c>
      <c r="AS5" s="73" t="inlineStr">
        <is>
          <t>N/D</t>
        </is>
      </c>
      <c r="AT5" s="73" t="inlineStr">
        <is>
          <t>N/D</t>
        </is>
      </c>
      <c r="AU5" s="73" t="inlineStr">
        <is>
          <t>N/D</t>
        </is>
      </c>
      <c r="AV5" s="73" t="inlineStr">
        <is>
          <t>N/D</t>
        </is>
      </c>
      <c r="AW5" s="73" t="b">
        <v>0</v>
      </c>
      <c r="AX5" s="73" t="inlineStr">
        <is>
          <t>N/D</t>
        </is>
      </c>
      <c r="AY5" s="73" t="inlineStr">
        <is>
          <t>N/D</t>
        </is>
      </c>
      <c r="AZ5" s="136" t="inlineStr">
        <is>
          <t>N/D</t>
        </is>
      </c>
      <c r="BA5" s="73" t="inlineStr">
        <is>
          <t>N/D</t>
        </is>
      </c>
      <c r="BB5" s="137" t="inlineStr">
        <is>
          <t>N/D</t>
        </is>
      </c>
      <c r="BC5" s="135" t="inlineStr">
        <is>
          <t>N/D</t>
        </is>
      </c>
      <c r="BD5" s="73" t="inlineStr">
        <is>
          <t>N/D</t>
        </is>
      </c>
      <c r="BE5" s="73" t="inlineStr">
        <is>
          <t>N/D</t>
        </is>
      </c>
      <c r="BF5" s="73" t="inlineStr">
        <is>
          <t>N/D</t>
        </is>
      </c>
      <c r="BG5" s="73" t="inlineStr">
        <is>
          <t>N/D</t>
        </is>
      </c>
      <c r="BH5" s="73" t="inlineStr">
        <is>
          <t>N/D</t>
        </is>
      </c>
      <c r="BI5" s="73" t="inlineStr">
        <is>
          <t>N/D</t>
        </is>
      </c>
      <c r="BJ5" s="73" t="inlineStr">
        <is>
          <t>não localizado</t>
        </is>
      </c>
      <c r="BK5" s="73" t="b">
        <v>0</v>
      </c>
      <c r="BL5" s="73" t="inlineStr">
        <is>
          <t>N/D</t>
        </is>
      </c>
      <c r="BM5" s="73" t="inlineStr">
        <is>
          <t>N/D</t>
        </is>
      </c>
      <c r="BN5" s="73" t="inlineStr">
        <is>
          <t>N/D</t>
        </is>
      </c>
      <c r="BO5" s="73" t="inlineStr">
        <is>
          <t>N/D</t>
        </is>
      </c>
      <c r="BP5" s="73" t="inlineStr">
        <is>
          <t>N/D</t>
        </is>
      </c>
      <c r="BQ5" s="73" t="inlineStr">
        <is>
          <t>N/D</t>
        </is>
      </c>
      <c r="BR5" s="73" t="inlineStr">
        <is>
          <t>N/D</t>
        </is>
      </c>
      <c r="BS5" s="73" t="inlineStr">
        <is>
          <t>sem_overlay</t>
        </is>
      </c>
      <c r="BT5" s="73" t="inlineStr">
        <is>
          <t>N/D</t>
        </is>
      </c>
      <c r="BU5" s="73" t="inlineStr">
        <is>
          <t>N/D</t>
        </is>
      </c>
      <c r="BV5" s="73" t="inlineStr">
        <is>
          <t>N/D</t>
        </is>
      </c>
      <c r="BW5" s="73" t="inlineStr">
        <is>
          <t>N/D</t>
        </is>
      </c>
      <c r="BX5" s="73" t="inlineStr">
        <is>
          <t>lacuna — regulamento integral não disponível nas fontes locais</t>
        </is>
      </c>
      <c r="BY5" s="73" t="inlineStr">
        <is>
          <t>N/D</t>
        </is>
      </c>
      <c r="BZ5" s="73" t="inlineStr">
        <is>
          <t>N/D</t>
        </is>
      </c>
      <c r="CA5" s="73" t="inlineStr">
        <is>
          <t>mínimo estrutural comparável; preço unitário da cota; originador; cedente; sacado/devedor; tipo de recebível</t>
        </is>
      </c>
      <c r="CB5" s="73" t="inlineStr">
        <is>
          <t>minimo_estrutural_ausente</t>
        </is>
      </c>
    </row>
    <row r="6" ht="31.5" customHeight="1">
      <c r="A6" s="74" t="n">
        <v>1</v>
      </c>
      <c r="B6" s="138" t="n">
        <v>60010416000112</v>
      </c>
      <c r="C6" s="74" t="inlineStr">
        <is>
          <t>60.010.416/0001-12</t>
        </is>
      </c>
      <c r="D6" s="74" t="inlineStr">
        <is>
          <t>MT CONSIGNADO PRIVADO I FUNDO DE INVESTIMENTO EM DIREITOS CREDITÓRIOS</t>
        </is>
      </c>
      <c r="E6" s="74" t="inlineStr">
        <is>
          <t>MT Consignado Privado I e II</t>
        </is>
      </c>
      <c r="F6" s="74" t="inlineStr">
        <is>
          <t>Flagships</t>
        </is>
      </c>
      <c r="G6" s="74" t="inlineStr">
        <is>
          <t>2026-08</t>
        </is>
      </c>
      <c r="H6" s="74" t="inlineStr">
        <is>
          <t>localizado</t>
        </is>
      </c>
      <c r="I6" s="139" t="n">
        <v>2402205778.31</v>
      </c>
      <c r="J6" s="139" t="n">
        <v>2402657160.817399</v>
      </c>
      <c r="K6" s="139" t="n">
        <v>207730733.4922659</v>
      </c>
      <c r="L6" s="140" t="n">
        <v>0.08647499534299206</v>
      </c>
      <c r="M6" s="74" t="inlineStr">
        <is>
          <t>Calculado com classes reportadas e PL oficial reconciliado</t>
        </is>
      </c>
      <c r="N6" s="140" t="n">
        <v>0.05</v>
      </c>
      <c r="O6" s="140" t="inlineStr">
        <is>
          <t>N/D</t>
        </is>
      </c>
      <c r="P6" s="140" t="inlineStr">
        <is>
          <t>N/D</t>
        </is>
      </c>
      <c r="Q6" s="140" t="inlineStr">
        <is>
          <t>N/D</t>
        </is>
      </c>
      <c r="R6" s="140" t="inlineStr">
        <is>
          <t>N/D</t>
        </is>
      </c>
      <c r="S6" s="140" t="n">
        <v>0.05</v>
      </c>
      <c r="T6" s="74" t="inlineStr">
        <is>
          <t>5,0%</t>
        </is>
      </c>
      <c r="U6" s="74" t="inlineStr">
        <is>
          <t>junior_pl</t>
        </is>
      </c>
      <c r="V6" s="74" t="inlineStr">
        <is>
          <t>direto no regulamento</t>
        </is>
      </c>
      <c r="W6" s="74" t="b">
        <v>1</v>
      </c>
      <c r="X6" s="74" t="inlineStr">
        <is>
          <t>Comparável — documento confirma ausência de mezanino</t>
        </is>
      </c>
      <c r="Y6" s="74" t="b">
        <v>0</v>
      </c>
      <c r="Z6" s="140" t="n">
        <v>0.03647499534299206</v>
      </c>
      <c r="AA6" s="140" t="n">
        <v>0.03839473193999165</v>
      </c>
      <c r="AB6" s="74" t="inlineStr">
        <is>
          <t>acima do mínimo</t>
        </is>
      </c>
      <c r="AC6" s="74" t="inlineStr">
        <is>
          <t>N/D</t>
        </is>
      </c>
      <c r="AD6" s="74" t="inlineStr">
        <is>
          <t>N/D</t>
        </is>
      </c>
      <c r="AE6" s="74" t="inlineStr">
        <is>
          <t>Consignado CLT</t>
        </is>
      </c>
      <c r="AF6" s="74" t="inlineStr">
        <is>
          <t>Financeiro</t>
        </is>
      </c>
      <c r="AG6" s="74" t="inlineStr">
        <is>
          <t>N/D</t>
        </is>
      </c>
      <c r="AH6" s="74" t="inlineStr">
        <is>
          <t>N/D</t>
        </is>
      </c>
      <c r="AI6" s="74" t="inlineStr">
        <is>
          <t>N/D</t>
        </is>
      </c>
      <c r="AJ6" s="74" t="b">
        <v>0</v>
      </c>
      <c r="AK6" s="74" t="inlineStr">
        <is>
          <t>N/D</t>
        </is>
      </c>
      <c r="AL6" s="74" t="inlineStr">
        <is>
          <t>N/D</t>
        </is>
      </c>
      <c r="AM6" s="74" t="inlineStr">
        <is>
          <t>N/D</t>
        </is>
      </c>
      <c r="AN6" s="74" t="inlineStr">
        <is>
          <t>N/D</t>
        </is>
      </c>
      <c r="AO6" s="74" t="inlineStr">
        <is>
          <t>N/D</t>
        </is>
      </c>
      <c r="AP6" s="74" t="inlineStr">
        <is>
          <t>N/D</t>
        </is>
      </c>
      <c r="AQ6" s="74" t="inlineStr">
        <is>
          <t>N/D</t>
        </is>
      </c>
      <c r="AR6" s="74" t="inlineStr">
        <is>
          <t>N/D</t>
        </is>
      </c>
      <c r="AS6" s="74" t="inlineStr">
        <is>
          <t>N/D</t>
        </is>
      </c>
      <c r="AT6" s="74" t="inlineStr">
        <is>
          <t>N/D</t>
        </is>
      </c>
      <c r="AU6" s="74" t="inlineStr">
        <is>
          <t>N/D</t>
        </is>
      </c>
      <c r="AV6" s="74" t="inlineStr">
        <is>
          <t>N/D</t>
        </is>
      </c>
      <c r="AW6" s="74" t="b">
        <v>0</v>
      </c>
      <c r="AX6" s="74" t="inlineStr">
        <is>
          <t>N/D</t>
        </is>
      </c>
      <c r="AY6" s="74" t="inlineStr">
        <is>
          <t>N/D</t>
        </is>
      </c>
      <c r="AZ6" s="140" t="inlineStr">
        <is>
          <t>N/D</t>
        </is>
      </c>
      <c r="BA6" s="74" t="inlineStr">
        <is>
          <t>N/D</t>
        </is>
      </c>
      <c r="BB6" s="141" t="inlineStr">
        <is>
          <t>N/D</t>
        </is>
      </c>
      <c r="BC6" s="139" t="n">
        <v>1000</v>
      </c>
      <c r="BD6" s="74" t="inlineStr">
        <is>
          <t>R$ 1.000</t>
        </is>
      </c>
      <c r="BE6" s="74" t="inlineStr">
        <is>
          <t>preço/VNU conforme fonte</t>
        </is>
      </c>
      <c r="BF6" s="74" t="inlineStr">
        <is>
          <t>1ª série / 1ª emissão / 1ª emissão subordinada</t>
        </is>
      </c>
      <c r="BG6" s="74" t="inlineStr">
        <is>
          <t>N/D</t>
        </is>
      </c>
      <c r="BH6" s="74" t="inlineStr">
        <is>
          <t>993785</t>
        </is>
      </c>
      <c r="BI6" s="74" t="inlineStr">
        <is>
          <t>Fundos.NET ID 993785 · 20/03/2025 · p. 2, 4-6 · data/raw/60010416000112/993785_documentary_review.pdf · https://fnet.bmfbovespa.com.br/fnet/publico/exibirDocumento?id=993785 | Fundos.NET ID 993785 · 20/03/2025 · p. 2, 7-9 · data/raw/60010416000112/993785_documentary_review.pdf · https://fnet.bmfbovespa.com.br/fnet/publico/exibirDocumento?id=993785</t>
        </is>
      </c>
      <c r="BJ6" s="74" t="inlineStr">
        <is>
          <t>localizado documentalmente</t>
        </is>
      </c>
      <c r="BK6" s="74" t="b">
        <v>1</v>
      </c>
      <c r="BL6" s="74" t="inlineStr">
        <is>
          <t>N/D</t>
        </is>
      </c>
      <c r="BM6" s="74" t="inlineStr">
        <is>
          <t>N/D</t>
        </is>
      </c>
      <c r="BN6" s="74" t="inlineStr">
        <is>
          <t>N/D</t>
        </is>
      </c>
      <c r="BO6" s="74" t="inlineStr">
        <is>
          <t>N/D</t>
        </is>
      </c>
      <c r="BP6" s="74" t="inlineStr">
        <is>
          <t>N/D</t>
        </is>
      </c>
      <c r="BQ6" s="74" t="inlineStr">
        <is>
          <t>N/D</t>
        </is>
      </c>
      <c r="BR6" s="74" t="inlineStr">
        <is>
          <t>N/D</t>
        </is>
      </c>
      <c r="BS6" s="74" t="inlineStr">
        <is>
          <t>sem_overlay</t>
        </is>
      </c>
      <c r="BT6" s="74" t="inlineStr">
        <is>
          <t>N/D</t>
        </is>
      </c>
      <c r="BU6" s="74" t="inlineStr">
        <is>
          <t>1051393</t>
        </is>
      </c>
      <c r="BV6" s="74" t="inlineStr">
        <is>
          <t>2025-10-09</t>
        </is>
      </c>
      <c r="BW6" s="74" t="inlineStr">
        <is>
          <t>definição “Índice de Subordinação”</t>
        </is>
      </c>
      <c r="BX6" s="74" t="inlineStr">
        <is>
          <t>revisto — mínimo júnior localizado</t>
        </is>
      </c>
      <c r="BY6" s="74" t="inlineStr">
        <is>
          <t>FundosNet/B3; documento 1051393; referência 2025-10-09; definição “Índice de Subordinação”</t>
        </is>
      </c>
      <c r="BZ6" s="74" t="inlineStr">
        <is>
          <t>Cotas subordinadas / PL, razão mínima de 5,0%; a estrutura não tem mezanino no regulamento lido.</t>
        </is>
      </c>
      <c r="CA6" s="74" t="inlineStr">
        <is>
          <t>originador; cedente; sacado/devedor; tipo de recebível</t>
        </is>
      </c>
      <c r="CB6" s="74" t="inlineStr">
        <is>
          <t>completo_para_folga</t>
        </is>
      </c>
    </row>
    <row r="7" ht="31.5" customHeight="1">
      <c r="A7" s="75" t="n">
        <v>2</v>
      </c>
      <c r="B7" s="142" t="n">
        <v>53841740000117</v>
      </c>
      <c r="C7" s="75" t="inlineStr">
        <is>
          <t>53.841.740/0001-17</t>
        </is>
      </c>
      <c r="D7" s="75" t="inlineStr">
        <is>
          <t>FUNDO DE INVESTIMENTO EM DIREITOS CREDITÓRIOS CRÉDITO CONSIGNADO PRIVADO PAKETÁ DE RESP LIMITADA</t>
        </is>
      </c>
      <c r="E7" s="75" t="inlineStr">
        <is>
          <t>Paketa</t>
        </is>
      </c>
      <c r="F7" s="75" t="inlineStr">
        <is>
          <t>Flagships</t>
        </is>
      </c>
      <c r="G7" s="75" t="inlineStr">
        <is>
          <t>2026-08</t>
        </is>
      </c>
      <c r="H7" s="75" t="inlineStr">
        <is>
          <t>localizado</t>
        </is>
      </c>
      <c r="I7" s="143" t="n">
        <v>1911439961.8</v>
      </c>
      <c r="J7" s="143" t="n">
        <v>1911439961.810204</v>
      </c>
      <c r="K7" s="143" t="n">
        <v>628800986.6860068</v>
      </c>
      <c r="L7" s="144" t="n">
        <v>0.3289671657245598</v>
      </c>
      <c r="M7" s="75" t="inlineStr">
        <is>
          <t>Calculado com classes reportadas e PL oficial reconciliado</t>
        </is>
      </c>
      <c r="N7" s="144" t="inlineStr">
        <is>
          <t>N/D</t>
        </is>
      </c>
      <c r="O7" s="144" t="inlineStr">
        <is>
          <t>N/D</t>
        </is>
      </c>
      <c r="P7" s="144" t="inlineStr">
        <is>
          <t>N/D</t>
        </is>
      </c>
      <c r="Q7" s="144" t="inlineStr">
        <is>
          <t>N/D</t>
        </is>
      </c>
      <c r="R7" s="144" t="inlineStr">
        <is>
          <t>N/D</t>
        </is>
      </c>
      <c r="S7" s="144" t="inlineStr">
        <is>
          <t>N/D</t>
        </is>
      </c>
      <c r="T7" s="75" t="inlineStr">
        <is>
          <t>N/D</t>
        </is>
      </c>
      <c r="U7" s="75" t="inlineStr">
        <is>
          <t>sem_indice</t>
        </is>
      </c>
      <c r="V7" s="75" t="inlineStr">
        <is>
          <t>N/D</t>
        </is>
      </c>
      <c r="W7" s="75" t="b">
        <v>0</v>
      </c>
      <c r="X7" s="75" t="inlineStr">
        <is>
          <t>N/D — mínimo estrutural ou subordinação atual ausente</t>
        </is>
      </c>
      <c r="Y7" s="75" t="b">
        <v>0</v>
      </c>
      <c r="Z7" s="144" t="inlineStr">
        <is>
          <t>N/D</t>
        </is>
      </c>
      <c r="AA7" s="144" t="inlineStr">
        <is>
          <t>N/D</t>
        </is>
      </c>
      <c r="AB7" s="75" t="inlineStr">
        <is>
          <t>não medido</t>
        </is>
      </c>
      <c r="AC7" s="75" t="inlineStr">
        <is>
          <t>N/D</t>
        </is>
      </c>
      <c r="AD7" s="75" t="inlineStr">
        <is>
          <t>N/D</t>
        </is>
      </c>
      <c r="AE7" s="75" t="inlineStr">
        <is>
          <t>Consignado CLT</t>
        </is>
      </c>
      <c r="AF7" s="75" t="inlineStr">
        <is>
          <t>Financeiro</t>
        </is>
      </c>
      <c r="AG7" s="75" t="inlineStr">
        <is>
          <t>N/D</t>
        </is>
      </c>
      <c r="AH7" s="75" t="inlineStr">
        <is>
          <t>N/D</t>
        </is>
      </c>
      <c r="AI7" s="75" t="inlineStr">
        <is>
          <t>N/D</t>
        </is>
      </c>
      <c r="AJ7" s="75" t="b">
        <v>0</v>
      </c>
      <c r="AK7" s="75" t="inlineStr">
        <is>
          <t>N/D</t>
        </is>
      </c>
      <c r="AL7" s="75" t="inlineStr">
        <is>
          <t>N/D</t>
        </is>
      </c>
      <c r="AM7" s="75" t="inlineStr">
        <is>
          <t>N/D</t>
        </is>
      </c>
      <c r="AN7" s="75" t="inlineStr">
        <is>
          <t>N/D</t>
        </is>
      </c>
      <c r="AO7" s="75" t="inlineStr">
        <is>
          <t>N/D</t>
        </is>
      </c>
      <c r="AP7" s="75" t="inlineStr">
        <is>
          <t>N/D</t>
        </is>
      </c>
      <c r="AQ7" s="75" t="inlineStr">
        <is>
          <t>N/D</t>
        </is>
      </c>
      <c r="AR7" s="75" t="inlineStr">
        <is>
          <t>N/D</t>
        </is>
      </c>
      <c r="AS7" s="75" t="inlineStr">
        <is>
          <t>N/D</t>
        </is>
      </c>
      <c r="AT7" s="75" t="inlineStr">
        <is>
          <t>N/D</t>
        </is>
      </c>
      <c r="AU7" s="75" t="inlineStr">
        <is>
          <t>N/D</t>
        </is>
      </c>
      <c r="AV7" s="75" t="inlineStr">
        <is>
          <t>N/D</t>
        </is>
      </c>
      <c r="AW7" s="75" t="b">
        <v>0</v>
      </c>
      <c r="AX7" s="75" t="inlineStr">
        <is>
          <t>N/D</t>
        </is>
      </c>
      <c r="AY7" s="75" t="inlineStr">
        <is>
          <t>N/D</t>
        </is>
      </c>
      <c r="AZ7" s="144" t="inlineStr">
        <is>
          <t>N/D</t>
        </is>
      </c>
      <c r="BA7" s="75" t="inlineStr">
        <is>
          <t>N/D</t>
        </is>
      </c>
      <c r="BB7" s="145" t="inlineStr">
        <is>
          <t>N/D</t>
        </is>
      </c>
      <c r="BC7" s="143" t="inlineStr">
        <is>
          <t>N/D</t>
        </is>
      </c>
      <c r="BD7" s="75" t="inlineStr">
        <is>
          <t>N/D</t>
        </is>
      </c>
      <c r="BE7" s="75" t="inlineStr">
        <is>
          <t>N/D</t>
        </is>
      </c>
      <c r="BF7" s="75" t="inlineStr">
        <is>
          <t>N/D</t>
        </is>
      </c>
      <c r="BG7" s="75" t="inlineStr">
        <is>
          <t>N/D</t>
        </is>
      </c>
      <c r="BH7" s="75" t="inlineStr">
        <is>
          <t>N/D</t>
        </is>
      </c>
      <c r="BI7" s="75" t="inlineStr">
        <is>
          <t>N/D</t>
        </is>
      </c>
      <c r="BJ7" s="75" t="inlineStr">
        <is>
          <t>não localizado</t>
        </is>
      </c>
      <c r="BK7" s="75" t="b">
        <v>0</v>
      </c>
      <c r="BL7" s="75" t="inlineStr">
        <is>
          <t>N/D</t>
        </is>
      </c>
      <c r="BM7" s="75" t="inlineStr">
        <is>
          <t>N/D</t>
        </is>
      </c>
      <c r="BN7" s="75" t="inlineStr">
        <is>
          <t>N/D</t>
        </is>
      </c>
      <c r="BO7" s="75" t="inlineStr">
        <is>
          <t>N/D</t>
        </is>
      </c>
      <c r="BP7" s="75" t="inlineStr">
        <is>
          <t>N/D</t>
        </is>
      </c>
      <c r="BQ7" s="75" t="inlineStr">
        <is>
          <t>N/D</t>
        </is>
      </c>
      <c r="BR7" s="75" t="inlineStr">
        <is>
          <t>N/D</t>
        </is>
      </c>
      <c r="BS7" s="75" t="inlineStr">
        <is>
          <t>sem_overlay</t>
        </is>
      </c>
      <c r="BT7" s="75" t="inlineStr">
        <is>
          <t>N/D</t>
        </is>
      </c>
      <c r="BU7" s="75" t="inlineStr">
        <is>
          <t>N/D</t>
        </is>
      </c>
      <c r="BV7" s="75" t="inlineStr">
        <is>
          <t>N/D</t>
        </is>
      </c>
      <c r="BW7" s="75" t="inlineStr">
        <is>
          <t>N/D</t>
        </is>
      </c>
      <c r="BX7" s="75" t="inlineStr">
        <is>
          <t>lacuna — regulamento integral não disponível nas fontes locais</t>
        </is>
      </c>
      <c r="BY7" s="75" t="inlineStr">
        <is>
          <t>N/D</t>
        </is>
      </c>
      <c r="BZ7" s="75" t="inlineStr">
        <is>
          <t>N/D</t>
        </is>
      </c>
      <c r="CA7" s="75" t="inlineStr">
        <is>
          <t>mínimo estrutural comparável; preço unitário da cota; originador; cedente; sacado/devedor; tipo de recebível</t>
        </is>
      </c>
      <c r="CB7" s="75" t="inlineStr">
        <is>
          <t>minimo_estrutural_ausente</t>
        </is>
      </c>
    </row>
    <row r="8" ht="31.5" customHeight="1">
      <c r="A8" s="74" t="n">
        <v>3</v>
      </c>
      <c r="B8" s="138" t="n">
        <v>62390922000100</v>
      </c>
      <c r="C8" s="74" t="inlineStr">
        <is>
          <t>62.390.922/0001-00</t>
        </is>
      </c>
      <c r="D8" s="74" t="inlineStr">
        <is>
          <t>FUNDO DE INVESTIMENTO EM DIREITOS CREDITÓRIOS CLT NOW RESPONSABILIDADE LIMITADA</t>
        </is>
      </c>
      <c r="E8" s="74" t="inlineStr">
        <is>
          <t>CLT Now</t>
        </is>
      </c>
      <c r="F8" s="74" t="inlineStr">
        <is>
          <t>Flagships</t>
        </is>
      </c>
      <c r="G8" s="74" t="inlineStr">
        <is>
          <t>2026-08</t>
        </is>
      </c>
      <c r="H8" s="74" t="inlineStr">
        <is>
          <t>localizado</t>
        </is>
      </c>
      <c r="I8" s="139" t="n">
        <v>508566500.95</v>
      </c>
      <c r="J8" s="139" t="n">
        <v>508566500.9569233</v>
      </c>
      <c r="K8" s="139" t="n">
        <v>194318116.5271413</v>
      </c>
      <c r="L8" s="140" t="n">
        <v>0.3820898863062273</v>
      </c>
      <c r="M8" s="74" t="inlineStr">
        <is>
          <t>Calculado com classes reportadas e PL oficial reconciliado</t>
        </is>
      </c>
      <c r="N8" s="140" t="inlineStr">
        <is>
          <t>N/D</t>
        </is>
      </c>
      <c r="O8" s="140" t="inlineStr">
        <is>
          <t>N/D</t>
        </is>
      </c>
      <c r="P8" s="140" t="inlineStr">
        <is>
          <t>N/D</t>
        </is>
      </c>
      <c r="Q8" s="140" t="inlineStr">
        <is>
          <t>N/D</t>
        </is>
      </c>
      <c r="R8" s="140" t="inlineStr">
        <is>
          <t>N/D</t>
        </is>
      </c>
      <c r="S8" s="140" t="inlineStr">
        <is>
          <t>N/D</t>
        </is>
      </c>
      <c r="T8" s="74" t="inlineStr">
        <is>
          <t>N/D</t>
        </is>
      </c>
      <c r="U8" s="74" t="inlineStr">
        <is>
          <t>sem_indice</t>
        </is>
      </c>
      <c r="V8" s="74" t="inlineStr">
        <is>
          <t>N/D</t>
        </is>
      </c>
      <c r="W8" s="74" t="b">
        <v>0</v>
      </c>
      <c r="X8" s="74" t="inlineStr">
        <is>
          <t>N/D — mínimo estrutural ou subordinação atual ausente</t>
        </is>
      </c>
      <c r="Y8" s="74" t="b">
        <v>0</v>
      </c>
      <c r="Z8" s="140" t="inlineStr">
        <is>
          <t>N/D</t>
        </is>
      </c>
      <c r="AA8" s="140" t="inlineStr">
        <is>
          <t>N/D</t>
        </is>
      </c>
      <c r="AB8" s="74" t="inlineStr">
        <is>
          <t>não medido</t>
        </is>
      </c>
      <c r="AC8" s="74" t="inlineStr">
        <is>
          <t>N/D</t>
        </is>
      </c>
      <c r="AD8" s="74" t="inlineStr">
        <is>
          <t>N/D</t>
        </is>
      </c>
      <c r="AE8" s="74" t="inlineStr">
        <is>
          <t>Consignado CLT</t>
        </is>
      </c>
      <c r="AF8" s="74" t="inlineStr">
        <is>
          <t>Financeiro</t>
        </is>
      </c>
      <c r="AG8" s="74" t="inlineStr">
        <is>
          <t>N/D</t>
        </is>
      </c>
      <c r="AH8" s="74" t="inlineStr">
        <is>
          <t>N/D</t>
        </is>
      </c>
      <c r="AI8" s="74" t="inlineStr">
        <is>
          <t>N/D</t>
        </is>
      </c>
      <c r="AJ8" s="74" t="b">
        <v>0</v>
      </c>
      <c r="AK8" s="74" t="inlineStr">
        <is>
          <t>N/D</t>
        </is>
      </c>
      <c r="AL8" s="74" t="inlineStr">
        <is>
          <t>N/D</t>
        </is>
      </c>
      <c r="AM8" s="74" t="inlineStr">
        <is>
          <t>N/D</t>
        </is>
      </c>
      <c r="AN8" s="74" t="inlineStr">
        <is>
          <t>N/D</t>
        </is>
      </c>
      <c r="AO8" s="74" t="inlineStr">
        <is>
          <t>N/D</t>
        </is>
      </c>
      <c r="AP8" s="74" t="inlineStr">
        <is>
          <t>N/D</t>
        </is>
      </c>
      <c r="AQ8" s="74" t="inlineStr">
        <is>
          <t>N/D</t>
        </is>
      </c>
      <c r="AR8" s="74" t="inlineStr">
        <is>
          <t>N/D</t>
        </is>
      </c>
      <c r="AS8" s="74" t="inlineStr">
        <is>
          <t>N/D</t>
        </is>
      </c>
      <c r="AT8" s="74" t="inlineStr">
        <is>
          <t>N/D</t>
        </is>
      </c>
      <c r="AU8" s="74" t="inlineStr">
        <is>
          <t>N/D</t>
        </is>
      </c>
      <c r="AV8" s="74" t="inlineStr">
        <is>
          <t>N/D</t>
        </is>
      </c>
      <c r="AW8" s="74" t="b">
        <v>0</v>
      </c>
      <c r="AX8" s="74" t="inlineStr">
        <is>
          <t>N/D</t>
        </is>
      </c>
      <c r="AY8" s="74" t="inlineStr">
        <is>
          <t>N/D</t>
        </is>
      </c>
      <c r="AZ8" s="140" t="inlineStr">
        <is>
          <t>N/D</t>
        </is>
      </c>
      <c r="BA8" s="74" t="inlineStr">
        <is>
          <t>N/D</t>
        </is>
      </c>
      <c r="BB8" s="141" t="inlineStr">
        <is>
          <t>N/D</t>
        </is>
      </c>
      <c r="BC8" s="139" t="inlineStr">
        <is>
          <t>N/D</t>
        </is>
      </c>
      <c r="BD8" s="74" t="inlineStr">
        <is>
          <t>N/D</t>
        </is>
      </c>
      <c r="BE8" s="74" t="inlineStr">
        <is>
          <t>N/D</t>
        </is>
      </c>
      <c r="BF8" s="74" t="inlineStr">
        <is>
          <t>N/D</t>
        </is>
      </c>
      <c r="BG8" s="74" t="inlineStr">
        <is>
          <t>N/D</t>
        </is>
      </c>
      <c r="BH8" s="74" t="inlineStr">
        <is>
          <t>N/D</t>
        </is>
      </c>
      <c r="BI8" s="74" t="inlineStr">
        <is>
          <t>N/D</t>
        </is>
      </c>
      <c r="BJ8" s="74" t="inlineStr">
        <is>
          <t>não localizado</t>
        </is>
      </c>
      <c r="BK8" s="74" t="b">
        <v>0</v>
      </c>
      <c r="BL8" s="74" t="inlineStr">
        <is>
          <t>N/D</t>
        </is>
      </c>
      <c r="BM8" s="74" t="inlineStr">
        <is>
          <t>N/D</t>
        </is>
      </c>
      <c r="BN8" s="74" t="inlineStr">
        <is>
          <t>N/D</t>
        </is>
      </c>
      <c r="BO8" s="74" t="inlineStr">
        <is>
          <t>N/D</t>
        </is>
      </c>
      <c r="BP8" s="74" t="inlineStr">
        <is>
          <t>N/D</t>
        </is>
      </c>
      <c r="BQ8" s="74" t="inlineStr">
        <is>
          <t>N/D</t>
        </is>
      </c>
      <c r="BR8" s="74" t="inlineStr">
        <is>
          <t>N/D</t>
        </is>
      </c>
      <c r="BS8" s="74" t="inlineStr">
        <is>
          <t>sem_overlay</t>
        </is>
      </c>
      <c r="BT8" s="74" t="inlineStr">
        <is>
          <t>N/D</t>
        </is>
      </c>
      <c r="BU8" s="74" t="inlineStr">
        <is>
          <t>1170223</t>
        </is>
      </c>
      <c r="BV8" s="74" t="inlineStr">
        <is>
          <t>2026-04-15</t>
        </is>
      </c>
      <c r="BW8" s="74" t="inlineStr">
        <is>
          <t>cláusulas de subordinação e definições revisadas</t>
        </is>
      </c>
      <c r="BX8" s="74" t="inlineStr">
        <is>
          <t>revisto — mínimo júnior não isolado</t>
        </is>
      </c>
      <c r="BY8" s="74" t="inlineStr">
        <is>
          <t>FundosNet/B3; documento 1170223; referência 2026-04-15; cláusulas candidatas revisadas</t>
        </is>
      </c>
      <c r="BZ8" s="74" t="inlineStr">
        <is>
          <t>N/D</t>
        </is>
      </c>
      <c r="CA8" s="74" t="inlineStr">
        <is>
          <t>mínimo estrutural comparável; preço unitário da cota; originador; cedente; sacado/devedor; tipo de recebível</t>
        </is>
      </c>
      <c r="CB8" s="74" t="inlineStr">
        <is>
          <t>minimo_estrutural_ausente</t>
        </is>
      </c>
    </row>
    <row r="9" ht="31.5" customHeight="1">
      <c r="A9" s="75" t="n">
        <v>4</v>
      </c>
      <c r="B9" s="142" t="n">
        <v>63546406000194</v>
      </c>
      <c r="C9" s="75" t="inlineStr">
        <is>
          <t>63.546.406/0001-94</t>
        </is>
      </c>
      <c r="D9" s="75" t="inlineStr">
        <is>
          <t>PINE INSS III FUNDO DE INVESTIMENTO EM DIREITOS CREDITÓRIOS RESPONSABILIDADE LIMITADA</t>
        </is>
      </c>
      <c r="E9" s="75" t="inlineStr">
        <is>
          <t>Pine INSS I, II e III</t>
        </is>
      </c>
      <c r="F9" s="75" t="inlineStr">
        <is>
          <t>Flagships</t>
        </is>
      </c>
      <c r="G9" s="75" t="inlineStr">
        <is>
          <t>2026-08</t>
        </is>
      </c>
      <c r="H9" s="75" t="inlineStr">
        <is>
          <t>localizado</t>
        </is>
      </c>
      <c r="I9" s="143" t="n">
        <v>1114518773.65</v>
      </c>
      <c r="J9" s="143" t="n">
        <v>1114518773.6475</v>
      </c>
      <c r="K9" s="143" t="n">
        <v>175077833.4301875</v>
      </c>
      <c r="L9" s="144" t="n">
        <v>0.1570882766351394</v>
      </c>
      <c r="M9" s="75" t="inlineStr">
        <is>
          <t>Calculado com classes reportadas e PL oficial reconciliado</t>
        </is>
      </c>
      <c r="N9" s="144" t="n">
        <v>0.015</v>
      </c>
      <c r="O9" s="144" t="inlineStr">
        <is>
          <t>N/D</t>
        </is>
      </c>
      <c r="P9" s="144" t="inlineStr">
        <is>
          <t>N/D</t>
        </is>
      </c>
      <c r="Q9" s="144" t="inlineStr">
        <is>
          <t>N/D</t>
        </is>
      </c>
      <c r="R9" s="144" t="inlineStr">
        <is>
          <t>N/D</t>
        </is>
      </c>
      <c r="S9" s="144" t="inlineStr">
        <is>
          <t>N/D</t>
        </is>
      </c>
      <c r="T9" s="75" t="inlineStr">
        <is>
          <t>1,5% inicial; meta 2,5%</t>
        </is>
      </c>
      <c r="U9" s="75" t="inlineStr">
        <is>
          <t>junior_pl</t>
        </is>
      </c>
      <c r="V9" s="75" t="inlineStr">
        <is>
          <t>direto no regulamento</t>
        </is>
      </c>
      <c r="W9" s="75" t="b">
        <v>0</v>
      </c>
      <c r="X9" s="75" t="inlineStr">
        <is>
          <t>N/D — equivalência entre mínimo júnior e subordinação total não comprovada</t>
        </is>
      </c>
      <c r="Y9" s="75" t="b">
        <v>1</v>
      </c>
      <c r="Z9" s="144" t="inlineStr">
        <is>
          <t>N/D</t>
        </is>
      </c>
      <c r="AA9" s="144" t="inlineStr">
        <is>
          <t>N/D</t>
        </is>
      </c>
      <c r="AB9" s="75" t="inlineStr">
        <is>
          <t>não medido</t>
        </is>
      </c>
      <c r="AC9" s="75" t="inlineStr">
        <is>
          <t>N/D</t>
        </is>
      </c>
      <c r="AD9" s="75" t="inlineStr">
        <is>
          <t>N/D</t>
        </is>
      </c>
      <c r="AE9" s="75" t="inlineStr">
        <is>
          <t>Consignado INSS</t>
        </is>
      </c>
      <c r="AF9" s="75" t="inlineStr">
        <is>
          <t>Consignado INSS</t>
        </is>
      </c>
      <c r="AG9" s="75" t="inlineStr">
        <is>
          <t>N/D</t>
        </is>
      </c>
      <c r="AH9" s="75" t="inlineStr">
        <is>
          <t>N/D</t>
        </is>
      </c>
      <c r="AI9" s="75" t="inlineStr">
        <is>
          <t>N/D</t>
        </is>
      </c>
      <c r="AJ9" s="75" t="b">
        <v>0</v>
      </c>
      <c r="AK9" s="75" t="inlineStr">
        <is>
          <t>N/D</t>
        </is>
      </c>
      <c r="AL9" s="75" t="inlineStr">
        <is>
          <t>N/D</t>
        </is>
      </c>
      <c r="AM9" s="75" t="inlineStr">
        <is>
          <t>N/D</t>
        </is>
      </c>
      <c r="AN9" s="75" t="inlineStr">
        <is>
          <t>N/D</t>
        </is>
      </c>
      <c r="AO9" s="75" t="inlineStr">
        <is>
          <t>N/D</t>
        </is>
      </c>
      <c r="AP9" s="75" t="inlineStr">
        <is>
          <t>N/D</t>
        </is>
      </c>
      <c r="AQ9" s="75" t="inlineStr">
        <is>
          <t>N/D</t>
        </is>
      </c>
      <c r="AR9" s="75" t="inlineStr">
        <is>
          <t>N/D</t>
        </is>
      </c>
      <c r="AS9" s="75" t="inlineStr">
        <is>
          <t>N/D</t>
        </is>
      </c>
      <c r="AT9" s="75" t="inlineStr">
        <is>
          <t>N/D</t>
        </is>
      </c>
      <c r="AU9" s="75" t="inlineStr">
        <is>
          <t>N/D</t>
        </is>
      </c>
      <c r="AV9" s="75" t="inlineStr">
        <is>
          <t>N/D</t>
        </is>
      </c>
      <c r="AW9" s="75" t="b">
        <v>0</v>
      </c>
      <c r="AX9" s="75" t="inlineStr">
        <is>
          <t>N/D</t>
        </is>
      </c>
      <c r="AY9" s="75" t="inlineStr">
        <is>
          <t>N/D</t>
        </is>
      </c>
      <c r="AZ9" s="144" t="inlineStr">
        <is>
          <t>N/D</t>
        </is>
      </c>
      <c r="BA9" s="75" t="inlineStr">
        <is>
          <t>N/D</t>
        </is>
      </c>
      <c r="BB9" s="145" t="inlineStr">
        <is>
          <t>N/D</t>
        </is>
      </c>
      <c r="BC9" s="143" t="n">
        <v>1000</v>
      </c>
      <c r="BD9" s="75" t="inlineStr">
        <is>
          <t>R$ 1.000,00</t>
        </is>
      </c>
      <c r="BE9" s="75" t="inlineStr">
        <is>
          <t>preço/VNU conforme fonte</t>
        </is>
      </c>
      <c r="BF9" s="75" t="inlineStr">
        <is>
          <t>Sênior — 1ª emissão / MZ A — 1ª emissão / MZ B — 1ª emissão / MZ C — 1ª emissão</t>
        </is>
      </c>
      <c r="BG9" s="75" t="inlineStr">
        <is>
          <t>N/D</t>
        </is>
      </c>
      <c r="BH9" s="75" t="inlineStr">
        <is>
          <t>1130481 | 1172101</t>
        </is>
      </c>
      <c r="BI9" s="75" t="inlineStr">
        <is>
          <t>data/raw/63546406000194/1130481_regulamento.pdf · ID 1130481 · 05/03/2026 · p. 163; data/raw/63546406000194/1172101_emissao.pdf · ID 1172101 · 22/04/2026 · p.2 | data/raw/63546406000194/1130481_regulamento.pdf · ID 1130481 · 05/03/2026 · p. 165; data/raw/63546406000194/1172101_emissao.pdf · ID 1172101 · 22/04/2026 · p.2 | data/raw/63546406000194/1130481_regulamento.pdf · ID 1130481 · 05/03/2026 · p. 167; data/raw/63546406000194/1172101_emissao.pdf · ID 1172101 · 22/04/2026 · p.2 | data/raw/63546406000194/1130481_regulamento.pdf · ID 1130481 · 05/03/2026 · p. 169; data/raw/63546406000194/1172101_emissao.pdf · ID 1172101 · 22/04/2026 · p.2</t>
        </is>
      </c>
      <c r="BJ9" s="75" t="inlineStr">
        <is>
          <t>localizado documentalmente</t>
        </is>
      </c>
      <c r="BK9" s="75" t="b">
        <v>1</v>
      </c>
      <c r="BL9" s="75" t="inlineStr">
        <is>
          <t>N/D</t>
        </is>
      </c>
      <c r="BM9" s="75" t="inlineStr">
        <is>
          <t>N/D</t>
        </is>
      </c>
      <c r="BN9" s="75" t="inlineStr">
        <is>
          <t>N/D</t>
        </is>
      </c>
      <c r="BO9" s="75" t="inlineStr">
        <is>
          <t>N/D</t>
        </is>
      </c>
      <c r="BP9" s="75" t="inlineStr">
        <is>
          <t>N/D</t>
        </is>
      </c>
      <c r="BQ9" s="75" t="inlineStr">
        <is>
          <t>N/D</t>
        </is>
      </c>
      <c r="BR9" s="75" t="inlineStr">
        <is>
          <t>N/D</t>
        </is>
      </c>
      <c r="BS9" s="75" t="inlineStr">
        <is>
          <t>sem_overlay</t>
        </is>
      </c>
      <c r="BT9" s="75" t="inlineStr">
        <is>
          <t>N/D</t>
        </is>
      </c>
      <c r="BU9" s="75" t="inlineStr">
        <is>
          <t>1130481</t>
        </is>
      </c>
      <c r="BV9" s="75" t="inlineStr">
        <is>
          <t>2026-03-05</t>
        </is>
      </c>
      <c r="BW9" s="75" t="inlineStr">
        <is>
          <t>p. 142; item 6.8.5</t>
        </is>
      </c>
      <c r="BX9" s="75" t="inlineStr">
        <is>
          <t>revisto — mínimo júnior localizado</t>
        </is>
      </c>
      <c r="BY9" s="75" t="inlineStr">
        <is>
          <t>FundosNet/B3; documento 1130481; referência 2026-03-05; p. 142; item 6.8.5</t>
        </is>
      </c>
      <c r="BZ9" s="75" t="inlineStr">
        <is>
          <t>Cotas subordinadas júnior / PL: mínimo inicial de 1,5% e meta de 2,5%.</t>
        </is>
      </c>
      <c r="CA9" s="75" t="inlineStr">
        <is>
          <t>mínimo estrutural comparável; originador; cedente; sacado/devedor; tipo de recebível</t>
        </is>
      </c>
      <c r="CB9" s="75" t="inlineStr">
        <is>
          <t>estrutura_incomparavel</t>
        </is>
      </c>
    </row>
    <row r="10" ht="31.5" customHeight="1">
      <c r="A10" s="74" t="n">
        <v>4</v>
      </c>
      <c r="B10" s="138" t="n">
        <v>61271872000189</v>
      </c>
      <c r="C10" s="74" t="inlineStr">
        <is>
          <t>61.271.872/0001-89</t>
        </is>
      </c>
      <c r="D10" s="74" t="inlineStr">
        <is>
          <t>PINE INSS FUNDO DE INVESTIMENTO EM DIREITOS CREDITÓRIOS SEGMENTO FINANCEIRO RESP LIMITADA</t>
        </is>
      </c>
      <c r="E10" s="74" t="inlineStr">
        <is>
          <t>Pine INSS I, II e III</t>
        </is>
      </c>
      <c r="F10" s="74" t="inlineStr">
        <is>
          <t>Flagships</t>
        </is>
      </c>
      <c r="G10" s="74" t="inlineStr">
        <is>
          <t>2026-08</t>
        </is>
      </c>
      <c r="H10" s="74" t="inlineStr">
        <is>
          <t>localizado</t>
        </is>
      </c>
      <c r="I10" s="139" t="n">
        <v>1017649857.65</v>
      </c>
      <c r="J10" s="139" t="n">
        <v>1017649857.646</v>
      </c>
      <c r="K10" s="139" t="n">
        <v>162711915.62</v>
      </c>
      <c r="L10" s="140" t="n">
        <v>0.159889881963666</v>
      </c>
      <c r="M10" s="74" t="inlineStr">
        <is>
          <t>Calculado com classes reportadas e PL oficial reconciliado</t>
        </is>
      </c>
      <c r="N10" s="140" t="inlineStr">
        <is>
          <t>N/D</t>
        </is>
      </c>
      <c r="O10" s="140" t="inlineStr">
        <is>
          <t>N/D</t>
        </is>
      </c>
      <c r="P10" s="140" t="inlineStr">
        <is>
          <t>N/D</t>
        </is>
      </c>
      <c r="Q10" s="140" t="inlineStr">
        <is>
          <t>N/D</t>
        </is>
      </c>
      <c r="R10" s="140" t="inlineStr">
        <is>
          <t>N/D</t>
        </is>
      </c>
      <c r="S10" s="140" t="inlineStr">
        <is>
          <t>N/D</t>
        </is>
      </c>
      <c r="T10" s="74" t="inlineStr">
        <is>
          <t>N/D</t>
        </is>
      </c>
      <c r="U10" s="74" t="inlineStr">
        <is>
          <t>sem_indice</t>
        </is>
      </c>
      <c r="V10" s="74" t="inlineStr">
        <is>
          <t>N/D</t>
        </is>
      </c>
      <c r="W10" s="74" t="b">
        <v>0</v>
      </c>
      <c r="X10" s="74" t="inlineStr">
        <is>
          <t>N/D — mínimo estrutural ou subordinação atual ausente</t>
        </is>
      </c>
      <c r="Y10" s="74" t="b">
        <v>0</v>
      </c>
      <c r="Z10" s="140" t="inlineStr">
        <is>
          <t>N/D</t>
        </is>
      </c>
      <c r="AA10" s="140" t="inlineStr">
        <is>
          <t>N/D</t>
        </is>
      </c>
      <c r="AB10" s="74" t="inlineStr">
        <is>
          <t>não medido</t>
        </is>
      </c>
      <c r="AC10" s="74" t="inlineStr">
        <is>
          <t>N/D</t>
        </is>
      </c>
      <c r="AD10" s="74" t="inlineStr">
        <is>
          <t>N/D</t>
        </is>
      </c>
      <c r="AE10" s="74" t="inlineStr">
        <is>
          <t>Consignado INSS</t>
        </is>
      </c>
      <c r="AF10" s="74" t="inlineStr">
        <is>
          <t>Consignado INSS</t>
        </is>
      </c>
      <c r="AG10" s="74" t="inlineStr">
        <is>
          <t>N/D</t>
        </is>
      </c>
      <c r="AH10" s="74" t="inlineStr">
        <is>
          <t>N/D</t>
        </is>
      </c>
      <c r="AI10" s="74" t="inlineStr">
        <is>
          <t>N/D</t>
        </is>
      </c>
      <c r="AJ10" s="74" t="b">
        <v>0</v>
      </c>
      <c r="AK10" s="74" t="inlineStr">
        <is>
          <t>N/D</t>
        </is>
      </c>
      <c r="AL10" s="74" t="inlineStr">
        <is>
          <t>N/D</t>
        </is>
      </c>
      <c r="AM10" s="74" t="inlineStr">
        <is>
          <t>N/D</t>
        </is>
      </c>
      <c r="AN10" s="74" t="inlineStr">
        <is>
          <t>N/D</t>
        </is>
      </c>
      <c r="AO10" s="74" t="inlineStr">
        <is>
          <t>N/D</t>
        </is>
      </c>
      <c r="AP10" s="74" t="inlineStr">
        <is>
          <t>N/D</t>
        </is>
      </c>
      <c r="AQ10" s="74" t="inlineStr">
        <is>
          <t>N/D</t>
        </is>
      </c>
      <c r="AR10" s="74" t="inlineStr">
        <is>
          <t>N/D</t>
        </is>
      </c>
      <c r="AS10" s="74" t="inlineStr">
        <is>
          <t>N/D</t>
        </is>
      </c>
      <c r="AT10" s="74" t="inlineStr">
        <is>
          <t>N/D</t>
        </is>
      </c>
      <c r="AU10" s="74" t="inlineStr">
        <is>
          <t>N/D</t>
        </is>
      </c>
      <c r="AV10" s="74" t="inlineStr">
        <is>
          <t>N/D</t>
        </is>
      </c>
      <c r="AW10" s="74" t="b">
        <v>0</v>
      </c>
      <c r="AX10" s="74" t="inlineStr">
        <is>
          <t>N/D</t>
        </is>
      </c>
      <c r="AY10" s="74" t="inlineStr">
        <is>
          <t>N/D</t>
        </is>
      </c>
      <c r="AZ10" s="140" t="inlineStr">
        <is>
          <t>N/D</t>
        </is>
      </c>
      <c r="BA10" s="74" t="inlineStr">
        <is>
          <t>N/D</t>
        </is>
      </c>
      <c r="BB10" s="141" t="inlineStr">
        <is>
          <t>N/D</t>
        </is>
      </c>
      <c r="BC10" s="139" t="inlineStr">
        <is>
          <t>N/D</t>
        </is>
      </c>
      <c r="BD10" s="74" t="inlineStr">
        <is>
          <t>N/D</t>
        </is>
      </c>
      <c r="BE10" s="74" t="inlineStr">
        <is>
          <t>N/D</t>
        </is>
      </c>
      <c r="BF10" s="74" t="inlineStr">
        <is>
          <t>N/D</t>
        </is>
      </c>
      <c r="BG10" s="74" t="inlineStr">
        <is>
          <t>N/D</t>
        </is>
      </c>
      <c r="BH10" s="74" t="inlineStr">
        <is>
          <t>N/D</t>
        </is>
      </c>
      <c r="BI10" s="74" t="inlineStr">
        <is>
          <t>N/D</t>
        </is>
      </c>
      <c r="BJ10" s="74" t="inlineStr">
        <is>
          <t>não localizado</t>
        </is>
      </c>
      <c r="BK10" s="74" t="b">
        <v>0</v>
      </c>
      <c r="BL10" s="74" t="inlineStr">
        <is>
          <t>N/D</t>
        </is>
      </c>
      <c r="BM10" s="74" t="inlineStr">
        <is>
          <t>N/D</t>
        </is>
      </c>
      <c r="BN10" s="74" t="inlineStr">
        <is>
          <t>N/D</t>
        </is>
      </c>
      <c r="BO10" s="74" t="inlineStr">
        <is>
          <t>N/D</t>
        </is>
      </c>
      <c r="BP10" s="74" t="inlineStr">
        <is>
          <t>N/D</t>
        </is>
      </c>
      <c r="BQ10" s="74" t="inlineStr">
        <is>
          <t>N/D</t>
        </is>
      </c>
      <c r="BR10" s="74" t="inlineStr">
        <is>
          <t>N/D</t>
        </is>
      </c>
      <c r="BS10" s="74" t="inlineStr">
        <is>
          <t>sem_overlay</t>
        </is>
      </c>
      <c r="BT10" s="74" t="inlineStr">
        <is>
          <t>N/D</t>
        </is>
      </c>
      <c r="BU10" s="74" t="inlineStr">
        <is>
          <t>1211502</t>
        </is>
      </c>
      <c r="BV10" s="74" t="inlineStr">
        <is>
          <t>2026-06-01</t>
        </is>
      </c>
      <c r="BW10" s="74" t="inlineStr">
        <is>
          <t>cláusulas de subordinação e definições revisadas</t>
        </is>
      </c>
      <c r="BX10" s="74" t="inlineStr">
        <is>
          <t>revisto — mínimo júnior não isolado</t>
        </is>
      </c>
      <c r="BY10" s="74" t="inlineStr">
        <is>
          <t>FundosNet/B3; documento 1211502; referência 2026-06-01; cláusulas candidatas revisadas</t>
        </is>
      </c>
      <c r="BZ10" s="74" t="inlineStr">
        <is>
          <t>N/D</t>
        </is>
      </c>
      <c r="CA10" s="74" t="inlineStr">
        <is>
          <t>mínimo estrutural comparável; preço unitário da cota; originador; cedente; sacado/devedor; tipo de recebível</t>
        </is>
      </c>
      <c r="CB10" s="74" t="inlineStr">
        <is>
          <t>minimo_estrutural_ausente</t>
        </is>
      </c>
    </row>
    <row r="11" ht="31.5" customHeight="1">
      <c r="A11" s="75" t="n">
        <v>4</v>
      </c>
      <c r="B11" s="142" t="n">
        <v>63321684000143</v>
      </c>
      <c r="C11" s="75" t="inlineStr">
        <is>
          <t>63.321.684/0001-43</t>
        </is>
      </c>
      <c r="D11" s="75" t="inlineStr">
        <is>
          <t>PINE INSS II FUNDO DE INVESTIMENTO EM DIREITOS CREDITÓRIOS RESPONSABILIDADE LIMITADA</t>
        </is>
      </c>
      <c r="E11" s="75" t="inlineStr">
        <is>
          <t>Pine INSS I, II e III</t>
        </is>
      </c>
      <c r="F11" s="75" t="inlineStr">
        <is>
          <t>Flagships</t>
        </is>
      </c>
      <c r="G11" s="75" t="inlineStr">
        <is>
          <t>2026-08</t>
        </is>
      </c>
      <c r="H11" s="75" t="inlineStr">
        <is>
          <t>localizado</t>
        </is>
      </c>
      <c r="I11" s="143" t="n">
        <v>963408549.55</v>
      </c>
      <c r="J11" s="143" t="n">
        <v>963408549.546474</v>
      </c>
      <c r="K11" s="143" t="n">
        <v>162752524.530224</v>
      </c>
      <c r="L11" s="144" t="n">
        <v>0.1689340670749127</v>
      </c>
      <c r="M11" s="75" t="inlineStr">
        <is>
          <t>Calculado com classes reportadas e PL oficial reconciliado</t>
        </is>
      </c>
      <c r="N11" s="144" t="inlineStr">
        <is>
          <t>N/D</t>
        </is>
      </c>
      <c r="O11" s="144" t="inlineStr">
        <is>
          <t>N/D</t>
        </is>
      </c>
      <c r="P11" s="144" t="inlineStr">
        <is>
          <t>N/D</t>
        </is>
      </c>
      <c r="Q11" s="144" t="inlineStr">
        <is>
          <t>N/D</t>
        </is>
      </c>
      <c r="R11" s="144" t="inlineStr">
        <is>
          <t>N/D</t>
        </is>
      </c>
      <c r="S11" s="144" t="inlineStr">
        <is>
          <t>N/D</t>
        </is>
      </c>
      <c r="T11" s="75" t="inlineStr">
        <is>
          <t>N/D</t>
        </is>
      </c>
      <c r="U11" s="75" t="inlineStr">
        <is>
          <t>sem_indice</t>
        </is>
      </c>
      <c r="V11" s="75" t="inlineStr">
        <is>
          <t>N/D</t>
        </is>
      </c>
      <c r="W11" s="75" t="b">
        <v>0</v>
      </c>
      <c r="X11" s="75" t="inlineStr">
        <is>
          <t>N/D — mínimo estrutural ou subordinação atual ausente</t>
        </is>
      </c>
      <c r="Y11" s="75" t="b">
        <v>0</v>
      </c>
      <c r="Z11" s="144" t="inlineStr">
        <is>
          <t>N/D</t>
        </is>
      </c>
      <c r="AA11" s="144" t="inlineStr">
        <is>
          <t>N/D</t>
        </is>
      </c>
      <c r="AB11" s="75" t="inlineStr">
        <is>
          <t>não medido</t>
        </is>
      </c>
      <c r="AC11" s="75" t="inlineStr">
        <is>
          <t>N/D</t>
        </is>
      </c>
      <c r="AD11" s="75" t="inlineStr">
        <is>
          <t>N/D</t>
        </is>
      </c>
      <c r="AE11" s="75" t="inlineStr">
        <is>
          <t>Consignado INSS</t>
        </is>
      </c>
      <c r="AF11" s="75" t="inlineStr">
        <is>
          <t>Consignado INSS</t>
        </is>
      </c>
      <c r="AG11" s="75" t="inlineStr">
        <is>
          <t>N/D</t>
        </is>
      </c>
      <c r="AH11" s="75" t="inlineStr">
        <is>
          <t>N/D</t>
        </is>
      </c>
      <c r="AI11" s="75" t="inlineStr">
        <is>
          <t>N/D</t>
        </is>
      </c>
      <c r="AJ11" s="75" t="b">
        <v>0</v>
      </c>
      <c r="AK11" s="75" t="inlineStr">
        <is>
          <t>N/D</t>
        </is>
      </c>
      <c r="AL11" s="75" t="inlineStr">
        <is>
          <t>N/D</t>
        </is>
      </c>
      <c r="AM11" s="75" t="inlineStr">
        <is>
          <t>N/D</t>
        </is>
      </c>
      <c r="AN11" s="75" t="inlineStr">
        <is>
          <t>N/D</t>
        </is>
      </c>
      <c r="AO11" s="75" t="inlineStr">
        <is>
          <t>N/D</t>
        </is>
      </c>
      <c r="AP11" s="75" t="inlineStr">
        <is>
          <t>N/D</t>
        </is>
      </c>
      <c r="AQ11" s="75" t="inlineStr">
        <is>
          <t>N/D</t>
        </is>
      </c>
      <c r="AR11" s="75" t="inlineStr">
        <is>
          <t>N/D</t>
        </is>
      </c>
      <c r="AS11" s="75" t="inlineStr">
        <is>
          <t>N/D</t>
        </is>
      </c>
      <c r="AT11" s="75" t="inlineStr">
        <is>
          <t>N/D</t>
        </is>
      </c>
      <c r="AU11" s="75" t="inlineStr">
        <is>
          <t>N/D</t>
        </is>
      </c>
      <c r="AV11" s="75" t="inlineStr">
        <is>
          <t>N/D</t>
        </is>
      </c>
      <c r="AW11" s="75" t="b">
        <v>0</v>
      </c>
      <c r="AX11" s="75" t="inlineStr">
        <is>
          <t>N/D</t>
        </is>
      </c>
      <c r="AY11" s="75" t="inlineStr">
        <is>
          <t>N/D</t>
        </is>
      </c>
      <c r="AZ11" s="144" t="inlineStr">
        <is>
          <t>N/D</t>
        </is>
      </c>
      <c r="BA11" s="75" t="inlineStr">
        <is>
          <t>N/D</t>
        </is>
      </c>
      <c r="BB11" s="145" t="inlineStr">
        <is>
          <t>N/D</t>
        </is>
      </c>
      <c r="BC11" s="143" t="inlineStr">
        <is>
          <t>N/D</t>
        </is>
      </c>
      <c r="BD11" s="75" t="inlineStr">
        <is>
          <t>N/D</t>
        </is>
      </c>
      <c r="BE11" s="75" t="inlineStr">
        <is>
          <t>N/D</t>
        </is>
      </c>
      <c r="BF11" s="75" t="inlineStr">
        <is>
          <t>N/D</t>
        </is>
      </c>
      <c r="BG11" s="75" t="inlineStr">
        <is>
          <t>N/D</t>
        </is>
      </c>
      <c r="BH11" s="75" t="inlineStr">
        <is>
          <t>N/D</t>
        </is>
      </c>
      <c r="BI11" s="75" t="inlineStr">
        <is>
          <t>N/D</t>
        </is>
      </c>
      <c r="BJ11" s="75" t="inlineStr">
        <is>
          <t>não localizado</t>
        </is>
      </c>
      <c r="BK11" s="75" t="b">
        <v>0</v>
      </c>
      <c r="BL11" s="75" t="inlineStr">
        <is>
          <t>N/D</t>
        </is>
      </c>
      <c r="BM11" s="75" t="inlineStr">
        <is>
          <t>N/D</t>
        </is>
      </c>
      <c r="BN11" s="75" t="inlineStr">
        <is>
          <t>N/D</t>
        </is>
      </c>
      <c r="BO11" s="75" t="inlineStr">
        <is>
          <t>N/D</t>
        </is>
      </c>
      <c r="BP11" s="75" t="inlineStr">
        <is>
          <t>N/D</t>
        </is>
      </c>
      <c r="BQ11" s="75" t="inlineStr">
        <is>
          <t>N/D</t>
        </is>
      </c>
      <c r="BR11" s="75" t="inlineStr">
        <is>
          <t>N/D</t>
        </is>
      </c>
      <c r="BS11" s="75" t="inlineStr">
        <is>
          <t>sem_overlay</t>
        </is>
      </c>
      <c r="BT11" s="75" t="inlineStr">
        <is>
          <t>N/D</t>
        </is>
      </c>
      <c r="BU11" s="75" t="inlineStr">
        <is>
          <t>N/D</t>
        </is>
      </c>
      <c r="BV11" s="75" t="inlineStr">
        <is>
          <t>N/D</t>
        </is>
      </c>
      <c r="BW11" s="75" t="inlineStr">
        <is>
          <t>N/D</t>
        </is>
      </c>
      <c r="BX11" s="75" t="inlineStr">
        <is>
          <t>lacuna — regulamento integral não disponível nas fontes locais</t>
        </is>
      </c>
      <c r="BY11" s="75" t="inlineStr">
        <is>
          <t>N/D</t>
        </is>
      </c>
      <c r="BZ11" s="75" t="inlineStr">
        <is>
          <t>N/D</t>
        </is>
      </c>
      <c r="CA11" s="75" t="inlineStr">
        <is>
          <t>mínimo estrutural comparável; preço unitário da cota; originador; cedente; sacado/devedor; tipo de recebível</t>
        </is>
      </c>
      <c r="CB11" s="75" t="inlineStr">
        <is>
          <t>minimo_estrutural_ausente</t>
        </is>
      </c>
    </row>
    <row r="12" ht="31.5" customHeight="1">
      <c r="A12" s="74" t="n">
        <v>5</v>
      </c>
      <c r="B12" s="138" t="n">
        <v>62310468000130</v>
      </c>
      <c r="C12" s="74" t="inlineStr">
        <is>
          <t>62.310.468/0001-30</t>
        </is>
      </c>
      <c r="D12" s="74" t="inlineStr">
        <is>
          <t>MT INSS RECEIVABLES VI FUNDO DE INVESTIMENTO EM DIREITOS CREDITÓRIOS RESPONSABILIDADE LIMITADA</t>
        </is>
      </c>
      <c r="E12" s="74" t="inlineStr">
        <is>
          <t>MT INSS Receivables VI</t>
        </is>
      </c>
      <c r="F12" s="74" t="inlineStr">
        <is>
          <t>Flagships</t>
        </is>
      </c>
      <c r="G12" s="74" t="inlineStr">
        <is>
          <t>2026-08</t>
        </is>
      </c>
      <c r="H12" s="74" t="inlineStr">
        <is>
          <t>localizado</t>
        </is>
      </c>
      <c r="I12" s="139" t="n">
        <v>1544332585.59</v>
      </c>
      <c r="J12" s="139" t="n">
        <v>1544332585.58762</v>
      </c>
      <c r="K12" s="139" t="n">
        <v>320019195.6133302</v>
      </c>
      <c r="L12" s="140" t="n">
        <v>0.2072216817798152</v>
      </c>
      <c r="M12" s="74" t="inlineStr">
        <is>
          <t>Calculado com classes reportadas e PL oficial reconciliado</t>
        </is>
      </c>
      <c r="N12" s="140" t="inlineStr">
        <is>
          <t>N/D</t>
        </is>
      </c>
      <c r="O12" s="140" t="inlineStr">
        <is>
          <t>N/D</t>
        </is>
      </c>
      <c r="P12" s="140" t="inlineStr">
        <is>
          <t>N/D</t>
        </is>
      </c>
      <c r="Q12" s="140" t="inlineStr">
        <is>
          <t>N/D</t>
        </is>
      </c>
      <c r="R12" s="140" t="inlineStr">
        <is>
          <t>N/D</t>
        </is>
      </c>
      <c r="S12" s="140" t="inlineStr">
        <is>
          <t>N/D</t>
        </is>
      </c>
      <c r="T12" s="74" t="inlineStr">
        <is>
          <t>N/D</t>
        </is>
      </c>
      <c r="U12" s="74" t="inlineStr">
        <is>
          <t>sem_indice</t>
        </is>
      </c>
      <c r="V12" s="74" t="inlineStr">
        <is>
          <t>N/D</t>
        </is>
      </c>
      <c r="W12" s="74" t="b">
        <v>0</v>
      </c>
      <c r="X12" s="74" t="inlineStr">
        <is>
          <t>N/D — mínimo estrutural ou subordinação atual ausente</t>
        </is>
      </c>
      <c r="Y12" s="74" t="b">
        <v>0</v>
      </c>
      <c r="Z12" s="140" t="inlineStr">
        <is>
          <t>N/D</t>
        </is>
      </c>
      <c r="AA12" s="140" t="inlineStr">
        <is>
          <t>N/D</t>
        </is>
      </c>
      <c r="AB12" s="74" t="inlineStr">
        <is>
          <t>não medido</t>
        </is>
      </c>
      <c r="AC12" s="74" t="inlineStr">
        <is>
          <t>N/D</t>
        </is>
      </c>
      <c r="AD12" s="74" t="inlineStr">
        <is>
          <t>N/D</t>
        </is>
      </c>
      <c r="AE12" s="74" t="inlineStr">
        <is>
          <t>Consignado INSS</t>
        </is>
      </c>
      <c r="AF12" s="74" t="inlineStr">
        <is>
          <t>Consignado INSS</t>
        </is>
      </c>
      <c r="AG12" s="74" t="inlineStr">
        <is>
          <t>N/D</t>
        </is>
      </c>
      <c r="AH12" s="74" t="inlineStr">
        <is>
          <t>N/D</t>
        </is>
      </c>
      <c r="AI12" s="74" t="inlineStr">
        <is>
          <t>N/D</t>
        </is>
      </c>
      <c r="AJ12" s="74" t="b">
        <v>0</v>
      </c>
      <c r="AK12" s="74" t="inlineStr">
        <is>
          <t>N/D</t>
        </is>
      </c>
      <c r="AL12" s="74" t="inlineStr">
        <is>
          <t>N/D</t>
        </is>
      </c>
      <c r="AM12" s="74" t="inlineStr">
        <is>
          <t>N/D</t>
        </is>
      </c>
      <c r="AN12" s="74" t="inlineStr">
        <is>
          <t>N/D</t>
        </is>
      </c>
      <c r="AO12" s="74" t="inlineStr">
        <is>
          <t>N/D</t>
        </is>
      </c>
      <c r="AP12" s="74" t="inlineStr">
        <is>
          <t>N/D</t>
        </is>
      </c>
      <c r="AQ12" s="74" t="inlineStr">
        <is>
          <t>N/D</t>
        </is>
      </c>
      <c r="AR12" s="74" t="inlineStr">
        <is>
          <t>N/D</t>
        </is>
      </c>
      <c r="AS12" s="74" t="inlineStr">
        <is>
          <t>N/D</t>
        </is>
      </c>
      <c r="AT12" s="74" t="inlineStr">
        <is>
          <t>N/D</t>
        </is>
      </c>
      <c r="AU12" s="74" t="inlineStr">
        <is>
          <t>N/D</t>
        </is>
      </c>
      <c r="AV12" s="74" t="inlineStr">
        <is>
          <t>N/D</t>
        </is>
      </c>
      <c r="AW12" s="74" t="b">
        <v>0</v>
      </c>
      <c r="AX12" s="74" t="inlineStr">
        <is>
          <t>N/D</t>
        </is>
      </c>
      <c r="AY12" s="74" t="inlineStr">
        <is>
          <t>N/D</t>
        </is>
      </c>
      <c r="AZ12" s="140" t="inlineStr">
        <is>
          <t>N/D</t>
        </is>
      </c>
      <c r="BA12" s="74" t="inlineStr">
        <is>
          <t>N/D</t>
        </is>
      </c>
      <c r="BB12" s="141" t="inlineStr">
        <is>
          <t>N/D</t>
        </is>
      </c>
      <c r="BC12" s="139" t="inlineStr">
        <is>
          <t>N/D</t>
        </is>
      </c>
      <c r="BD12" s="74" t="inlineStr">
        <is>
          <t>N/D</t>
        </is>
      </c>
      <c r="BE12" s="74" t="inlineStr">
        <is>
          <t>N/D</t>
        </is>
      </c>
      <c r="BF12" s="74" t="inlineStr">
        <is>
          <t>N/D</t>
        </is>
      </c>
      <c r="BG12" s="74" t="inlineStr">
        <is>
          <t>N/D</t>
        </is>
      </c>
      <c r="BH12" s="74" t="inlineStr">
        <is>
          <t>N/D</t>
        </is>
      </c>
      <c r="BI12" s="74" t="inlineStr">
        <is>
          <t>N/D</t>
        </is>
      </c>
      <c r="BJ12" s="74" t="inlineStr">
        <is>
          <t>não localizado</t>
        </is>
      </c>
      <c r="BK12" s="74" t="b">
        <v>0</v>
      </c>
      <c r="BL12" s="74" t="inlineStr">
        <is>
          <t>N/D</t>
        </is>
      </c>
      <c r="BM12" s="74" t="inlineStr">
        <is>
          <t>N/D</t>
        </is>
      </c>
      <c r="BN12" s="74" t="inlineStr">
        <is>
          <t>N/D</t>
        </is>
      </c>
      <c r="BO12" s="74" t="inlineStr">
        <is>
          <t>N/D</t>
        </is>
      </c>
      <c r="BP12" s="74" t="inlineStr">
        <is>
          <t>N/D</t>
        </is>
      </c>
      <c r="BQ12" s="74" t="inlineStr">
        <is>
          <t>N/D</t>
        </is>
      </c>
      <c r="BR12" s="74" t="inlineStr">
        <is>
          <t>N/D</t>
        </is>
      </c>
      <c r="BS12" s="74" t="inlineStr">
        <is>
          <t>sem_overlay</t>
        </is>
      </c>
      <c r="BT12" s="74" t="inlineStr">
        <is>
          <t>N/D</t>
        </is>
      </c>
      <c r="BU12" s="74" t="inlineStr">
        <is>
          <t>1153512</t>
        </is>
      </c>
      <c r="BV12" s="74" t="inlineStr">
        <is>
          <t>2026-04-01</t>
        </is>
      </c>
      <c r="BW12" s="74" t="inlineStr">
        <is>
          <t>cláusulas de subordinação e definições revisadas</t>
        </is>
      </c>
      <c r="BX12" s="74" t="inlineStr">
        <is>
          <t>revisto — mínimo júnior não isolado</t>
        </is>
      </c>
      <c r="BY12" s="74" t="inlineStr">
        <is>
          <t>FundosNet/B3; documento 1153512; referência 2026-04-01; cláusulas candidatas revisadas</t>
        </is>
      </c>
      <c r="BZ12" s="74" t="inlineStr">
        <is>
          <t>N/D</t>
        </is>
      </c>
      <c r="CA12" s="74" t="inlineStr">
        <is>
          <t>mínimo estrutural comparável; preço unitário da cota; originador; cedente; sacado/devedor; tipo de recebível</t>
        </is>
      </c>
      <c r="CB12" s="74" t="inlineStr">
        <is>
          <t>minimo_estrutural_ausente</t>
        </is>
      </c>
    </row>
    <row r="13" ht="31.5" customHeight="1">
      <c r="A13" s="75" t="n">
        <v>6</v>
      </c>
      <c r="B13" s="142" t="n">
        <v>63733796000101</v>
      </c>
      <c r="C13" s="75" t="inlineStr">
        <is>
          <t>63.733.796/0001-01</t>
        </is>
      </c>
      <c r="D13" s="75" t="inlineStr">
        <is>
          <t>ICRED CHOPIN INSS FUNDO DE INVESTIMENTO EM DIREITOS CREDITÓRIOS RESPONSABILIDADE LIMITADA</t>
        </is>
      </c>
      <c r="E13" s="75" t="inlineStr">
        <is>
          <t>ICRED Chopin INSS</t>
        </is>
      </c>
      <c r="F13" s="75" t="inlineStr">
        <is>
          <t>Flagships</t>
        </is>
      </c>
      <c r="G13" s="75" t="inlineStr">
        <is>
          <t>2026-08</t>
        </is>
      </c>
      <c r="H13" s="75" t="inlineStr">
        <is>
          <t>localizado</t>
        </is>
      </c>
      <c r="I13" s="143" t="n">
        <v>1041622039.22</v>
      </c>
      <c r="J13" s="143" t="n">
        <v>1041622039.21765</v>
      </c>
      <c r="K13" s="143" t="n">
        <v>156889805.4799278</v>
      </c>
      <c r="L13" s="144" t="n">
        <v>0.1506206662038486</v>
      </c>
      <c r="M13" s="75" t="inlineStr">
        <is>
          <t>Calculado com classes reportadas e PL oficial reconciliado</t>
        </is>
      </c>
      <c r="N13" s="144" t="inlineStr">
        <is>
          <t>N/D</t>
        </is>
      </c>
      <c r="O13" s="144" t="inlineStr">
        <is>
          <t>N/D</t>
        </is>
      </c>
      <c r="P13" s="144" t="inlineStr">
        <is>
          <t>N/D</t>
        </is>
      </c>
      <c r="Q13" s="144" t="inlineStr">
        <is>
          <t>N/D</t>
        </is>
      </c>
      <c r="R13" s="144" t="inlineStr">
        <is>
          <t>N/D</t>
        </is>
      </c>
      <c r="S13" s="144" t="inlineStr">
        <is>
          <t>N/D</t>
        </is>
      </c>
      <c r="T13" s="75" t="inlineStr">
        <is>
          <t>N/D</t>
        </is>
      </c>
      <c r="U13" s="75" t="inlineStr">
        <is>
          <t>sem_indice</t>
        </is>
      </c>
      <c r="V13" s="75" t="inlineStr">
        <is>
          <t>N/D</t>
        </is>
      </c>
      <c r="W13" s="75" t="b">
        <v>0</v>
      </c>
      <c r="X13" s="75" t="inlineStr">
        <is>
          <t>N/D — mínimo estrutural ou subordinação atual ausente</t>
        </is>
      </c>
      <c r="Y13" s="75" t="b">
        <v>0</v>
      </c>
      <c r="Z13" s="144" t="inlineStr">
        <is>
          <t>N/D</t>
        </is>
      </c>
      <c r="AA13" s="144" t="inlineStr">
        <is>
          <t>N/D</t>
        </is>
      </c>
      <c r="AB13" s="75" t="inlineStr">
        <is>
          <t>não medido</t>
        </is>
      </c>
      <c r="AC13" s="75" t="inlineStr">
        <is>
          <t>N/D</t>
        </is>
      </c>
      <c r="AD13" s="75" t="inlineStr">
        <is>
          <t>N/D</t>
        </is>
      </c>
      <c r="AE13" s="75" t="inlineStr">
        <is>
          <t>Consignado INSS</t>
        </is>
      </c>
      <c r="AF13" s="75" t="inlineStr">
        <is>
          <t>Consignado INSS</t>
        </is>
      </c>
      <c r="AG13" s="75" t="inlineStr">
        <is>
          <t>N/D</t>
        </is>
      </c>
      <c r="AH13" s="75" t="inlineStr">
        <is>
          <t>N/D</t>
        </is>
      </c>
      <c r="AI13" s="75" t="inlineStr">
        <is>
          <t>N/D</t>
        </is>
      </c>
      <c r="AJ13" s="75" t="b">
        <v>0</v>
      </c>
      <c r="AK13" s="75" t="inlineStr">
        <is>
          <t>N/D</t>
        </is>
      </c>
      <c r="AL13" s="75" t="inlineStr">
        <is>
          <t>N/D</t>
        </is>
      </c>
      <c r="AM13" s="75" t="inlineStr">
        <is>
          <t>N/D</t>
        </is>
      </c>
      <c r="AN13" s="75" t="inlineStr">
        <is>
          <t>N/D</t>
        </is>
      </c>
      <c r="AO13" s="75" t="inlineStr">
        <is>
          <t>N/D</t>
        </is>
      </c>
      <c r="AP13" s="75" t="inlineStr">
        <is>
          <t>N/D</t>
        </is>
      </c>
      <c r="AQ13" s="75" t="inlineStr">
        <is>
          <t>N/D</t>
        </is>
      </c>
      <c r="AR13" s="75" t="inlineStr">
        <is>
          <t>N/D</t>
        </is>
      </c>
      <c r="AS13" s="75" t="inlineStr">
        <is>
          <t>N/D</t>
        </is>
      </c>
      <c r="AT13" s="75" t="inlineStr">
        <is>
          <t>N/D</t>
        </is>
      </c>
      <c r="AU13" s="75" t="inlineStr">
        <is>
          <t>N/D</t>
        </is>
      </c>
      <c r="AV13" s="75" t="inlineStr">
        <is>
          <t>N/D</t>
        </is>
      </c>
      <c r="AW13" s="75" t="b">
        <v>0</v>
      </c>
      <c r="AX13" s="75" t="inlineStr">
        <is>
          <t>N/D</t>
        </is>
      </c>
      <c r="AY13" s="75" t="inlineStr">
        <is>
          <t>N/D</t>
        </is>
      </c>
      <c r="AZ13" s="144" t="inlineStr">
        <is>
          <t>N/D</t>
        </is>
      </c>
      <c r="BA13" s="75" t="inlineStr">
        <is>
          <t>N/D</t>
        </is>
      </c>
      <c r="BB13" s="145" t="inlineStr">
        <is>
          <t>N/D</t>
        </is>
      </c>
      <c r="BC13" s="143" t="inlineStr">
        <is>
          <t>N/D</t>
        </is>
      </c>
      <c r="BD13" s="75" t="inlineStr">
        <is>
          <t>N/D</t>
        </is>
      </c>
      <c r="BE13" s="75" t="inlineStr">
        <is>
          <t>N/D</t>
        </is>
      </c>
      <c r="BF13" s="75" t="inlineStr">
        <is>
          <t>N/D</t>
        </is>
      </c>
      <c r="BG13" s="75" t="inlineStr">
        <is>
          <t>N/D</t>
        </is>
      </c>
      <c r="BH13" s="75" t="inlineStr">
        <is>
          <t>N/D</t>
        </is>
      </c>
      <c r="BI13" s="75" t="inlineStr">
        <is>
          <t>N/D</t>
        </is>
      </c>
      <c r="BJ13" s="75" t="inlineStr">
        <is>
          <t>não localizado</t>
        </is>
      </c>
      <c r="BK13" s="75" t="b">
        <v>0</v>
      </c>
      <c r="BL13" s="75" t="inlineStr">
        <is>
          <t>N/D</t>
        </is>
      </c>
      <c r="BM13" s="75" t="inlineStr">
        <is>
          <t>N/D</t>
        </is>
      </c>
      <c r="BN13" s="75" t="inlineStr">
        <is>
          <t>N/D</t>
        </is>
      </c>
      <c r="BO13" s="75" t="inlineStr">
        <is>
          <t>N/D</t>
        </is>
      </c>
      <c r="BP13" s="75" t="inlineStr">
        <is>
          <t>N/D</t>
        </is>
      </c>
      <c r="BQ13" s="75" t="inlineStr">
        <is>
          <t>N/D</t>
        </is>
      </c>
      <c r="BR13" s="75" t="inlineStr">
        <is>
          <t>N/D</t>
        </is>
      </c>
      <c r="BS13" s="75" t="inlineStr">
        <is>
          <t>sem_overlay</t>
        </is>
      </c>
      <c r="BT13" s="75" t="inlineStr">
        <is>
          <t>N/D</t>
        </is>
      </c>
      <c r="BU13" s="75" t="inlineStr">
        <is>
          <t>N/D</t>
        </is>
      </c>
      <c r="BV13" s="75" t="inlineStr">
        <is>
          <t>N/D</t>
        </is>
      </c>
      <c r="BW13" s="75" t="inlineStr">
        <is>
          <t>N/D</t>
        </is>
      </c>
      <c r="BX13" s="75" t="inlineStr">
        <is>
          <t>lacuna — regulamento integral não disponível nas fontes locais</t>
        </is>
      </c>
      <c r="BY13" s="75" t="inlineStr">
        <is>
          <t>N/D</t>
        </is>
      </c>
      <c r="BZ13" s="75" t="inlineStr">
        <is>
          <t>N/D</t>
        </is>
      </c>
      <c r="CA13" s="75" t="inlineStr">
        <is>
          <t>mínimo estrutural comparável; preço unitário da cota; originador; cedente; sacado/devedor; tipo de recebível</t>
        </is>
      </c>
      <c r="CB13" s="75" t="inlineStr">
        <is>
          <t>minimo_estrutural_ausente</t>
        </is>
      </c>
    </row>
    <row r="14" ht="31.5" customHeight="1">
      <c r="A14" s="74" t="n">
        <v>7</v>
      </c>
      <c r="B14" s="138" t="n">
        <v>53337453000174</v>
      </c>
      <c r="C14" s="74" t="inlineStr">
        <is>
          <t>53.337.453/0001-74</t>
        </is>
      </c>
      <c r="D14" s="74" t="inlineStr">
        <is>
          <t>CM ESTADUAL II FUNDO DE INVESTIMENTO EM DIREITOS CREDITÓRIOS - RESPONSABILIDADE LIMITADA</t>
        </is>
      </c>
      <c r="E14" s="74" t="inlineStr">
        <is>
          <t>CM Estadual I e II</t>
        </is>
      </c>
      <c r="F14" s="74" t="inlineStr">
        <is>
          <t>Flagships</t>
        </is>
      </c>
      <c r="G14" s="74" t="inlineStr">
        <is>
          <t>2026-08</t>
        </is>
      </c>
      <c r="H14" s="74" t="inlineStr">
        <is>
          <t>localizado</t>
        </is>
      </c>
      <c r="I14" s="139" t="n">
        <v>73445292.31999999</v>
      </c>
      <c r="J14" s="139" t="n">
        <v>73445293.70145127</v>
      </c>
      <c r="K14" s="139" t="n">
        <v>7662304.909964449</v>
      </c>
      <c r="L14" s="140" t="n">
        <v>0.1043266990698315</v>
      </c>
      <c r="M14" s="74" t="inlineStr">
        <is>
          <t>Calculado com classes reportadas e PL oficial reconciliado</t>
        </is>
      </c>
      <c r="N14" s="140" t="inlineStr">
        <is>
          <t>N/D</t>
        </is>
      </c>
      <c r="O14" s="140" t="inlineStr">
        <is>
          <t>N/D</t>
        </is>
      </c>
      <c r="P14" s="140" t="inlineStr">
        <is>
          <t>N/D</t>
        </is>
      </c>
      <c r="Q14" s="140" t="inlineStr">
        <is>
          <t>N/D</t>
        </is>
      </c>
      <c r="R14" s="140" t="inlineStr">
        <is>
          <t>N/D</t>
        </is>
      </c>
      <c r="S14" s="140" t="inlineStr">
        <is>
          <t>N/D</t>
        </is>
      </c>
      <c r="T14" s="74" t="inlineStr">
        <is>
          <t>N/D</t>
        </is>
      </c>
      <c r="U14" s="74" t="inlineStr">
        <is>
          <t>sem_indice</t>
        </is>
      </c>
      <c r="V14" s="74" t="inlineStr">
        <is>
          <t>N/D</t>
        </is>
      </c>
      <c r="W14" s="74" t="b">
        <v>0</v>
      </c>
      <c r="X14" s="74" t="inlineStr">
        <is>
          <t>N/D — mínimo estrutural ou subordinação atual ausente</t>
        </is>
      </c>
      <c r="Y14" s="74" t="b">
        <v>0</v>
      </c>
      <c r="Z14" s="140" t="inlineStr">
        <is>
          <t>N/D</t>
        </is>
      </c>
      <c r="AA14" s="140" t="inlineStr">
        <is>
          <t>N/D</t>
        </is>
      </c>
      <c r="AB14" s="74" t="inlineStr">
        <is>
          <t>não medido</t>
        </is>
      </c>
      <c r="AC14" s="74" t="inlineStr">
        <is>
          <t>N/D</t>
        </is>
      </c>
      <c r="AD14" s="74" t="inlineStr">
        <is>
          <t>N/D</t>
        </is>
      </c>
      <c r="AE14" s="74" t="inlineStr">
        <is>
          <t>Consignado estadual</t>
        </is>
      </c>
      <c r="AF14" s="74" t="inlineStr">
        <is>
          <t>Financeiro</t>
        </is>
      </c>
      <c r="AG14" s="74" t="inlineStr">
        <is>
          <t>N/D</t>
        </is>
      </c>
      <c r="AH14" s="74" t="inlineStr">
        <is>
          <t>N/D</t>
        </is>
      </c>
      <c r="AI14" s="74" t="inlineStr">
        <is>
          <t>N/D</t>
        </is>
      </c>
      <c r="AJ14" s="74" t="b">
        <v>0</v>
      </c>
      <c r="AK14" s="74" t="inlineStr">
        <is>
          <t>N/D</t>
        </is>
      </c>
      <c r="AL14" s="74" t="inlineStr">
        <is>
          <t>N/D</t>
        </is>
      </c>
      <c r="AM14" s="74" t="inlineStr">
        <is>
          <t>N/D</t>
        </is>
      </c>
      <c r="AN14" s="74" t="inlineStr">
        <is>
          <t>N/D</t>
        </is>
      </c>
      <c r="AO14" s="74" t="inlineStr">
        <is>
          <t>N/D</t>
        </is>
      </c>
      <c r="AP14" s="74" t="inlineStr">
        <is>
          <t>N/D</t>
        </is>
      </c>
      <c r="AQ14" s="74" t="inlineStr">
        <is>
          <t>N/D</t>
        </is>
      </c>
      <c r="AR14" s="74" t="inlineStr">
        <is>
          <t>N/D</t>
        </is>
      </c>
      <c r="AS14" s="74" t="inlineStr">
        <is>
          <t>N/D</t>
        </is>
      </c>
      <c r="AT14" s="74" t="inlineStr">
        <is>
          <t>N/D</t>
        </is>
      </c>
      <c r="AU14" s="74" t="inlineStr">
        <is>
          <t>N/D</t>
        </is>
      </c>
      <c r="AV14" s="74" t="inlineStr">
        <is>
          <t>N/D</t>
        </is>
      </c>
      <c r="AW14" s="74" t="b">
        <v>0</v>
      </c>
      <c r="AX14" s="74" t="inlineStr">
        <is>
          <t>N/D</t>
        </is>
      </c>
      <c r="AY14" s="74" t="inlineStr">
        <is>
          <t>N/D</t>
        </is>
      </c>
      <c r="AZ14" s="140" t="inlineStr">
        <is>
          <t>N/D</t>
        </is>
      </c>
      <c r="BA14" s="74" t="inlineStr">
        <is>
          <t>N/D</t>
        </is>
      </c>
      <c r="BB14" s="141" t="inlineStr">
        <is>
          <t>N/D</t>
        </is>
      </c>
      <c r="BC14" s="139" t="inlineStr">
        <is>
          <t>N/D</t>
        </is>
      </c>
      <c r="BD14" s="74" t="inlineStr">
        <is>
          <t>N/D</t>
        </is>
      </c>
      <c r="BE14" s="74" t="inlineStr">
        <is>
          <t>N/D</t>
        </is>
      </c>
      <c r="BF14" s="74" t="inlineStr">
        <is>
          <t>N/D</t>
        </is>
      </c>
      <c r="BG14" s="74" t="inlineStr">
        <is>
          <t>N/D</t>
        </is>
      </c>
      <c r="BH14" s="74" t="inlineStr">
        <is>
          <t>N/D</t>
        </is>
      </c>
      <c r="BI14" s="74" t="inlineStr">
        <is>
          <t>N/D</t>
        </is>
      </c>
      <c r="BJ14" s="74" t="inlineStr">
        <is>
          <t>não localizado</t>
        </is>
      </c>
      <c r="BK14" s="74" t="b">
        <v>0</v>
      </c>
      <c r="BL14" s="74" t="inlineStr">
        <is>
          <t>N/D</t>
        </is>
      </c>
      <c r="BM14" s="74" t="inlineStr">
        <is>
          <t>N/D</t>
        </is>
      </c>
      <c r="BN14" s="74" t="inlineStr">
        <is>
          <t>N/D</t>
        </is>
      </c>
      <c r="BO14" s="74" t="inlineStr">
        <is>
          <t>N/D</t>
        </is>
      </c>
      <c r="BP14" s="74" t="inlineStr">
        <is>
          <t>N/D</t>
        </is>
      </c>
      <c r="BQ14" s="74" t="inlineStr">
        <is>
          <t>N/D</t>
        </is>
      </c>
      <c r="BR14" s="74" t="inlineStr">
        <is>
          <t>N/D</t>
        </is>
      </c>
      <c r="BS14" s="74" t="inlineStr">
        <is>
          <t>sem_overlay</t>
        </is>
      </c>
      <c r="BT14" s="74" t="inlineStr">
        <is>
          <t>N/D</t>
        </is>
      </c>
      <c r="BU14" s="74" t="inlineStr">
        <is>
          <t>683618</t>
        </is>
      </c>
      <c r="BV14" s="74" t="inlineStr">
        <is>
          <t>2024-06-19</t>
        </is>
      </c>
      <c r="BW14" s="74" t="inlineStr">
        <is>
          <t>cláusulas de subordinação e definições revisadas</t>
        </is>
      </c>
      <c r="BX14" s="74" t="inlineStr">
        <is>
          <t>revisto — mínimo júnior não isolado</t>
        </is>
      </c>
      <c r="BY14" s="74" t="inlineStr">
        <is>
          <t>FundosNet/B3; documento 683618; referência 2024-06-19; cláusulas candidatas revisadas</t>
        </is>
      </c>
      <c r="BZ14" s="74" t="inlineStr">
        <is>
          <t>N/D</t>
        </is>
      </c>
      <c r="CA14" s="74" t="inlineStr">
        <is>
          <t>mínimo estrutural comparável; preço unitário da cota; originador; cedente; sacado/devedor; tipo de recebível</t>
        </is>
      </c>
      <c r="CB14" s="74" t="inlineStr">
        <is>
          <t>minimo_estrutural_ausente</t>
        </is>
      </c>
    </row>
    <row r="15" ht="31.5" customHeight="1">
      <c r="A15" s="75" t="n">
        <v>7</v>
      </c>
      <c r="B15" s="142" t="n">
        <v>44395657000170</v>
      </c>
      <c r="C15" s="75" t="inlineStr">
        <is>
          <t>44.395.657/0001-70</t>
        </is>
      </c>
      <c r="D15" s="75" t="inlineStr">
        <is>
          <t>CM ESTADUAL FUNDO DE INVESTIMENTO EM DIREITOS CREDITÓRIOS NÃO PADRONIZADOS</t>
        </is>
      </c>
      <c r="E15" s="75" t="inlineStr">
        <is>
          <t>CM Estadual I e II</t>
        </is>
      </c>
      <c r="F15" s="75" t="inlineStr">
        <is>
          <t>Flagships</t>
        </is>
      </c>
      <c r="G15" s="75" t="inlineStr">
        <is>
          <t>2026-08</t>
        </is>
      </c>
      <c r="H15" s="75" t="inlineStr">
        <is>
          <t>localizado</t>
        </is>
      </c>
      <c r="I15" s="143" t="n">
        <v>15346730.54</v>
      </c>
      <c r="J15" s="143" t="n">
        <v>15346730.53878455</v>
      </c>
      <c r="K15" s="143" t="n">
        <v>0.009999660878091199</v>
      </c>
      <c r="L15" s="144" t="n">
        <v>6.515824886628393e-10</v>
      </c>
      <c r="M15" s="75" t="inlineStr">
        <is>
          <t>Calculado com classes reportadas e PL oficial reconciliado</t>
        </is>
      </c>
      <c r="N15" s="144" t="inlineStr">
        <is>
          <t>N/D</t>
        </is>
      </c>
      <c r="O15" s="144" t="inlineStr">
        <is>
          <t>N/D</t>
        </is>
      </c>
      <c r="P15" s="144" t="inlineStr">
        <is>
          <t>N/D</t>
        </is>
      </c>
      <c r="Q15" s="144" t="inlineStr">
        <is>
          <t>N/D</t>
        </is>
      </c>
      <c r="R15" s="144" t="inlineStr">
        <is>
          <t>N/D</t>
        </is>
      </c>
      <c r="S15" s="144" t="inlineStr">
        <is>
          <t>N/D</t>
        </is>
      </c>
      <c r="T15" s="75" t="inlineStr">
        <is>
          <t>N/D</t>
        </is>
      </c>
      <c r="U15" s="75" t="inlineStr">
        <is>
          <t>sem_indice</t>
        </is>
      </c>
      <c r="V15" s="75" t="inlineStr">
        <is>
          <t>N/D</t>
        </is>
      </c>
      <c r="W15" s="75" t="b">
        <v>0</v>
      </c>
      <c r="X15" s="75" t="inlineStr">
        <is>
          <t>N/D — mínimo estrutural ou subordinação atual ausente</t>
        </is>
      </c>
      <c r="Y15" s="75" t="b">
        <v>0</v>
      </c>
      <c r="Z15" s="144" t="inlineStr">
        <is>
          <t>N/D</t>
        </is>
      </c>
      <c r="AA15" s="144" t="inlineStr">
        <is>
          <t>N/D</t>
        </is>
      </c>
      <c r="AB15" s="75" t="inlineStr">
        <is>
          <t>não medido</t>
        </is>
      </c>
      <c r="AC15" s="75" t="inlineStr">
        <is>
          <t>N/D</t>
        </is>
      </c>
      <c r="AD15" s="75" t="inlineStr">
        <is>
          <t>N/D</t>
        </is>
      </c>
      <c r="AE15" s="75" t="inlineStr">
        <is>
          <t>Consignado estadual</t>
        </is>
      </c>
      <c r="AF15" s="75" t="inlineStr">
        <is>
          <t>Financeiro</t>
        </is>
      </c>
      <c r="AG15" s="75" t="inlineStr">
        <is>
          <t>N/D</t>
        </is>
      </c>
      <c r="AH15" s="75" t="inlineStr">
        <is>
          <t>N/D</t>
        </is>
      </c>
      <c r="AI15" s="75" t="inlineStr">
        <is>
          <t>N/D</t>
        </is>
      </c>
      <c r="AJ15" s="75" t="b">
        <v>0</v>
      </c>
      <c r="AK15" s="75" t="inlineStr">
        <is>
          <t>N/D</t>
        </is>
      </c>
      <c r="AL15" s="75" t="inlineStr">
        <is>
          <t>N/D</t>
        </is>
      </c>
      <c r="AM15" s="75" t="inlineStr">
        <is>
          <t>N/D</t>
        </is>
      </c>
      <c r="AN15" s="75" t="inlineStr">
        <is>
          <t>N/D</t>
        </is>
      </c>
      <c r="AO15" s="75" t="inlineStr">
        <is>
          <t>N/D</t>
        </is>
      </c>
      <c r="AP15" s="75" t="inlineStr">
        <is>
          <t>N/D</t>
        </is>
      </c>
      <c r="AQ15" s="75" t="inlineStr">
        <is>
          <t>N/D</t>
        </is>
      </c>
      <c r="AR15" s="75" t="inlineStr">
        <is>
          <t>N/D</t>
        </is>
      </c>
      <c r="AS15" s="75" t="inlineStr">
        <is>
          <t>N/D</t>
        </is>
      </c>
      <c r="AT15" s="75" t="inlineStr">
        <is>
          <t>N/D</t>
        </is>
      </c>
      <c r="AU15" s="75" t="inlineStr">
        <is>
          <t>N/D</t>
        </is>
      </c>
      <c r="AV15" s="75" t="inlineStr">
        <is>
          <t>N/D</t>
        </is>
      </c>
      <c r="AW15" s="75" t="b">
        <v>0</v>
      </c>
      <c r="AX15" s="75" t="inlineStr">
        <is>
          <t>N/D</t>
        </is>
      </c>
      <c r="AY15" s="75" t="inlineStr">
        <is>
          <t>N/D</t>
        </is>
      </c>
      <c r="AZ15" s="144" t="inlineStr">
        <is>
          <t>N/D</t>
        </is>
      </c>
      <c r="BA15" s="75" t="inlineStr">
        <is>
          <t>N/D</t>
        </is>
      </c>
      <c r="BB15" s="145" t="inlineStr">
        <is>
          <t>N/D</t>
        </is>
      </c>
      <c r="BC15" s="143" t="inlineStr">
        <is>
          <t>N/D</t>
        </is>
      </c>
      <c r="BD15" s="75" t="inlineStr">
        <is>
          <t>N/D</t>
        </is>
      </c>
      <c r="BE15" s="75" t="inlineStr">
        <is>
          <t>N/D</t>
        </is>
      </c>
      <c r="BF15" s="75" t="inlineStr">
        <is>
          <t>N/D</t>
        </is>
      </c>
      <c r="BG15" s="75" t="inlineStr">
        <is>
          <t>N/D</t>
        </is>
      </c>
      <c r="BH15" s="75" t="inlineStr">
        <is>
          <t>N/D</t>
        </is>
      </c>
      <c r="BI15" s="75" t="inlineStr">
        <is>
          <t>N/D</t>
        </is>
      </c>
      <c r="BJ15" s="75" t="inlineStr">
        <is>
          <t>não localizado</t>
        </is>
      </c>
      <c r="BK15" s="75" t="b">
        <v>0</v>
      </c>
      <c r="BL15" s="75" t="inlineStr">
        <is>
          <t>N/D</t>
        </is>
      </c>
      <c r="BM15" s="75" t="inlineStr">
        <is>
          <t>N/D</t>
        </is>
      </c>
      <c r="BN15" s="75" t="inlineStr">
        <is>
          <t>N/D</t>
        </is>
      </c>
      <c r="BO15" s="75" t="inlineStr">
        <is>
          <t>N/D</t>
        </is>
      </c>
      <c r="BP15" s="75" t="inlineStr">
        <is>
          <t>N/D</t>
        </is>
      </c>
      <c r="BQ15" s="75" t="inlineStr">
        <is>
          <t>N/D</t>
        </is>
      </c>
      <c r="BR15" s="75" t="inlineStr">
        <is>
          <t>N/D</t>
        </is>
      </c>
      <c r="BS15" s="75" t="inlineStr">
        <is>
          <t>sem_overlay</t>
        </is>
      </c>
      <c r="BT15" s="75" t="inlineStr">
        <is>
          <t>N/D</t>
        </is>
      </c>
      <c r="BU15" s="75" t="inlineStr">
        <is>
          <t>N/D</t>
        </is>
      </c>
      <c r="BV15" s="75" t="inlineStr">
        <is>
          <t>N/D</t>
        </is>
      </c>
      <c r="BW15" s="75" t="inlineStr">
        <is>
          <t>N/D</t>
        </is>
      </c>
      <c r="BX15" s="75" t="inlineStr">
        <is>
          <t>lacuna — regulamento integral não disponível nas fontes locais</t>
        </is>
      </c>
      <c r="BY15" s="75" t="inlineStr">
        <is>
          <t>N/D</t>
        </is>
      </c>
      <c r="BZ15" s="75" t="inlineStr">
        <is>
          <t>N/D</t>
        </is>
      </c>
      <c r="CA15" s="75" t="inlineStr">
        <is>
          <t>mínimo estrutural comparável; preço unitário da cota; originador; cedente; sacado/devedor; tipo de recebível</t>
        </is>
      </c>
      <c r="CB15" s="75" t="inlineStr">
        <is>
          <t>minimo_estrutural_ausente</t>
        </is>
      </c>
    </row>
    <row r="16" ht="31.5" customHeight="1">
      <c r="A16" s="74" t="n">
        <v>8</v>
      </c>
      <c r="B16" s="138" t="n">
        <v>65839682000176</v>
      </c>
      <c r="C16" s="74" t="inlineStr">
        <is>
          <t>65.839.682/0001-76</t>
        </is>
      </c>
      <c r="D16" s="74" t="inlineStr">
        <is>
          <t>FUNDO DE INVESTIMENTOS EM DIREITOS CREDITÓRIOS PICPAY FGTS II DE RESPONSABILIDADE LIMITADA</t>
        </is>
      </c>
      <c r="E16" s="74" t="inlineStr">
        <is>
          <t>PicPay FGTS I e II</t>
        </is>
      </c>
      <c r="F16" s="74" t="inlineStr">
        <is>
          <t>Flagships</t>
        </is>
      </c>
      <c r="G16" s="74" t="inlineStr">
        <is>
          <t>2026-08</t>
        </is>
      </c>
      <c r="H16" s="74" t="inlineStr">
        <is>
          <t>localizado</t>
        </is>
      </c>
      <c r="I16" s="139" t="n">
        <v>1472677074.3</v>
      </c>
      <c r="J16" s="139" t="n">
        <v>1472658646.956265</v>
      </c>
      <c r="K16" s="139" t="n">
        <v>168151925.6704315</v>
      </c>
      <c r="L16" s="140" t="n">
        <v>0.1141811253837562</v>
      </c>
      <c r="M16" s="74" t="inlineStr">
        <is>
          <t>Calculado com classes reportadas e PL oficial reconciliado</t>
        </is>
      </c>
      <c r="N16" s="140" t="inlineStr">
        <is>
          <t>N/D</t>
        </is>
      </c>
      <c r="O16" s="140" t="inlineStr">
        <is>
          <t>N/D</t>
        </is>
      </c>
      <c r="P16" s="140" t="inlineStr">
        <is>
          <t>N/D</t>
        </is>
      </c>
      <c r="Q16" s="140" t="inlineStr">
        <is>
          <t>N/D</t>
        </is>
      </c>
      <c r="R16" s="140" t="inlineStr">
        <is>
          <t>N/D</t>
        </is>
      </c>
      <c r="S16" s="140" t="inlineStr">
        <is>
          <t>N/D</t>
        </is>
      </c>
      <c r="T16" s="74" t="inlineStr">
        <is>
          <t>N/D</t>
        </is>
      </c>
      <c r="U16" s="74" t="inlineStr">
        <is>
          <t>sem_indice</t>
        </is>
      </c>
      <c r="V16" s="74" t="inlineStr">
        <is>
          <t>N/D</t>
        </is>
      </c>
      <c r="W16" s="74" t="b">
        <v>0</v>
      </c>
      <c r="X16" s="74" t="inlineStr">
        <is>
          <t>N/D — mínimo estrutural ou subordinação atual ausente</t>
        </is>
      </c>
      <c r="Y16" s="74" t="b">
        <v>0</v>
      </c>
      <c r="Z16" s="140" t="inlineStr">
        <is>
          <t>N/D</t>
        </is>
      </c>
      <c r="AA16" s="140" t="inlineStr">
        <is>
          <t>N/D</t>
        </is>
      </c>
      <c r="AB16" s="74" t="inlineStr">
        <is>
          <t>não medido</t>
        </is>
      </c>
      <c r="AC16" s="74" t="inlineStr">
        <is>
          <t>N/D</t>
        </is>
      </c>
      <c r="AD16" s="74" t="inlineStr">
        <is>
          <t>N/D</t>
        </is>
      </c>
      <c r="AE16" s="74" t="inlineStr">
        <is>
          <t>Consignado FGTS</t>
        </is>
      </c>
      <c r="AF16" s="74" t="inlineStr">
        <is>
          <t>Consignado FGTS</t>
        </is>
      </c>
      <c r="AG16" s="74" t="inlineStr">
        <is>
          <t>N/D</t>
        </is>
      </c>
      <c r="AH16" s="74" t="inlineStr">
        <is>
          <t>N/D</t>
        </is>
      </c>
      <c r="AI16" s="74" t="inlineStr">
        <is>
          <t>N/D</t>
        </is>
      </c>
      <c r="AJ16" s="74" t="b">
        <v>0</v>
      </c>
      <c r="AK16" s="74" t="inlineStr">
        <is>
          <t>N/D</t>
        </is>
      </c>
      <c r="AL16" s="74" t="inlineStr">
        <is>
          <t>N/D</t>
        </is>
      </c>
      <c r="AM16" s="74" t="inlineStr">
        <is>
          <t>N/D</t>
        </is>
      </c>
      <c r="AN16" s="74" t="inlineStr">
        <is>
          <t>N/D</t>
        </is>
      </c>
      <c r="AO16" s="74" t="inlineStr">
        <is>
          <t>N/D</t>
        </is>
      </c>
      <c r="AP16" s="74" t="inlineStr">
        <is>
          <t>N/D</t>
        </is>
      </c>
      <c r="AQ16" s="74" t="inlineStr">
        <is>
          <t>N/D</t>
        </is>
      </c>
      <c r="AR16" s="74" t="inlineStr">
        <is>
          <t>N/D</t>
        </is>
      </c>
      <c r="AS16" s="74" t="inlineStr">
        <is>
          <t>N/D</t>
        </is>
      </c>
      <c r="AT16" s="74" t="inlineStr">
        <is>
          <t>N/D</t>
        </is>
      </c>
      <c r="AU16" s="74" t="inlineStr">
        <is>
          <t>N/D</t>
        </is>
      </c>
      <c r="AV16" s="74" t="inlineStr">
        <is>
          <t>N/D</t>
        </is>
      </c>
      <c r="AW16" s="74" t="b">
        <v>0</v>
      </c>
      <c r="AX16" s="74" t="inlineStr">
        <is>
          <t>N/D</t>
        </is>
      </c>
      <c r="AY16" s="74" t="inlineStr">
        <is>
          <t>N/D</t>
        </is>
      </c>
      <c r="AZ16" s="140" t="inlineStr">
        <is>
          <t>N/D</t>
        </is>
      </c>
      <c r="BA16" s="74" t="inlineStr">
        <is>
          <t>N/D</t>
        </is>
      </c>
      <c r="BB16" s="141" t="inlineStr">
        <is>
          <t>N/D</t>
        </is>
      </c>
      <c r="BC16" s="139" t="inlineStr">
        <is>
          <t>N/D</t>
        </is>
      </c>
      <c r="BD16" s="74" t="inlineStr">
        <is>
          <t>N/D</t>
        </is>
      </c>
      <c r="BE16" s="74" t="inlineStr">
        <is>
          <t>N/D</t>
        </is>
      </c>
      <c r="BF16" s="74" t="inlineStr">
        <is>
          <t>N/D</t>
        </is>
      </c>
      <c r="BG16" s="74" t="inlineStr">
        <is>
          <t>N/D</t>
        </is>
      </c>
      <c r="BH16" s="74" t="inlineStr">
        <is>
          <t>N/D</t>
        </is>
      </c>
      <c r="BI16" s="74" t="inlineStr">
        <is>
          <t>N/D</t>
        </is>
      </c>
      <c r="BJ16" s="74" t="inlineStr">
        <is>
          <t>não localizado</t>
        </is>
      </c>
      <c r="BK16" s="74" t="b">
        <v>0</v>
      </c>
      <c r="BL16" s="74" t="inlineStr">
        <is>
          <t>N/D</t>
        </is>
      </c>
      <c r="BM16" s="74" t="inlineStr">
        <is>
          <t>N/D</t>
        </is>
      </c>
      <c r="BN16" s="74" t="inlineStr">
        <is>
          <t>N/D</t>
        </is>
      </c>
      <c r="BO16" s="74" t="inlineStr">
        <is>
          <t>N/D</t>
        </is>
      </c>
      <c r="BP16" s="74" t="inlineStr">
        <is>
          <t>N/D</t>
        </is>
      </c>
      <c r="BQ16" s="74" t="inlineStr">
        <is>
          <t>N/D</t>
        </is>
      </c>
      <c r="BR16" s="74" t="inlineStr">
        <is>
          <t>N/D</t>
        </is>
      </c>
      <c r="BS16" s="74" t="inlineStr">
        <is>
          <t>sem_overlay</t>
        </is>
      </c>
      <c r="BT16" s="74" t="inlineStr">
        <is>
          <t>N/D</t>
        </is>
      </c>
      <c r="BU16" s="74" t="inlineStr">
        <is>
          <t>1201421</t>
        </is>
      </c>
      <c r="BV16" s="74" t="inlineStr">
        <is>
          <t>2026-05-20</t>
        </is>
      </c>
      <c r="BW16" s="74" t="inlineStr">
        <is>
          <t>cláusulas de subordinação e definições revisadas</t>
        </is>
      </c>
      <c r="BX16" s="74" t="inlineStr">
        <is>
          <t>revisto — mínimo júnior não isolado</t>
        </is>
      </c>
      <c r="BY16" s="74" t="inlineStr">
        <is>
          <t>FundosNet/B3; documento 1201421; referência 2026-05-20; cláusulas candidatas revisadas</t>
        </is>
      </c>
      <c r="BZ16" s="74" t="inlineStr">
        <is>
          <t>N/D</t>
        </is>
      </c>
      <c r="CA16" s="74" t="inlineStr">
        <is>
          <t>mínimo estrutural comparável; preço unitário da cota; originador; cedente; sacado/devedor; tipo de recebível</t>
        </is>
      </c>
      <c r="CB16" s="74" t="inlineStr">
        <is>
          <t>minimo_estrutural_ausente</t>
        </is>
      </c>
    </row>
    <row r="17" ht="31.5" customHeight="1">
      <c r="A17" s="75" t="n">
        <v>8</v>
      </c>
      <c r="B17" s="142" t="n">
        <v>58148845000109</v>
      </c>
      <c r="C17" s="75" t="inlineStr">
        <is>
          <t>58.148.845/0001-09</t>
        </is>
      </c>
      <c r="D17" s="75" t="inlineStr">
        <is>
          <t>FUNDO DE INVESTIMENTO EM DIREITOS CREDITÓRIOS PICPAY FGTS</t>
        </is>
      </c>
      <c r="E17" s="75" t="inlineStr">
        <is>
          <t>PicPay FGTS I e II</t>
        </is>
      </c>
      <c r="F17" s="75" t="inlineStr">
        <is>
          <t>Flagships</t>
        </is>
      </c>
      <c r="G17" s="75" t="inlineStr">
        <is>
          <t>2026-08</t>
        </is>
      </c>
      <c r="H17" s="75" t="inlineStr">
        <is>
          <t>localizado</t>
        </is>
      </c>
      <c r="I17" s="143" t="n">
        <v>827045021.53</v>
      </c>
      <c r="J17" s="143" t="n">
        <v>827045021.5267454</v>
      </c>
      <c r="K17" s="143" t="n">
        <v>251612027.0601134</v>
      </c>
      <c r="L17" s="144" t="n">
        <v>0.3042301452883923</v>
      </c>
      <c r="M17" s="75" t="inlineStr">
        <is>
          <t>Calculado com classes reportadas e PL oficial reconciliado</t>
        </is>
      </c>
      <c r="N17" s="144" t="inlineStr">
        <is>
          <t>N/D</t>
        </is>
      </c>
      <c r="O17" s="144" t="inlineStr">
        <is>
          <t>N/D</t>
        </is>
      </c>
      <c r="P17" s="144" t="inlineStr">
        <is>
          <t>N/D</t>
        </is>
      </c>
      <c r="Q17" s="144" t="inlineStr">
        <is>
          <t>N/D</t>
        </is>
      </c>
      <c r="R17" s="144" t="inlineStr">
        <is>
          <t>N/D</t>
        </is>
      </c>
      <c r="S17" s="144" t="inlineStr">
        <is>
          <t>N/D</t>
        </is>
      </c>
      <c r="T17" s="75" t="inlineStr">
        <is>
          <t>N/D</t>
        </is>
      </c>
      <c r="U17" s="75" t="inlineStr">
        <is>
          <t>sem_indice</t>
        </is>
      </c>
      <c r="V17" s="75" t="inlineStr">
        <is>
          <t>N/D</t>
        </is>
      </c>
      <c r="W17" s="75" t="b">
        <v>0</v>
      </c>
      <c r="X17" s="75" t="inlineStr">
        <is>
          <t>N/D — mínimo estrutural ou subordinação atual ausente</t>
        </is>
      </c>
      <c r="Y17" s="75" t="b">
        <v>0</v>
      </c>
      <c r="Z17" s="144" t="inlineStr">
        <is>
          <t>N/D</t>
        </is>
      </c>
      <c r="AA17" s="144" t="inlineStr">
        <is>
          <t>N/D</t>
        </is>
      </c>
      <c r="AB17" s="75" t="inlineStr">
        <is>
          <t>não medido</t>
        </is>
      </c>
      <c r="AC17" s="75" t="inlineStr">
        <is>
          <t>N/D</t>
        </is>
      </c>
      <c r="AD17" s="75" t="inlineStr">
        <is>
          <t>N/D</t>
        </is>
      </c>
      <c r="AE17" s="75" t="inlineStr">
        <is>
          <t>Consignado FGTS</t>
        </is>
      </c>
      <c r="AF17" s="75" t="inlineStr">
        <is>
          <t>Consignado FGTS</t>
        </is>
      </c>
      <c r="AG17" s="75" t="inlineStr">
        <is>
          <t>N/D</t>
        </is>
      </c>
      <c r="AH17" s="75" t="inlineStr">
        <is>
          <t>N/D</t>
        </is>
      </c>
      <c r="AI17" s="75" t="inlineStr">
        <is>
          <t>N/D</t>
        </is>
      </c>
      <c r="AJ17" s="75" t="b">
        <v>0</v>
      </c>
      <c r="AK17" s="75" t="inlineStr">
        <is>
          <t>N/D</t>
        </is>
      </c>
      <c r="AL17" s="75" t="inlineStr">
        <is>
          <t>N/D</t>
        </is>
      </c>
      <c r="AM17" s="75" t="inlineStr">
        <is>
          <t>N/D</t>
        </is>
      </c>
      <c r="AN17" s="75" t="inlineStr">
        <is>
          <t>N/D</t>
        </is>
      </c>
      <c r="AO17" s="75" t="inlineStr">
        <is>
          <t>N/D</t>
        </is>
      </c>
      <c r="AP17" s="75" t="inlineStr">
        <is>
          <t>N/D</t>
        </is>
      </c>
      <c r="AQ17" s="75" t="inlineStr">
        <is>
          <t>N/D</t>
        </is>
      </c>
      <c r="AR17" s="75" t="inlineStr">
        <is>
          <t>N/D</t>
        </is>
      </c>
      <c r="AS17" s="75" t="inlineStr">
        <is>
          <t>N/D</t>
        </is>
      </c>
      <c r="AT17" s="75" t="inlineStr">
        <is>
          <t>N/D</t>
        </is>
      </c>
      <c r="AU17" s="75" t="inlineStr">
        <is>
          <t>N/D</t>
        </is>
      </c>
      <c r="AV17" s="75" t="inlineStr">
        <is>
          <t>N/D</t>
        </is>
      </c>
      <c r="AW17" s="75" t="b">
        <v>0</v>
      </c>
      <c r="AX17" s="75" t="inlineStr">
        <is>
          <t>N/D</t>
        </is>
      </c>
      <c r="AY17" s="75" t="inlineStr">
        <is>
          <t>N/D</t>
        </is>
      </c>
      <c r="AZ17" s="144" t="inlineStr">
        <is>
          <t>N/D</t>
        </is>
      </c>
      <c r="BA17" s="75" t="inlineStr">
        <is>
          <t>N/D</t>
        </is>
      </c>
      <c r="BB17" s="145" t="inlineStr">
        <is>
          <t>N/D</t>
        </is>
      </c>
      <c r="BC17" s="143" t="inlineStr">
        <is>
          <t>N/D</t>
        </is>
      </c>
      <c r="BD17" s="75" t="inlineStr">
        <is>
          <t>N/D</t>
        </is>
      </c>
      <c r="BE17" s="75" t="inlineStr">
        <is>
          <t>N/D</t>
        </is>
      </c>
      <c r="BF17" s="75" t="inlineStr">
        <is>
          <t>N/D</t>
        </is>
      </c>
      <c r="BG17" s="75" t="inlineStr">
        <is>
          <t>N/D</t>
        </is>
      </c>
      <c r="BH17" s="75" t="inlineStr">
        <is>
          <t>N/D</t>
        </is>
      </c>
      <c r="BI17" s="75" t="inlineStr">
        <is>
          <t>N/D</t>
        </is>
      </c>
      <c r="BJ17" s="75" t="inlineStr">
        <is>
          <t>não localizado</t>
        </is>
      </c>
      <c r="BK17" s="75" t="b">
        <v>0</v>
      </c>
      <c r="BL17" s="75" t="inlineStr">
        <is>
          <t>N/D</t>
        </is>
      </c>
      <c r="BM17" s="75" t="inlineStr">
        <is>
          <t>N/D</t>
        </is>
      </c>
      <c r="BN17" s="75" t="inlineStr">
        <is>
          <t>N/D</t>
        </is>
      </c>
      <c r="BO17" s="75" t="inlineStr">
        <is>
          <t>N/D</t>
        </is>
      </c>
      <c r="BP17" s="75" t="inlineStr">
        <is>
          <t>N/D</t>
        </is>
      </c>
      <c r="BQ17" s="75" t="inlineStr">
        <is>
          <t>N/D</t>
        </is>
      </c>
      <c r="BR17" s="75" t="inlineStr">
        <is>
          <t>N/D</t>
        </is>
      </c>
      <c r="BS17" s="75" t="inlineStr">
        <is>
          <t>sem_overlay</t>
        </is>
      </c>
      <c r="BT17" s="75" t="inlineStr">
        <is>
          <t>N/D</t>
        </is>
      </c>
      <c r="BU17" s="75" t="inlineStr">
        <is>
          <t>877220</t>
        </is>
      </c>
      <c r="BV17" s="75" t="inlineStr">
        <is>
          <t>2025-04-07</t>
        </is>
      </c>
      <c r="BW17" s="75" t="inlineStr">
        <is>
          <t>cláusulas de subordinação e definições revisadas</t>
        </is>
      </c>
      <c r="BX17" s="75" t="inlineStr">
        <is>
          <t>revisto — mínimo júnior não isolado</t>
        </is>
      </c>
      <c r="BY17" s="75" t="inlineStr">
        <is>
          <t>FundosNet/B3; documento 877220; referência 2025-04-07; cláusulas candidatas revisadas</t>
        </is>
      </c>
      <c r="BZ17" s="75" t="inlineStr">
        <is>
          <t>N/D</t>
        </is>
      </c>
      <c r="CA17" s="75" t="inlineStr">
        <is>
          <t>mínimo estrutural comparável; preço unitário da cota; originador; cedente; sacado/devedor; tipo de recebível</t>
        </is>
      </c>
      <c r="CB17" s="75" t="inlineStr">
        <is>
          <t>minimo_estrutural_ausente</t>
        </is>
      </c>
    </row>
    <row r="18" ht="31.5" customHeight="1">
      <c r="A18" s="74" t="n">
        <v>9</v>
      </c>
      <c r="B18" s="138" t="n">
        <v>62010175000137</v>
      </c>
      <c r="C18" s="74" t="inlineStr">
        <is>
          <t>62.010.175/0001-37</t>
        </is>
      </c>
      <c r="D18" s="74" t="inlineStr">
        <is>
          <t>FUNDO DE INVESTIMENTO EM DIREITOS CREDITÓRIOS MT FGTS RECEIVABLES IV</t>
        </is>
      </c>
      <c r="E18" s="74" t="inlineStr">
        <is>
          <t>MT FGTS II e IV</t>
        </is>
      </c>
      <c r="F18" s="74" t="inlineStr">
        <is>
          <t>Flagships</t>
        </is>
      </c>
      <c r="G18" s="74" t="inlineStr">
        <is>
          <t>2026-08</t>
        </is>
      </c>
      <c r="H18" s="74" t="inlineStr">
        <is>
          <t>localizado</t>
        </is>
      </c>
      <c r="I18" s="139" t="n">
        <v>526309944.05</v>
      </c>
      <c r="J18" s="139" t="n">
        <v>525916418.5601416</v>
      </c>
      <c r="K18" s="139" t="n">
        <v>96198637.45014168</v>
      </c>
      <c r="L18" s="140" t="n">
        <v>0.1827794411594904</v>
      </c>
      <c r="M18" s="74" t="inlineStr">
        <is>
          <t>Calculado com classes reportadas e PL oficial reconciliado</t>
        </is>
      </c>
      <c r="N18" s="140" t="inlineStr">
        <is>
          <t>N/D</t>
        </is>
      </c>
      <c r="O18" s="140" t="inlineStr">
        <is>
          <t>N/D</t>
        </is>
      </c>
      <c r="P18" s="140" t="inlineStr">
        <is>
          <t>N/D</t>
        </is>
      </c>
      <c r="Q18" s="140" t="inlineStr">
        <is>
          <t>N/D</t>
        </is>
      </c>
      <c r="R18" s="140" t="inlineStr">
        <is>
          <t>N/D</t>
        </is>
      </c>
      <c r="S18" s="140" t="inlineStr">
        <is>
          <t>N/D</t>
        </is>
      </c>
      <c r="T18" s="74" t="inlineStr">
        <is>
          <t>N/D</t>
        </is>
      </c>
      <c r="U18" s="74" t="inlineStr">
        <is>
          <t>sem_indice</t>
        </is>
      </c>
      <c r="V18" s="74" t="inlineStr">
        <is>
          <t>N/D</t>
        </is>
      </c>
      <c r="W18" s="74" t="b">
        <v>0</v>
      </c>
      <c r="X18" s="74" t="inlineStr">
        <is>
          <t>N/D — mínimo estrutural ou subordinação atual ausente</t>
        </is>
      </c>
      <c r="Y18" s="74" t="b">
        <v>0</v>
      </c>
      <c r="Z18" s="140" t="inlineStr">
        <is>
          <t>N/D</t>
        </is>
      </c>
      <c r="AA18" s="140" t="inlineStr">
        <is>
          <t>N/D</t>
        </is>
      </c>
      <c r="AB18" s="74" t="inlineStr">
        <is>
          <t>não medido</t>
        </is>
      </c>
      <c r="AC18" s="74" t="inlineStr">
        <is>
          <t>N/D</t>
        </is>
      </c>
      <c r="AD18" s="74" t="inlineStr">
        <is>
          <t>N/D</t>
        </is>
      </c>
      <c r="AE18" s="74" t="inlineStr">
        <is>
          <t>Consignado FGTS</t>
        </is>
      </c>
      <c r="AF18" s="74" t="inlineStr">
        <is>
          <t>Consignado FGTS</t>
        </is>
      </c>
      <c r="AG18" s="74" t="inlineStr">
        <is>
          <t>N/D</t>
        </is>
      </c>
      <c r="AH18" s="74" t="inlineStr">
        <is>
          <t>N/D</t>
        </is>
      </c>
      <c r="AI18" s="74" t="inlineStr">
        <is>
          <t>N/D</t>
        </is>
      </c>
      <c r="AJ18" s="74" t="b">
        <v>0</v>
      </c>
      <c r="AK18" s="74" t="inlineStr">
        <is>
          <t>N/D</t>
        </is>
      </c>
      <c r="AL18" s="74" t="inlineStr">
        <is>
          <t>N/D</t>
        </is>
      </c>
      <c r="AM18" s="74" t="inlineStr">
        <is>
          <t>N/D</t>
        </is>
      </c>
      <c r="AN18" s="74" t="inlineStr">
        <is>
          <t>N/D</t>
        </is>
      </c>
      <c r="AO18" s="74" t="inlineStr">
        <is>
          <t>N/D</t>
        </is>
      </c>
      <c r="AP18" s="74" t="inlineStr">
        <is>
          <t>N/D</t>
        </is>
      </c>
      <c r="AQ18" s="74" t="inlineStr">
        <is>
          <t>N/D</t>
        </is>
      </c>
      <c r="AR18" s="74" t="inlineStr">
        <is>
          <t>N/D</t>
        </is>
      </c>
      <c r="AS18" s="74" t="inlineStr">
        <is>
          <t>N/D</t>
        </is>
      </c>
      <c r="AT18" s="74" t="inlineStr">
        <is>
          <t>N/D</t>
        </is>
      </c>
      <c r="AU18" s="74" t="inlineStr">
        <is>
          <t>N/D</t>
        </is>
      </c>
      <c r="AV18" s="74" t="inlineStr">
        <is>
          <t>N/D</t>
        </is>
      </c>
      <c r="AW18" s="74" t="b">
        <v>0</v>
      </c>
      <c r="AX18" s="74" t="inlineStr">
        <is>
          <t>N/D</t>
        </is>
      </c>
      <c r="AY18" s="74" t="inlineStr">
        <is>
          <t>N/D</t>
        </is>
      </c>
      <c r="AZ18" s="140" t="inlineStr">
        <is>
          <t>N/D</t>
        </is>
      </c>
      <c r="BA18" s="74" t="inlineStr">
        <is>
          <t>N/D</t>
        </is>
      </c>
      <c r="BB18" s="141" t="inlineStr">
        <is>
          <t>N/D</t>
        </is>
      </c>
      <c r="BC18" s="139" t="inlineStr">
        <is>
          <t>N/D</t>
        </is>
      </c>
      <c r="BD18" s="74" t="inlineStr">
        <is>
          <t>N/D</t>
        </is>
      </c>
      <c r="BE18" s="74" t="inlineStr">
        <is>
          <t>N/D</t>
        </is>
      </c>
      <c r="BF18" s="74" t="inlineStr">
        <is>
          <t>N/D</t>
        </is>
      </c>
      <c r="BG18" s="74" t="inlineStr">
        <is>
          <t>N/D</t>
        </is>
      </c>
      <c r="BH18" s="74" t="inlineStr">
        <is>
          <t>N/D</t>
        </is>
      </c>
      <c r="BI18" s="74" t="inlineStr">
        <is>
          <t>N/D</t>
        </is>
      </c>
      <c r="BJ18" s="74" t="inlineStr">
        <is>
          <t>não localizado</t>
        </is>
      </c>
      <c r="BK18" s="74" t="b">
        <v>0</v>
      </c>
      <c r="BL18" s="74" t="inlineStr">
        <is>
          <t>N/D</t>
        </is>
      </c>
      <c r="BM18" s="74" t="inlineStr">
        <is>
          <t>N/D</t>
        </is>
      </c>
      <c r="BN18" s="74" t="inlineStr">
        <is>
          <t>N/D</t>
        </is>
      </c>
      <c r="BO18" s="74" t="inlineStr">
        <is>
          <t>N/D</t>
        </is>
      </c>
      <c r="BP18" s="74" t="inlineStr">
        <is>
          <t>N/D</t>
        </is>
      </c>
      <c r="BQ18" s="74" t="inlineStr">
        <is>
          <t>N/D</t>
        </is>
      </c>
      <c r="BR18" s="74" t="inlineStr">
        <is>
          <t>N/D</t>
        </is>
      </c>
      <c r="BS18" s="74" t="inlineStr">
        <is>
          <t>sem_overlay</t>
        </is>
      </c>
      <c r="BT18" s="74" t="inlineStr">
        <is>
          <t>N/D</t>
        </is>
      </c>
      <c r="BU18" s="74" t="inlineStr">
        <is>
          <t>N/D</t>
        </is>
      </c>
      <c r="BV18" s="74" t="inlineStr">
        <is>
          <t>N/D</t>
        </is>
      </c>
      <c r="BW18" s="74" t="inlineStr">
        <is>
          <t>N/D</t>
        </is>
      </c>
      <c r="BX18" s="74" t="inlineStr">
        <is>
          <t>lacuna — regulamento integral não disponível nas fontes locais</t>
        </is>
      </c>
      <c r="BY18" s="74" t="inlineStr">
        <is>
          <t>N/D</t>
        </is>
      </c>
      <c r="BZ18" s="74" t="inlineStr">
        <is>
          <t>N/D</t>
        </is>
      </c>
      <c r="CA18" s="74" t="inlineStr">
        <is>
          <t>mínimo estrutural comparável; preço unitário da cota; originador; cedente; sacado/devedor; tipo de recebível</t>
        </is>
      </c>
      <c r="CB18" s="74" t="inlineStr">
        <is>
          <t>minimo_estrutural_ausente</t>
        </is>
      </c>
    </row>
    <row r="19" ht="31.5" customHeight="1">
      <c r="A19" s="75" t="n">
        <v>9</v>
      </c>
      <c r="B19" s="142" t="n">
        <v>54464892000100</v>
      </c>
      <c r="C19" s="75" t="inlineStr">
        <is>
          <t>54.464.892/0001-00</t>
        </is>
      </c>
      <c r="D19" s="75" t="inlineStr">
        <is>
          <t>FUNDO DE INVESTIMENTO EM DIREITOS CREDITÓRIOS MT FGTS RECEIVABLES II</t>
        </is>
      </c>
      <c r="E19" s="75" t="inlineStr">
        <is>
          <t>MT FGTS II e IV</t>
        </is>
      </c>
      <c r="F19" s="75" t="inlineStr">
        <is>
          <t>Flagships</t>
        </is>
      </c>
      <c r="G19" s="75" t="inlineStr">
        <is>
          <t>2026-08</t>
        </is>
      </c>
      <c r="H19" s="75" t="inlineStr">
        <is>
          <t>localizado</t>
        </is>
      </c>
      <c r="I19" s="143" t="n">
        <v>665402914.1</v>
      </c>
      <c r="J19" s="143" t="n">
        <v>664908350.2394052</v>
      </c>
      <c r="K19" s="143" t="n">
        <v>133959133.4796962</v>
      </c>
      <c r="L19" s="144" t="n">
        <v>0.2013203288429906</v>
      </c>
      <c r="M19" s="75" t="inlineStr">
        <is>
          <t>Calculado com classes reportadas e PL oficial reconciliado</t>
        </is>
      </c>
      <c r="N19" s="144" t="inlineStr">
        <is>
          <t>N/D</t>
        </is>
      </c>
      <c r="O19" s="144" t="inlineStr">
        <is>
          <t>N/D</t>
        </is>
      </c>
      <c r="P19" s="144" t="inlineStr">
        <is>
          <t>N/D</t>
        </is>
      </c>
      <c r="Q19" s="144" t="inlineStr">
        <is>
          <t>N/D</t>
        </is>
      </c>
      <c r="R19" s="144" t="inlineStr">
        <is>
          <t>N/D</t>
        </is>
      </c>
      <c r="S19" s="144" t="inlineStr">
        <is>
          <t>N/D</t>
        </is>
      </c>
      <c r="T19" s="75" t="inlineStr">
        <is>
          <t>N/D</t>
        </is>
      </c>
      <c r="U19" s="75" t="inlineStr">
        <is>
          <t>sem_indice</t>
        </is>
      </c>
      <c r="V19" s="75" t="inlineStr">
        <is>
          <t>N/D</t>
        </is>
      </c>
      <c r="W19" s="75" t="b">
        <v>0</v>
      </c>
      <c r="X19" s="75" t="inlineStr">
        <is>
          <t>N/D — mínimo estrutural ou subordinação atual ausente</t>
        </is>
      </c>
      <c r="Y19" s="75" t="b">
        <v>0</v>
      </c>
      <c r="Z19" s="144" t="inlineStr">
        <is>
          <t>N/D</t>
        </is>
      </c>
      <c r="AA19" s="144" t="inlineStr">
        <is>
          <t>N/D</t>
        </is>
      </c>
      <c r="AB19" s="75" t="inlineStr">
        <is>
          <t>não medido</t>
        </is>
      </c>
      <c r="AC19" s="75" t="inlineStr">
        <is>
          <t>N/D</t>
        </is>
      </c>
      <c r="AD19" s="75" t="inlineStr">
        <is>
          <t>N/D</t>
        </is>
      </c>
      <c r="AE19" s="75" t="inlineStr">
        <is>
          <t>Consignado FGTS</t>
        </is>
      </c>
      <c r="AF19" s="75" t="inlineStr">
        <is>
          <t>Consignado FGTS</t>
        </is>
      </c>
      <c r="AG19" s="75" t="inlineStr">
        <is>
          <t>N/D</t>
        </is>
      </c>
      <c r="AH19" s="75" t="inlineStr">
        <is>
          <t>N/D</t>
        </is>
      </c>
      <c r="AI19" s="75" t="inlineStr">
        <is>
          <t>N/D</t>
        </is>
      </c>
      <c r="AJ19" s="75" t="b">
        <v>0</v>
      </c>
      <c r="AK19" s="75" t="inlineStr">
        <is>
          <t>N/D</t>
        </is>
      </c>
      <c r="AL19" s="75" t="inlineStr">
        <is>
          <t>N/D</t>
        </is>
      </c>
      <c r="AM19" s="75" t="inlineStr">
        <is>
          <t>N/D</t>
        </is>
      </c>
      <c r="AN19" s="75" t="inlineStr">
        <is>
          <t>N/D</t>
        </is>
      </c>
      <c r="AO19" s="75" t="inlineStr">
        <is>
          <t>N/D</t>
        </is>
      </c>
      <c r="AP19" s="75" t="inlineStr">
        <is>
          <t>N/D</t>
        </is>
      </c>
      <c r="AQ19" s="75" t="inlineStr">
        <is>
          <t>N/D</t>
        </is>
      </c>
      <c r="AR19" s="75" t="inlineStr">
        <is>
          <t>N/D</t>
        </is>
      </c>
      <c r="AS19" s="75" t="inlineStr">
        <is>
          <t>N/D</t>
        </is>
      </c>
      <c r="AT19" s="75" t="inlineStr">
        <is>
          <t>N/D</t>
        </is>
      </c>
      <c r="AU19" s="75" t="inlineStr">
        <is>
          <t>N/D</t>
        </is>
      </c>
      <c r="AV19" s="75" t="inlineStr">
        <is>
          <t>N/D</t>
        </is>
      </c>
      <c r="AW19" s="75" t="b">
        <v>0</v>
      </c>
      <c r="AX19" s="75" t="inlineStr">
        <is>
          <t>N/D</t>
        </is>
      </c>
      <c r="AY19" s="75" t="inlineStr">
        <is>
          <t>N/D</t>
        </is>
      </c>
      <c r="AZ19" s="144" t="inlineStr">
        <is>
          <t>N/D</t>
        </is>
      </c>
      <c r="BA19" s="75" t="inlineStr">
        <is>
          <t>N/D</t>
        </is>
      </c>
      <c r="BB19" s="145" t="inlineStr">
        <is>
          <t>N/D</t>
        </is>
      </c>
      <c r="BC19" s="143" t="inlineStr">
        <is>
          <t>N/D</t>
        </is>
      </c>
      <c r="BD19" s="75" t="inlineStr">
        <is>
          <t>N/D</t>
        </is>
      </c>
      <c r="BE19" s="75" t="inlineStr">
        <is>
          <t>N/D</t>
        </is>
      </c>
      <c r="BF19" s="75" t="inlineStr">
        <is>
          <t>N/D</t>
        </is>
      </c>
      <c r="BG19" s="75" t="inlineStr">
        <is>
          <t>N/D</t>
        </is>
      </c>
      <c r="BH19" s="75" t="inlineStr">
        <is>
          <t>N/D</t>
        </is>
      </c>
      <c r="BI19" s="75" t="inlineStr">
        <is>
          <t>N/D</t>
        </is>
      </c>
      <c r="BJ19" s="75" t="inlineStr">
        <is>
          <t>não localizado</t>
        </is>
      </c>
      <c r="BK19" s="75" t="b">
        <v>0</v>
      </c>
      <c r="BL19" s="75" t="inlineStr">
        <is>
          <t>75% Parati / 25% QI Tech</t>
        </is>
      </c>
      <c r="BM19" s="75" t="inlineStr">
        <is>
          <t>cedente</t>
        </is>
      </c>
      <c r="BN19" s="75" t="inlineStr">
        <is>
          <t>N/D</t>
        </is>
      </c>
      <c r="BO19" s="75" t="inlineStr">
        <is>
          <t>75% Parati / 25% QI Tech</t>
        </is>
      </c>
      <c r="BP19" s="75" t="inlineStr">
        <is>
          <t>N/D</t>
        </is>
      </c>
      <c r="BQ19" s="75" t="inlineStr">
        <is>
          <t>N/D</t>
        </is>
      </c>
      <c r="BR19" s="75" t="inlineStr">
        <is>
          <t>IMG_8707.jpg</t>
        </is>
      </c>
      <c r="BS19" s="75" t="inlineStr">
        <is>
          <t>manual_aplicado</t>
        </is>
      </c>
      <c r="BT19" s="75" t="inlineStr">
        <is>
          <t>OBS da foto: Rating atual Ba1; se ajustar o rating na base, pode considerar perspectiva estável. Denominação cortada.</t>
        </is>
      </c>
      <c r="BU19" s="75" t="inlineStr">
        <is>
          <t>N/D</t>
        </is>
      </c>
      <c r="BV19" s="75" t="inlineStr">
        <is>
          <t>N/D</t>
        </is>
      </c>
      <c r="BW19" s="75" t="inlineStr">
        <is>
          <t>N/D</t>
        </is>
      </c>
      <c r="BX19" s="75" t="inlineStr">
        <is>
          <t>lacuna — regulamento integral não disponível nas fontes locais</t>
        </is>
      </c>
      <c r="BY19" s="75" t="inlineStr">
        <is>
          <t>N/D</t>
        </is>
      </c>
      <c r="BZ19" s="75" t="inlineStr">
        <is>
          <t>N/D</t>
        </is>
      </c>
      <c r="CA19" s="75" t="inlineStr">
        <is>
          <t>mínimo estrutural comparável; preço unitário da cota; originador; sacado/devedor; tipo de recebível</t>
        </is>
      </c>
      <c r="CB19" s="75" t="inlineStr">
        <is>
          <t>minimo_estrutural_ausente</t>
        </is>
      </c>
    </row>
    <row r="20" ht="31.5" customHeight="1">
      <c r="A20" s="74" t="n">
        <v>10</v>
      </c>
      <c r="B20" s="138" t="n">
        <v>63848380000139</v>
      </c>
      <c r="C20" s="74" t="inlineStr">
        <is>
          <t>63.848.380/0001-39</t>
        </is>
      </c>
      <c r="D20" s="74" t="inlineStr">
        <is>
          <t>FUNDO DE INVESTIMENTO EM DIREITOS CREDITÓRIOS DAYCOVAL FGTS I RESPONSABILIDADE LIMITADA</t>
        </is>
      </c>
      <c r="E20" s="74" t="inlineStr">
        <is>
          <t>Daycoval FGTS I</t>
        </is>
      </c>
      <c r="F20" s="74" t="inlineStr">
        <is>
          <t>Flagships</t>
        </is>
      </c>
      <c r="G20" s="74" t="inlineStr">
        <is>
          <t>2026-08</t>
        </is>
      </c>
      <c r="H20" s="74" t="inlineStr">
        <is>
          <t>localizado</t>
        </is>
      </c>
      <c r="I20" s="139" t="n">
        <v>100283910.53</v>
      </c>
      <c r="J20" s="139" t="n">
        <v>100283910.5297473</v>
      </c>
      <c r="K20" s="139" t="n">
        <v>17653818.18000033</v>
      </c>
      <c r="L20" s="140" t="n">
        <v>0.1760383902731753</v>
      </c>
      <c r="M20" s="74" t="inlineStr">
        <is>
          <t>Calculado com classes reportadas e PL oficial reconciliado</t>
        </is>
      </c>
      <c r="N20" s="140" t="inlineStr">
        <is>
          <t>N/D</t>
        </is>
      </c>
      <c r="O20" s="140" t="inlineStr">
        <is>
          <t>N/D</t>
        </is>
      </c>
      <c r="P20" s="140" t="inlineStr">
        <is>
          <t>N/D</t>
        </is>
      </c>
      <c r="Q20" s="140" t="inlineStr">
        <is>
          <t>N/D</t>
        </is>
      </c>
      <c r="R20" s="140" t="inlineStr">
        <is>
          <t>N/D</t>
        </is>
      </c>
      <c r="S20" s="140" t="inlineStr">
        <is>
          <t>N/D</t>
        </is>
      </c>
      <c r="T20" s="74" t="inlineStr">
        <is>
          <t>N/D</t>
        </is>
      </c>
      <c r="U20" s="74" t="inlineStr">
        <is>
          <t>sem_indice</t>
        </is>
      </c>
      <c r="V20" s="74" t="inlineStr">
        <is>
          <t>N/D</t>
        </is>
      </c>
      <c r="W20" s="74" t="b">
        <v>0</v>
      </c>
      <c r="X20" s="74" t="inlineStr">
        <is>
          <t>N/D — mínimo estrutural ou subordinação atual ausente</t>
        </is>
      </c>
      <c r="Y20" s="74" t="b">
        <v>0</v>
      </c>
      <c r="Z20" s="140" t="inlineStr">
        <is>
          <t>N/D</t>
        </is>
      </c>
      <c r="AA20" s="140" t="inlineStr">
        <is>
          <t>N/D</t>
        </is>
      </c>
      <c r="AB20" s="74" t="inlineStr">
        <is>
          <t>não medido</t>
        </is>
      </c>
      <c r="AC20" s="74" t="inlineStr">
        <is>
          <t>N/D</t>
        </is>
      </c>
      <c r="AD20" s="74" t="inlineStr">
        <is>
          <t>N/D</t>
        </is>
      </c>
      <c r="AE20" s="74" t="inlineStr">
        <is>
          <t>Consignado FGTS</t>
        </is>
      </c>
      <c r="AF20" s="74" t="inlineStr">
        <is>
          <t>Consignado FGTS</t>
        </is>
      </c>
      <c r="AG20" s="74" t="inlineStr">
        <is>
          <t>N/D</t>
        </is>
      </c>
      <c r="AH20" s="74" t="inlineStr">
        <is>
          <t>N/D</t>
        </is>
      </c>
      <c r="AI20" s="74" t="inlineStr">
        <is>
          <t>N/D</t>
        </is>
      </c>
      <c r="AJ20" s="74" t="b">
        <v>0</v>
      </c>
      <c r="AK20" s="74" t="inlineStr">
        <is>
          <t>N/D</t>
        </is>
      </c>
      <c r="AL20" s="74" t="inlineStr">
        <is>
          <t>N/D</t>
        </is>
      </c>
      <c r="AM20" s="74" t="inlineStr">
        <is>
          <t>N/D</t>
        </is>
      </c>
      <c r="AN20" s="74" t="inlineStr">
        <is>
          <t>N/D</t>
        </is>
      </c>
      <c r="AO20" s="74" t="inlineStr">
        <is>
          <t>N/D</t>
        </is>
      </c>
      <c r="AP20" s="74" t="inlineStr">
        <is>
          <t>N/D</t>
        </is>
      </c>
      <c r="AQ20" s="74" t="inlineStr">
        <is>
          <t>N/D</t>
        </is>
      </c>
      <c r="AR20" s="74" t="inlineStr">
        <is>
          <t>N/D</t>
        </is>
      </c>
      <c r="AS20" s="74" t="inlineStr">
        <is>
          <t>N/D</t>
        </is>
      </c>
      <c r="AT20" s="74" t="inlineStr">
        <is>
          <t>N/D</t>
        </is>
      </c>
      <c r="AU20" s="74" t="inlineStr">
        <is>
          <t>N/D</t>
        </is>
      </c>
      <c r="AV20" s="74" t="inlineStr">
        <is>
          <t>N/D</t>
        </is>
      </c>
      <c r="AW20" s="74" t="b">
        <v>0</v>
      </c>
      <c r="AX20" s="74" t="inlineStr">
        <is>
          <t>N/D</t>
        </is>
      </c>
      <c r="AY20" s="74" t="inlineStr">
        <is>
          <t>N/D</t>
        </is>
      </c>
      <c r="AZ20" s="140" t="inlineStr">
        <is>
          <t>N/D</t>
        </is>
      </c>
      <c r="BA20" s="74" t="inlineStr">
        <is>
          <t>N/D</t>
        </is>
      </c>
      <c r="BB20" s="141" t="inlineStr">
        <is>
          <t>N/D</t>
        </is>
      </c>
      <c r="BC20" s="139" t="inlineStr">
        <is>
          <t>N/D</t>
        </is>
      </c>
      <c r="BD20" s="74" t="inlineStr">
        <is>
          <t>N/D</t>
        </is>
      </c>
      <c r="BE20" s="74" t="inlineStr">
        <is>
          <t>N/D</t>
        </is>
      </c>
      <c r="BF20" s="74" t="inlineStr">
        <is>
          <t>N/D</t>
        </is>
      </c>
      <c r="BG20" s="74" t="inlineStr">
        <is>
          <t>N/D</t>
        </is>
      </c>
      <c r="BH20" s="74" t="inlineStr">
        <is>
          <t>N/D</t>
        </is>
      </c>
      <c r="BI20" s="74" t="inlineStr">
        <is>
          <t>N/D</t>
        </is>
      </c>
      <c r="BJ20" s="74" t="inlineStr">
        <is>
          <t>não localizado</t>
        </is>
      </c>
      <c r="BK20" s="74" t="b">
        <v>0</v>
      </c>
      <c r="BL20" s="74" t="inlineStr">
        <is>
          <t>N/D</t>
        </is>
      </c>
      <c r="BM20" s="74" t="inlineStr">
        <is>
          <t>N/D</t>
        </is>
      </c>
      <c r="BN20" s="74" t="inlineStr">
        <is>
          <t>N/D</t>
        </is>
      </c>
      <c r="BO20" s="74" t="inlineStr">
        <is>
          <t>N/D</t>
        </is>
      </c>
      <c r="BP20" s="74" t="inlineStr">
        <is>
          <t>N/D</t>
        </is>
      </c>
      <c r="BQ20" s="74" t="inlineStr">
        <is>
          <t>N/D</t>
        </is>
      </c>
      <c r="BR20" s="74" t="inlineStr">
        <is>
          <t>N/D</t>
        </is>
      </c>
      <c r="BS20" s="74" t="inlineStr">
        <is>
          <t>sem_overlay</t>
        </is>
      </c>
      <c r="BT20" s="74" t="inlineStr">
        <is>
          <t>N/D</t>
        </is>
      </c>
      <c r="BU20" s="74" t="inlineStr">
        <is>
          <t>1068666</t>
        </is>
      </c>
      <c r="BV20" s="74" t="inlineStr">
        <is>
          <t>2025-12-18</t>
        </is>
      </c>
      <c r="BW20" s="74" t="inlineStr">
        <is>
          <t>cláusulas de subordinação e definições revisadas</t>
        </is>
      </c>
      <c r="BX20" s="74" t="inlineStr">
        <is>
          <t>revisto — mínimo júnior não isolado</t>
        </is>
      </c>
      <c r="BY20" s="74" t="inlineStr">
        <is>
          <t>FundosNet/B3; documento 1068666; referência 2025-12-18; cláusulas candidatas revisadas</t>
        </is>
      </c>
      <c r="BZ20" s="74" t="inlineStr">
        <is>
          <t>N/D</t>
        </is>
      </c>
      <c r="CA20" s="74" t="inlineStr">
        <is>
          <t>mínimo estrutural comparável; preço unitário da cota; originador; cedente; sacado/devedor; tipo de recebível</t>
        </is>
      </c>
      <c r="CB20" s="74" t="inlineStr">
        <is>
          <t>minimo_estrutural_ausente</t>
        </is>
      </c>
    </row>
    <row r="21" ht="31.5" customHeight="1">
      <c r="A21" s="75" t="n">
        <v>11</v>
      </c>
      <c r="B21" s="142" t="n">
        <v>62393679000183</v>
      </c>
      <c r="C21" s="75" t="inlineStr">
        <is>
          <t>62.393.679/0001-83</t>
        </is>
      </c>
      <c r="D21" s="75" t="inlineStr">
        <is>
          <t>CLOUDWALK BELA FUNDO DE INVESTIMENTO EM DIREITOS CREDITÓRIOS SEGMENTO MEIOS DE PAGAMENTO</t>
        </is>
      </c>
      <c r="E21" s="75" t="inlineStr">
        <is>
          <t>Cloudwalk Bela Pi e Big Picture I–IV</t>
        </is>
      </c>
      <c r="F21" s="75" t="inlineStr">
        <is>
          <t>Flagships</t>
        </is>
      </c>
      <c r="G21" s="75" t="inlineStr">
        <is>
          <t>2026-08</t>
        </is>
      </c>
      <c r="H21" s="75" t="inlineStr">
        <is>
          <t>localizado</t>
        </is>
      </c>
      <c r="I21" s="143" t="n">
        <v>10070614364.8</v>
      </c>
      <c r="J21" s="143" t="n">
        <v>10070614362.52227</v>
      </c>
      <c r="K21" s="143" t="n">
        <v>1614860901.402021</v>
      </c>
      <c r="L21" s="144" t="n">
        <v>0.1603537622338587</v>
      </c>
      <c r="M21" s="75" t="inlineStr">
        <is>
          <t>Calculado com classes reportadas e PL oficial reconciliado</t>
        </is>
      </c>
      <c r="N21" s="144" t="inlineStr">
        <is>
          <t>N/D</t>
        </is>
      </c>
      <c r="O21" s="144" t="inlineStr">
        <is>
          <t>N/D</t>
        </is>
      </c>
      <c r="P21" s="144" t="inlineStr">
        <is>
          <t>N/D</t>
        </is>
      </c>
      <c r="Q21" s="144" t="inlineStr">
        <is>
          <t>N/D</t>
        </is>
      </c>
      <c r="R21" s="144" t="inlineStr">
        <is>
          <t>N/D</t>
        </is>
      </c>
      <c r="S21" s="144" t="inlineStr">
        <is>
          <t>N/D</t>
        </is>
      </c>
      <c r="T21" s="75" t="inlineStr">
        <is>
          <t>1,0% até D+180; 2,5% após D+180</t>
        </is>
      </c>
      <c r="U21" s="75" t="inlineStr">
        <is>
          <t>sem_indice</t>
        </is>
      </c>
      <c r="V21" s="75" t="inlineStr">
        <is>
          <t>N/D</t>
        </is>
      </c>
      <c r="W21" s="75" t="b">
        <v>0</v>
      </c>
      <c r="X21" s="75" t="inlineStr">
        <is>
          <t>N/D — mínimo estrutural ou subordinação atual ausente</t>
        </is>
      </c>
      <c r="Y21" s="75" t="b">
        <v>0</v>
      </c>
      <c r="Z21" s="144" t="inlineStr">
        <is>
          <t>N/D</t>
        </is>
      </c>
      <c r="AA21" s="144" t="inlineStr">
        <is>
          <t>N/D</t>
        </is>
      </c>
      <c r="AB21" s="75" t="inlineStr">
        <is>
          <t>não medido</t>
        </is>
      </c>
      <c r="AC21" s="75" t="inlineStr">
        <is>
          <t>N/D</t>
        </is>
      </c>
      <c r="AD21" s="75" t="inlineStr">
        <is>
          <t>N/D</t>
        </is>
      </c>
      <c r="AE21" s="75" t="inlineStr">
        <is>
          <t>Adquirência — banco emissor</t>
        </is>
      </c>
      <c r="AF21" s="75" t="inlineStr">
        <is>
          <t>Adquirência</t>
        </is>
      </c>
      <c r="AG21" s="75" t="inlineStr">
        <is>
          <t>N/D</t>
        </is>
      </c>
      <c r="AH21" s="75" t="inlineStr">
        <is>
          <t>N/D</t>
        </is>
      </c>
      <c r="AI21" s="75" t="inlineStr">
        <is>
          <t>N/D</t>
        </is>
      </c>
      <c r="AJ21" s="75" t="b">
        <v>0</v>
      </c>
      <c r="AK21" s="75" t="inlineStr">
        <is>
          <t>N/D</t>
        </is>
      </c>
      <c r="AL21" s="75" t="inlineStr">
        <is>
          <t>N/D</t>
        </is>
      </c>
      <c r="AM21" s="75" t="inlineStr">
        <is>
          <t>N/D</t>
        </is>
      </c>
      <c r="AN21" s="75" t="inlineStr">
        <is>
          <t>N/D</t>
        </is>
      </c>
      <c r="AO21" s="75" t="inlineStr">
        <is>
          <t>N/D</t>
        </is>
      </c>
      <c r="AP21" s="75" t="inlineStr">
        <is>
          <t>N/D</t>
        </is>
      </c>
      <c r="AQ21" s="75" t="inlineStr">
        <is>
          <t>N/D</t>
        </is>
      </c>
      <c r="AR21" s="75" t="inlineStr">
        <is>
          <t>N/D</t>
        </is>
      </c>
      <c r="AS21" s="75" t="inlineStr">
        <is>
          <t>N/D</t>
        </is>
      </c>
      <c r="AT21" s="75" t="inlineStr">
        <is>
          <t>N/D</t>
        </is>
      </c>
      <c r="AU21" s="75" t="inlineStr">
        <is>
          <t>N/D</t>
        </is>
      </c>
      <c r="AV21" s="75" t="inlineStr">
        <is>
          <t>N/D</t>
        </is>
      </c>
      <c r="AW21" s="75" t="b">
        <v>0</v>
      </c>
      <c r="AX21" s="75" t="inlineStr">
        <is>
          <t>N/D</t>
        </is>
      </c>
      <c r="AY21" s="75" t="inlineStr">
        <is>
          <t>N/D</t>
        </is>
      </c>
      <c r="AZ21" s="144" t="inlineStr">
        <is>
          <t>N/D</t>
        </is>
      </c>
      <c r="BA21" s="75" t="inlineStr">
        <is>
          <t>N/D</t>
        </is>
      </c>
      <c r="BB21" s="145" t="inlineStr">
        <is>
          <t>N/D</t>
        </is>
      </c>
      <c r="BC21" s="143" t="inlineStr">
        <is>
          <t>N/D</t>
        </is>
      </c>
      <c r="BD21" s="75" t="inlineStr">
        <is>
          <t>N/D</t>
        </is>
      </c>
      <c r="BE21" s="75" t="inlineStr">
        <is>
          <t>N/D</t>
        </is>
      </c>
      <c r="BF21" s="75" t="inlineStr">
        <is>
          <t>N/D</t>
        </is>
      </c>
      <c r="BG21" s="75" t="inlineStr">
        <is>
          <t>N/D</t>
        </is>
      </c>
      <c r="BH21" s="75" t="inlineStr">
        <is>
          <t>N/D</t>
        </is>
      </c>
      <c r="BI21" s="75" t="inlineStr">
        <is>
          <t>N/D</t>
        </is>
      </c>
      <c r="BJ21" s="75" t="inlineStr">
        <is>
          <t>não localizado</t>
        </is>
      </c>
      <c r="BK21" s="75" t="b">
        <v>0</v>
      </c>
      <c r="BL21" s="75" t="inlineStr">
        <is>
          <t>Cloudwalk</t>
        </is>
      </c>
      <c r="BM21" s="75" t="inlineStr">
        <is>
          <t>originador</t>
        </is>
      </c>
      <c r="BN21" s="75" t="inlineStr">
        <is>
          <t>Cloudwalk</t>
        </is>
      </c>
      <c r="BO21" s="75" t="inlineStr">
        <is>
          <t>N/D</t>
        </is>
      </c>
      <c r="BP21" s="75" t="inlineStr">
        <is>
          <t>N/D</t>
        </is>
      </c>
      <c r="BQ21" s="75" t="inlineStr">
        <is>
          <t>N/D</t>
        </is>
      </c>
      <c r="BR21" s="75" t="inlineStr">
        <is>
          <t>IMG_8698.jpg</t>
        </is>
      </c>
      <c r="BS21" s="75" t="inlineStr">
        <is>
          <t>manual_aplicado</t>
        </is>
      </c>
      <c r="BT21" s="75" t="inlineStr">
        <is>
          <t>Originador transcrito da coluna da foto; complemento manual marcado com asterisco no slide.</t>
        </is>
      </c>
      <c r="BU21" s="75" t="inlineStr">
        <is>
          <t>1117954</t>
        </is>
      </c>
      <c r="BV21" s="75" t="inlineStr">
        <is>
          <t>2026-02-19</t>
        </is>
      </c>
      <c r="BW21" s="75" t="inlineStr">
        <is>
          <t>p. 162–166</t>
        </is>
      </c>
      <c r="BX21" s="75" t="inlineStr">
        <is>
          <t>revisto — mínimo júnior localizado</t>
        </is>
      </c>
      <c r="BY21" s="75" t="inlineStr">
        <is>
          <t>FundosNet/B3; documento 1117954; referência 2026-02-19; p. 162–166</t>
        </is>
      </c>
      <c r="BZ21" s="75" t="inlineStr">
        <is>
          <t>Cotas subordinadas júnior / PL: 1,0% até D+180 e 2,5% após D+180; condição temporal preservada.</t>
        </is>
      </c>
      <c r="CA21" s="75" t="inlineStr">
        <is>
          <t>mínimo estrutural comparável; preço unitário da cota; cedente; sacado/devedor; tipo de recebível</t>
        </is>
      </c>
      <c r="CB21" s="75" t="inlineStr">
        <is>
          <t>minimo_estrutural_ausente</t>
        </is>
      </c>
    </row>
    <row r="22" ht="31.5" customHeight="1">
      <c r="A22" s="74" t="n">
        <v>11</v>
      </c>
      <c r="B22" s="138" t="n">
        <v>60356171000180</v>
      </c>
      <c r="C22" s="74" t="inlineStr">
        <is>
          <t>60.356.171/0001-80</t>
        </is>
      </c>
      <c r="D22" s="74" t="inlineStr">
        <is>
          <t>CLOUDWALK PI FUNDO DE INVESTIMENTO EM DIREITOS CREDITÓRIOS SEGMENTO MEIOS DE PAGAMENTO</t>
        </is>
      </c>
      <c r="E22" s="74" t="inlineStr">
        <is>
          <t>Cloudwalk Bela Pi e Big Picture I–IV</t>
        </is>
      </c>
      <c r="F22" s="74" t="inlineStr">
        <is>
          <t>Flagships</t>
        </is>
      </c>
      <c r="G22" s="74" t="inlineStr">
        <is>
          <t>2026-08</t>
        </is>
      </c>
      <c r="H22" s="74" t="inlineStr">
        <is>
          <t>localizado</t>
        </is>
      </c>
      <c r="I22" s="139" t="n">
        <v>3256435200.06</v>
      </c>
      <c r="J22" s="139" t="n">
        <v>3256435173.430762</v>
      </c>
      <c r="K22" s="139" t="n">
        <v>526822706.9661671</v>
      </c>
      <c r="L22" s="140" t="n">
        <v>0.1617789621474612</v>
      </c>
      <c r="M22" s="74" t="inlineStr">
        <is>
          <t>Calculado com classes reportadas e PL oficial reconciliado</t>
        </is>
      </c>
      <c r="N22" s="140" t="n">
        <v>0.025</v>
      </c>
      <c r="O22" s="140" t="inlineStr">
        <is>
          <t>N/D</t>
        </is>
      </c>
      <c r="P22" s="140" t="inlineStr">
        <is>
          <t>N/D</t>
        </is>
      </c>
      <c r="Q22" s="140" t="inlineStr">
        <is>
          <t>N/D</t>
        </is>
      </c>
      <c r="R22" s="140" t="inlineStr">
        <is>
          <t>N/D</t>
        </is>
      </c>
      <c r="S22" s="140" t="inlineStr">
        <is>
          <t>N/D</t>
        </is>
      </c>
      <c r="T22" s="74" t="inlineStr">
        <is>
          <t>2,5%</t>
        </is>
      </c>
      <c r="U22" s="74" t="inlineStr">
        <is>
          <t>junior_pl</t>
        </is>
      </c>
      <c r="V22" s="74" t="inlineStr">
        <is>
          <t>direto no regulamento</t>
        </is>
      </c>
      <c r="W22" s="74" t="b">
        <v>0</v>
      </c>
      <c r="X22" s="74" t="inlineStr">
        <is>
          <t>N/D — equivalência entre mínimo júnior e subordinação total não comprovada</t>
        </is>
      </c>
      <c r="Y22" s="74" t="b">
        <v>1</v>
      </c>
      <c r="Z22" s="140" t="inlineStr">
        <is>
          <t>N/D</t>
        </is>
      </c>
      <c r="AA22" s="140" t="inlineStr">
        <is>
          <t>N/D</t>
        </is>
      </c>
      <c r="AB22" s="74" t="inlineStr">
        <is>
          <t>não medido</t>
        </is>
      </c>
      <c r="AC22" s="74" t="inlineStr">
        <is>
          <t>N/D</t>
        </is>
      </c>
      <c r="AD22" s="74" t="inlineStr">
        <is>
          <t>N/D</t>
        </is>
      </c>
      <c r="AE22" s="74" t="inlineStr">
        <is>
          <t>Adquirência — banco emissor</t>
        </is>
      </c>
      <c r="AF22" s="74" t="inlineStr">
        <is>
          <t>Adquirência</t>
        </is>
      </c>
      <c r="AG22" s="74" t="inlineStr">
        <is>
          <t>N/D</t>
        </is>
      </c>
      <c r="AH22" s="74" t="inlineStr">
        <is>
          <t>N/D</t>
        </is>
      </c>
      <c r="AI22" s="74" t="inlineStr">
        <is>
          <t>N/D</t>
        </is>
      </c>
      <c r="AJ22" s="74" t="b">
        <v>0</v>
      </c>
      <c r="AK22" s="74" t="inlineStr">
        <is>
          <t>N/D</t>
        </is>
      </c>
      <c r="AL22" s="74" t="inlineStr">
        <is>
          <t>N/D</t>
        </is>
      </c>
      <c r="AM22" s="74" t="inlineStr">
        <is>
          <t>N/D</t>
        </is>
      </c>
      <c r="AN22" s="74" t="inlineStr">
        <is>
          <t>N/D</t>
        </is>
      </c>
      <c r="AO22" s="74" t="inlineStr">
        <is>
          <t>N/D</t>
        </is>
      </c>
      <c r="AP22" s="74" t="inlineStr">
        <is>
          <t>N/D</t>
        </is>
      </c>
      <c r="AQ22" s="74" t="inlineStr">
        <is>
          <t>N/D</t>
        </is>
      </c>
      <c r="AR22" s="74" t="inlineStr">
        <is>
          <t>N/D</t>
        </is>
      </c>
      <c r="AS22" s="74" t="inlineStr">
        <is>
          <t>N/D</t>
        </is>
      </c>
      <c r="AT22" s="74" t="inlineStr">
        <is>
          <t>N/D</t>
        </is>
      </c>
      <c r="AU22" s="74" t="inlineStr">
        <is>
          <t>N/D</t>
        </is>
      </c>
      <c r="AV22" s="74" t="inlineStr">
        <is>
          <t>N/D</t>
        </is>
      </c>
      <c r="AW22" s="74" t="b">
        <v>0</v>
      </c>
      <c r="AX22" s="74" t="inlineStr">
        <is>
          <t>N/D</t>
        </is>
      </c>
      <c r="AY22" s="74" t="inlineStr">
        <is>
          <t>N/D</t>
        </is>
      </c>
      <c r="AZ22" s="140" t="inlineStr">
        <is>
          <t>N/D</t>
        </is>
      </c>
      <c r="BA22" s="74" t="inlineStr">
        <is>
          <t>N/D</t>
        </is>
      </c>
      <c r="BB22" s="141" t="inlineStr">
        <is>
          <t>N/D</t>
        </is>
      </c>
      <c r="BC22" s="139" t="inlineStr">
        <is>
          <t>N/D</t>
        </is>
      </c>
      <c r="BD22" s="74" t="inlineStr">
        <is>
          <t>R$ 1,00 / R$ 12,23</t>
        </is>
      </c>
      <c r="BE22" s="74" t="inlineStr">
        <is>
          <t>preço/VNU conforme fonte</t>
        </is>
      </c>
      <c r="BF22" s="74" t="inlineStr">
        <is>
          <t>Sênior 1ª / Sênior 2ª / Mezanino A1ª / Mezanino B1ª</t>
        </is>
      </c>
      <c r="BG22" s="74" t="inlineStr">
        <is>
          <t>N/D</t>
        </is>
      </c>
      <c r="BH22" s="74" t="inlineStr">
        <is>
          <t>884542</t>
        </is>
      </c>
      <c r="BI22" s="74" t="inlineStr">
        <is>
          <t>Fundos.NET ID 884542 | 24/04/2025 | Anúncio de Encerramento | p. 1–7, anúncio encerramento | data/raw/60356171000180/884542_review_20261007.pdf | https://fnet.bmfbovespa.com.br/fnet/publico/visualizarDocumento?id=884542</t>
        </is>
      </c>
      <c r="BJ22" s="74" t="inlineStr">
        <is>
          <t>localizado documentalmente</t>
        </is>
      </c>
      <c r="BK22" s="74" t="b">
        <v>1</v>
      </c>
      <c r="BL22" s="74" t="inlineStr">
        <is>
          <t>Cloudwalk</t>
        </is>
      </c>
      <c r="BM22" s="74" t="inlineStr">
        <is>
          <t>originador</t>
        </is>
      </c>
      <c r="BN22" s="74" t="inlineStr">
        <is>
          <t>Cloudwalk</t>
        </is>
      </c>
      <c r="BO22" s="74" t="inlineStr">
        <is>
          <t>N/D</t>
        </is>
      </c>
      <c r="BP22" s="74" t="inlineStr">
        <is>
          <t>N/D</t>
        </is>
      </c>
      <c r="BQ22" s="74" t="inlineStr">
        <is>
          <t>N/D</t>
        </is>
      </c>
      <c r="BR22" s="74" t="inlineStr">
        <is>
          <t>IMG_8698.jpg</t>
        </is>
      </c>
      <c r="BS22" s="74" t="inlineStr">
        <is>
          <t>manual_aplicado</t>
        </is>
      </c>
      <c r="BT22" s="74" t="inlineStr">
        <is>
          <t>O documento já identifica Cloudwalk IP como originador/cedente; a foto funciona como complemento manual.</t>
        </is>
      </c>
      <c r="BU22" s="74" t="inlineStr">
        <is>
          <t>993687</t>
        </is>
      </c>
      <c r="BV22" s="74" t="inlineStr">
        <is>
          <t>2025-09-04</t>
        </is>
      </c>
      <c r="BW22" s="74" t="inlineStr">
        <is>
          <t>p. 112–113; apêndice Mezanino B</t>
        </is>
      </c>
      <c r="BX22" s="74" t="inlineStr">
        <is>
          <t>revisto — mínimo júnior localizado</t>
        </is>
      </c>
      <c r="BY22" s="74" t="inlineStr">
        <is>
          <t>FundosNet/B3; documento 993687; referência 2025-09-04; p. 112–113; apêndice Mezanino B</t>
        </is>
      </c>
      <c r="BZ22" s="74" t="inlineStr">
        <is>
          <t>Cotas subordinadas júnior / PL, mínimo de 2,5%.</t>
        </is>
      </c>
      <c r="CA22" s="74" t="inlineStr">
        <is>
          <t>mínimo estrutural comparável; cedente; sacado/devedor; tipo de recebível</t>
        </is>
      </c>
      <c r="CB22" s="74" t="inlineStr">
        <is>
          <t>estrutura_incomparavel</t>
        </is>
      </c>
    </row>
    <row r="23" ht="31.5" customHeight="1">
      <c r="A23" s="75" t="n">
        <v>11</v>
      </c>
      <c r="B23" s="142" t="n">
        <v>54218673000141</v>
      </c>
      <c r="C23" s="75" t="inlineStr">
        <is>
          <t>54.218.673/0001-41</t>
        </is>
      </c>
      <c r="D23" s="75" t="inlineStr">
        <is>
          <t>CLOUDWALK BIG PICTURE I FUNDO DE INVESTIMENTO EM DIREITOS CREDITÓRIOS SEGMENTO MEIOS DE PAGAMENTO</t>
        </is>
      </c>
      <c r="E23" s="75" t="inlineStr">
        <is>
          <t>Cloudwalk Bela Pi e Big Picture I–IV</t>
        </is>
      </c>
      <c r="F23" s="75" t="inlineStr">
        <is>
          <t>Flagships</t>
        </is>
      </c>
      <c r="G23" s="75" t="inlineStr">
        <is>
          <t>2026-08</t>
        </is>
      </c>
      <c r="H23" s="75" t="inlineStr">
        <is>
          <t>localizado</t>
        </is>
      </c>
      <c r="I23" s="143" t="n">
        <v>905334422.53</v>
      </c>
      <c r="J23" s="143" t="n">
        <v>905334422.5290264</v>
      </c>
      <c r="K23" s="143" t="n">
        <v>23370444.02530143</v>
      </c>
      <c r="L23" s="144" t="n">
        <v>0.02581415601098169</v>
      </c>
      <c r="M23" s="75" t="inlineStr">
        <is>
          <t>Calculado com classes reportadas e PL oficial reconciliado</t>
        </is>
      </c>
      <c r="N23" s="144" t="n">
        <v>0.025</v>
      </c>
      <c r="O23" s="144" t="inlineStr">
        <is>
          <t>N/D</t>
        </is>
      </c>
      <c r="P23" s="144" t="inlineStr">
        <is>
          <t>N/D</t>
        </is>
      </c>
      <c r="Q23" s="144" t="inlineStr">
        <is>
          <t>N/D</t>
        </is>
      </c>
      <c r="R23" s="144" t="inlineStr">
        <is>
          <t>N/D</t>
        </is>
      </c>
      <c r="S23" s="144" t="n">
        <v>0.025</v>
      </c>
      <c r="T23" s="75" t="inlineStr">
        <is>
          <t>2,5%</t>
        </is>
      </c>
      <c r="U23" s="75" t="inlineStr">
        <is>
          <t>junior_pl</t>
        </is>
      </c>
      <c r="V23" s="75" t="inlineStr">
        <is>
          <t>direto no regulamento</t>
        </is>
      </c>
      <c r="W23" s="75" t="b">
        <v>1</v>
      </c>
      <c r="X23" s="75" t="inlineStr">
        <is>
          <t>Comparável — documento confirma ausência de mezanino</t>
        </is>
      </c>
      <c r="Y23" s="75" t="b">
        <v>0</v>
      </c>
      <c r="Z23" s="144" t="n">
        <v>0.0008141560109816842</v>
      </c>
      <c r="AA23" s="144" t="n">
        <v>0.0008350318061350608</v>
      </c>
      <c r="AB23" s="75" t="inlineStr">
        <is>
          <t>acima do mínimo</t>
        </is>
      </c>
      <c r="AC23" s="75" t="inlineStr">
        <is>
          <t>N/D</t>
        </is>
      </c>
      <c r="AD23" s="75" t="inlineStr">
        <is>
          <t>N/D</t>
        </is>
      </c>
      <c r="AE23" s="75" t="inlineStr">
        <is>
          <t>Adquirência — banco emissor</t>
        </is>
      </c>
      <c r="AF23" s="75" t="inlineStr">
        <is>
          <t>Adquirência</t>
        </is>
      </c>
      <c r="AG23" s="75" t="inlineStr">
        <is>
          <t>N/D</t>
        </is>
      </c>
      <c r="AH23" s="75" t="inlineStr">
        <is>
          <t>N/D</t>
        </is>
      </c>
      <c r="AI23" s="75" t="inlineStr">
        <is>
          <t>N/D</t>
        </is>
      </c>
      <c r="AJ23" s="75" t="b">
        <v>0</v>
      </c>
      <c r="AK23" s="75" t="inlineStr">
        <is>
          <t>N/D</t>
        </is>
      </c>
      <c r="AL23" s="75" t="inlineStr">
        <is>
          <t>N/D</t>
        </is>
      </c>
      <c r="AM23" s="75" t="inlineStr">
        <is>
          <t>N/D</t>
        </is>
      </c>
      <c r="AN23" s="75" t="inlineStr">
        <is>
          <t>N/D</t>
        </is>
      </c>
      <c r="AO23" s="75" t="inlineStr">
        <is>
          <t>N/D</t>
        </is>
      </c>
      <c r="AP23" s="75" t="inlineStr">
        <is>
          <t>N/D</t>
        </is>
      </c>
      <c r="AQ23" s="75" t="inlineStr">
        <is>
          <t>N/D</t>
        </is>
      </c>
      <c r="AR23" s="75" t="inlineStr">
        <is>
          <t>N/D</t>
        </is>
      </c>
      <c r="AS23" s="75" t="inlineStr">
        <is>
          <t>N/D</t>
        </is>
      </c>
      <c r="AT23" s="75" t="inlineStr">
        <is>
          <t>N/D</t>
        </is>
      </c>
      <c r="AU23" s="75" t="inlineStr">
        <is>
          <t>N/D</t>
        </is>
      </c>
      <c r="AV23" s="75" t="inlineStr">
        <is>
          <t>N/D</t>
        </is>
      </c>
      <c r="AW23" s="75" t="b">
        <v>0</v>
      </c>
      <c r="AX23" s="75" t="inlineStr">
        <is>
          <t>N/D</t>
        </is>
      </c>
      <c r="AY23" s="75" t="inlineStr">
        <is>
          <t>N/D</t>
        </is>
      </c>
      <c r="AZ23" s="144" t="inlineStr">
        <is>
          <t>N/D</t>
        </is>
      </c>
      <c r="BA23" s="75" t="inlineStr">
        <is>
          <t>N/D</t>
        </is>
      </c>
      <c r="BB23" s="145" t="inlineStr">
        <is>
          <t>N/D</t>
        </is>
      </c>
      <c r="BC23" s="143" t="n">
        <v>1000</v>
      </c>
      <c r="BD23" s="75" t="inlineStr">
        <is>
          <t>R$ 1.000,00</t>
        </is>
      </c>
      <c r="BE23" s="75" t="inlineStr">
        <is>
          <t>preço/VNU conforme fonte</t>
        </is>
      </c>
      <c r="BF23" s="75" t="inlineStr">
        <is>
          <t>Sênior 1ª</t>
        </is>
      </c>
      <c r="BG23" s="75" t="inlineStr">
        <is>
          <t>N/D</t>
        </is>
      </c>
      <c r="BH23" s="75" t="inlineStr">
        <is>
          <t>1268268</t>
        </is>
      </c>
      <c r="BI23" s="75" t="inlineStr">
        <is>
          <t>Fundos.NET ID 1268268 | 28/07/2026 | Regulamento | p. 118, apêndice1ªsérie | data/raw/54218673000141/1268268_review_20261007.pdf | https://fnet.bmfbovespa.com.br/fnet/publico/visualizarDocumento?id=1268268</t>
        </is>
      </c>
      <c r="BJ23" s="75" t="inlineStr">
        <is>
          <t>localizado documentalmente</t>
        </is>
      </c>
      <c r="BK23" s="75" t="b">
        <v>1</v>
      </c>
      <c r="BL23" s="75" t="inlineStr">
        <is>
          <t>N/D</t>
        </is>
      </c>
      <c r="BM23" s="75" t="inlineStr">
        <is>
          <t>N/D</t>
        </is>
      </c>
      <c r="BN23" s="75" t="inlineStr">
        <is>
          <t>N/D</t>
        </is>
      </c>
      <c r="BO23" s="75" t="inlineStr">
        <is>
          <t>N/D</t>
        </is>
      </c>
      <c r="BP23" s="75" t="inlineStr">
        <is>
          <t>N/D</t>
        </is>
      </c>
      <c r="BQ23" s="75" t="inlineStr">
        <is>
          <t>N/D</t>
        </is>
      </c>
      <c r="BR23" s="75" t="inlineStr">
        <is>
          <t>N/D</t>
        </is>
      </c>
      <c r="BS23" s="75" t="inlineStr">
        <is>
          <t>sem_overlay</t>
        </is>
      </c>
      <c r="BT23" s="75" t="inlineStr">
        <is>
          <t>N/D</t>
        </is>
      </c>
      <c r="BU23" s="75" t="inlineStr">
        <is>
          <t>1072697</t>
        </is>
      </c>
      <c r="BV23" s="75" t="inlineStr">
        <is>
          <t>2025-12-23</t>
        </is>
      </c>
      <c r="BW23" s="75" t="inlineStr">
        <is>
          <t>p. 90; Suplemento 1, definição “Índice de Subordinação”</t>
        </is>
      </c>
      <c r="BX23" s="75" t="inlineStr">
        <is>
          <t>revisto — mínimo júnior localizado</t>
        </is>
      </c>
      <c r="BY23" s="75" t="inlineStr">
        <is>
          <t>FundosNet/B3; documento 1072697; referência 2025-12-23; p. 90; Suplemento 1, definição “Índice de Subordinação”</t>
        </is>
      </c>
      <c r="BZ23" s="75" t="inlineStr">
        <is>
          <t>Cotas subordinadas / PL, razão mínima de 2,5%; a estrutura não tem mezanino no regulamento lido.</t>
        </is>
      </c>
      <c r="CA23" s="75" t="inlineStr">
        <is>
          <t>originador; cedente; sacado/devedor; tipo de recebível</t>
        </is>
      </c>
      <c r="CB23" s="75" t="inlineStr">
        <is>
          <t>completo_para_folga</t>
        </is>
      </c>
    </row>
    <row r="24" ht="31.5" customHeight="1">
      <c r="A24" s="74" t="n">
        <v>11</v>
      </c>
      <c r="B24" s="138" t="n">
        <v>54248022000102</v>
      </c>
      <c r="C24" s="74" t="inlineStr">
        <is>
          <t>54.248.022/0001-02</t>
        </is>
      </c>
      <c r="D24" s="74" t="inlineStr">
        <is>
          <t>CLOUDWALK BIG PICTURE IV FUNDO DE INVESTIMENTO EM DIREITOS CREDITÓRIOS SEGMENTO MEIOS DE PAGAMENTO</t>
        </is>
      </c>
      <c r="E24" s="74" t="inlineStr">
        <is>
          <t>Cloudwalk Bela Pi e Big Picture I–IV</t>
        </is>
      </c>
      <c r="F24" s="74" t="inlineStr">
        <is>
          <t>Flagships</t>
        </is>
      </c>
      <c r="G24" s="74" t="inlineStr">
        <is>
          <t>2026-08</t>
        </is>
      </c>
      <c r="H24" s="74" t="inlineStr">
        <is>
          <t>localizado</t>
        </is>
      </c>
      <c r="I24" s="139" t="n">
        <v>312522461.03</v>
      </c>
      <c r="J24" s="139" t="n">
        <v>312522461.0276814</v>
      </c>
      <c r="K24" s="139" t="n">
        <v>71149610.9828814</v>
      </c>
      <c r="L24" s="140" t="n">
        <v>0.2276623918434187</v>
      </c>
      <c r="M24" s="74" t="inlineStr">
        <is>
          <t>Calculado com classes reportadas e PL oficial reconciliado</t>
        </is>
      </c>
      <c r="N24" s="140" t="n">
        <v>0.2</v>
      </c>
      <c r="O24" s="140" t="inlineStr">
        <is>
          <t>N/D</t>
        </is>
      </c>
      <c r="P24" s="140" t="inlineStr">
        <is>
          <t>N/D</t>
        </is>
      </c>
      <c r="Q24" s="140" t="inlineStr">
        <is>
          <t>N/D</t>
        </is>
      </c>
      <c r="R24" s="140" t="inlineStr">
        <is>
          <t>N/D</t>
        </is>
      </c>
      <c r="S24" s="140" t="n">
        <v>0.2</v>
      </c>
      <c r="T24" s="74" t="inlineStr">
        <is>
          <t>20,0%</t>
        </is>
      </c>
      <c r="U24" s="74" t="inlineStr">
        <is>
          <t>junior_pl</t>
        </is>
      </c>
      <c r="V24" s="74" t="inlineStr">
        <is>
          <t>direto no regulamento</t>
        </is>
      </c>
      <c r="W24" s="74" t="b">
        <v>1</v>
      </c>
      <c r="X24" s="74" t="inlineStr">
        <is>
          <t>Comparável — documento confirma ausência de mezanino</t>
        </is>
      </c>
      <c r="Y24" s="74" t="b">
        <v>0</v>
      </c>
      <c r="Z24" s="140" t="n">
        <v>0.02766239184341868</v>
      </c>
      <c r="AA24" s="140" t="n">
        <v>0.03457798980427335</v>
      </c>
      <c r="AB24" s="74" t="inlineStr">
        <is>
          <t>acima do mínimo</t>
        </is>
      </c>
      <c r="AC24" s="74" t="inlineStr">
        <is>
          <t>N/D</t>
        </is>
      </c>
      <c r="AD24" s="74" t="inlineStr">
        <is>
          <t>N/D</t>
        </is>
      </c>
      <c r="AE24" s="74" t="inlineStr">
        <is>
          <t>Adquirência — banco emissor</t>
        </is>
      </c>
      <c r="AF24" s="74" t="inlineStr">
        <is>
          <t>Adquirência</t>
        </is>
      </c>
      <c r="AG24" s="74" t="inlineStr">
        <is>
          <t>N/D</t>
        </is>
      </c>
      <c r="AH24" s="74" t="inlineStr">
        <is>
          <t>N/D</t>
        </is>
      </c>
      <c r="AI24" s="74" t="inlineStr">
        <is>
          <t>N/D</t>
        </is>
      </c>
      <c r="AJ24" s="74" t="b">
        <v>0</v>
      </c>
      <c r="AK24" s="74" t="inlineStr">
        <is>
          <t>N/D</t>
        </is>
      </c>
      <c r="AL24" s="74" t="inlineStr">
        <is>
          <t>N/D</t>
        </is>
      </c>
      <c r="AM24" s="74" t="inlineStr">
        <is>
          <t>N/D</t>
        </is>
      </c>
      <c r="AN24" s="74" t="inlineStr">
        <is>
          <t>N/D</t>
        </is>
      </c>
      <c r="AO24" s="74" t="inlineStr">
        <is>
          <t>N/D</t>
        </is>
      </c>
      <c r="AP24" s="74" t="inlineStr">
        <is>
          <t>N/D</t>
        </is>
      </c>
      <c r="AQ24" s="74" t="inlineStr">
        <is>
          <t>N/D</t>
        </is>
      </c>
      <c r="AR24" s="74" t="inlineStr">
        <is>
          <t>N/D</t>
        </is>
      </c>
      <c r="AS24" s="74" t="inlineStr">
        <is>
          <t>N/D</t>
        </is>
      </c>
      <c r="AT24" s="74" t="inlineStr">
        <is>
          <t>N/D</t>
        </is>
      </c>
      <c r="AU24" s="74" t="inlineStr">
        <is>
          <t>N/D</t>
        </is>
      </c>
      <c r="AV24" s="74" t="inlineStr">
        <is>
          <t>N/D</t>
        </is>
      </c>
      <c r="AW24" s="74" t="b">
        <v>0</v>
      </c>
      <c r="AX24" s="74" t="inlineStr">
        <is>
          <t>N/D</t>
        </is>
      </c>
      <c r="AY24" s="74" t="inlineStr">
        <is>
          <t>N/D</t>
        </is>
      </c>
      <c r="AZ24" s="140" t="inlineStr">
        <is>
          <t>N/D</t>
        </is>
      </c>
      <c r="BA24" s="74" t="inlineStr">
        <is>
          <t>N/D</t>
        </is>
      </c>
      <c r="BB24" s="141" t="inlineStr">
        <is>
          <t>N/D</t>
        </is>
      </c>
      <c r="BC24" s="139" t="n">
        <v>1000</v>
      </c>
      <c r="BD24" s="74" t="inlineStr">
        <is>
          <t>R$ 1.000,00</t>
        </is>
      </c>
      <c r="BE24" s="74" t="inlineStr">
        <is>
          <t>preço/VNU conforme fonte</t>
        </is>
      </c>
      <c r="BF24" s="74" t="inlineStr">
        <is>
          <t>Sênior 1ª</t>
        </is>
      </c>
      <c r="BG24" s="74" t="inlineStr">
        <is>
          <t>N/D</t>
        </is>
      </c>
      <c r="BH24" s="74" t="inlineStr">
        <is>
          <t>1285773</t>
        </is>
      </c>
      <c r="BI24" s="74" t="inlineStr">
        <is>
          <t>Fundos.NET ID 1285773 | 11/08/2026 | Regulamento | p. 123, apêndice1ªsérie | data/raw/54248022000102/1285773_review_20261007.pdf | https://fnet.bmfbovespa.com.br/fnet/publico/visualizarDocumento?id=1285773</t>
        </is>
      </c>
      <c r="BJ24" s="74" t="inlineStr">
        <is>
          <t>localizado documentalmente</t>
        </is>
      </c>
      <c r="BK24" s="74" t="b">
        <v>1</v>
      </c>
      <c r="BL24" s="74" t="inlineStr">
        <is>
          <t>N/D</t>
        </is>
      </c>
      <c r="BM24" s="74" t="inlineStr">
        <is>
          <t>N/D</t>
        </is>
      </c>
      <c r="BN24" s="74" t="inlineStr">
        <is>
          <t>N/D</t>
        </is>
      </c>
      <c r="BO24" s="74" t="inlineStr">
        <is>
          <t>N/D</t>
        </is>
      </c>
      <c r="BP24" s="74" t="inlineStr">
        <is>
          <t>N/D</t>
        </is>
      </c>
      <c r="BQ24" s="74" t="inlineStr">
        <is>
          <t>N/D</t>
        </is>
      </c>
      <c r="BR24" s="74" t="inlineStr">
        <is>
          <t>N/D</t>
        </is>
      </c>
      <c r="BS24" s="74" t="inlineStr">
        <is>
          <t>sem_overlay</t>
        </is>
      </c>
      <c r="BT24" s="74" t="inlineStr">
        <is>
          <t>N/D</t>
        </is>
      </c>
      <c r="BU24" s="74" t="inlineStr">
        <is>
          <t>1072746</t>
        </is>
      </c>
      <c r="BV24" s="74" t="inlineStr">
        <is>
          <t>2025-12-22</t>
        </is>
      </c>
      <c r="BW24" s="74" t="inlineStr">
        <is>
          <t>p. 91; Suplemento 1, definição “Índice de Subordinação”</t>
        </is>
      </c>
      <c r="BX24" s="74" t="inlineStr">
        <is>
          <t>revisto — mínimo júnior localizado</t>
        </is>
      </c>
      <c r="BY24" s="74" t="inlineStr">
        <is>
          <t>FundosNet/B3; documento 1072746; referência 2025-12-22; p. 91; Suplemento 1, definição “Índice de Subordinação”</t>
        </is>
      </c>
      <c r="BZ24" s="74" t="inlineStr">
        <is>
          <t>Cotas subordinadas / PL, razão mínima de 20,0%; a estrutura não tem mezanino no regulamento lido.</t>
        </is>
      </c>
      <c r="CA24" s="74" t="inlineStr">
        <is>
          <t>originador; cedente; sacado/devedor; tipo de recebível</t>
        </is>
      </c>
      <c r="CB24" s="74" t="inlineStr">
        <is>
          <t>completo_para_folga</t>
        </is>
      </c>
    </row>
    <row r="25" ht="31.5" customHeight="1">
      <c r="A25" s="75" t="n">
        <v>11</v>
      </c>
      <c r="B25" s="142" t="n">
        <v>54218941000125</v>
      </c>
      <c r="C25" s="75" t="inlineStr">
        <is>
          <t>54.218.941/0001-25</t>
        </is>
      </c>
      <c r="D25" s="75" t="inlineStr">
        <is>
          <t>CLOUDWALK BIG PICTURE II FUNDO DE INVESTIMENTO EM DIREITOS CREDITÓRIOS SEGMENTO MEIOS DE PAGAMENTO</t>
        </is>
      </c>
      <c r="E25" s="75" t="inlineStr">
        <is>
          <t>Cloudwalk Bela Pi e Big Picture I–IV</t>
        </is>
      </c>
      <c r="F25" s="75" t="inlineStr">
        <is>
          <t>Flagships</t>
        </is>
      </c>
      <c r="G25" s="75" t="inlineStr">
        <is>
          <t>2026-08</t>
        </is>
      </c>
      <c r="H25" s="75" t="inlineStr">
        <is>
          <t>localizado</t>
        </is>
      </c>
      <c r="I25" s="143" t="n">
        <v>302322825.82</v>
      </c>
      <c r="J25" s="143" t="n">
        <v>302322825.8174779</v>
      </c>
      <c r="K25" s="143" t="n">
        <v>9811542.29982792</v>
      </c>
      <c r="L25" s="144" t="n">
        <v>0.0324538587955301</v>
      </c>
      <c r="M25" s="75" t="inlineStr">
        <is>
          <t>Calculado com classes reportadas e PL oficial reconciliado</t>
        </is>
      </c>
      <c r="N25" s="144" t="n">
        <v>0.03</v>
      </c>
      <c r="O25" s="144" t="inlineStr">
        <is>
          <t>N/D</t>
        </is>
      </c>
      <c r="P25" s="144" t="inlineStr">
        <is>
          <t>N/D</t>
        </is>
      </c>
      <c r="Q25" s="144" t="inlineStr">
        <is>
          <t>N/D</t>
        </is>
      </c>
      <c r="R25" s="144" t="inlineStr">
        <is>
          <t>N/D</t>
        </is>
      </c>
      <c r="S25" s="144" t="n">
        <v>0.03</v>
      </c>
      <c r="T25" s="75" t="inlineStr">
        <is>
          <t>3,0%</t>
        </is>
      </c>
      <c r="U25" s="75" t="inlineStr">
        <is>
          <t>junior_pl</t>
        </is>
      </c>
      <c r="V25" s="75" t="inlineStr">
        <is>
          <t>direto no regulamento</t>
        </is>
      </c>
      <c r="W25" s="75" t="b">
        <v>1</v>
      </c>
      <c r="X25" s="75" t="inlineStr">
        <is>
          <t>Comparável — documento confirma ausência de mezanino</t>
        </is>
      </c>
      <c r="Y25" s="75" t="b">
        <v>0</v>
      </c>
      <c r="Z25" s="144" t="n">
        <v>0.002453858795530096</v>
      </c>
      <c r="AA25" s="144" t="n">
        <v>0.002529751335598037</v>
      </c>
      <c r="AB25" s="75" t="inlineStr">
        <is>
          <t>acima do mínimo</t>
        </is>
      </c>
      <c r="AC25" s="75" t="inlineStr">
        <is>
          <t>N/D</t>
        </is>
      </c>
      <c r="AD25" s="75" t="inlineStr">
        <is>
          <t>N/D</t>
        </is>
      </c>
      <c r="AE25" s="75" t="inlineStr">
        <is>
          <t>Adquirência — banco emissor</t>
        </is>
      </c>
      <c r="AF25" s="75" t="inlineStr">
        <is>
          <t>Adquirência</t>
        </is>
      </c>
      <c r="AG25" s="75" t="inlineStr">
        <is>
          <t>N/D</t>
        </is>
      </c>
      <c r="AH25" s="75" t="inlineStr">
        <is>
          <t>N/D</t>
        </is>
      </c>
      <c r="AI25" s="75" t="inlineStr">
        <is>
          <t>N/D</t>
        </is>
      </c>
      <c r="AJ25" s="75" t="b">
        <v>0</v>
      </c>
      <c r="AK25" s="75" t="inlineStr">
        <is>
          <t>N/D</t>
        </is>
      </c>
      <c r="AL25" s="75" t="inlineStr">
        <is>
          <t>N/D</t>
        </is>
      </c>
      <c r="AM25" s="75" t="inlineStr">
        <is>
          <t>N/D</t>
        </is>
      </c>
      <c r="AN25" s="75" t="inlineStr">
        <is>
          <t>N/D</t>
        </is>
      </c>
      <c r="AO25" s="75" t="inlineStr">
        <is>
          <t>N/D</t>
        </is>
      </c>
      <c r="AP25" s="75" t="inlineStr">
        <is>
          <t>N/D</t>
        </is>
      </c>
      <c r="AQ25" s="75" t="inlineStr">
        <is>
          <t>N/D</t>
        </is>
      </c>
      <c r="AR25" s="75" t="inlineStr">
        <is>
          <t>N/D</t>
        </is>
      </c>
      <c r="AS25" s="75" t="inlineStr">
        <is>
          <t>N/D</t>
        </is>
      </c>
      <c r="AT25" s="75" t="inlineStr">
        <is>
          <t>N/D</t>
        </is>
      </c>
      <c r="AU25" s="75" t="inlineStr">
        <is>
          <t>N/D</t>
        </is>
      </c>
      <c r="AV25" s="75" t="inlineStr">
        <is>
          <t>N/D</t>
        </is>
      </c>
      <c r="AW25" s="75" t="b">
        <v>0</v>
      </c>
      <c r="AX25" s="75" t="inlineStr">
        <is>
          <t>N/D</t>
        </is>
      </c>
      <c r="AY25" s="75" t="inlineStr">
        <is>
          <t>N/D</t>
        </is>
      </c>
      <c r="AZ25" s="144" t="inlineStr">
        <is>
          <t>N/D</t>
        </is>
      </c>
      <c r="BA25" s="75" t="inlineStr">
        <is>
          <t>N/D</t>
        </is>
      </c>
      <c r="BB25" s="145" t="inlineStr">
        <is>
          <t>N/D</t>
        </is>
      </c>
      <c r="BC25" s="143" t="n">
        <v>1000</v>
      </c>
      <c r="BD25" s="75" t="inlineStr">
        <is>
          <t>R$ 1.000,00</t>
        </is>
      </c>
      <c r="BE25" s="75" t="inlineStr">
        <is>
          <t>preço/VNU conforme fonte</t>
        </is>
      </c>
      <c r="BF25" s="75" t="inlineStr">
        <is>
          <t>Sênior 1ª</t>
        </is>
      </c>
      <c r="BG25" s="75" t="inlineStr">
        <is>
          <t>N/D</t>
        </is>
      </c>
      <c r="BH25" s="75" t="inlineStr">
        <is>
          <t>643432</t>
        </is>
      </c>
      <c r="BI25" s="75" t="inlineStr">
        <is>
          <t>Fundos.NET ID 643432 | 22/04/2024 | Anúncio de Encerramento | p. 1–3, encerramentodeoferta | data/raw/54218941000125/643432_review_20261007.pdf | https://fnet.bmfbovespa.com.br/fnet/publico/visualizarDocumento?id=643432</t>
        </is>
      </c>
      <c r="BJ25" s="75" t="inlineStr">
        <is>
          <t>localizado documentalmente</t>
        </is>
      </c>
      <c r="BK25" s="75" t="b">
        <v>1</v>
      </c>
      <c r="BL25" s="75" t="inlineStr">
        <is>
          <t>N/D</t>
        </is>
      </c>
      <c r="BM25" s="75" t="inlineStr">
        <is>
          <t>N/D</t>
        </is>
      </c>
      <c r="BN25" s="75" t="inlineStr">
        <is>
          <t>N/D</t>
        </is>
      </c>
      <c r="BO25" s="75" t="inlineStr">
        <is>
          <t>N/D</t>
        </is>
      </c>
      <c r="BP25" s="75" t="inlineStr">
        <is>
          <t>N/D</t>
        </is>
      </c>
      <c r="BQ25" s="75" t="inlineStr">
        <is>
          <t>N/D</t>
        </is>
      </c>
      <c r="BR25" s="75" t="inlineStr">
        <is>
          <t>N/D</t>
        </is>
      </c>
      <c r="BS25" s="75" t="inlineStr">
        <is>
          <t>sem_overlay</t>
        </is>
      </c>
      <c r="BT25" s="75" t="inlineStr">
        <is>
          <t>N/D</t>
        </is>
      </c>
      <c r="BU25" s="75" t="inlineStr">
        <is>
          <t>1072783</t>
        </is>
      </c>
      <c r="BV25" s="75" t="inlineStr">
        <is>
          <t>2025-12-22</t>
        </is>
      </c>
      <c r="BW25" s="75" t="inlineStr">
        <is>
          <t>p. 90; Suplemento 1, definição “Índice de Subordinação”</t>
        </is>
      </c>
      <c r="BX25" s="75" t="inlineStr">
        <is>
          <t>revisto — mínimo júnior localizado</t>
        </is>
      </c>
      <c r="BY25" s="75" t="inlineStr">
        <is>
          <t>FundosNet/B3; documento 1072783; referência 2025-12-22; p. 90; Suplemento 1, definição “Índice de Subordinação”</t>
        </is>
      </c>
      <c r="BZ25" s="75" t="inlineStr">
        <is>
          <t>Cotas subordinadas / PL, razão mínima de 3,0%; a estrutura não tem mezanino no regulamento lido.</t>
        </is>
      </c>
      <c r="CA25" s="75" t="inlineStr">
        <is>
          <t>originador; cedente; sacado/devedor; tipo de recebível</t>
        </is>
      </c>
      <c r="CB25" s="75" t="inlineStr">
        <is>
          <t>completo_para_folga</t>
        </is>
      </c>
    </row>
    <row r="26" ht="31.5" customHeight="1">
      <c r="A26" s="74" t="n">
        <v>11</v>
      </c>
      <c r="B26" s="138" t="n">
        <v>54219179000100</v>
      </c>
      <c r="C26" s="74" t="inlineStr">
        <is>
          <t>54.219.179/0001-00</t>
        </is>
      </c>
      <c r="D26" s="74" t="inlineStr">
        <is>
          <t>CLOUDWALK BIG PICTURE III FUNDO DE INVESTIMENTO EM DIREITOS CREDITÓRIOS SEGMENTO MEIOS DE PAGAMENTO</t>
        </is>
      </c>
      <c r="E26" s="74" t="inlineStr">
        <is>
          <t>Cloudwalk Bela Pi e Big Picture I–IV</t>
        </is>
      </c>
      <c r="F26" s="74" t="inlineStr">
        <is>
          <t>Flagships</t>
        </is>
      </c>
      <c r="G26" s="74" t="inlineStr">
        <is>
          <t>2026-08</t>
        </is>
      </c>
      <c r="H26" s="74" t="inlineStr">
        <is>
          <t>localizado</t>
        </is>
      </c>
      <c r="I26" s="139" t="n">
        <v>152123245.99</v>
      </c>
      <c r="J26" s="139" t="n">
        <v>152123245.9894446</v>
      </c>
      <c r="K26" s="139" t="n">
        <v>8863062.220494552</v>
      </c>
      <c r="L26" s="140" t="n">
        <v>0.05826237905202979</v>
      </c>
      <c r="M26" s="74" t="inlineStr">
        <is>
          <t>Calculado com classes reportadas e PL oficial reconciliado</t>
        </is>
      </c>
      <c r="N26" s="140" t="inlineStr">
        <is>
          <t>N/D</t>
        </is>
      </c>
      <c r="O26" s="140" t="inlineStr">
        <is>
          <t>N/D</t>
        </is>
      </c>
      <c r="P26" s="140" t="inlineStr">
        <is>
          <t>N/D</t>
        </is>
      </c>
      <c r="Q26" s="140" t="inlineStr">
        <is>
          <t>N/D</t>
        </is>
      </c>
      <c r="R26" s="140" t="inlineStr">
        <is>
          <t>N/D</t>
        </is>
      </c>
      <c r="S26" s="140" t="inlineStr">
        <is>
          <t>N/D</t>
        </is>
      </c>
      <c r="T26" s="74" t="inlineStr">
        <is>
          <t>N/D</t>
        </is>
      </c>
      <c r="U26" s="74" t="inlineStr">
        <is>
          <t>sem_indice</t>
        </is>
      </c>
      <c r="V26" s="74" t="inlineStr">
        <is>
          <t>N/D</t>
        </is>
      </c>
      <c r="W26" s="74" t="b">
        <v>0</v>
      </c>
      <c r="X26" s="74" t="inlineStr">
        <is>
          <t>N/D — mínimo estrutural ou subordinação atual ausente</t>
        </is>
      </c>
      <c r="Y26" s="74" t="b">
        <v>0</v>
      </c>
      <c r="Z26" s="140" t="inlineStr">
        <is>
          <t>N/D</t>
        </is>
      </c>
      <c r="AA26" s="140" t="inlineStr">
        <is>
          <t>N/D</t>
        </is>
      </c>
      <c r="AB26" s="74" t="inlineStr">
        <is>
          <t>não medido</t>
        </is>
      </c>
      <c r="AC26" s="74" t="inlineStr">
        <is>
          <t>N/D</t>
        </is>
      </c>
      <c r="AD26" s="74" t="inlineStr">
        <is>
          <t>N/D</t>
        </is>
      </c>
      <c r="AE26" s="74" t="inlineStr">
        <is>
          <t>Adquirência — banco emissor</t>
        </is>
      </c>
      <c r="AF26" s="74" t="inlineStr">
        <is>
          <t>Adquirência</t>
        </is>
      </c>
      <c r="AG26" s="74" t="inlineStr">
        <is>
          <t>N/D</t>
        </is>
      </c>
      <c r="AH26" s="74" t="inlineStr">
        <is>
          <t>N/D</t>
        </is>
      </c>
      <c r="AI26" s="74" t="inlineStr">
        <is>
          <t>N/D</t>
        </is>
      </c>
      <c r="AJ26" s="74" t="b">
        <v>0</v>
      </c>
      <c r="AK26" s="74" t="inlineStr">
        <is>
          <t>N/D</t>
        </is>
      </c>
      <c r="AL26" s="74" t="inlineStr">
        <is>
          <t>N/D</t>
        </is>
      </c>
      <c r="AM26" s="74" t="inlineStr">
        <is>
          <t>N/D</t>
        </is>
      </c>
      <c r="AN26" s="74" t="inlineStr">
        <is>
          <t>N/D</t>
        </is>
      </c>
      <c r="AO26" s="74" t="inlineStr">
        <is>
          <t>N/D</t>
        </is>
      </c>
      <c r="AP26" s="74" t="inlineStr">
        <is>
          <t>N/D</t>
        </is>
      </c>
      <c r="AQ26" s="74" t="inlineStr">
        <is>
          <t>N/D</t>
        </is>
      </c>
      <c r="AR26" s="74" t="inlineStr">
        <is>
          <t>N/D</t>
        </is>
      </c>
      <c r="AS26" s="74" t="inlineStr">
        <is>
          <t>N/D</t>
        </is>
      </c>
      <c r="AT26" s="74" t="inlineStr">
        <is>
          <t>N/D</t>
        </is>
      </c>
      <c r="AU26" s="74" t="inlineStr">
        <is>
          <t>N/D</t>
        </is>
      </c>
      <c r="AV26" s="74" t="inlineStr">
        <is>
          <t>N/D</t>
        </is>
      </c>
      <c r="AW26" s="74" t="b">
        <v>0</v>
      </c>
      <c r="AX26" s="74" t="inlineStr">
        <is>
          <t>N/D</t>
        </is>
      </c>
      <c r="AY26" s="74" t="inlineStr">
        <is>
          <t>N/D</t>
        </is>
      </c>
      <c r="AZ26" s="140" t="inlineStr">
        <is>
          <t>N/D</t>
        </is>
      </c>
      <c r="BA26" s="74" t="inlineStr">
        <is>
          <t>N/D</t>
        </is>
      </c>
      <c r="BB26" s="141" t="inlineStr">
        <is>
          <t>N/D</t>
        </is>
      </c>
      <c r="BC26" s="139" t="n">
        <v>1000</v>
      </c>
      <c r="BD26" s="74" t="inlineStr">
        <is>
          <t>R$ 1.000,00</t>
        </is>
      </c>
      <c r="BE26" s="74" t="inlineStr">
        <is>
          <t>preço/VNU conforme fonte</t>
        </is>
      </c>
      <c r="BF26" s="74" t="inlineStr">
        <is>
          <t>Sênior 1ª</t>
        </is>
      </c>
      <c r="BG26" s="74" t="inlineStr">
        <is>
          <t>N/D</t>
        </is>
      </c>
      <c r="BH26" s="74" t="inlineStr">
        <is>
          <t>643431</t>
        </is>
      </c>
      <c r="BI26" s="74" t="inlineStr">
        <is>
          <t>Fundos.NET ID 643431 | 22/04/2024 | Anúncio de Encerramento | p. 1–3, encerramentodeoferta | data/raw/54219179000100/643431_review_20261007.pdf | https://fnet.bmfbovespa.com.br/fnet/publico/visualizarDocumento?id=643431</t>
        </is>
      </c>
      <c r="BJ26" s="74" t="inlineStr">
        <is>
          <t>localizado documentalmente</t>
        </is>
      </c>
      <c r="BK26" s="74" t="b">
        <v>1</v>
      </c>
      <c r="BL26" s="74" t="inlineStr">
        <is>
          <t>N/D</t>
        </is>
      </c>
      <c r="BM26" s="74" t="inlineStr">
        <is>
          <t>N/D</t>
        </is>
      </c>
      <c r="BN26" s="74" t="inlineStr">
        <is>
          <t>N/D</t>
        </is>
      </c>
      <c r="BO26" s="74" t="inlineStr">
        <is>
          <t>N/D</t>
        </is>
      </c>
      <c r="BP26" s="74" t="inlineStr">
        <is>
          <t>N/D</t>
        </is>
      </c>
      <c r="BQ26" s="74" t="inlineStr">
        <is>
          <t>N/D</t>
        </is>
      </c>
      <c r="BR26" s="74" t="inlineStr">
        <is>
          <t>N/D</t>
        </is>
      </c>
      <c r="BS26" s="74" t="inlineStr">
        <is>
          <t>sem_overlay</t>
        </is>
      </c>
      <c r="BT26" s="74" t="inlineStr">
        <is>
          <t>N/D</t>
        </is>
      </c>
      <c r="BU26" s="74" t="inlineStr">
        <is>
          <t>1072799</t>
        </is>
      </c>
      <c r="BV26" s="74" t="inlineStr">
        <is>
          <t>2025-12-22</t>
        </is>
      </c>
      <c r="BW26" s="74" t="inlineStr">
        <is>
          <t>p. 90; Suplemento 1, definição “Índice de Subordinação”</t>
        </is>
      </c>
      <c r="BX26" s="74" t="inlineStr">
        <is>
          <t>revisto — conflito interno do documento</t>
        </is>
      </c>
      <c r="BY26" s="74" t="inlineStr">
        <is>
          <t>FundosNet/B3; documento 1072799; referência 2025-12-22; p. 90; Suplemento 1, definição “Índice de Subordinação”</t>
        </is>
      </c>
      <c r="BZ26" s="74" t="inlineStr">
        <is>
          <t>N/D</t>
        </is>
      </c>
      <c r="CA26" s="74" t="inlineStr">
        <is>
          <t>mínimo estrutural comparável; originador; cedente; sacado/devedor; tipo de recebível</t>
        </is>
      </c>
      <c r="CB26" s="74" t="inlineStr">
        <is>
          <t>minimo_estrutural_ausente</t>
        </is>
      </c>
    </row>
    <row r="27" ht="31.5" customHeight="1">
      <c r="A27" s="75" t="n">
        <v>12</v>
      </c>
      <c r="B27" s="142" t="n">
        <v>26286939000158</v>
      </c>
      <c r="C27" s="75" t="inlineStr">
        <is>
          <t>26.286.939/0001-58</t>
        </is>
      </c>
      <c r="D27" s="75" t="inlineStr">
        <is>
          <t>CIELO FUNDO DE INVESTIMENTO EM DIREITOS CREDITÓRIOS</t>
        </is>
      </c>
      <c r="E27" s="75" t="inlineStr">
        <is>
          <t>Cielo</t>
        </is>
      </c>
      <c r="F27" s="75" t="inlineStr">
        <is>
          <t>Flagships</t>
        </is>
      </c>
      <c r="G27" s="75" t="inlineStr">
        <is>
          <t>2026-08</t>
        </is>
      </c>
      <c r="H27" s="75" t="inlineStr">
        <is>
          <t>localizado</t>
        </is>
      </c>
      <c r="I27" s="143" t="n">
        <v>6705565454.97</v>
      </c>
      <c r="J27" s="143" t="n">
        <v>6705565153.97862</v>
      </c>
      <c r="K27" s="143" t="n">
        <v>5653495121.97862</v>
      </c>
      <c r="L27" s="144" t="n">
        <v>0.8431049044176264</v>
      </c>
      <c r="M27" s="75" t="inlineStr">
        <is>
          <t>Calculado com classes reportadas e PL oficial reconciliado</t>
        </is>
      </c>
      <c r="N27" s="144" t="inlineStr">
        <is>
          <t>N/D</t>
        </is>
      </c>
      <c r="O27" s="144" t="inlineStr">
        <is>
          <t>N/D</t>
        </is>
      </c>
      <c r="P27" s="144" t="inlineStr">
        <is>
          <t>N/D</t>
        </is>
      </c>
      <c r="Q27" s="144" t="inlineStr">
        <is>
          <t>N/D</t>
        </is>
      </c>
      <c r="R27" s="144" t="inlineStr">
        <is>
          <t>N/D</t>
        </is>
      </c>
      <c r="S27" s="144" t="inlineStr">
        <is>
          <t>N/D</t>
        </is>
      </c>
      <c r="T27" s="75" t="inlineStr">
        <is>
          <t>N/D</t>
        </is>
      </c>
      <c r="U27" s="75" t="inlineStr">
        <is>
          <t>sem_indice</t>
        </is>
      </c>
      <c r="V27" s="75" t="inlineStr">
        <is>
          <t>N/D</t>
        </is>
      </c>
      <c r="W27" s="75" t="b">
        <v>0</v>
      </c>
      <c r="X27" s="75" t="inlineStr">
        <is>
          <t>N/D — mínimo estrutural ou subordinação atual ausente</t>
        </is>
      </c>
      <c r="Y27" s="75" t="b">
        <v>0</v>
      </c>
      <c r="Z27" s="144" t="inlineStr">
        <is>
          <t>N/D</t>
        </is>
      </c>
      <c r="AA27" s="144" t="inlineStr">
        <is>
          <t>N/D</t>
        </is>
      </c>
      <c r="AB27" s="75" t="inlineStr">
        <is>
          <t>não medido</t>
        </is>
      </c>
      <c r="AC27" s="75" t="inlineStr">
        <is>
          <t>N/D</t>
        </is>
      </c>
      <c r="AD27" s="75" t="inlineStr">
        <is>
          <t>N/D</t>
        </is>
      </c>
      <c r="AE27" s="75" t="inlineStr">
        <is>
          <t>Adquirência — banco emissor</t>
        </is>
      </c>
      <c r="AF27" s="75" t="inlineStr">
        <is>
          <t>Adquirência</t>
        </is>
      </c>
      <c r="AG27" s="75" t="inlineStr">
        <is>
          <t>N/D</t>
        </is>
      </c>
      <c r="AH27" s="75" t="inlineStr">
        <is>
          <t>N/D</t>
        </is>
      </c>
      <c r="AI27" s="75" t="inlineStr">
        <is>
          <t>N/D</t>
        </is>
      </c>
      <c r="AJ27" s="75" t="b">
        <v>0</v>
      </c>
      <c r="AK27" s="75" t="inlineStr">
        <is>
          <t>N/D</t>
        </is>
      </c>
      <c r="AL27" s="75" t="inlineStr">
        <is>
          <t>N/D</t>
        </is>
      </c>
      <c r="AM27" s="75" t="inlineStr">
        <is>
          <t>N/D</t>
        </is>
      </c>
      <c r="AN27" s="75" t="inlineStr">
        <is>
          <t>N/D</t>
        </is>
      </c>
      <c r="AO27" s="75" t="inlineStr">
        <is>
          <t>N/D</t>
        </is>
      </c>
      <c r="AP27" s="75" t="inlineStr">
        <is>
          <t>N/D</t>
        </is>
      </c>
      <c r="AQ27" s="75" t="inlineStr">
        <is>
          <t>N/D</t>
        </is>
      </c>
      <c r="AR27" s="75" t="inlineStr">
        <is>
          <t>N/D</t>
        </is>
      </c>
      <c r="AS27" s="75" t="inlineStr">
        <is>
          <t>N/D</t>
        </is>
      </c>
      <c r="AT27" s="75" t="inlineStr">
        <is>
          <t>N/D</t>
        </is>
      </c>
      <c r="AU27" s="75" t="inlineStr">
        <is>
          <t>N/D</t>
        </is>
      </c>
      <c r="AV27" s="75" t="inlineStr">
        <is>
          <t>N/D</t>
        </is>
      </c>
      <c r="AW27" s="75" t="b">
        <v>0</v>
      </c>
      <c r="AX27" s="75" t="inlineStr">
        <is>
          <t>N/D</t>
        </is>
      </c>
      <c r="AY27" s="75" t="inlineStr">
        <is>
          <t>N/D</t>
        </is>
      </c>
      <c r="AZ27" s="144" t="inlineStr">
        <is>
          <t>N/D</t>
        </is>
      </c>
      <c r="BA27" s="75" t="inlineStr">
        <is>
          <t>N/D</t>
        </is>
      </c>
      <c r="BB27" s="145" t="inlineStr">
        <is>
          <t>N/D</t>
        </is>
      </c>
      <c r="BC27" s="143" t="inlineStr">
        <is>
          <t>N/D</t>
        </is>
      </c>
      <c r="BD27" s="75" t="inlineStr">
        <is>
          <t>N/D</t>
        </is>
      </c>
      <c r="BE27" s="75" t="inlineStr">
        <is>
          <t>N/D</t>
        </is>
      </c>
      <c r="BF27" s="75" t="inlineStr">
        <is>
          <t>N/D</t>
        </is>
      </c>
      <c r="BG27" s="75" t="inlineStr">
        <is>
          <t>N/D</t>
        </is>
      </c>
      <c r="BH27" s="75" t="inlineStr">
        <is>
          <t>N/D</t>
        </is>
      </c>
      <c r="BI27" s="75" t="inlineStr">
        <is>
          <t>N/D</t>
        </is>
      </c>
      <c r="BJ27" s="75" t="inlineStr">
        <is>
          <t>não localizado</t>
        </is>
      </c>
      <c r="BK27" s="75" t="b">
        <v>0</v>
      </c>
      <c r="BL27" s="75" t="inlineStr">
        <is>
          <t>Cielo</t>
        </is>
      </c>
      <c r="BM27" s="75" t="inlineStr">
        <is>
          <t>originador</t>
        </is>
      </c>
      <c r="BN27" s="75" t="inlineStr">
        <is>
          <t>Cielo</t>
        </is>
      </c>
      <c r="BO27" s="75" t="inlineStr">
        <is>
          <t>N/D</t>
        </is>
      </c>
      <c r="BP27" s="75" t="inlineStr">
        <is>
          <t>N/D</t>
        </is>
      </c>
      <c r="BQ27" s="75" t="inlineStr">
        <is>
          <t>N/D</t>
        </is>
      </c>
      <c r="BR27" s="75" t="inlineStr">
        <is>
          <t>IMG_8698.jpg</t>
        </is>
      </c>
      <c r="BS27" s="75" t="inlineStr">
        <is>
          <t>manual_aplicado</t>
        </is>
      </c>
      <c r="BT27" s="75" t="inlineStr">
        <is>
          <t>A foto classifica Cielo como originador; eventual papel documental distinto prevalece.</t>
        </is>
      </c>
      <c r="BU27" s="75" t="inlineStr">
        <is>
          <t>N/D</t>
        </is>
      </c>
      <c r="BV27" s="75" t="inlineStr">
        <is>
          <t>N/D</t>
        </is>
      </c>
      <c r="BW27" s="75" t="inlineStr">
        <is>
          <t>N/D</t>
        </is>
      </c>
      <c r="BX27" s="75" t="inlineStr">
        <is>
          <t>lacuna — regulamento integral não disponível nas fontes locais</t>
        </is>
      </c>
      <c r="BY27" s="75" t="inlineStr">
        <is>
          <t>N/D</t>
        </is>
      </c>
      <c r="BZ27" s="75" t="inlineStr">
        <is>
          <t>N/D</t>
        </is>
      </c>
      <c r="CA27" s="75" t="inlineStr">
        <is>
          <t>mínimo estrutural comparável; preço unitário da cota; cedente; sacado/devedor; tipo de recebível</t>
        </is>
      </c>
      <c r="CB27" s="75" t="inlineStr">
        <is>
          <t>minimo_estrutural_ausente</t>
        </is>
      </c>
    </row>
    <row r="28" ht="31.5" customHeight="1">
      <c r="A28" s="74" t="n">
        <v>13</v>
      </c>
      <c r="B28" s="138" t="n">
        <v>54979779000168</v>
      </c>
      <c r="C28" s="74" t="inlineStr">
        <is>
          <t>54.979.779/0001-68</t>
        </is>
      </c>
      <c r="D28" s="74" t="inlineStr">
        <is>
          <t>FIDC ACR BEM BANCOS EMISSORES DE CARTÃO DE CRÉDITO - RESPONSABILIDADE LIMITADA</t>
        </is>
      </c>
      <c r="E28" s="74" t="inlineStr">
        <is>
          <t>ACR BEM, ACR I e ACR IV</t>
        </is>
      </c>
      <c r="F28" s="74" t="inlineStr">
        <is>
          <t>Flagships</t>
        </is>
      </c>
      <c r="G28" s="74" t="inlineStr">
        <is>
          <t>2026-08</t>
        </is>
      </c>
      <c r="H28" s="74" t="inlineStr">
        <is>
          <t>localizado</t>
        </is>
      </c>
      <c r="I28" s="139" t="n">
        <v>3771058923.75</v>
      </c>
      <c r="J28" s="139" t="n">
        <v>3771058923.689401</v>
      </c>
      <c r="K28" s="139" t="n">
        <v>114609588.6894</v>
      </c>
      <c r="L28" s="140" t="n">
        <v>0.03039188488082028</v>
      </c>
      <c r="M28" s="74" t="inlineStr">
        <is>
          <t>Calculado com classes reportadas e PL oficial reconciliado</t>
        </is>
      </c>
      <c r="N28" s="140" t="inlineStr">
        <is>
          <t>N/D</t>
        </is>
      </c>
      <c r="O28" s="140" t="inlineStr">
        <is>
          <t>N/D</t>
        </is>
      </c>
      <c r="P28" s="140" t="inlineStr">
        <is>
          <t>N/D</t>
        </is>
      </c>
      <c r="Q28" s="140" t="inlineStr">
        <is>
          <t>N/D</t>
        </is>
      </c>
      <c r="R28" s="140" t="inlineStr">
        <is>
          <t>N/D</t>
        </is>
      </c>
      <c r="S28" s="140" t="inlineStr">
        <is>
          <t>N/D</t>
        </is>
      </c>
      <c r="T28" s="74" t="inlineStr">
        <is>
          <t>N/D</t>
        </is>
      </c>
      <c r="U28" s="74" t="inlineStr">
        <is>
          <t>sem_indice</t>
        </is>
      </c>
      <c r="V28" s="74" t="inlineStr">
        <is>
          <t>N/D</t>
        </is>
      </c>
      <c r="W28" s="74" t="b">
        <v>0</v>
      </c>
      <c r="X28" s="74" t="inlineStr">
        <is>
          <t>N/D — mínimo estrutural ou subordinação atual ausente</t>
        </is>
      </c>
      <c r="Y28" s="74" t="b">
        <v>0</v>
      </c>
      <c r="Z28" s="140" t="inlineStr">
        <is>
          <t>N/D</t>
        </is>
      </c>
      <c r="AA28" s="140" t="inlineStr">
        <is>
          <t>N/D</t>
        </is>
      </c>
      <c r="AB28" s="74" t="inlineStr">
        <is>
          <t>não medido</t>
        </is>
      </c>
      <c r="AC28" s="74" t="inlineStr">
        <is>
          <t>N/D</t>
        </is>
      </c>
      <c r="AD28" s="74" t="inlineStr">
        <is>
          <t>N/D</t>
        </is>
      </c>
      <c r="AE28" s="74" t="inlineStr">
        <is>
          <t>Adquirência — banco emissor</t>
        </is>
      </c>
      <c r="AF28" s="74" t="inlineStr">
        <is>
          <t>Adquirência</t>
        </is>
      </c>
      <c r="AG28" s="74" t="inlineStr">
        <is>
          <t>N/D</t>
        </is>
      </c>
      <c r="AH28" s="74" t="inlineStr">
        <is>
          <t>N/D</t>
        </is>
      </c>
      <c r="AI28" s="74" t="inlineStr">
        <is>
          <t>N/D</t>
        </is>
      </c>
      <c r="AJ28" s="74" t="b">
        <v>0</v>
      </c>
      <c r="AK28" s="74" t="inlineStr">
        <is>
          <t>N/D</t>
        </is>
      </c>
      <c r="AL28" s="74" t="inlineStr">
        <is>
          <t>N/D</t>
        </is>
      </c>
      <c r="AM28" s="74" t="inlineStr">
        <is>
          <t>N/D</t>
        </is>
      </c>
      <c r="AN28" s="74" t="inlineStr">
        <is>
          <t>N/D</t>
        </is>
      </c>
      <c r="AO28" s="74" t="inlineStr">
        <is>
          <t>N/D</t>
        </is>
      </c>
      <c r="AP28" s="74" t="inlineStr">
        <is>
          <t>N/D</t>
        </is>
      </c>
      <c r="AQ28" s="74" t="inlineStr">
        <is>
          <t>N/D</t>
        </is>
      </c>
      <c r="AR28" s="74" t="inlineStr">
        <is>
          <t>N/D</t>
        </is>
      </c>
      <c r="AS28" s="74" t="inlineStr">
        <is>
          <t>N/D</t>
        </is>
      </c>
      <c r="AT28" s="74" t="inlineStr">
        <is>
          <t>N/D</t>
        </is>
      </c>
      <c r="AU28" s="74" t="inlineStr">
        <is>
          <t>N/D</t>
        </is>
      </c>
      <c r="AV28" s="74" t="inlineStr">
        <is>
          <t>N/D</t>
        </is>
      </c>
      <c r="AW28" s="74" t="b">
        <v>0</v>
      </c>
      <c r="AX28" s="74" t="inlineStr">
        <is>
          <t>N/D</t>
        </is>
      </c>
      <c r="AY28" s="74" t="inlineStr">
        <is>
          <t>N/D</t>
        </is>
      </c>
      <c r="AZ28" s="140" t="inlineStr">
        <is>
          <t>N/D</t>
        </is>
      </c>
      <c r="BA28" s="74" t="inlineStr">
        <is>
          <t>N/D</t>
        </is>
      </c>
      <c r="BB28" s="141" t="inlineStr">
        <is>
          <t>N/D</t>
        </is>
      </c>
      <c r="BC28" s="139" t="inlineStr">
        <is>
          <t>N/D</t>
        </is>
      </c>
      <c r="BD28" s="74" t="inlineStr">
        <is>
          <t>N/D</t>
        </is>
      </c>
      <c r="BE28" s="74" t="inlineStr">
        <is>
          <t>N/D</t>
        </is>
      </c>
      <c r="BF28" s="74" t="inlineStr">
        <is>
          <t>N/D</t>
        </is>
      </c>
      <c r="BG28" s="74" t="inlineStr">
        <is>
          <t>N/D</t>
        </is>
      </c>
      <c r="BH28" s="74" t="inlineStr">
        <is>
          <t>N/D</t>
        </is>
      </c>
      <c r="BI28" s="74" t="inlineStr">
        <is>
          <t>N/D</t>
        </is>
      </c>
      <c r="BJ28" s="74" t="inlineStr">
        <is>
          <t>não localizado</t>
        </is>
      </c>
      <c r="BK28" s="74" t="b">
        <v>0</v>
      </c>
      <c r="BL28" s="74" t="inlineStr">
        <is>
          <t>Stone</t>
        </is>
      </c>
      <c r="BM28" s="74" t="inlineStr">
        <is>
          <t>originador</t>
        </is>
      </c>
      <c r="BN28" s="74" t="inlineStr">
        <is>
          <t>Stone</t>
        </is>
      </c>
      <c r="BO28" s="74" t="inlineStr">
        <is>
          <t>N/D</t>
        </is>
      </c>
      <c r="BP28" s="74" t="inlineStr">
        <is>
          <t>N/D</t>
        </is>
      </c>
      <c r="BQ28" s="74" t="inlineStr">
        <is>
          <t>N/D</t>
        </is>
      </c>
      <c r="BR28" s="74" t="inlineStr">
        <is>
          <t>IMG_8698.jpg</t>
        </is>
      </c>
      <c r="BS28" s="74" t="inlineStr">
        <is>
          <t>manual_aplicado</t>
        </is>
      </c>
      <c r="BT28" s="74" t="inlineStr">
        <is>
          <t>Originador transcrito da coluna da foto; complemento manual marcado com asterisco no slide.</t>
        </is>
      </c>
      <c r="BU28" s="74" t="inlineStr">
        <is>
          <t>N/D</t>
        </is>
      </c>
      <c r="BV28" s="74" t="inlineStr">
        <is>
          <t>N/D</t>
        </is>
      </c>
      <c r="BW28" s="74" t="inlineStr">
        <is>
          <t>N/D</t>
        </is>
      </c>
      <c r="BX28" s="74" t="inlineStr">
        <is>
          <t>lacuna — regulamento integral não disponível nas fontes locais</t>
        </is>
      </c>
      <c r="BY28" s="74" t="inlineStr">
        <is>
          <t>N/D</t>
        </is>
      </c>
      <c r="BZ28" s="74" t="inlineStr">
        <is>
          <t>N/D</t>
        </is>
      </c>
      <c r="CA28" s="74" t="inlineStr">
        <is>
          <t>mínimo estrutural comparável; preço unitário da cota; cedente; sacado/devedor; tipo de recebível</t>
        </is>
      </c>
      <c r="CB28" s="74" t="inlineStr">
        <is>
          <t>minimo_estrutural_ausente</t>
        </is>
      </c>
    </row>
    <row r="29" ht="31.5" customHeight="1">
      <c r="A29" s="75" t="n">
        <v>13</v>
      </c>
      <c r="B29" s="142" t="n">
        <v>52256912000122</v>
      </c>
      <c r="C29" s="75" t="inlineStr">
        <is>
          <t>52.256.912/0001-22</t>
        </is>
      </c>
      <c r="D29" s="75" t="inlineStr">
        <is>
          <t>FUNDO DE INVESTIMENTO EM DIREITOS CREDITÓRIOS ACR I BANCOS EMISSORES DE CARTÃO DE CRÉDITO RESP LIMI</t>
        </is>
      </c>
      <c r="E29" s="75" t="inlineStr">
        <is>
          <t>ACR BEM, ACR I e ACR IV</t>
        </is>
      </c>
      <c r="F29" s="75" t="inlineStr">
        <is>
          <t>Flagships</t>
        </is>
      </c>
      <c r="G29" s="75" t="inlineStr">
        <is>
          <t>2026-08</t>
        </is>
      </c>
      <c r="H29" s="75" t="inlineStr">
        <is>
          <t>localizado</t>
        </is>
      </c>
      <c r="I29" s="143" t="n">
        <v>2575168330.09</v>
      </c>
      <c r="J29" s="143" t="n">
        <v>2575168330.097782</v>
      </c>
      <c r="K29" s="143" t="n">
        <v>225806245.4994336</v>
      </c>
      <c r="L29" s="144" t="n">
        <v>0.08768601371062289</v>
      </c>
      <c r="M29" s="75" t="inlineStr">
        <is>
          <t>Calculado com classes reportadas e PL oficial reconciliado</t>
        </is>
      </c>
      <c r="N29" s="144" t="inlineStr">
        <is>
          <t>N/D</t>
        </is>
      </c>
      <c r="O29" s="144" t="inlineStr">
        <is>
          <t>N/D</t>
        </is>
      </c>
      <c r="P29" s="144" t="inlineStr">
        <is>
          <t>N/D</t>
        </is>
      </c>
      <c r="Q29" s="144" t="inlineStr">
        <is>
          <t>N/D</t>
        </is>
      </c>
      <c r="R29" s="144" t="inlineStr">
        <is>
          <t>N/D</t>
        </is>
      </c>
      <c r="S29" s="144" t="inlineStr">
        <is>
          <t>N/D</t>
        </is>
      </c>
      <c r="T29" s="75" t="inlineStr">
        <is>
          <t>N/D</t>
        </is>
      </c>
      <c r="U29" s="75" t="inlineStr">
        <is>
          <t>sem_indice</t>
        </is>
      </c>
      <c r="V29" s="75" t="inlineStr">
        <is>
          <t>N/D</t>
        </is>
      </c>
      <c r="W29" s="75" t="b">
        <v>0</v>
      </c>
      <c r="X29" s="75" t="inlineStr">
        <is>
          <t>N/D — mínimo estrutural ou subordinação atual ausente</t>
        </is>
      </c>
      <c r="Y29" s="75" t="b">
        <v>0</v>
      </c>
      <c r="Z29" s="144" t="inlineStr">
        <is>
          <t>N/D</t>
        </is>
      </c>
      <c r="AA29" s="144" t="inlineStr">
        <is>
          <t>N/D</t>
        </is>
      </c>
      <c r="AB29" s="75" t="inlineStr">
        <is>
          <t>não medido</t>
        </is>
      </c>
      <c r="AC29" s="75" t="inlineStr">
        <is>
          <t>N/D</t>
        </is>
      </c>
      <c r="AD29" s="75" t="inlineStr">
        <is>
          <t>N/D</t>
        </is>
      </c>
      <c r="AE29" s="75" t="inlineStr">
        <is>
          <t>Adquirência — banco emissor</t>
        </is>
      </c>
      <c r="AF29" s="75" t="inlineStr">
        <is>
          <t>Adquirência</t>
        </is>
      </c>
      <c r="AG29" s="75" t="inlineStr">
        <is>
          <t>N/D</t>
        </is>
      </c>
      <c r="AH29" s="75" t="inlineStr">
        <is>
          <t>N/D</t>
        </is>
      </c>
      <c r="AI29" s="75" t="inlineStr">
        <is>
          <t>N/D</t>
        </is>
      </c>
      <c r="AJ29" s="75" t="b">
        <v>0</v>
      </c>
      <c r="AK29" s="75" t="inlineStr">
        <is>
          <t>N/D</t>
        </is>
      </c>
      <c r="AL29" s="75" t="inlineStr">
        <is>
          <t>N/D</t>
        </is>
      </c>
      <c r="AM29" s="75" t="inlineStr">
        <is>
          <t>N/D</t>
        </is>
      </c>
      <c r="AN29" s="75" t="inlineStr">
        <is>
          <t>N/D</t>
        </is>
      </c>
      <c r="AO29" s="75" t="inlineStr">
        <is>
          <t>N/D</t>
        </is>
      </c>
      <c r="AP29" s="75" t="inlineStr">
        <is>
          <t>N/D</t>
        </is>
      </c>
      <c r="AQ29" s="75" t="inlineStr">
        <is>
          <t>N/D</t>
        </is>
      </c>
      <c r="AR29" s="75" t="inlineStr">
        <is>
          <t>N/D</t>
        </is>
      </c>
      <c r="AS29" s="75" t="inlineStr">
        <is>
          <t>N/D</t>
        </is>
      </c>
      <c r="AT29" s="75" t="inlineStr">
        <is>
          <t>N/D</t>
        </is>
      </c>
      <c r="AU29" s="75" t="inlineStr">
        <is>
          <t>N/D</t>
        </is>
      </c>
      <c r="AV29" s="75" t="inlineStr">
        <is>
          <t>N/D</t>
        </is>
      </c>
      <c r="AW29" s="75" t="b">
        <v>0</v>
      </c>
      <c r="AX29" s="75" t="inlineStr">
        <is>
          <t>N/D</t>
        </is>
      </c>
      <c r="AY29" s="75" t="inlineStr">
        <is>
          <t>N/D</t>
        </is>
      </c>
      <c r="AZ29" s="144" t="inlineStr">
        <is>
          <t>N/D</t>
        </is>
      </c>
      <c r="BA29" s="75" t="inlineStr">
        <is>
          <t>N/D</t>
        </is>
      </c>
      <c r="BB29" s="145" t="inlineStr">
        <is>
          <t>N/D</t>
        </is>
      </c>
      <c r="BC29" s="143" t="inlineStr">
        <is>
          <t>N/D</t>
        </is>
      </c>
      <c r="BD29" s="75" t="inlineStr">
        <is>
          <t>N/D</t>
        </is>
      </c>
      <c r="BE29" s="75" t="inlineStr">
        <is>
          <t>N/D</t>
        </is>
      </c>
      <c r="BF29" s="75" t="inlineStr">
        <is>
          <t>N/D</t>
        </is>
      </c>
      <c r="BG29" s="75" t="inlineStr">
        <is>
          <t>N/D</t>
        </is>
      </c>
      <c r="BH29" s="75" t="inlineStr">
        <is>
          <t>N/D</t>
        </is>
      </c>
      <c r="BI29" s="75" t="inlineStr">
        <is>
          <t>N/D</t>
        </is>
      </c>
      <c r="BJ29" s="75" t="inlineStr">
        <is>
          <t>não localizado</t>
        </is>
      </c>
      <c r="BK29" s="75" t="b">
        <v>0</v>
      </c>
      <c r="BL29" s="75" t="inlineStr">
        <is>
          <t>N/D</t>
        </is>
      </c>
      <c r="BM29" s="75" t="inlineStr">
        <is>
          <t>N/D</t>
        </is>
      </c>
      <c r="BN29" s="75" t="inlineStr">
        <is>
          <t>N/D</t>
        </is>
      </c>
      <c r="BO29" s="75" t="inlineStr">
        <is>
          <t>N/D</t>
        </is>
      </c>
      <c r="BP29" s="75" t="inlineStr">
        <is>
          <t>N/D</t>
        </is>
      </c>
      <c r="BQ29" s="75" t="inlineStr">
        <is>
          <t>N/D</t>
        </is>
      </c>
      <c r="BR29" s="75" t="inlineStr">
        <is>
          <t>N/D</t>
        </is>
      </c>
      <c r="BS29" s="75" t="inlineStr">
        <is>
          <t>sem_overlay</t>
        </is>
      </c>
      <c r="BT29" s="75" t="inlineStr">
        <is>
          <t>N/D</t>
        </is>
      </c>
      <c r="BU29" s="75" t="inlineStr">
        <is>
          <t>N/D</t>
        </is>
      </c>
      <c r="BV29" s="75" t="inlineStr">
        <is>
          <t>N/D</t>
        </is>
      </c>
      <c r="BW29" s="75" t="inlineStr">
        <is>
          <t>N/D</t>
        </is>
      </c>
      <c r="BX29" s="75" t="inlineStr">
        <is>
          <t>lacuna — regulamento integral não disponível nas fontes locais</t>
        </is>
      </c>
      <c r="BY29" s="75" t="inlineStr">
        <is>
          <t>N/D</t>
        </is>
      </c>
      <c r="BZ29" s="75" t="inlineStr">
        <is>
          <t>N/D</t>
        </is>
      </c>
      <c r="CA29" s="75" t="inlineStr">
        <is>
          <t>mínimo estrutural comparável; preço unitário da cota; originador; cedente; sacado/devedor; tipo de recebível</t>
        </is>
      </c>
      <c r="CB29" s="75" t="inlineStr">
        <is>
          <t>minimo_estrutural_ausente</t>
        </is>
      </c>
    </row>
    <row r="30" ht="31.5" customHeight="1">
      <c r="A30" s="74" t="n">
        <v>13</v>
      </c>
      <c r="B30" s="138" t="n">
        <v>51983832000106</v>
      </c>
      <c r="C30" s="74" t="inlineStr">
        <is>
          <t>51.983.832/0001-06</t>
        </is>
      </c>
      <c r="D30" s="74" t="inlineStr">
        <is>
          <t>FUNDO DE INVESTIMENTO EM DIREITOS CREDITÓRIOS - ACR IV</t>
        </is>
      </c>
      <c r="E30" s="74" t="inlineStr">
        <is>
          <t>ACR BEM, ACR I e ACR IV</t>
        </is>
      </c>
      <c r="F30" s="74" t="inlineStr">
        <is>
          <t>Flagships</t>
        </is>
      </c>
      <c r="G30" s="74" t="inlineStr">
        <is>
          <t>2026-08</t>
        </is>
      </c>
      <c r="H30" s="74" t="inlineStr">
        <is>
          <t>localizado</t>
        </is>
      </c>
      <c r="I30" s="139" t="n">
        <v>541181301.3</v>
      </c>
      <c r="J30" s="139" t="n">
        <v>541181301.2998906</v>
      </c>
      <c r="K30" s="139" t="n">
        <v>17436271.9098906</v>
      </c>
      <c r="L30" s="140" t="n">
        <v>0.032218910498212</v>
      </c>
      <c r="M30" s="74" t="inlineStr">
        <is>
          <t>Calculado com classes reportadas e PL oficial reconciliado</t>
        </is>
      </c>
      <c r="N30" s="140" t="inlineStr">
        <is>
          <t>N/D</t>
        </is>
      </c>
      <c r="O30" s="140" t="inlineStr">
        <is>
          <t>N/D</t>
        </is>
      </c>
      <c r="P30" s="140" t="inlineStr">
        <is>
          <t>N/D</t>
        </is>
      </c>
      <c r="Q30" s="140" t="inlineStr">
        <is>
          <t>N/D</t>
        </is>
      </c>
      <c r="R30" s="140" t="inlineStr">
        <is>
          <t>N/D</t>
        </is>
      </c>
      <c r="S30" s="140" t="inlineStr">
        <is>
          <t>N/D</t>
        </is>
      </c>
      <c r="T30" s="74" t="inlineStr">
        <is>
          <t>N/D</t>
        </is>
      </c>
      <c r="U30" s="74" t="inlineStr">
        <is>
          <t>sem_indice</t>
        </is>
      </c>
      <c r="V30" s="74" t="inlineStr">
        <is>
          <t>N/D</t>
        </is>
      </c>
      <c r="W30" s="74" t="b">
        <v>0</v>
      </c>
      <c r="X30" s="74" t="inlineStr">
        <is>
          <t>N/D — mínimo estrutural ou subordinação atual ausente</t>
        </is>
      </c>
      <c r="Y30" s="74" t="b">
        <v>0</v>
      </c>
      <c r="Z30" s="140" t="inlineStr">
        <is>
          <t>N/D</t>
        </is>
      </c>
      <c r="AA30" s="140" t="inlineStr">
        <is>
          <t>N/D</t>
        </is>
      </c>
      <c r="AB30" s="74" t="inlineStr">
        <is>
          <t>não medido</t>
        </is>
      </c>
      <c r="AC30" s="74" t="inlineStr">
        <is>
          <t>N/D</t>
        </is>
      </c>
      <c r="AD30" s="74" t="inlineStr">
        <is>
          <t>N/D</t>
        </is>
      </c>
      <c r="AE30" s="74" t="inlineStr">
        <is>
          <t>Adquirência — banco emissor</t>
        </is>
      </c>
      <c r="AF30" s="74" t="inlineStr">
        <is>
          <t>Adquirência</t>
        </is>
      </c>
      <c r="AG30" s="74" t="inlineStr">
        <is>
          <t>N/D</t>
        </is>
      </c>
      <c r="AH30" s="74" t="inlineStr">
        <is>
          <t>N/D</t>
        </is>
      </c>
      <c r="AI30" s="74" t="inlineStr">
        <is>
          <t>N/D</t>
        </is>
      </c>
      <c r="AJ30" s="74" t="b">
        <v>0</v>
      </c>
      <c r="AK30" s="74" t="inlineStr">
        <is>
          <t>N/D</t>
        </is>
      </c>
      <c r="AL30" s="74" t="inlineStr">
        <is>
          <t>N/D</t>
        </is>
      </c>
      <c r="AM30" s="74" t="inlineStr">
        <is>
          <t>N/D</t>
        </is>
      </c>
      <c r="AN30" s="74" t="inlineStr">
        <is>
          <t>N/D</t>
        </is>
      </c>
      <c r="AO30" s="74" t="inlineStr">
        <is>
          <t>N/D</t>
        </is>
      </c>
      <c r="AP30" s="74" t="inlineStr">
        <is>
          <t>N/D</t>
        </is>
      </c>
      <c r="AQ30" s="74" t="inlineStr">
        <is>
          <t>N/D</t>
        </is>
      </c>
      <c r="AR30" s="74" t="inlineStr">
        <is>
          <t>N/D</t>
        </is>
      </c>
      <c r="AS30" s="74" t="inlineStr">
        <is>
          <t>N/D</t>
        </is>
      </c>
      <c r="AT30" s="74" t="inlineStr">
        <is>
          <t>N/D</t>
        </is>
      </c>
      <c r="AU30" s="74" t="inlineStr">
        <is>
          <t>N/D</t>
        </is>
      </c>
      <c r="AV30" s="74" t="inlineStr">
        <is>
          <t>N/D</t>
        </is>
      </c>
      <c r="AW30" s="74" t="b">
        <v>0</v>
      </c>
      <c r="AX30" s="74" t="inlineStr">
        <is>
          <t>N/D</t>
        </is>
      </c>
      <c r="AY30" s="74" t="inlineStr">
        <is>
          <t>N/D</t>
        </is>
      </c>
      <c r="AZ30" s="140" t="inlineStr">
        <is>
          <t>N/D</t>
        </is>
      </c>
      <c r="BA30" s="74" t="inlineStr">
        <is>
          <t>N/D</t>
        </is>
      </c>
      <c r="BB30" s="141" t="inlineStr">
        <is>
          <t>N/D</t>
        </is>
      </c>
      <c r="BC30" s="139" t="inlineStr">
        <is>
          <t>N/D</t>
        </is>
      </c>
      <c r="BD30" s="74" t="inlineStr">
        <is>
          <t>N/D</t>
        </is>
      </c>
      <c r="BE30" s="74" t="inlineStr">
        <is>
          <t>N/D</t>
        </is>
      </c>
      <c r="BF30" s="74" t="inlineStr">
        <is>
          <t>N/D</t>
        </is>
      </c>
      <c r="BG30" s="74" t="inlineStr">
        <is>
          <t>N/D</t>
        </is>
      </c>
      <c r="BH30" s="74" t="inlineStr">
        <is>
          <t>N/D</t>
        </is>
      </c>
      <c r="BI30" s="74" t="inlineStr">
        <is>
          <t>N/D</t>
        </is>
      </c>
      <c r="BJ30" s="74" t="inlineStr">
        <is>
          <t>não localizado</t>
        </is>
      </c>
      <c r="BK30" s="74" t="b">
        <v>0</v>
      </c>
      <c r="BL30" s="74" t="inlineStr">
        <is>
          <t>N/D</t>
        </is>
      </c>
      <c r="BM30" s="74" t="inlineStr">
        <is>
          <t>N/D</t>
        </is>
      </c>
      <c r="BN30" s="74" t="inlineStr">
        <is>
          <t>N/D</t>
        </is>
      </c>
      <c r="BO30" s="74" t="inlineStr">
        <is>
          <t>N/D</t>
        </is>
      </c>
      <c r="BP30" s="74" t="inlineStr">
        <is>
          <t>N/D</t>
        </is>
      </c>
      <c r="BQ30" s="74" t="inlineStr">
        <is>
          <t>N/D</t>
        </is>
      </c>
      <c r="BR30" s="74" t="inlineStr">
        <is>
          <t>N/D</t>
        </is>
      </c>
      <c r="BS30" s="74" t="inlineStr">
        <is>
          <t>sem_overlay</t>
        </is>
      </c>
      <c r="BT30" s="74" t="inlineStr">
        <is>
          <t>N/D</t>
        </is>
      </c>
      <c r="BU30" s="74" t="inlineStr">
        <is>
          <t>N/D</t>
        </is>
      </c>
      <c r="BV30" s="74" t="inlineStr">
        <is>
          <t>N/D</t>
        </is>
      </c>
      <c r="BW30" s="74" t="inlineStr">
        <is>
          <t>N/D</t>
        </is>
      </c>
      <c r="BX30" s="74" t="inlineStr">
        <is>
          <t>lacuna — regulamento integral não disponível nas fontes locais</t>
        </is>
      </c>
      <c r="BY30" s="74" t="inlineStr">
        <is>
          <t>N/D</t>
        </is>
      </c>
      <c r="BZ30" s="74" t="inlineStr">
        <is>
          <t>N/D</t>
        </is>
      </c>
      <c r="CA30" s="74" t="inlineStr">
        <is>
          <t>mínimo estrutural comparável; preço unitário da cota; originador; cedente; sacado/devedor; tipo de recebível</t>
        </is>
      </c>
      <c r="CB30" s="74" t="inlineStr">
        <is>
          <t>minimo_estrutural_ausente</t>
        </is>
      </c>
    </row>
    <row r="31" ht="31.5" customHeight="1">
      <c r="A31" s="75" t="n">
        <v>14</v>
      </c>
      <c r="B31" s="142" t="n">
        <v>26287464000114</v>
      </c>
      <c r="C31" s="75" t="inlineStr">
        <is>
          <t>26.287.464/0001-14</t>
        </is>
      </c>
      <c r="D31" s="75" t="inlineStr">
        <is>
          <t>TAPSO FUNDO DE INVESTIMENTO EM DIREITOS CREDITÓRIOS RESPONSABILIDADE LIMITADA</t>
        </is>
      </c>
      <c r="E31" s="75" t="inlineStr">
        <is>
          <t>Tapso</t>
        </is>
      </c>
      <c r="F31" s="75" t="inlineStr">
        <is>
          <t>Flagships</t>
        </is>
      </c>
      <c r="G31" s="75" t="inlineStr">
        <is>
          <t>2026-08</t>
        </is>
      </c>
      <c r="H31" s="75" t="inlineStr">
        <is>
          <t>localizado</t>
        </is>
      </c>
      <c r="I31" s="143" t="n">
        <v>33455157284.84</v>
      </c>
      <c r="J31" s="143" t="n">
        <v>33455157284.84153</v>
      </c>
      <c r="K31" s="143" t="n">
        <v>33455157284.84153</v>
      </c>
      <c r="L31" s="144" t="n">
        <v>1.000000000000046</v>
      </c>
      <c r="M31" s="75" t="inlineStr">
        <is>
          <t>Calculado com classes reportadas e PL oficial reconciliado</t>
        </is>
      </c>
      <c r="N31" s="144" t="inlineStr">
        <is>
          <t>N/D</t>
        </is>
      </c>
      <c r="O31" s="144" t="inlineStr">
        <is>
          <t>N/D</t>
        </is>
      </c>
      <c r="P31" s="144" t="inlineStr">
        <is>
          <t>N/D</t>
        </is>
      </c>
      <c r="Q31" s="144" t="inlineStr">
        <is>
          <t>N/D</t>
        </is>
      </c>
      <c r="R31" s="144" t="inlineStr">
        <is>
          <t>N/D</t>
        </is>
      </c>
      <c r="S31" s="144" t="inlineStr">
        <is>
          <t>N/D</t>
        </is>
      </c>
      <c r="T31" s="75" t="inlineStr">
        <is>
          <t>N/D</t>
        </is>
      </c>
      <c r="U31" s="75" t="inlineStr">
        <is>
          <t>sem_indice</t>
        </is>
      </c>
      <c r="V31" s="75" t="inlineStr">
        <is>
          <t>N/D</t>
        </is>
      </c>
      <c r="W31" s="75" t="b">
        <v>0</v>
      </c>
      <c r="X31" s="75" t="inlineStr">
        <is>
          <t>N/D — mínimo estrutural ou subordinação atual ausente</t>
        </is>
      </c>
      <c r="Y31" s="75" t="b">
        <v>0</v>
      </c>
      <c r="Z31" s="144" t="inlineStr">
        <is>
          <t>N/D</t>
        </is>
      </c>
      <c r="AA31" s="144" t="inlineStr">
        <is>
          <t>N/D</t>
        </is>
      </c>
      <c r="AB31" s="75" t="inlineStr">
        <is>
          <t>não medido</t>
        </is>
      </c>
      <c r="AC31" s="75" t="inlineStr">
        <is>
          <t>N/D</t>
        </is>
      </c>
      <c r="AD31" s="75" t="inlineStr">
        <is>
          <t>N/D</t>
        </is>
      </c>
      <c r="AE31" s="75" t="inlineStr">
        <is>
          <t>Adquirência — risco adquirente</t>
        </is>
      </c>
      <c r="AF31" s="75" t="inlineStr">
        <is>
          <t>Adquirência</t>
        </is>
      </c>
      <c r="AG31" s="75" t="inlineStr">
        <is>
          <t>N/D</t>
        </is>
      </c>
      <c r="AH31" s="75" t="inlineStr">
        <is>
          <t>N/D</t>
        </is>
      </c>
      <c r="AI31" s="75" t="inlineStr">
        <is>
          <t>N/D</t>
        </is>
      </c>
      <c r="AJ31" s="75" t="b">
        <v>0</v>
      </c>
      <c r="AK31" s="75" t="inlineStr">
        <is>
          <t>N/D</t>
        </is>
      </c>
      <c r="AL31" s="75" t="inlineStr">
        <is>
          <t>N/D</t>
        </is>
      </c>
      <c r="AM31" s="75" t="inlineStr">
        <is>
          <t>N/D</t>
        </is>
      </c>
      <c r="AN31" s="75" t="inlineStr">
        <is>
          <t>N/D</t>
        </is>
      </c>
      <c r="AO31" s="75" t="inlineStr">
        <is>
          <t>N/D</t>
        </is>
      </c>
      <c r="AP31" s="75" t="inlineStr">
        <is>
          <t>N/D</t>
        </is>
      </c>
      <c r="AQ31" s="75" t="inlineStr">
        <is>
          <t>N/D</t>
        </is>
      </c>
      <c r="AR31" s="75" t="inlineStr">
        <is>
          <t>N/D</t>
        </is>
      </c>
      <c r="AS31" s="75" t="inlineStr">
        <is>
          <t>N/D</t>
        </is>
      </c>
      <c r="AT31" s="75" t="inlineStr">
        <is>
          <t>N/D</t>
        </is>
      </c>
      <c r="AU31" s="75" t="inlineStr">
        <is>
          <t>N/D</t>
        </is>
      </c>
      <c r="AV31" s="75" t="inlineStr">
        <is>
          <t>N/D</t>
        </is>
      </c>
      <c r="AW31" s="75" t="b">
        <v>0</v>
      </c>
      <c r="AX31" s="75" t="inlineStr">
        <is>
          <t>N/D</t>
        </is>
      </c>
      <c r="AY31" s="75" t="inlineStr">
        <is>
          <t>N/D</t>
        </is>
      </c>
      <c r="AZ31" s="144" t="inlineStr">
        <is>
          <t>N/D</t>
        </is>
      </c>
      <c r="BA31" s="75" t="inlineStr">
        <is>
          <t>N/D</t>
        </is>
      </c>
      <c r="BB31" s="145" t="inlineStr">
        <is>
          <t>N/D</t>
        </is>
      </c>
      <c r="BC31" s="143" t="inlineStr">
        <is>
          <t>N/D</t>
        </is>
      </c>
      <c r="BD31" s="75" t="inlineStr">
        <is>
          <t>N/D</t>
        </is>
      </c>
      <c r="BE31" s="75" t="inlineStr">
        <is>
          <t>N/D</t>
        </is>
      </c>
      <c r="BF31" s="75" t="inlineStr">
        <is>
          <t>N/D</t>
        </is>
      </c>
      <c r="BG31" s="75" t="inlineStr">
        <is>
          <t>N/D</t>
        </is>
      </c>
      <c r="BH31" s="75" t="inlineStr">
        <is>
          <t>N/D</t>
        </is>
      </c>
      <c r="BI31" s="75" t="inlineStr">
        <is>
          <t>N/D</t>
        </is>
      </c>
      <c r="BJ31" s="75" t="inlineStr">
        <is>
          <t>não localizado</t>
        </is>
      </c>
      <c r="BK31" s="75" t="b">
        <v>0</v>
      </c>
      <c r="BL31" s="75" t="inlineStr">
        <is>
          <t>Stone</t>
        </is>
      </c>
      <c r="BM31" s="75" t="inlineStr">
        <is>
          <t>originador</t>
        </is>
      </c>
      <c r="BN31" s="75" t="inlineStr">
        <is>
          <t>Stone</t>
        </is>
      </c>
      <c r="BO31" s="75" t="inlineStr">
        <is>
          <t>N/D</t>
        </is>
      </c>
      <c r="BP31" s="75" t="inlineStr">
        <is>
          <t>N/D</t>
        </is>
      </c>
      <c r="BQ31" s="75" t="inlineStr">
        <is>
          <t>N/D</t>
        </is>
      </c>
      <c r="BR31" s="75" t="inlineStr">
        <is>
          <t>IMG_8698.jpg</t>
        </is>
      </c>
      <c r="BS31" s="75" t="inlineStr">
        <is>
          <t>manual_aplicado</t>
        </is>
      </c>
      <c r="BT31" s="75" t="inlineStr">
        <is>
          <t>Originador transcrito da coluna da foto; complemento manual marcado com asterisco no slide.</t>
        </is>
      </c>
      <c r="BU31" s="75" t="inlineStr">
        <is>
          <t>N/D</t>
        </is>
      </c>
      <c r="BV31" s="75" t="inlineStr">
        <is>
          <t>N/D</t>
        </is>
      </c>
      <c r="BW31" s="75" t="inlineStr">
        <is>
          <t>N/D</t>
        </is>
      </c>
      <c r="BX31" s="75" t="inlineStr">
        <is>
          <t>lacuna — regulamento integral não disponível nas fontes locais</t>
        </is>
      </c>
      <c r="BY31" s="75" t="inlineStr">
        <is>
          <t>N/D</t>
        </is>
      </c>
      <c r="BZ31" s="75" t="inlineStr">
        <is>
          <t>N/D</t>
        </is>
      </c>
      <c r="CA31" s="75" t="inlineStr">
        <is>
          <t>mínimo estrutural comparável; preço unitário da cota; cedente; sacado/devedor; tipo de recebível</t>
        </is>
      </c>
      <c r="CB31" s="75" t="inlineStr">
        <is>
          <t>minimo_estrutural_ausente</t>
        </is>
      </c>
    </row>
    <row r="32" ht="31.5" customHeight="1">
      <c r="A32" s="74" t="n">
        <v>15</v>
      </c>
      <c r="B32" s="138" t="n">
        <v>63572282000111</v>
      </c>
      <c r="C32" s="74" t="inlineStr">
        <is>
          <t>63.572.282/0001-11</t>
        </is>
      </c>
      <c r="D32" s="74" t="inlineStr">
        <is>
          <t>SELLER 3 FUNDO DE INVESTIMENTO EM DIREITOS CREDITÓRIOS SEGMENTO MEIOS DE PAGAMENTO DE RESP LIMITADA</t>
        </is>
      </c>
      <c r="E32" s="74" t="inlineStr">
        <is>
          <t>Seller I, II e III</t>
        </is>
      </c>
      <c r="F32" s="74" t="inlineStr">
        <is>
          <t>Flagships</t>
        </is>
      </c>
      <c r="G32" s="74" t="inlineStr">
        <is>
          <t>2026-08</t>
        </is>
      </c>
      <c r="H32" s="74" t="inlineStr">
        <is>
          <t>localizado</t>
        </is>
      </c>
      <c r="I32" s="139" t="n">
        <v>1855894253.21</v>
      </c>
      <c r="J32" s="139" t="n">
        <v>1855894253.214525</v>
      </c>
      <c r="K32" s="139" t="n">
        <v>347739448.9895245</v>
      </c>
      <c r="L32" s="140" t="n">
        <v>0.187370292455007</v>
      </c>
      <c r="M32" s="74" t="inlineStr">
        <is>
          <t>Calculado com classes reportadas e PL oficial reconciliado</t>
        </is>
      </c>
      <c r="N32" s="140" t="n">
        <v>0.1</v>
      </c>
      <c r="O32" s="140" t="inlineStr">
        <is>
          <t>N/D</t>
        </is>
      </c>
      <c r="P32" s="140" t="inlineStr">
        <is>
          <t>N/D</t>
        </is>
      </c>
      <c r="Q32" s="140" t="inlineStr">
        <is>
          <t>N/D</t>
        </is>
      </c>
      <c r="R32" s="140" t="inlineStr">
        <is>
          <t>N/D</t>
        </is>
      </c>
      <c r="S32" s="140" t="inlineStr">
        <is>
          <t>N/D</t>
        </is>
      </c>
      <c r="T32" s="74" t="inlineStr">
        <is>
          <t>10,0%</t>
        </is>
      </c>
      <c r="U32" s="74" t="inlineStr">
        <is>
          <t>junior_pl</t>
        </is>
      </c>
      <c r="V32" s="74" t="inlineStr">
        <is>
          <t>direto no regulamento</t>
        </is>
      </c>
      <c r="W32" s="74" t="b">
        <v>0</v>
      </c>
      <c r="X32" s="74" t="inlineStr">
        <is>
          <t>N/D — equivalência entre mínimo júnior e subordinação total não comprovada</t>
        </is>
      </c>
      <c r="Y32" s="74" t="b">
        <v>1</v>
      </c>
      <c r="Z32" s="140" t="inlineStr">
        <is>
          <t>N/D</t>
        </is>
      </c>
      <c r="AA32" s="140" t="inlineStr">
        <is>
          <t>N/D</t>
        </is>
      </c>
      <c r="AB32" s="74" t="inlineStr">
        <is>
          <t>não medido</t>
        </is>
      </c>
      <c r="AC32" s="74" t="inlineStr">
        <is>
          <t>N/D</t>
        </is>
      </c>
      <c r="AD32" s="74" t="inlineStr">
        <is>
          <t>N/D</t>
        </is>
      </c>
      <c r="AE32" s="74" t="inlineStr">
        <is>
          <t>Adquirência — risco adquirente</t>
        </is>
      </c>
      <c r="AF32" s="74" t="inlineStr">
        <is>
          <t>Adquirência</t>
        </is>
      </c>
      <c r="AG32" s="74" t="inlineStr">
        <is>
          <t>N/D</t>
        </is>
      </c>
      <c r="AH32" s="74" t="inlineStr">
        <is>
          <t>N/D</t>
        </is>
      </c>
      <c r="AI32" s="74" t="inlineStr">
        <is>
          <t>N/D</t>
        </is>
      </c>
      <c r="AJ32" s="74" t="b">
        <v>0</v>
      </c>
      <c r="AK32" s="74" t="inlineStr">
        <is>
          <t>N/D</t>
        </is>
      </c>
      <c r="AL32" s="74" t="inlineStr">
        <is>
          <t>N/D</t>
        </is>
      </c>
      <c r="AM32" s="74" t="inlineStr">
        <is>
          <t>N/D</t>
        </is>
      </c>
      <c r="AN32" s="74" t="inlineStr">
        <is>
          <t>N/D</t>
        </is>
      </c>
      <c r="AO32" s="74" t="inlineStr">
        <is>
          <t>N/D</t>
        </is>
      </c>
      <c r="AP32" s="74" t="inlineStr">
        <is>
          <t>N/D</t>
        </is>
      </c>
      <c r="AQ32" s="74" t="inlineStr">
        <is>
          <t>N/D</t>
        </is>
      </c>
      <c r="AR32" s="74" t="inlineStr">
        <is>
          <t>N/D</t>
        </is>
      </c>
      <c r="AS32" s="74" t="inlineStr">
        <is>
          <t>N/D</t>
        </is>
      </c>
      <c r="AT32" s="74" t="inlineStr">
        <is>
          <t>N/D</t>
        </is>
      </c>
      <c r="AU32" s="74" t="inlineStr">
        <is>
          <t>N/D</t>
        </is>
      </c>
      <c r="AV32" s="74" t="inlineStr">
        <is>
          <t>N/D</t>
        </is>
      </c>
      <c r="AW32" s="74" t="b">
        <v>0</v>
      </c>
      <c r="AX32" s="74" t="inlineStr">
        <is>
          <t>N/D</t>
        </is>
      </c>
      <c r="AY32" s="74" t="inlineStr">
        <is>
          <t>N/D</t>
        </is>
      </c>
      <c r="AZ32" s="140" t="inlineStr">
        <is>
          <t>N/D</t>
        </is>
      </c>
      <c r="BA32" s="74" t="inlineStr">
        <is>
          <t>N/D</t>
        </is>
      </c>
      <c r="BB32" s="141" t="inlineStr">
        <is>
          <t>N/D</t>
        </is>
      </c>
      <c r="BC32" s="139" t="inlineStr">
        <is>
          <t>N/D</t>
        </is>
      </c>
      <c r="BD32" s="74" t="inlineStr">
        <is>
          <t>N/D</t>
        </is>
      </c>
      <c r="BE32" s="74" t="inlineStr">
        <is>
          <t>N/D</t>
        </is>
      </c>
      <c r="BF32" s="74" t="inlineStr">
        <is>
          <t>N/D</t>
        </is>
      </c>
      <c r="BG32" s="74" t="inlineStr">
        <is>
          <t>N/D</t>
        </is>
      </c>
      <c r="BH32" s="74" t="inlineStr">
        <is>
          <t>N/D</t>
        </is>
      </c>
      <c r="BI32" s="74" t="inlineStr">
        <is>
          <t>N/D</t>
        </is>
      </c>
      <c r="BJ32" s="74" t="inlineStr">
        <is>
          <t>não localizado</t>
        </is>
      </c>
      <c r="BK32" s="74" t="b">
        <v>0</v>
      </c>
      <c r="BL32" s="74" t="inlineStr">
        <is>
          <t>N/D</t>
        </is>
      </c>
      <c r="BM32" s="74" t="inlineStr">
        <is>
          <t>N/D</t>
        </is>
      </c>
      <c r="BN32" s="74" t="inlineStr">
        <is>
          <t>N/D</t>
        </is>
      </c>
      <c r="BO32" s="74" t="inlineStr">
        <is>
          <t>N/D</t>
        </is>
      </c>
      <c r="BP32" s="74" t="inlineStr">
        <is>
          <t>N/D</t>
        </is>
      </c>
      <c r="BQ32" s="74" t="inlineStr">
        <is>
          <t>N/D</t>
        </is>
      </c>
      <c r="BR32" s="74" t="inlineStr">
        <is>
          <t>N/D</t>
        </is>
      </c>
      <c r="BS32" s="74" t="inlineStr">
        <is>
          <t>sem_overlay</t>
        </is>
      </c>
      <c r="BT32" s="74" t="inlineStr">
        <is>
          <t>N/D</t>
        </is>
      </c>
      <c r="BU32" s="74" t="inlineStr">
        <is>
          <t>1089845</t>
        </is>
      </c>
      <c r="BV32" s="74" t="inlineStr">
        <is>
          <t>2026-01-21</t>
        </is>
      </c>
      <c r="BW32" s="74" t="inlineStr">
        <is>
          <t>p. 99; item 8.8</t>
        </is>
      </c>
      <c r="BX32" s="74" t="inlineStr">
        <is>
          <t>revisto — mínimo júnior localizado</t>
        </is>
      </c>
      <c r="BY32" s="74" t="inlineStr">
        <is>
          <t>FundosNet/B3; documento 1089845; referência 2026-01-21; p. 99; item 8.8</t>
        </is>
      </c>
      <c r="BZ32" s="74" t="inlineStr">
        <is>
          <t>Totalidade das cotas subordinadas júnior / PL, mínimo de 10,0%.</t>
        </is>
      </c>
      <c r="CA32" s="74" t="inlineStr">
        <is>
          <t>mínimo estrutural comparável; preço unitário da cota; originador; cedente; sacado/devedor; tipo de recebível</t>
        </is>
      </c>
      <c r="CB32" s="74" t="inlineStr">
        <is>
          <t>estrutura_incomparavel</t>
        </is>
      </c>
    </row>
    <row r="33" ht="31.5" customHeight="1">
      <c r="A33" s="75" t="n">
        <v>15</v>
      </c>
      <c r="B33" s="142" t="n">
        <v>50473039000102</v>
      </c>
      <c r="C33" s="75" t="inlineStr">
        <is>
          <t>50.473.039/0001-02</t>
        </is>
      </c>
      <c r="D33" s="75" t="inlineStr">
        <is>
          <t>SELLER FIDC SEGMENTO MEIOS DE PAGAMENTO DE RESPONSABILIDADE LIMITADA</t>
        </is>
      </c>
      <c r="E33" s="75" t="inlineStr">
        <is>
          <t>Seller I, II e III</t>
        </is>
      </c>
      <c r="F33" s="75" t="inlineStr">
        <is>
          <t>Flagships</t>
        </is>
      </c>
      <c r="G33" s="75" t="inlineStr">
        <is>
          <t>2026-08</t>
        </is>
      </c>
      <c r="H33" s="75" t="inlineStr">
        <is>
          <t>localizado</t>
        </is>
      </c>
      <c r="I33" s="143" t="n">
        <v>2641955191.86</v>
      </c>
      <c r="J33" s="143" t="n">
        <v>2641955191.85639</v>
      </c>
      <c r="K33" s="143" t="n">
        <v>922876101.2415354</v>
      </c>
      <c r="L33" s="144" t="n">
        <v>0.3493155766172584</v>
      </c>
      <c r="M33" s="75" t="inlineStr">
        <is>
          <t>Calculado com classes reportadas e PL oficial reconciliado</t>
        </is>
      </c>
      <c r="N33" s="144" t="n">
        <v>0.1</v>
      </c>
      <c r="O33" s="144" t="inlineStr">
        <is>
          <t>N/D</t>
        </is>
      </c>
      <c r="P33" s="144" t="inlineStr">
        <is>
          <t>N/D</t>
        </is>
      </c>
      <c r="Q33" s="144" t="inlineStr">
        <is>
          <t>N/D</t>
        </is>
      </c>
      <c r="R33" s="144" t="inlineStr">
        <is>
          <t>N/D</t>
        </is>
      </c>
      <c r="S33" s="144" t="inlineStr">
        <is>
          <t>N/D</t>
        </is>
      </c>
      <c r="T33" s="75" t="inlineStr">
        <is>
          <t>10,0%</t>
        </is>
      </c>
      <c r="U33" s="75" t="inlineStr">
        <is>
          <t>junior_pl</t>
        </is>
      </c>
      <c r="V33" s="75" t="inlineStr">
        <is>
          <t>direto no regulamento</t>
        </is>
      </c>
      <c r="W33" s="75" t="b">
        <v>0</v>
      </c>
      <c r="X33" s="75" t="inlineStr">
        <is>
          <t>N/D — equivalência entre mínimo júnior e subordinação total não comprovada</t>
        </is>
      </c>
      <c r="Y33" s="75" t="b">
        <v>1</v>
      </c>
      <c r="Z33" s="144" t="inlineStr">
        <is>
          <t>N/D</t>
        </is>
      </c>
      <c r="AA33" s="144" t="inlineStr">
        <is>
          <t>N/D</t>
        </is>
      </c>
      <c r="AB33" s="75" t="inlineStr">
        <is>
          <t>não medido</t>
        </is>
      </c>
      <c r="AC33" s="75" t="inlineStr">
        <is>
          <t>N/D</t>
        </is>
      </c>
      <c r="AD33" s="75" t="inlineStr">
        <is>
          <t>N/D</t>
        </is>
      </c>
      <c r="AE33" s="75" t="inlineStr">
        <is>
          <t>Adquirência — risco adquirente</t>
        </is>
      </c>
      <c r="AF33" s="75" t="inlineStr">
        <is>
          <t>Adquirência</t>
        </is>
      </c>
      <c r="AG33" s="75" t="inlineStr">
        <is>
          <t>N/D</t>
        </is>
      </c>
      <c r="AH33" s="75" t="inlineStr">
        <is>
          <t>N/D</t>
        </is>
      </c>
      <c r="AI33" s="75" t="inlineStr">
        <is>
          <t>N/D</t>
        </is>
      </c>
      <c r="AJ33" s="75" t="b">
        <v>0</v>
      </c>
      <c r="AK33" s="75" t="inlineStr">
        <is>
          <t>N/D</t>
        </is>
      </c>
      <c r="AL33" s="75" t="inlineStr">
        <is>
          <t>N/D</t>
        </is>
      </c>
      <c r="AM33" s="75" t="inlineStr">
        <is>
          <t>N/D</t>
        </is>
      </c>
      <c r="AN33" s="75" t="inlineStr">
        <is>
          <t>N/D</t>
        </is>
      </c>
      <c r="AO33" s="75" t="inlineStr">
        <is>
          <t>N/D</t>
        </is>
      </c>
      <c r="AP33" s="75" t="inlineStr">
        <is>
          <t>N/D</t>
        </is>
      </c>
      <c r="AQ33" s="75" t="inlineStr">
        <is>
          <t>N/D</t>
        </is>
      </c>
      <c r="AR33" s="75" t="inlineStr">
        <is>
          <t>N/D</t>
        </is>
      </c>
      <c r="AS33" s="75" t="inlineStr">
        <is>
          <t>N/D</t>
        </is>
      </c>
      <c r="AT33" s="75" t="inlineStr">
        <is>
          <t>N/D</t>
        </is>
      </c>
      <c r="AU33" s="75" t="inlineStr">
        <is>
          <t>N/D</t>
        </is>
      </c>
      <c r="AV33" s="75" t="inlineStr">
        <is>
          <t>N/D</t>
        </is>
      </c>
      <c r="AW33" s="75" t="b">
        <v>0</v>
      </c>
      <c r="AX33" s="75" t="inlineStr">
        <is>
          <t>N/D</t>
        </is>
      </c>
      <c r="AY33" s="75" t="inlineStr">
        <is>
          <t>N/D</t>
        </is>
      </c>
      <c r="AZ33" s="144" t="inlineStr">
        <is>
          <t>N/D</t>
        </is>
      </c>
      <c r="BA33" s="75" t="inlineStr">
        <is>
          <t>N/D</t>
        </is>
      </c>
      <c r="BB33" s="145" t="inlineStr">
        <is>
          <t>N/D</t>
        </is>
      </c>
      <c r="BC33" s="143" t="n">
        <v>1000</v>
      </c>
      <c r="BD33" s="75" t="inlineStr">
        <is>
          <t>R$ 1.000,00</t>
        </is>
      </c>
      <c r="BE33" s="75" t="inlineStr">
        <is>
          <t>preço/VNU conforme fonte</t>
        </is>
      </c>
      <c r="BF33" s="75" t="inlineStr">
        <is>
          <t>Sênior 5ª</t>
        </is>
      </c>
      <c r="BG33" s="75" t="inlineStr">
        <is>
          <t>N/D</t>
        </is>
      </c>
      <c r="BH33" s="75" t="inlineStr">
        <is>
          <t>912093</t>
        </is>
      </c>
      <c r="BI33" s="75" t="inlineStr">
        <is>
          <t>Fundos.NET ID 912093 | 26/05/2025 | Instrumento Particular de Emissão de Cotas | p. 3–5, adendo5ªsérie | data/raw/50473039000102/912093_review_20261007.pdf | https://fnet.bmfbovespa.com.br/fnet/publico/visualizarDocumento?id=912093</t>
        </is>
      </c>
      <c r="BJ33" s="75" t="inlineStr">
        <is>
          <t>localizado documentalmente</t>
        </is>
      </c>
      <c r="BK33" s="75" t="b">
        <v>1</v>
      </c>
      <c r="BL33" s="75" t="inlineStr">
        <is>
          <t>Mercado Pago (originador) | Mercado Livre (cedente)</t>
        </is>
      </c>
      <c r="BM33" s="75" t="inlineStr">
        <is>
          <t>originador | cedente</t>
        </is>
      </c>
      <c r="BN33" s="75" t="inlineStr">
        <is>
          <t>Mercado Pago</t>
        </is>
      </c>
      <c r="BO33" s="75" t="inlineStr">
        <is>
          <t>Mercado Livre</t>
        </is>
      </c>
      <c r="BP33" s="75" t="inlineStr">
        <is>
          <t>N/D</t>
        </is>
      </c>
      <c r="BQ33" s="75" t="inlineStr">
        <is>
          <t>recebíveis com risco Grupo Mercado Livre</t>
        </is>
      </c>
      <c r="BR33" s="75" t="inlineStr">
        <is>
          <t>IMG_8698.jpg + IMG_8706.JPG</t>
        </is>
      </c>
      <c r="BS33" s="75" t="inlineStr">
        <is>
          <t>manual_aplicado</t>
        </is>
      </c>
      <c r="BT33" s="75" t="inlineStr">
        <is>
          <t>Os rótulos manuais são complementares; a entidade documental e o papel legal prevalecem no export.</t>
        </is>
      </c>
      <c r="BU33" s="75" t="inlineStr">
        <is>
          <t>909547</t>
        </is>
      </c>
      <c r="BV33" s="75" t="inlineStr">
        <is>
          <t>2025-05-19</t>
        </is>
      </c>
      <c r="BW33" s="75" t="inlineStr">
        <is>
          <t>p. 99; item 8.8</t>
        </is>
      </c>
      <c r="BX33" s="75" t="inlineStr">
        <is>
          <t>revisto — mínimo júnior localizado</t>
        </is>
      </c>
      <c r="BY33" s="75" t="inlineStr">
        <is>
          <t>FundosNet/B3; documento 909547; referência 2025-05-19; p. 99; item 8.8</t>
        </is>
      </c>
      <c r="BZ33" s="75" t="inlineStr">
        <is>
          <t>Totalidade das cotas subordinadas júnior / PL, mínimo de 10,0%.</t>
        </is>
      </c>
      <c r="CA33" s="75" t="inlineStr">
        <is>
          <t>mínimo estrutural comparável; sacado/devedor</t>
        </is>
      </c>
      <c r="CB33" s="75" t="inlineStr">
        <is>
          <t>estrutura_incomparavel</t>
        </is>
      </c>
    </row>
    <row r="34" ht="31.5" customHeight="1">
      <c r="A34" s="74" t="n">
        <v>15</v>
      </c>
      <c r="B34" s="138" t="n">
        <v>55471753000177</v>
      </c>
      <c r="C34" s="74" t="inlineStr">
        <is>
          <t>55.471.753/0001-77</t>
        </is>
      </c>
      <c r="D34" s="74" t="inlineStr">
        <is>
          <t>SELLER II FUNDO DE INVESTIMENTO EM DIREITOS CREDITÓRIOS SEGMENTO MEIOS DE PAGAMENTO RESP LTDA</t>
        </is>
      </c>
      <c r="E34" s="74" t="inlineStr">
        <is>
          <t>Seller I, II e III</t>
        </is>
      </c>
      <c r="F34" s="74" t="inlineStr">
        <is>
          <t>Flagships</t>
        </is>
      </c>
      <c r="G34" s="74" t="inlineStr">
        <is>
          <t>2026-08</t>
        </is>
      </c>
      <c r="H34" s="74" t="inlineStr">
        <is>
          <t>localizado</t>
        </is>
      </c>
      <c r="I34" s="139" t="n">
        <v>1911426358.03</v>
      </c>
      <c r="J34" s="139" t="n">
        <v>1911426358.028729</v>
      </c>
      <c r="K34" s="139" t="n">
        <v>905910616.1987288</v>
      </c>
      <c r="L34" s="140" t="n">
        <v>0.4739448173836004</v>
      </c>
      <c r="M34" s="74" t="inlineStr">
        <is>
          <t>Calculado com classes reportadas e PL oficial reconciliado</t>
        </is>
      </c>
      <c r="N34" s="140" t="n">
        <v>0.333</v>
      </c>
      <c r="O34" s="140" t="inlineStr">
        <is>
          <t>N/D</t>
        </is>
      </c>
      <c r="P34" s="140" t="inlineStr">
        <is>
          <t>N/D</t>
        </is>
      </c>
      <c r="Q34" s="140" t="inlineStr">
        <is>
          <t>N/D</t>
        </is>
      </c>
      <c r="R34" s="140" t="inlineStr">
        <is>
          <t>N/D</t>
        </is>
      </c>
      <c r="S34" s="140" t="inlineStr">
        <is>
          <t>N/D</t>
        </is>
      </c>
      <c r="T34" s="74" t="inlineStr">
        <is>
          <t>33,3%</t>
        </is>
      </c>
      <c r="U34" s="74" t="inlineStr">
        <is>
          <t>junior_pl</t>
        </is>
      </c>
      <c r="V34" s="74" t="inlineStr">
        <is>
          <t>direto no regulamento</t>
        </is>
      </c>
      <c r="W34" s="74" t="b">
        <v>0</v>
      </c>
      <c r="X34" s="74" t="inlineStr">
        <is>
          <t>N/D — equivalência entre mínimo júnior e subordinação total não comprovada</t>
        </is>
      </c>
      <c r="Y34" s="74" t="b">
        <v>1</v>
      </c>
      <c r="Z34" s="140" t="inlineStr">
        <is>
          <t>N/D</t>
        </is>
      </c>
      <c r="AA34" s="140" t="inlineStr">
        <is>
          <t>N/D</t>
        </is>
      </c>
      <c r="AB34" s="74" t="inlineStr">
        <is>
          <t>não medido</t>
        </is>
      </c>
      <c r="AC34" s="74" t="inlineStr">
        <is>
          <t>N/D</t>
        </is>
      </c>
      <c r="AD34" s="74" t="inlineStr">
        <is>
          <t>N/D</t>
        </is>
      </c>
      <c r="AE34" s="74" t="inlineStr">
        <is>
          <t>Adquirência — risco adquirente</t>
        </is>
      </c>
      <c r="AF34" s="74" t="inlineStr">
        <is>
          <t>Adquirência</t>
        </is>
      </c>
      <c r="AG34" s="74" t="inlineStr">
        <is>
          <t>N/D</t>
        </is>
      </c>
      <c r="AH34" s="74" t="inlineStr">
        <is>
          <t>N/D</t>
        </is>
      </c>
      <c r="AI34" s="74" t="inlineStr">
        <is>
          <t>N/D</t>
        </is>
      </c>
      <c r="AJ34" s="74" t="b">
        <v>0</v>
      </c>
      <c r="AK34" s="74" t="inlineStr">
        <is>
          <t>N/D</t>
        </is>
      </c>
      <c r="AL34" s="74" t="inlineStr">
        <is>
          <t>N/D</t>
        </is>
      </c>
      <c r="AM34" s="74" t="inlineStr">
        <is>
          <t>N/D</t>
        </is>
      </c>
      <c r="AN34" s="74" t="inlineStr">
        <is>
          <t>N/D</t>
        </is>
      </c>
      <c r="AO34" s="74" t="inlineStr">
        <is>
          <t>N/D</t>
        </is>
      </c>
      <c r="AP34" s="74" t="inlineStr">
        <is>
          <t>N/D</t>
        </is>
      </c>
      <c r="AQ34" s="74" t="inlineStr">
        <is>
          <t>N/D</t>
        </is>
      </c>
      <c r="AR34" s="74" t="inlineStr">
        <is>
          <t>N/D</t>
        </is>
      </c>
      <c r="AS34" s="74" t="inlineStr">
        <is>
          <t>N/D</t>
        </is>
      </c>
      <c r="AT34" s="74" t="inlineStr">
        <is>
          <t>N/D</t>
        </is>
      </c>
      <c r="AU34" s="74" t="inlineStr">
        <is>
          <t>N/D</t>
        </is>
      </c>
      <c r="AV34" s="74" t="inlineStr">
        <is>
          <t>N/D</t>
        </is>
      </c>
      <c r="AW34" s="74" t="b">
        <v>0</v>
      </c>
      <c r="AX34" s="74" t="inlineStr">
        <is>
          <t>N/D</t>
        </is>
      </c>
      <c r="AY34" s="74" t="inlineStr">
        <is>
          <t>N/D</t>
        </is>
      </c>
      <c r="AZ34" s="140" t="inlineStr">
        <is>
          <t>N/D</t>
        </is>
      </c>
      <c r="BA34" s="74" t="inlineStr">
        <is>
          <t>N/D</t>
        </is>
      </c>
      <c r="BB34" s="141" t="inlineStr">
        <is>
          <t>N/D</t>
        </is>
      </c>
      <c r="BC34" s="139" t="n">
        <v>1000</v>
      </c>
      <c r="BD34" s="74" t="inlineStr">
        <is>
          <t>R$ 1.000,00</t>
        </is>
      </c>
      <c r="BE34" s="74" t="inlineStr">
        <is>
          <t>preço/VNU conforme fonte</t>
        </is>
      </c>
      <c r="BF34" s="74" t="inlineStr">
        <is>
          <t>Sênior 1ª</t>
        </is>
      </c>
      <c r="BG34" s="74" t="inlineStr">
        <is>
          <t>N/D</t>
        </is>
      </c>
      <c r="BH34" s="74" t="inlineStr">
        <is>
          <t>714216</t>
        </is>
      </c>
      <c r="BI34" s="74" t="inlineStr">
        <is>
          <t>Fundos.NET ID 714216 | 08/08/2024 | Anúncio de Encerramento | p. 1–3, encerramentoprimário | data/raw/55471753000177/714216_review_20261007.pdf | https://fnet.bmfbovespa.com.br/fnet/publico/visualizarDocumento?id=714216</t>
        </is>
      </c>
      <c r="BJ34" s="74" t="inlineStr">
        <is>
          <t>localizado documentalmente</t>
        </is>
      </c>
      <c r="BK34" s="74" t="b">
        <v>1</v>
      </c>
      <c r="BL34" s="74" t="inlineStr">
        <is>
          <t>N/D</t>
        </is>
      </c>
      <c r="BM34" s="74" t="inlineStr">
        <is>
          <t>N/D</t>
        </is>
      </c>
      <c r="BN34" s="74" t="inlineStr">
        <is>
          <t>N/D</t>
        </is>
      </c>
      <c r="BO34" s="74" t="inlineStr">
        <is>
          <t>N/D</t>
        </is>
      </c>
      <c r="BP34" s="74" t="inlineStr">
        <is>
          <t>N/D</t>
        </is>
      </c>
      <c r="BQ34" s="74" t="inlineStr">
        <is>
          <t>N/D</t>
        </is>
      </c>
      <c r="BR34" s="74" t="inlineStr">
        <is>
          <t>N/D</t>
        </is>
      </c>
      <c r="BS34" s="74" t="inlineStr">
        <is>
          <t>sem_overlay</t>
        </is>
      </c>
      <c r="BT34" s="74" t="inlineStr">
        <is>
          <t>N/D</t>
        </is>
      </c>
      <c r="BU34" s="74" t="inlineStr">
        <is>
          <t>704724</t>
        </is>
      </c>
      <c r="BV34" s="74" t="inlineStr">
        <is>
          <t>2024-07-25</t>
        </is>
      </c>
      <c r="BW34" s="74" t="inlineStr">
        <is>
          <t>p. 106–107</t>
        </is>
      </c>
      <c r="BX34" s="74" t="inlineStr">
        <is>
          <t>revisto — mínimo júnior localizado</t>
        </is>
      </c>
      <c r="BY34" s="74" t="inlineStr">
        <is>
          <t>FundosNet/B3; documento 704724; referência 2024-07-25; p. 106–107</t>
        </is>
      </c>
      <c r="BZ34" s="74" t="inlineStr">
        <is>
          <t>Cotas subordinadas júnior / PL, mínimo de 33,3%.</t>
        </is>
      </c>
      <c r="CA34" s="74" t="inlineStr">
        <is>
          <t>mínimo estrutural comparável; originador; cedente; sacado/devedor; tipo de recebível</t>
        </is>
      </c>
      <c r="CB34" s="74" t="inlineStr">
        <is>
          <t>estrutura_incomparavel</t>
        </is>
      </c>
    </row>
    <row r="35" ht="31.5" customHeight="1">
      <c r="A35" s="75" t="n">
        <v>16</v>
      </c>
      <c r="B35" s="142" t="n">
        <v>28169275000172</v>
      </c>
      <c r="C35" s="75" t="inlineStr">
        <is>
          <t>28.169.275/0001-72</t>
        </is>
      </c>
      <c r="D35" s="75" t="inlineStr">
        <is>
          <t>FUNDO DE INVESTIMENTO EM DIREITOS CREDITÓRIOS PAGSEGURO I</t>
        </is>
      </c>
      <c r="E35" s="75" t="inlineStr">
        <is>
          <t>PagSeguro I</t>
        </is>
      </c>
      <c r="F35" s="75" t="inlineStr">
        <is>
          <t>Flagships</t>
        </is>
      </c>
      <c r="G35" s="75" t="inlineStr">
        <is>
          <t>2026-08</t>
        </is>
      </c>
      <c r="H35" s="75" t="inlineStr">
        <is>
          <t>localizado</t>
        </is>
      </c>
      <c r="I35" s="143" t="n">
        <v>7174237038.23</v>
      </c>
      <c r="J35" s="143" t="n">
        <v>6553850400.463037</v>
      </c>
      <c r="K35" s="143" t="n">
        <v>4826682362.183037</v>
      </c>
      <c r="L35" s="144" t="inlineStr">
        <is>
          <t>N/D</t>
        </is>
      </c>
      <c r="M35" s="75" t="inlineStr">
        <is>
          <t>N/D — PL oficial diverge das classes acima de 0,5%</t>
        </is>
      </c>
      <c r="N35" s="144" t="inlineStr">
        <is>
          <t>N/D</t>
        </is>
      </c>
      <c r="O35" s="144" t="inlineStr">
        <is>
          <t>N/D</t>
        </is>
      </c>
      <c r="P35" s="144" t="inlineStr">
        <is>
          <t>N/D</t>
        </is>
      </c>
      <c r="Q35" s="144" t="inlineStr">
        <is>
          <t>N/D</t>
        </is>
      </c>
      <c r="R35" s="144" t="inlineStr">
        <is>
          <t>N/D</t>
        </is>
      </c>
      <c r="S35" s="144" t="inlineStr">
        <is>
          <t>N/D</t>
        </is>
      </c>
      <c r="T35" s="75" t="inlineStr">
        <is>
          <t>N/D</t>
        </is>
      </c>
      <c r="U35" s="75" t="inlineStr">
        <is>
          <t>sem_indice</t>
        </is>
      </c>
      <c r="V35" s="75" t="inlineStr">
        <is>
          <t>N/D</t>
        </is>
      </c>
      <c r="W35" s="75" t="b">
        <v>0</v>
      </c>
      <c r="X35" s="75" t="inlineStr">
        <is>
          <t>N/D — mínimo estrutural ou subordinação atual ausente</t>
        </is>
      </c>
      <c r="Y35" s="75" t="b">
        <v>0</v>
      </c>
      <c r="Z35" s="144" t="inlineStr">
        <is>
          <t>N/D</t>
        </is>
      </c>
      <c r="AA35" s="144" t="inlineStr">
        <is>
          <t>N/D</t>
        </is>
      </c>
      <c r="AB35" s="75" t="inlineStr">
        <is>
          <t>não medido</t>
        </is>
      </c>
      <c r="AC35" s="75" t="inlineStr">
        <is>
          <t>N/D</t>
        </is>
      </c>
      <c r="AD35" s="75" t="inlineStr">
        <is>
          <t>N/D</t>
        </is>
      </c>
      <c r="AE35" s="75" t="inlineStr">
        <is>
          <t>Adquirência — risco adquirente</t>
        </is>
      </c>
      <c r="AF35" s="75" t="inlineStr">
        <is>
          <t>Adquirência</t>
        </is>
      </c>
      <c r="AG35" s="75" t="inlineStr">
        <is>
          <t>N/D</t>
        </is>
      </c>
      <c r="AH35" s="75" t="inlineStr">
        <is>
          <t>N/D</t>
        </is>
      </c>
      <c r="AI35" s="75" t="inlineStr">
        <is>
          <t>N/D</t>
        </is>
      </c>
      <c r="AJ35" s="75" t="b">
        <v>0</v>
      </c>
      <c r="AK35" s="75" t="inlineStr">
        <is>
          <t>N/D</t>
        </is>
      </c>
      <c r="AL35" s="75" t="inlineStr">
        <is>
          <t>N/D</t>
        </is>
      </c>
      <c r="AM35" s="75" t="inlineStr">
        <is>
          <t>N/D</t>
        </is>
      </c>
      <c r="AN35" s="75" t="inlineStr">
        <is>
          <t>N/D</t>
        </is>
      </c>
      <c r="AO35" s="75" t="inlineStr">
        <is>
          <t>N/D</t>
        </is>
      </c>
      <c r="AP35" s="75" t="inlineStr">
        <is>
          <t>N/D</t>
        </is>
      </c>
      <c r="AQ35" s="75" t="inlineStr">
        <is>
          <t>N/D</t>
        </is>
      </c>
      <c r="AR35" s="75" t="inlineStr">
        <is>
          <t>N/D</t>
        </is>
      </c>
      <c r="AS35" s="75" t="inlineStr">
        <is>
          <t>N/D</t>
        </is>
      </c>
      <c r="AT35" s="75" t="inlineStr">
        <is>
          <t>N/D</t>
        </is>
      </c>
      <c r="AU35" s="75" t="inlineStr">
        <is>
          <t>N/D</t>
        </is>
      </c>
      <c r="AV35" s="75" t="inlineStr">
        <is>
          <t>N/D</t>
        </is>
      </c>
      <c r="AW35" s="75" t="b">
        <v>0</v>
      </c>
      <c r="AX35" s="75" t="inlineStr">
        <is>
          <t>N/D</t>
        </is>
      </c>
      <c r="AY35" s="75" t="inlineStr">
        <is>
          <t>N/D</t>
        </is>
      </c>
      <c r="AZ35" s="144" t="inlineStr">
        <is>
          <t>N/D</t>
        </is>
      </c>
      <c r="BA35" s="75" t="inlineStr">
        <is>
          <t>N/D</t>
        </is>
      </c>
      <c r="BB35" s="145" t="inlineStr">
        <is>
          <t>N/D</t>
        </is>
      </c>
      <c r="BC35" s="143" t="n">
        <v>1000</v>
      </c>
      <c r="BD35" s="75" t="inlineStr">
        <is>
          <t>R$ 1.000,00</t>
        </is>
      </c>
      <c r="BE35" s="75" t="inlineStr">
        <is>
          <t>preço/VNU conforme fonte</t>
        </is>
      </c>
      <c r="BF35" s="75" t="inlineStr">
        <is>
          <t>4ª série sênior</t>
        </is>
      </c>
      <c r="BG35" s="75" t="inlineStr">
        <is>
          <t>N/D</t>
        </is>
      </c>
      <c r="BH35" s="75" t="inlineStr">
        <is>
          <t>1147067</t>
        </is>
      </c>
      <c r="BI35" s="75" t="inlineStr">
        <is>
          <t>data/raw/28169275000172/1147067_assembleia.pdf · ID 1147067 · 25/03/2026 09:00 · p. 2 e 4–5 · https://fnet.bmfbovespa.com.br/fnet/publico/visualizarDocumento?id=1147067</t>
        </is>
      </c>
      <c r="BJ35" s="75" t="inlineStr">
        <is>
          <t>localizado documentalmente</t>
        </is>
      </c>
      <c r="BK35" s="75" t="b">
        <v>1</v>
      </c>
      <c r="BL35" s="75" t="inlineStr">
        <is>
          <t>PagBank (originador) | PagSeguro (cedente)</t>
        </is>
      </c>
      <c r="BM35" s="75" t="inlineStr">
        <is>
          <t>originador | cedente</t>
        </is>
      </c>
      <c r="BN35" s="75" t="inlineStr">
        <is>
          <t>PagBank</t>
        </is>
      </c>
      <c r="BO35" s="75" t="inlineStr">
        <is>
          <t>PagSeguro</t>
        </is>
      </c>
      <c r="BP35" s="75" t="inlineStr">
        <is>
          <t>N/D</t>
        </is>
      </c>
      <c r="BQ35" s="75" t="inlineStr">
        <is>
          <t>recebíveis dos ECs</t>
        </is>
      </c>
      <c r="BR35" s="75" t="inlineStr">
        <is>
          <t>IMG_8698.jpg + IMG_8705.JPG</t>
        </is>
      </c>
      <c r="BS35" s="75" t="inlineStr">
        <is>
          <t>manual_aplicado</t>
        </is>
      </c>
      <c r="BT35" s="75" t="inlineStr">
        <is>
          <t>IMG_8698 identifica PagBank como originador; IMG_8705 identifica PagSeguro como cedente e recebíveis dos ECs.</t>
        </is>
      </c>
      <c r="BU35" s="75" t="inlineStr">
        <is>
          <t>1149521</t>
        </is>
      </c>
      <c r="BV35" s="75" t="inlineStr">
        <is>
          <t>2026-03-25</t>
        </is>
      </c>
      <c r="BW35" s="75" t="inlineStr">
        <is>
          <t>cláusulas de subordinação e definições revisadas</t>
        </is>
      </c>
      <c r="BX35" s="75" t="inlineStr">
        <is>
          <t>revisto — mínimo júnior não isolado</t>
        </is>
      </c>
      <c r="BY35" s="75" t="inlineStr">
        <is>
          <t>FundosNet/B3; documento 1149521; referência 2026-03-25; cláusulas candidatas revisadas</t>
        </is>
      </c>
      <c r="BZ35" s="75" t="inlineStr">
        <is>
          <t>N/D</t>
        </is>
      </c>
      <c r="CA35" s="75" t="inlineStr">
        <is>
          <t>Sub/PL atual; mínimo estrutural comparável; sacado/devedor</t>
        </is>
      </c>
      <c r="CB35" s="75" t="inlineStr">
        <is>
          <t>sub_pl_atual_ausente</t>
        </is>
      </c>
    </row>
    <row r="36" ht="31.5" customHeight="1">
      <c r="A36" s="74" t="n">
        <v>17</v>
      </c>
      <c r="B36" s="138" t="n">
        <v>66929956000180</v>
      </c>
      <c r="C36" s="74" t="inlineStr">
        <is>
          <t>66.929.956/0001-80</t>
        </is>
      </c>
      <c r="D36" s="74" t="inlineStr">
        <is>
          <t>BV AUTO III SEGMENTO FINANCEIRO FIDC RESPONSABILIDADE LIMITADA</t>
        </is>
      </c>
      <c r="E36" s="74" t="inlineStr">
        <is>
          <t>BV Auto I, II e III</t>
        </is>
      </c>
      <c r="F36" s="74" t="inlineStr">
        <is>
          <t>Flagships</t>
        </is>
      </c>
      <c r="G36" s="74" t="inlineStr">
        <is>
          <t>2026-08</t>
        </is>
      </c>
      <c r="H36" s="74" t="inlineStr">
        <is>
          <t>localizado</t>
        </is>
      </c>
      <c r="I36" s="139" t="n">
        <v>2125721812.65</v>
      </c>
      <c r="J36" s="139" t="n">
        <v>2115011129.097845</v>
      </c>
      <c r="K36" s="139" t="n">
        <v>318850358.5202452</v>
      </c>
      <c r="L36" s="140" t="inlineStr">
        <is>
          <t>N/D</t>
        </is>
      </c>
      <c r="M36" s="74" t="inlineStr">
        <is>
          <t>N/D — PL oficial diverge das classes acima de 0,5%</t>
        </is>
      </c>
      <c r="N36" s="140" t="inlineStr">
        <is>
          <t>N/D</t>
        </is>
      </c>
      <c r="O36" s="140" t="inlineStr">
        <is>
          <t>N/D</t>
        </is>
      </c>
      <c r="P36" s="140" t="inlineStr">
        <is>
          <t>N/D</t>
        </is>
      </c>
      <c r="Q36" s="140" t="inlineStr">
        <is>
          <t>N/D</t>
        </is>
      </c>
      <c r="R36" s="140" t="inlineStr">
        <is>
          <t>N/D</t>
        </is>
      </c>
      <c r="S36" s="140" t="inlineStr">
        <is>
          <t>N/D</t>
        </is>
      </c>
      <c r="T36" s="74" t="inlineStr">
        <is>
          <t>N/D</t>
        </is>
      </c>
      <c r="U36" s="74" t="inlineStr">
        <is>
          <t>sem_indice</t>
        </is>
      </c>
      <c r="V36" s="74" t="inlineStr">
        <is>
          <t>N/D</t>
        </is>
      </c>
      <c r="W36" s="74" t="b">
        <v>0</v>
      </c>
      <c r="X36" s="74" t="inlineStr">
        <is>
          <t>N/D — mínimo estrutural ou subordinação atual ausente</t>
        </is>
      </c>
      <c r="Y36" s="74" t="b">
        <v>0</v>
      </c>
      <c r="Z36" s="140" t="inlineStr">
        <is>
          <t>N/D</t>
        </is>
      </c>
      <c r="AA36" s="140" t="inlineStr">
        <is>
          <t>N/D</t>
        </is>
      </c>
      <c r="AB36" s="74" t="inlineStr">
        <is>
          <t>não medido</t>
        </is>
      </c>
      <c r="AC36" s="74" t="inlineStr">
        <is>
          <t>N/D</t>
        </is>
      </c>
      <c r="AD36" s="74" t="inlineStr">
        <is>
          <t>N/D</t>
        </is>
      </c>
      <c r="AE36" s="74" t="inlineStr">
        <is>
          <t>Veículos</t>
        </is>
      </c>
      <c r="AF36" s="74" t="inlineStr">
        <is>
          <t>Veículos</t>
        </is>
      </c>
      <c r="AG36" s="74" t="inlineStr">
        <is>
          <t>N/D</t>
        </is>
      </c>
      <c r="AH36" s="74" t="inlineStr">
        <is>
          <t>N/D</t>
        </is>
      </c>
      <c r="AI36" s="74" t="inlineStr">
        <is>
          <t>N/D</t>
        </is>
      </c>
      <c r="AJ36" s="74" t="b">
        <v>0</v>
      </c>
      <c r="AK36" s="74" t="inlineStr">
        <is>
          <t>N/D</t>
        </is>
      </c>
      <c r="AL36" s="74" t="inlineStr">
        <is>
          <t>N/D</t>
        </is>
      </c>
      <c r="AM36" s="74" t="inlineStr">
        <is>
          <t>N/D</t>
        </is>
      </c>
      <c r="AN36" s="74" t="inlineStr">
        <is>
          <t>N/D</t>
        </is>
      </c>
      <c r="AO36" s="74" t="inlineStr">
        <is>
          <t>N/D</t>
        </is>
      </c>
      <c r="AP36" s="74" t="inlineStr">
        <is>
          <t>N/D</t>
        </is>
      </c>
      <c r="AQ36" s="74" t="inlineStr">
        <is>
          <t>N/D</t>
        </is>
      </c>
      <c r="AR36" s="74" t="inlineStr">
        <is>
          <t>N/D</t>
        </is>
      </c>
      <c r="AS36" s="74" t="inlineStr">
        <is>
          <t>N/D</t>
        </is>
      </c>
      <c r="AT36" s="74" t="inlineStr">
        <is>
          <t>N/D</t>
        </is>
      </c>
      <c r="AU36" s="74" t="inlineStr">
        <is>
          <t>N/D</t>
        </is>
      </c>
      <c r="AV36" s="74" t="inlineStr">
        <is>
          <t>N/D</t>
        </is>
      </c>
      <c r="AW36" s="74" t="b">
        <v>0</v>
      </c>
      <c r="AX36" s="74" t="inlineStr">
        <is>
          <t>N/D</t>
        </is>
      </c>
      <c r="AY36" s="74" t="inlineStr">
        <is>
          <t>N/D</t>
        </is>
      </c>
      <c r="AZ36" s="140" t="inlineStr">
        <is>
          <t>N/D</t>
        </is>
      </c>
      <c r="BA36" s="74" t="inlineStr">
        <is>
          <t>N/D</t>
        </is>
      </c>
      <c r="BB36" s="141" t="inlineStr">
        <is>
          <t>N/D</t>
        </is>
      </c>
      <c r="BC36" s="139" t="inlineStr">
        <is>
          <t>N/D</t>
        </is>
      </c>
      <c r="BD36" s="74" t="inlineStr">
        <is>
          <t>N/D</t>
        </is>
      </c>
      <c r="BE36" s="74" t="inlineStr">
        <is>
          <t>N/D</t>
        </is>
      </c>
      <c r="BF36" s="74" t="inlineStr">
        <is>
          <t>N/D</t>
        </is>
      </c>
      <c r="BG36" s="74" t="inlineStr">
        <is>
          <t>N/D</t>
        </is>
      </c>
      <c r="BH36" s="74" t="inlineStr">
        <is>
          <t>N/D</t>
        </is>
      </c>
      <c r="BI36" s="74" t="inlineStr">
        <is>
          <t>N/D</t>
        </is>
      </c>
      <c r="BJ36" s="74" t="inlineStr">
        <is>
          <t>não localizado</t>
        </is>
      </c>
      <c r="BK36" s="74" t="b">
        <v>0</v>
      </c>
      <c r="BL36" s="74" t="inlineStr">
        <is>
          <t>N/D</t>
        </is>
      </c>
      <c r="BM36" s="74" t="inlineStr">
        <is>
          <t>N/D</t>
        </is>
      </c>
      <c r="BN36" s="74" t="inlineStr">
        <is>
          <t>N/D</t>
        </is>
      </c>
      <c r="BO36" s="74" t="inlineStr">
        <is>
          <t>N/D</t>
        </is>
      </c>
      <c r="BP36" s="74" t="inlineStr">
        <is>
          <t>N/D</t>
        </is>
      </c>
      <c r="BQ36" s="74" t="inlineStr">
        <is>
          <t>N/D</t>
        </is>
      </c>
      <c r="BR36" s="74" t="inlineStr">
        <is>
          <t>N/D</t>
        </is>
      </c>
      <c r="BS36" s="74" t="inlineStr">
        <is>
          <t>sem_overlay</t>
        </is>
      </c>
      <c r="BT36" s="74" t="inlineStr">
        <is>
          <t>N/D</t>
        </is>
      </c>
      <c r="BU36" s="74" t="inlineStr">
        <is>
          <t>N/D</t>
        </is>
      </c>
      <c r="BV36" s="74" t="inlineStr">
        <is>
          <t>N/D</t>
        </is>
      </c>
      <c r="BW36" s="74" t="inlineStr">
        <is>
          <t>N/D</t>
        </is>
      </c>
      <c r="BX36" s="74" t="inlineStr">
        <is>
          <t>lacuna — regulamento integral não disponível nas fontes locais</t>
        </is>
      </c>
      <c r="BY36" s="74" t="inlineStr">
        <is>
          <t>N/D</t>
        </is>
      </c>
      <c r="BZ36" s="74" t="inlineStr">
        <is>
          <t>N/D</t>
        </is>
      </c>
      <c r="CA36" s="74" t="inlineStr">
        <is>
          <t>Sub/PL atual; mínimo estrutural comparável; preço unitário da cota; originador; cedente; sacado/devedor; tipo de recebível</t>
        </is>
      </c>
      <c r="CB36" s="74" t="inlineStr">
        <is>
          <t>sub_pl_atual_ausente</t>
        </is>
      </c>
    </row>
    <row r="37" ht="31.5" customHeight="1">
      <c r="A37" s="75" t="n">
        <v>17</v>
      </c>
      <c r="B37" s="142" t="n">
        <v>57532556000146</v>
      </c>
      <c r="C37" s="75" t="inlineStr">
        <is>
          <t>57.532.556/0001-46</t>
        </is>
      </c>
      <c r="D37" s="75" t="inlineStr">
        <is>
          <t>FIDC BV AUTO I SEGMENTO FINANCEIRO - RESPONSABILIDADE LIMITADA</t>
        </is>
      </c>
      <c r="E37" s="75" t="inlineStr">
        <is>
          <t>BV Auto I, II e III</t>
        </is>
      </c>
      <c r="F37" s="75" t="inlineStr">
        <is>
          <t>Flagships</t>
        </is>
      </c>
      <c r="G37" s="75" t="inlineStr">
        <is>
          <t>2026-08</t>
        </is>
      </c>
      <c r="H37" s="75" t="inlineStr">
        <is>
          <t>localizado</t>
        </is>
      </c>
      <c r="I37" s="143" t="n">
        <v>1073893111.77</v>
      </c>
      <c r="J37" s="143" t="n">
        <v>1073893111.7714</v>
      </c>
      <c r="K37" s="143" t="n">
        <v>162435106.54965</v>
      </c>
      <c r="L37" s="144" t="n">
        <v>0.1512581697092023</v>
      </c>
      <c r="M37" s="75" t="inlineStr">
        <is>
          <t>Calculado com classes reportadas e PL oficial reconciliado</t>
        </is>
      </c>
      <c r="N37" s="144" t="inlineStr">
        <is>
          <t>N/D</t>
        </is>
      </c>
      <c r="O37" s="144" t="inlineStr">
        <is>
          <t>N/D</t>
        </is>
      </c>
      <c r="P37" s="144" t="inlineStr">
        <is>
          <t>N/D</t>
        </is>
      </c>
      <c r="Q37" s="144" t="inlineStr">
        <is>
          <t>N/D</t>
        </is>
      </c>
      <c r="R37" s="144" t="inlineStr">
        <is>
          <t>N/D</t>
        </is>
      </c>
      <c r="S37" s="144" t="inlineStr">
        <is>
          <t>N/D</t>
        </is>
      </c>
      <c r="T37" s="75" t="inlineStr">
        <is>
          <t>N/D</t>
        </is>
      </c>
      <c r="U37" s="75" t="inlineStr">
        <is>
          <t>sem_indice</t>
        </is>
      </c>
      <c r="V37" s="75" t="inlineStr">
        <is>
          <t>N/D</t>
        </is>
      </c>
      <c r="W37" s="75" t="b">
        <v>0</v>
      </c>
      <c r="X37" s="75" t="inlineStr">
        <is>
          <t>N/D — mínimo estrutural ou subordinação atual ausente</t>
        </is>
      </c>
      <c r="Y37" s="75" t="b">
        <v>0</v>
      </c>
      <c r="Z37" s="144" t="inlineStr">
        <is>
          <t>N/D</t>
        </is>
      </c>
      <c r="AA37" s="144" t="inlineStr">
        <is>
          <t>N/D</t>
        </is>
      </c>
      <c r="AB37" s="75" t="inlineStr">
        <is>
          <t>não medido</t>
        </is>
      </c>
      <c r="AC37" s="75" t="inlineStr">
        <is>
          <t>N/D</t>
        </is>
      </c>
      <c r="AD37" s="75" t="inlineStr">
        <is>
          <t>N/D</t>
        </is>
      </c>
      <c r="AE37" s="75" t="inlineStr">
        <is>
          <t>Veículos</t>
        </is>
      </c>
      <c r="AF37" s="75" t="inlineStr">
        <is>
          <t>Veículos</t>
        </is>
      </c>
      <c r="AG37" s="75" t="inlineStr">
        <is>
          <t>N/D</t>
        </is>
      </c>
      <c r="AH37" s="75" t="inlineStr">
        <is>
          <t>N/D</t>
        </is>
      </c>
      <c r="AI37" s="75" t="inlineStr">
        <is>
          <t>N/D</t>
        </is>
      </c>
      <c r="AJ37" s="75" t="b">
        <v>0</v>
      </c>
      <c r="AK37" s="75" t="inlineStr">
        <is>
          <t>N/D</t>
        </is>
      </c>
      <c r="AL37" s="75" t="inlineStr">
        <is>
          <t>N/D</t>
        </is>
      </c>
      <c r="AM37" s="75" t="inlineStr">
        <is>
          <t>N/D</t>
        </is>
      </c>
      <c r="AN37" s="75" t="inlineStr">
        <is>
          <t>N/D</t>
        </is>
      </c>
      <c r="AO37" s="75" t="inlineStr">
        <is>
          <t>N/D</t>
        </is>
      </c>
      <c r="AP37" s="75" t="inlineStr">
        <is>
          <t>N/D</t>
        </is>
      </c>
      <c r="AQ37" s="75" t="inlineStr">
        <is>
          <t>N/D</t>
        </is>
      </c>
      <c r="AR37" s="75" t="inlineStr">
        <is>
          <t>N/D</t>
        </is>
      </c>
      <c r="AS37" s="75" t="inlineStr">
        <is>
          <t>N/D</t>
        </is>
      </c>
      <c r="AT37" s="75" t="inlineStr">
        <is>
          <t>N/D</t>
        </is>
      </c>
      <c r="AU37" s="75" t="inlineStr">
        <is>
          <t>N/D</t>
        </is>
      </c>
      <c r="AV37" s="75" t="inlineStr">
        <is>
          <t>N/D</t>
        </is>
      </c>
      <c r="AW37" s="75" t="b">
        <v>0</v>
      </c>
      <c r="AX37" s="75" t="inlineStr">
        <is>
          <t>N/D</t>
        </is>
      </c>
      <c r="AY37" s="75" t="inlineStr">
        <is>
          <t>N/D</t>
        </is>
      </c>
      <c r="AZ37" s="144" t="inlineStr">
        <is>
          <t>N/D</t>
        </is>
      </c>
      <c r="BA37" s="75" t="inlineStr">
        <is>
          <t>N/D</t>
        </is>
      </c>
      <c r="BB37" s="145" t="inlineStr">
        <is>
          <t>N/D</t>
        </is>
      </c>
      <c r="BC37" s="143" t="inlineStr">
        <is>
          <t>N/D</t>
        </is>
      </c>
      <c r="BD37" s="75" t="inlineStr">
        <is>
          <t>N/D</t>
        </is>
      </c>
      <c r="BE37" s="75" t="inlineStr">
        <is>
          <t>N/D</t>
        </is>
      </c>
      <c r="BF37" s="75" t="inlineStr">
        <is>
          <t>N/D</t>
        </is>
      </c>
      <c r="BG37" s="75" t="inlineStr">
        <is>
          <t>N/D</t>
        </is>
      </c>
      <c r="BH37" s="75" t="inlineStr">
        <is>
          <t>N/D</t>
        </is>
      </c>
      <c r="BI37" s="75" t="inlineStr">
        <is>
          <t>N/D</t>
        </is>
      </c>
      <c r="BJ37" s="75" t="inlineStr">
        <is>
          <t>não localizado</t>
        </is>
      </c>
      <c r="BK37" s="75" t="b">
        <v>0</v>
      </c>
      <c r="BL37" s="75" t="inlineStr">
        <is>
          <t>N/D</t>
        </is>
      </c>
      <c r="BM37" s="75" t="inlineStr">
        <is>
          <t>N/D</t>
        </is>
      </c>
      <c r="BN37" s="75" t="inlineStr">
        <is>
          <t>N/D</t>
        </is>
      </c>
      <c r="BO37" s="75" t="inlineStr">
        <is>
          <t>N/D</t>
        </is>
      </c>
      <c r="BP37" s="75" t="inlineStr">
        <is>
          <t>N/D</t>
        </is>
      </c>
      <c r="BQ37" s="75" t="inlineStr">
        <is>
          <t>N/D</t>
        </is>
      </c>
      <c r="BR37" s="75" t="inlineStr">
        <is>
          <t>N/D</t>
        </is>
      </c>
      <c r="BS37" s="75" t="inlineStr">
        <is>
          <t>sem_overlay</t>
        </is>
      </c>
      <c r="BT37" s="75" t="inlineStr">
        <is>
          <t>N/D</t>
        </is>
      </c>
      <c r="BU37" s="75" t="inlineStr">
        <is>
          <t>N/D</t>
        </is>
      </c>
      <c r="BV37" s="75" t="inlineStr">
        <is>
          <t>N/D</t>
        </is>
      </c>
      <c r="BW37" s="75" t="inlineStr">
        <is>
          <t>N/D</t>
        </is>
      </c>
      <c r="BX37" s="75" t="inlineStr">
        <is>
          <t>lacuna — regulamento integral não disponível nas fontes locais</t>
        </is>
      </c>
      <c r="BY37" s="75" t="inlineStr">
        <is>
          <t>N/D</t>
        </is>
      </c>
      <c r="BZ37" s="75" t="inlineStr">
        <is>
          <t>N/D</t>
        </is>
      </c>
      <c r="CA37" s="75" t="inlineStr">
        <is>
          <t>mínimo estrutural comparável; preço unitário da cota; originador; cedente; sacado/devedor; tipo de recebível</t>
        </is>
      </c>
      <c r="CB37" s="75" t="inlineStr">
        <is>
          <t>minimo_estrutural_ausente</t>
        </is>
      </c>
    </row>
    <row r="38" ht="31.5" customHeight="1">
      <c r="A38" s="74" t="n">
        <v>17</v>
      </c>
      <c r="B38" s="138" t="n">
        <v>60598366000136</v>
      </c>
      <c r="C38" s="74" t="inlineStr">
        <is>
          <t>60.598.366/0001-36</t>
        </is>
      </c>
      <c r="D38" s="74" t="inlineStr">
        <is>
          <t>FIDC BV AUTO II SEGMENTO FINANCEIRO - RESPONSABILIDADE LIMITADA</t>
        </is>
      </c>
      <c r="E38" s="74" t="inlineStr">
        <is>
          <t>BV Auto I, II e III</t>
        </is>
      </c>
      <c r="F38" s="74" t="inlineStr">
        <is>
          <t>Flagships</t>
        </is>
      </c>
      <c r="G38" s="74" t="inlineStr">
        <is>
          <t>2026-08</t>
        </is>
      </c>
      <c r="H38" s="74" t="inlineStr">
        <is>
          <t>localizado</t>
        </is>
      </c>
      <c r="I38" s="139" t="n">
        <v>919893959.8</v>
      </c>
      <c r="J38" s="139" t="n">
        <v>919893959.79975</v>
      </c>
      <c r="K38" s="139" t="n">
        <v>140667159.93975</v>
      </c>
      <c r="L38" s="140" t="n">
        <v>0.1529167122374989</v>
      </c>
      <c r="M38" s="74" t="inlineStr">
        <is>
          <t>Calculado com classes reportadas e PL oficial reconciliado</t>
        </is>
      </c>
      <c r="N38" s="140" t="inlineStr">
        <is>
          <t>N/D</t>
        </is>
      </c>
      <c r="O38" s="140" t="inlineStr">
        <is>
          <t>N/D</t>
        </is>
      </c>
      <c r="P38" s="140" t="inlineStr">
        <is>
          <t>N/D</t>
        </is>
      </c>
      <c r="Q38" s="140" t="inlineStr">
        <is>
          <t>N/D</t>
        </is>
      </c>
      <c r="R38" s="140" t="inlineStr">
        <is>
          <t>N/D</t>
        </is>
      </c>
      <c r="S38" s="140" t="inlineStr">
        <is>
          <t>N/D</t>
        </is>
      </c>
      <c r="T38" s="74" t="inlineStr">
        <is>
          <t>N/D</t>
        </is>
      </c>
      <c r="U38" s="74" t="inlineStr">
        <is>
          <t>sem_indice</t>
        </is>
      </c>
      <c r="V38" s="74" t="inlineStr">
        <is>
          <t>N/D</t>
        </is>
      </c>
      <c r="W38" s="74" t="b">
        <v>0</v>
      </c>
      <c r="X38" s="74" t="inlineStr">
        <is>
          <t>N/D — mínimo estrutural ou subordinação atual ausente</t>
        </is>
      </c>
      <c r="Y38" s="74" t="b">
        <v>0</v>
      </c>
      <c r="Z38" s="140" t="inlineStr">
        <is>
          <t>N/D</t>
        </is>
      </c>
      <c r="AA38" s="140" t="inlineStr">
        <is>
          <t>N/D</t>
        </is>
      </c>
      <c r="AB38" s="74" t="inlineStr">
        <is>
          <t>não medido</t>
        </is>
      </c>
      <c r="AC38" s="74" t="inlineStr">
        <is>
          <t>N/D</t>
        </is>
      </c>
      <c r="AD38" s="74" t="inlineStr">
        <is>
          <t>N/D</t>
        </is>
      </c>
      <c r="AE38" s="74" t="inlineStr">
        <is>
          <t>Veículos</t>
        </is>
      </c>
      <c r="AF38" s="74" t="inlineStr">
        <is>
          <t>Veículos</t>
        </is>
      </c>
      <c r="AG38" s="74" t="inlineStr">
        <is>
          <t>N/D</t>
        </is>
      </c>
      <c r="AH38" s="74" t="inlineStr">
        <is>
          <t>N/D</t>
        </is>
      </c>
      <c r="AI38" s="74" t="inlineStr">
        <is>
          <t>N/D</t>
        </is>
      </c>
      <c r="AJ38" s="74" t="b">
        <v>0</v>
      </c>
      <c r="AK38" s="74" t="inlineStr">
        <is>
          <t>N/D</t>
        </is>
      </c>
      <c r="AL38" s="74" t="inlineStr">
        <is>
          <t>N/D</t>
        </is>
      </c>
      <c r="AM38" s="74" t="inlineStr">
        <is>
          <t>N/D</t>
        </is>
      </c>
      <c r="AN38" s="74" t="inlineStr">
        <is>
          <t>N/D</t>
        </is>
      </c>
      <c r="AO38" s="74" t="inlineStr">
        <is>
          <t>N/D</t>
        </is>
      </c>
      <c r="AP38" s="74" t="inlineStr">
        <is>
          <t>N/D</t>
        </is>
      </c>
      <c r="AQ38" s="74" t="inlineStr">
        <is>
          <t>N/D</t>
        </is>
      </c>
      <c r="AR38" s="74" t="inlineStr">
        <is>
          <t>N/D</t>
        </is>
      </c>
      <c r="AS38" s="74" t="inlineStr">
        <is>
          <t>N/D</t>
        </is>
      </c>
      <c r="AT38" s="74" t="inlineStr">
        <is>
          <t>N/D</t>
        </is>
      </c>
      <c r="AU38" s="74" t="inlineStr">
        <is>
          <t>N/D</t>
        </is>
      </c>
      <c r="AV38" s="74" t="inlineStr">
        <is>
          <t>N/D</t>
        </is>
      </c>
      <c r="AW38" s="74" t="b">
        <v>0</v>
      </c>
      <c r="AX38" s="74" t="inlineStr">
        <is>
          <t>N/D</t>
        </is>
      </c>
      <c r="AY38" s="74" t="inlineStr">
        <is>
          <t>N/D</t>
        </is>
      </c>
      <c r="AZ38" s="140" t="inlineStr">
        <is>
          <t>N/D</t>
        </is>
      </c>
      <c r="BA38" s="74" t="inlineStr">
        <is>
          <t>N/D</t>
        </is>
      </c>
      <c r="BB38" s="141" t="inlineStr">
        <is>
          <t>N/D</t>
        </is>
      </c>
      <c r="BC38" s="139" t="inlineStr">
        <is>
          <t>N/D</t>
        </is>
      </c>
      <c r="BD38" s="74" t="inlineStr">
        <is>
          <t>N/D</t>
        </is>
      </c>
      <c r="BE38" s="74" t="inlineStr">
        <is>
          <t>N/D</t>
        </is>
      </c>
      <c r="BF38" s="74" t="inlineStr">
        <is>
          <t>N/D</t>
        </is>
      </c>
      <c r="BG38" s="74" t="inlineStr">
        <is>
          <t>N/D</t>
        </is>
      </c>
      <c r="BH38" s="74" t="inlineStr">
        <is>
          <t>N/D</t>
        </is>
      </c>
      <c r="BI38" s="74" t="inlineStr">
        <is>
          <t>N/D</t>
        </is>
      </c>
      <c r="BJ38" s="74" t="inlineStr">
        <is>
          <t>não localizado</t>
        </is>
      </c>
      <c r="BK38" s="74" t="b">
        <v>0</v>
      </c>
      <c r="BL38" s="74" t="inlineStr">
        <is>
          <t>N/D</t>
        </is>
      </c>
      <c r="BM38" s="74" t="inlineStr">
        <is>
          <t>N/D</t>
        </is>
      </c>
      <c r="BN38" s="74" t="inlineStr">
        <is>
          <t>N/D</t>
        </is>
      </c>
      <c r="BO38" s="74" t="inlineStr">
        <is>
          <t>N/D</t>
        </is>
      </c>
      <c r="BP38" s="74" t="inlineStr">
        <is>
          <t>N/D</t>
        </is>
      </c>
      <c r="BQ38" s="74" t="inlineStr">
        <is>
          <t>N/D</t>
        </is>
      </c>
      <c r="BR38" s="74" t="inlineStr">
        <is>
          <t>N/D</t>
        </is>
      </c>
      <c r="BS38" s="74" t="inlineStr">
        <is>
          <t>sem_overlay</t>
        </is>
      </c>
      <c r="BT38" s="74" t="inlineStr">
        <is>
          <t>N/D</t>
        </is>
      </c>
      <c r="BU38" s="74" t="inlineStr">
        <is>
          <t>928235</t>
        </is>
      </c>
      <c r="BV38" s="74" t="inlineStr">
        <is>
          <t>2025-06-11</t>
        </is>
      </c>
      <c r="BW38" s="74" t="inlineStr">
        <is>
          <t>cláusulas de subordinação e definições revisadas</t>
        </is>
      </c>
      <c r="BX38" s="74" t="inlineStr">
        <is>
          <t>revisto — mínimo júnior não isolado</t>
        </is>
      </c>
      <c r="BY38" s="74" t="inlineStr">
        <is>
          <t>FundosNet/B3; documento 928235; referência 2025-06-11; cláusulas candidatas revisadas</t>
        </is>
      </c>
      <c r="BZ38" s="74" t="inlineStr">
        <is>
          <t>N/D</t>
        </is>
      </c>
      <c r="CA38" s="74" t="inlineStr">
        <is>
          <t>mínimo estrutural comparável; preço unitário da cota; originador; cedente; sacado/devedor; tipo de recebível</t>
        </is>
      </c>
      <c r="CB38" s="74" t="inlineStr">
        <is>
          <t>minimo_estrutural_ausente</t>
        </is>
      </c>
    </row>
    <row r="39" ht="31.5" customHeight="1">
      <c r="A39" s="75" t="n">
        <v>18</v>
      </c>
      <c r="B39" s="142" t="n">
        <v>59929098000109</v>
      </c>
      <c r="C39" s="75" t="inlineStr">
        <is>
          <t>59.929.098/0001-09</t>
        </is>
      </c>
      <c r="D39" s="75" t="inlineStr">
        <is>
          <t>FUNDO DE INVESTIMENTO EM DIREITOS CREDITÓRIOS CREDITAS AUTO XII</t>
        </is>
      </c>
      <c r="E39" s="75" t="inlineStr">
        <is>
          <t>Creditas Auto X, XI e XII</t>
        </is>
      </c>
      <c r="F39" s="75" t="inlineStr">
        <is>
          <t>Flagships</t>
        </is>
      </c>
      <c r="G39" s="75" t="inlineStr">
        <is>
          <t>2026-08</t>
        </is>
      </c>
      <c r="H39" s="75" t="inlineStr">
        <is>
          <t>localizado</t>
        </is>
      </c>
      <c r="I39" s="143" t="n">
        <v>2498979874.47</v>
      </c>
      <c r="J39" s="143" t="n">
        <v>2498979874.468525</v>
      </c>
      <c r="K39" s="143" t="n">
        <v>648197538.3600605</v>
      </c>
      <c r="L39" s="144" t="n">
        <v>0.2593848573900718</v>
      </c>
      <c r="M39" s="75" t="inlineStr">
        <is>
          <t>Calculado com classes reportadas e PL oficial reconciliado</t>
        </is>
      </c>
      <c r="N39" s="144" t="inlineStr">
        <is>
          <t>N/D</t>
        </is>
      </c>
      <c r="O39" s="144" t="inlineStr">
        <is>
          <t>N/D</t>
        </is>
      </c>
      <c r="P39" s="144" t="inlineStr">
        <is>
          <t>N/D</t>
        </is>
      </c>
      <c r="Q39" s="144" t="inlineStr">
        <is>
          <t>N/D</t>
        </is>
      </c>
      <c r="R39" s="144" t="inlineStr">
        <is>
          <t>N/D</t>
        </is>
      </c>
      <c r="S39" s="144" t="inlineStr">
        <is>
          <t>N/D</t>
        </is>
      </c>
      <c r="T39" s="75" t="inlineStr">
        <is>
          <t>N/D</t>
        </is>
      </c>
      <c r="U39" s="75" t="inlineStr">
        <is>
          <t>sem_indice</t>
        </is>
      </c>
      <c r="V39" s="75" t="inlineStr">
        <is>
          <t>N/D</t>
        </is>
      </c>
      <c r="W39" s="75" t="b">
        <v>0</v>
      </c>
      <c r="X39" s="75" t="inlineStr">
        <is>
          <t>N/D — mínimo estrutural ou subordinação atual ausente</t>
        </is>
      </c>
      <c r="Y39" s="75" t="b">
        <v>0</v>
      </c>
      <c r="Z39" s="144" t="inlineStr">
        <is>
          <t>N/D</t>
        </is>
      </c>
      <c r="AA39" s="144" t="inlineStr">
        <is>
          <t>N/D</t>
        </is>
      </c>
      <c r="AB39" s="75" t="inlineStr">
        <is>
          <t>não medido</t>
        </is>
      </c>
      <c r="AC39" s="75" t="inlineStr">
        <is>
          <t>N/D</t>
        </is>
      </c>
      <c r="AD39" s="75" t="inlineStr">
        <is>
          <t>N/D</t>
        </is>
      </c>
      <c r="AE39" s="75" t="inlineStr">
        <is>
          <t>Veículos</t>
        </is>
      </c>
      <c r="AF39" s="75" t="inlineStr">
        <is>
          <t>Veículos</t>
        </is>
      </c>
      <c r="AG39" s="75" t="inlineStr">
        <is>
          <t>N/D</t>
        </is>
      </c>
      <c r="AH39" s="75" t="inlineStr">
        <is>
          <t>N/D</t>
        </is>
      </c>
      <c r="AI39" s="75" t="inlineStr">
        <is>
          <t>N/D</t>
        </is>
      </c>
      <c r="AJ39" s="75" t="b">
        <v>0</v>
      </c>
      <c r="AK39" s="75" t="inlineStr">
        <is>
          <t>N/D</t>
        </is>
      </c>
      <c r="AL39" s="75" t="inlineStr">
        <is>
          <t>N/D</t>
        </is>
      </c>
      <c r="AM39" s="75" t="inlineStr">
        <is>
          <t>N/D</t>
        </is>
      </c>
      <c r="AN39" s="75" t="inlineStr">
        <is>
          <t>N/D</t>
        </is>
      </c>
      <c r="AO39" s="75" t="inlineStr">
        <is>
          <t>N/D</t>
        </is>
      </c>
      <c r="AP39" s="75" t="inlineStr">
        <is>
          <t>N/D</t>
        </is>
      </c>
      <c r="AQ39" s="75" t="inlineStr">
        <is>
          <t>N/D</t>
        </is>
      </c>
      <c r="AR39" s="75" t="inlineStr">
        <is>
          <t>N/D</t>
        </is>
      </c>
      <c r="AS39" s="75" t="inlineStr">
        <is>
          <t>N/D</t>
        </is>
      </c>
      <c r="AT39" s="75" t="inlineStr">
        <is>
          <t>N/D</t>
        </is>
      </c>
      <c r="AU39" s="75" t="inlineStr">
        <is>
          <t>N/D</t>
        </is>
      </c>
      <c r="AV39" s="75" t="inlineStr">
        <is>
          <t>N/D</t>
        </is>
      </c>
      <c r="AW39" s="75" t="b">
        <v>0</v>
      </c>
      <c r="AX39" s="75" t="inlineStr">
        <is>
          <t>N/D</t>
        </is>
      </c>
      <c r="AY39" s="75" t="inlineStr">
        <is>
          <t>N/D</t>
        </is>
      </c>
      <c r="AZ39" s="144" t="inlineStr">
        <is>
          <t>N/D</t>
        </is>
      </c>
      <c r="BA39" s="75" t="inlineStr">
        <is>
          <t>N/D</t>
        </is>
      </c>
      <c r="BB39" s="145" t="inlineStr">
        <is>
          <t>N/D</t>
        </is>
      </c>
      <c r="BC39" s="143" t="inlineStr">
        <is>
          <t>N/D</t>
        </is>
      </c>
      <c r="BD39" s="75" t="inlineStr">
        <is>
          <t>N/D</t>
        </is>
      </c>
      <c r="BE39" s="75" t="inlineStr">
        <is>
          <t>N/D</t>
        </is>
      </c>
      <c r="BF39" s="75" t="inlineStr">
        <is>
          <t>N/D</t>
        </is>
      </c>
      <c r="BG39" s="75" t="inlineStr">
        <is>
          <t>N/D</t>
        </is>
      </c>
      <c r="BH39" s="75" t="inlineStr">
        <is>
          <t>N/D</t>
        </is>
      </c>
      <c r="BI39" s="75" t="inlineStr">
        <is>
          <t>N/D</t>
        </is>
      </c>
      <c r="BJ39" s="75" t="inlineStr">
        <is>
          <t>não localizado</t>
        </is>
      </c>
      <c r="BK39" s="75" t="b">
        <v>0</v>
      </c>
      <c r="BL39" s="75" t="inlineStr">
        <is>
          <t>N/D</t>
        </is>
      </c>
      <c r="BM39" s="75" t="inlineStr">
        <is>
          <t>N/D</t>
        </is>
      </c>
      <c r="BN39" s="75" t="inlineStr">
        <is>
          <t>N/D</t>
        </is>
      </c>
      <c r="BO39" s="75" t="inlineStr">
        <is>
          <t>N/D</t>
        </is>
      </c>
      <c r="BP39" s="75" t="inlineStr">
        <is>
          <t>N/D</t>
        </is>
      </c>
      <c r="BQ39" s="75" t="inlineStr">
        <is>
          <t>N/D</t>
        </is>
      </c>
      <c r="BR39" s="75" t="inlineStr">
        <is>
          <t>N/D</t>
        </is>
      </c>
      <c r="BS39" s="75" t="inlineStr">
        <is>
          <t>sem_overlay</t>
        </is>
      </c>
      <c r="BT39" s="75" t="inlineStr">
        <is>
          <t>N/D</t>
        </is>
      </c>
      <c r="BU39" s="75" t="inlineStr">
        <is>
          <t>N/D</t>
        </is>
      </c>
      <c r="BV39" s="75" t="inlineStr">
        <is>
          <t>N/D</t>
        </is>
      </c>
      <c r="BW39" s="75" t="inlineStr">
        <is>
          <t>N/D</t>
        </is>
      </c>
      <c r="BX39" s="75" t="inlineStr">
        <is>
          <t>lacuna — regulamento integral não disponível nas fontes locais</t>
        </is>
      </c>
      <c r="BY39" s="75" t="inlineStr">
        <is>
          <t>N/D</t>
        </is>
      </c>
      <c r="BZ39" s="75" t="inlineStr">
        <is>
          <t>N/D</t>
        </is>
      </c>
      <c r="CA39" s="75" t="inlineStr">
        <is>
          <t>mínimo estrutural comparável; preço unitário da cota; originador; cedente; sacado/devedor; tipo de recebível</t>
        </is>
      </c>
      <c r="CB39" s="75" t="inlineStr">
        <is>
          <t>minimo_estrutural_ausente</t>
        </is>
      </c>
    </row>
    <row r="40" ht="31.5" customHeight="1">
      <c r="A40" s="74" t="n">
        <v>18</v>
      </c>
      <c r="B40" s="138" t="n">
        <v>53095241000128</v>
      </c>
      <c r="C40" s="74" t="inlineStr">
        <is>
          <t>53.095.241/0001-28</t>
        </is>
      </c>
      <c r="D40" s="74" t="inlineStr">
        <is>
          <t>FUNDO DE INVESTIMENTO EM DIREITOS CREDITÓRIOS CREDITAS AUTO X - RESPONSABILIDADE LIMITADA</t>
        </is>
      </c>
      <c r="E40" s="74" t="inlineStr">
        <is>
          <t>Creditas Auto X, XI e XII</t>
        </is>
      </c>
      <c r="F40" s="74" t="inlineStr">
        <is>
          <t>Flagships</t>
        </is>
      </c>
      <c r="G40" s="74" t="inlineStr">
        <is>
          <t>2026-08</t>
        </is>
      </c>
      <c r="H40" s="74" t="inlineStr">
        <is>
          <t>localizado</t>
        </is>
      </c>
      <c r="I40" s="139" t="n">
        <v>376097403.95</v>
      </c>
      <c r="J40" s="139" t="n">
        <v>376097403.9501634</v>
      </c>
      <c r="K40" s="139" t="n">
        <v>97252648.66008356</v>
      </c>
      <c r="L40" s="140" t="n">
        <v>0.2585836744382654</v>
      </c>
      <c r="M40" s="74" t="inlineStr">
        <is>
          <t>Calculado com classes reportadas e PL oficial reconciliado</t>
        </is>
      </c>
      <c r="N40" s="140" t="inlineStr">
        <is>
          <t>N/D</t>
        </is>
      </c>
      <c r="O40" s="140" t="inlineStr">
        <is>
          <t>N/D</t>
        </is>
      </c>
      <c r="P40" s="140" t="inlineStr">
        <is>
          <t>N/D</t>
        </is>
      </c>
      <c r="Q40" s="140" t="inlineStr">
        <is>
          <t>N/D</t>
        </is>
      </c>
      <c r="R40" s="140" t="inlineStr">
        <is>
          <t>N/D</t>
        </is>
      </c>
      <c r="S40" s="140" t="inlineStr">
        <is>
          <t>N/D</t>
        </is>
      </c>
      <c r="T40" s="74" t="inlineStr">
        <is>
          <t>N/D</t>
        </is>
      </c>
      <c r="U40" s="74" t="inlineStr">
        <is>
          <t>sem_indice</t>
        </is>
      </c>
      <c r="V40" s="74" t="inlineStr">
        <is>
          <t>N/D</t>
        </is>
      </c>
      <c r="W40" s="74" t="b">
        <v>0</v>
      </c>
      <c r="X40" s="74" t="inlineStr">
        <is>
          <t>N/D — mínimo estrutural ou subordinação atual ausente</t>
        </is>
      </c>
      <c r="Y40" s="74" t="b">
        <v>0</v>
      </c>
      <c r="Z40" s="140" t="inlineStr">
        <is>
          <t>N/D</t>
        </is>
      </c>
      <c r="AA40" s="140" t="inlineStr">
        <is>
          <t>N/D</t>
        </is>
      </c>
      <c r="AB40" s="74" t="inlineStr">
        <is>
          <t>não medido</t>
        </is>
      </c>
      <c r="AC40" s="74" t="inlineStr">
        <is>
          <t>N/D</t>
        </is>
      </c>
      <c r="AD40" s="74" t="inlineStr">
        <is>
          <t>N/D</t>
        </is>
      </c>
      <c r="AE40" s="74" t="inlineStr">
        <is>
          <t>Veículos</t>
        </is>
      </c>
      <c r="AF40" s="74" t="inlineStr">
        <is>
          <t>Veículos</t>
        </is>
      </c>
      <c r="AG40" s="74" t="inlineStr">
        <is>
          <t>N/D</t>
        </is>
      </c>
      <c r="AH40" s="74" t="inlineStr">
        <is>
          <t>N/D</t>
        </is>
      </c>
      <c r="AI40" s="74" t="inlineStr">
        <is>
          <t>N/D</t>
        </is>
      </c>
      <c r="AJ40" s="74" t="b">
        <v>0</v>
      </c>
      <c r="AK40" s="74" t="inlineStr">
        <is>
          <t>N/D</t>
        </is>
      </c>
      <c r="AL40" s="74" t="inlineStr">
        <is>
          <t>N/D</t>
        </is>
      </c>
      <c r="AM40" s="74" t="inlineStr">
        <is>
          <t>N/D</t>
        </is>
      </c>
      <c r="AN40" s="74" t="inlineStr">
        <is>
          <t>N/D</t>
        </is>
      </c>
      <c r="AO40" s="74" t="inlineStr">
        <is>
          <t>N/D</t>
        </is>
      </c>
      <c r="AP40" s="74" t="inlineStr">
        <is>
          <t>N/D</t>
        </is>
      </c>
      <c r="AQ40" s="74" t="inlineStr">
        <is>
          <t>N/D</t>
        </is>
      </c>
      <c r="AR40" s="74" t="inlineStr">
        <is>
          <t>N/D</t>
        </is>
      </c>
      <c r="AS40" s="74" t="inlineStr">
        <is>
          <t>N/D</t>
        </is>
      </c>
      <c r="AT40" s="74" t="inlineStr">
        <is>
          <t>N/D</t>
        </is>
      </c>
      <c r="AU40" s="74" t="inlineStr">
        <is>
          <t>N/D</t>
        </is>
      </c>
      <c r="AV40" s="74" t="inlineStr">
        <is>
          <t>N/D</t>
        </is>
      </c>
      <c r="AW40" s="74" t="b">
        <v>0</v>
      </c>
      <c r="AX40" s="74" t="inlineStr">
        <is>
          <t>N/D</t>
        </is>
      </c>
      <c r="AY40" s="74" t="inlineStr">
        <is>
          <t>N/D</t>
        </is>
      </c>
      <c r="AZ40" s="140" t="inlineStr">
        <is>
          <t>N/D</t>
        </is>
      </c>
      <c r="BA40" s="74" t="inlineStr">
        <is>
          <t>N/D</t>
        </is>
      </c>
      <c r="BB40" s="141" t="inlineStr">
        <is>
          <t>N/D</t>
        </is>
      </c>
      <c r="BC40" s="139" t="inlineStr">
        <is>
          <t>N/D</t>
        </is>
      </c>
      <c r="BD40" s="74" t="inlineStr">
        <is>
          <t>N/D</t>
        </is>
      </c>
      <c r="BE40" s="74" t="inlineStr">
        <is>
          <t>N/D</t>
        </is>
      </c>
      <c r="BF40" s="74" t="inlineStr">
        <is>
          <t>N/D</t>
        </is>
      </c>
      <c r="BG40" s="74" t="inlineStr">
        <is>
          <t>N/D</t>
        </is>
      </c>
      <c r="BH40" s="74" t="inlineStr">
        <is>
          <t>N/D</t>
        </is>
      </c>
      <c r="BI40" s="74" t="inlineStr">
        <is>
          <t>N/D</t>
        </is>
      </c>
      <c r="BJ40" s="74" t="inlineStr">
        <is>
          <t>não localizado</t>
        </is>
      </c>
      <c r="BK40" s="74" t="b">
        <v>0</v>
      </c>
      <c r="BL40" s="74" t="inlineStr">
        <is>
          <t>N/D</t>
        </is>
      </c>
      <c r="BM40" s="74" t="inlineStr">
        <is>
          <t>N/D</t>
        </is>
      </c>
      <c r="BN40" s="74" t="inlineStr">
        <is>
          <t>N/D</t>
        </is>
      </c>
      <c r="BO40" s="74" t="inlineStr">
        <is>
          <t>N/D</t>
        </is>
      </c>
      <c r="BP40" s="74" t="inlineStr">
        <is>
          <t>N/D</t>
        </is>
      </c>
      <c r="BQ40" s="74" t="inlineStr">
        <is>
          <t>N/D</t>
        </is>
      </c>
      <c r="BR40" s="74" t="inlineStr">
        <is>
          <t>N/D</t>
        </is>
      </c>
      <c r="BS40" s="74" t="inlineStr">
        <is>
          <t>sem_overlay</t>
        </is>
      </c>
      <c r="BT40" s="74" t="inlineStr">
        <is>
          <t>N/D</t>
        </is>
      </c>
      <c r="BU40" s="74" t="inlineStr">
        <is>
          <t>N/D</t>
        </is>
      </c>
      <c r="BV40" s="74" t="inlineStr">
        <is>
          <t>N/D</t>
        </is>
      </c>
      <c r="BW40" s="74" t="inlineStr">
        <is>
          <t>N/D</t>
        </is>
      </c>
      <c r="BX40" s="74" t="inlineStr">
        <is>
          <t>lacuna — regulamento integral não disponível nas fontes locais</t>
        </is>
      </c>
      <c r="BY40" s="74" t="inlineStr">
        <is>
          <t>N/D</t>
        </is>
      </c>
      <c r="BZ40" s="74" t="inlineStr">
        <is>
          <t>N/D</t>
        </is>
      </c>
      <c r="CA40" s="74" t="inlineStr">
        <is>
          <t>mínimo estrutural comparável; preço unitário da cota; originador; cedente; sacado/devedor; tipo de recebível</t>
        </is>
      </c>
      <c r="CB40" s="74" t="inlineStr">
        <is>
          <t>minimo_estrutural_ausente</t>
        </is>
      </c>
    </row>
    <row r="41" ht="31.5" customHeight="1">
      <c r="A41" s="75" t="n">
        <v>18</v>
      </c>
      <c r="B41" s="142" t="n">
        <v>58035124000192</v>
      </c>
      <c r="C41" s="75" t="inlineStr">
        <is>
          <t>58.035.124/0001-92</t>
        </is>
      </c>
      <c r="D41" s="75" t="inlineStr">
        <is>
          <t>FUNDO DE INVESTIMENTO EM DIREITOS CREDITÓRIOS CREDITAS AUTO XI</t>
        </is>
      </c>
      <c r="E41" s="75" t="inlineStr">
        <is>
          <t>Creditas Auto X, XI e XII</t>
        </is>
      </c>
      <c r="F41" s="75" t="inlineStr">
        <is>
          <t>Flagships</t>
        </is>
      </c>
      <c r="G41" s="75" t="inlineStr">
        <is>
          <t>2026-08</t>
        </is>
      </c>
      <c r="H41" s="75" t="inlineStr">
        <is>
          <t>localizado</t>
        </is>
      </c>
      <c r="I41" s="143" t="n">
        <v>282932825.66</v>
      </c>
      <c r="J41" s="143" t="n">
        <v>282932825.6589774</v>
      </c>
      <c r="K41" s="143" t="n">
        <v>69689764.03013942</v>
      </c>
      <c r="L41" s="144" t="n">
        <v>0.2463120490440565</v>
      </c>
      <c r="M41" s="75" t="inlineStr">
        <is>
          <t>Calculado com classes reportadas e PL oficial reconciliado</t>
        </is>
      </c>
      <c r="N41" s="144" t="inlineStr">
        <is>
          <t>N/D</t>
        </is>
      </c>
      <c r="O41" s="144" t="inlineStr">
        <is>
          <t>N/D</t>
        </is>
      </c>
      <c r="P41" s="144" t="inlineStr">
        <is>
          <t>N/D</t>
        </is>
      </c>
      <c r="Q41" s="144" t="inlineStr">
        <is>
          <t>N/D</t>
        </is>
      </c>
      <c r="R41" s="144" t="inlineStr">
        <is>
          <t>N/D</t>
        </is>
      </c>
      <c r="S41" s="144" t="inlineStr">
        <is>
          <t>N/D</t>
        </is>
      </c>
      <c r="T41" s="75" t="inlineStr">
        <is>
          <t>N/D</t>
        </is>
      </c>
      <c r="U41" s="75" t="inlineStr">
        <is>
          <t>sem_indice</t>
        </is>
      </c>
      <c r="V41" s="75" t="inlineStr">
        <is>
          <t>N/D</t>
        </is>
      </c>
      <c r="W41" s="75" t="b">
        <v>0</v>
      </c>
      <c r="X41" s="75" t="inlineStr">
        <is>
          <t>N/D — mínimo estrutural ou subordinação atual ausente</t>
        </is>
      </c>
      <c r="Y41" s="75" t="b">
        <v>0</v>
      </c>
      <c r="Z41" s="144" t="inlineStr">
        <is>
          <t>N/D</t>
        </is>
      </c>
      <c r="AA41" s="144" t="inlineStr">
        <is>
          <t>N/D</t>
        </is>
      </c>
      <c r="AB41" s="75" t="inlineStr">
        <is>
          <t>não medido</t>
        </is>
      </c>
      <c r="AC41" s="75" t="inlineStr">
        <is>
          <t>N/D</t>
        </is>
      </c>
      <c r="AD41" s="75" t="inlineStr">
        <is>
          <t>N/D</t>
        </is>
      </c>
      <c r="AE41" s="75" t="inlineStr">
        <is>
          <t>Veículos</t>
        </is>
      </c>
      <c r="AF41" s="75" t="inlineStr">
        <is>
          <t>Veículos</t>
        </is>
      </c>
      <c r="AG41" s="75" t="inlineStr">
        <is>
          <t>N/D</t>
        </is>
      </c>
      <c r="AH41" s="75" t="inlineStr">
        <is>
          <t>N/D</t>
        </is>
      </c>
      <c r="AI41" s="75" t="inlineStr">
        <is>
          <t>N/D</t>
        </is>
      </c>
      <c r="AJ41" s="75" t="b">
        <v>0</v>
      </c>
      <c r="AK41" s="75" t="inlineStr">
        <is>
          <t>N/D</t>
        </is>
      </c>
      <c r="AL41" s="75" t="inlineStr">
        <is>
          <t>N/D</t>
        </is>
      </c>
      <c r="AM41" s="75" t="inlineStr">
        <is>
          <t>N/D</t>
        </is>
      </c>
      <c r="AN41" s="75" t="inlineStr">
        <is>
          <t>N/D</t>
        </is>
      </c>
      <c r="AO41" s="75" t="inlineStr">
        <is>
          <t>N/D</t>
        </is>
      </c>
      <c r="AP41" s="75" t="inlineStr">
        <is>
          <t>N/D</t>
        </is>
      </c>
      <c r="AQ41" s="75" t="inlineStr">
        <is>
          <t>N/D</t>
        </is>
      </c>
      <c r="AR41" s="75" t="inlineStr">
        <is>
          <t>N/D</t>
        </is>
      </c>
      <c r="AS41" s="75" t="inlineStr">
        <is>
          <t>N/D</t>
        </is>
      </c>
      <c r="AT41" s="75" t="inlineStr">
        <is>
          <t>N/D</t>
        </is>
      </c>
      <c r="AU41" s="75" t="inlineStr">
        <is>
          <t>N/D</t>
        </is>
      </c>
      <c r="AV41" s="75" t="inlineStr">
        <is>
          <t>N/D</t>
        </is>
      </c>
      <c r="AW41" s="75" t="b">
        <v>0</v>
      </c>
      <c r="AX41" s="75" t="inlineStr">
        <is>
          <t>N/D</t>
        </is>
      </c>
      <c r="AY41" s="75" t="inlineStr">
        <is>
          <t>N/D</t>
        </is>
      </c>
      <c r="AZ41" s="144" t="inlineStr">
        <is>
          <t>N/D</t>
        </is>
      </c>
      <c r="BA41" s="75" t="inlineStr">
        <is>
          <t>N/D</t>
        </is>
      </c>
      <c r="BB41" s="145" t="inlineStr">
        <is>
          <t>N/D</t>
        </is>
      </c>
      <c r="BC41" s="143" t="inlineStr">
        <is>
          <t>N/D</t>
        </is>
      </c>
      <c r="BD41" s="75" t="inlineStr">
        <is>
          <t>N/D</t>
        </is>
      </c>
      <c r="BE41" s="75" t="inlineStr">
        <is>
          <t>N/D</t>
        </is>
      </c>
      <c r="BF41" s="75" t="inlineStr">
        <is>
          <t>N/D</t>
        </is>
      </c>
      <c r="BG41" s="75" t="inlineStr">
        <is>
          <t>N/D</t>
        </is>
      </c>
      <c r="BH41" s="75" t="inlineStr">
        <is>
          <t>N/D</t>
        </is>
      </c>
      <c r="BI41" s="75" t="inlineStr">
        <is>
          <t>N/D</t>
        </is>
      </c>
      <c r="BJ41" s="75" t="inlineStr">
        <is>
          <t>não localizado</t>
        </is>
      </c>
      <c r="BK41" s="75" t="b">
        <v>0</v>
      </c>
      <c r="BL41" s="75" t="inlineStr">
        <is>
          <t>N/D</t>
        </is>
      </c>
      <c r="BM41" s="75" t="inlineStr">
        <is>
          <t>N/D</t>
        </is>
      </c>
      <c r="BN41" s="75" t="inlineStr">
        <is>
          <t>N/D</t>
        </is>
      </c>
      <c r="BO41" s="75" t="inlineStr">
        <is>
          <t>N/D</t>
        </is>
      </c>
      <c r="BP41" s="75" t="inlineStr">
        <is>
          <t>N/D</t>
        </is>
      </c>
      <c r="BQ41" s="75" t="inlineStr">
        <is>
          <t>N/D</t>
        </is>
      </c>
      <c r="BR41" s="75" t="inlineStr">
        <is>
          <t>N/D</t>
        </is>
      </c>
      <c r="BS41" s="75" t="inlineStr">
        <is>
          <t>sem_overlay</t>
        </is>
      </c>
      <c r="BT41" s="75" t="inlineStr">
        <is>
          <t>N/D</t>
        </is>
      </c>
      <c r="BU41" s="75" t="inlineStr">
        <is>
          <t>N/D</t>
        </is>
      </c>
      <c r="BV41" s="75" t="inlineStr">
        <is>
          <t>N/D</t>
        </is>
      </c>
      <c r="BW41" s="75" t="inlineStr">
        <is>
          <t>N/D</t>
        </is>
      </c>
      <c r="BX41" s="75" t="inlineStr">
        <is>
          <t>lacuna — regulamento integral não disponível nas fontes locais</t>
        </is>
      </c>
      <c r="BY41" s="75" t="inlineStr">
        <is>
          <t>N/D</t>
        </is>
      </c>
      <c r="BZ41" s="75" t="inlineStr">
        <is>
          <t>N/D</t>
        </is>
      </c>
      <c r="CA41" s="75" t="inlineStr">
        <is>
          <t>mínimo estrutural comparável; preço unitário da cota; originador; cedente; sacado/devedor; tipo de recebível</t>
        </is>
      </c>
      <c r="CB41" s="75" t="inlineStr">
        <is>
          <t>minimo_estrutural_ausente</t>
        </is>
      </c>
    </row>
    <row r="42" ht="31.5" customHeight="1">
      <c r="A42" s="74" t="n">
        <v>19</v>
      </c>
      <c r="B42" s="138" t="n">
        <v>63662224000189</v>
      </c>
      <c r="C42" s="74" t="inlineStr">
        <is>
          <t>63.662.224/0001-89</t>
        </is>
      </c>
      <c r="D42" s="74" t="inlineStr">
        <is>
          <t>FIDC SANTANDER AUTO LOANS I SEGMENTO FINANCEIRO - RESPONSABILIDADE LIMITADA</t>
        </is>
      </c>
      <c r="E42" s="74" t="inlineStr">
        <is>
          <t>Santander Auto Loans I</t>
        </is>
      </c>
      <c r="F42" s="74" t="inlineStr">
        <is>
          <t>Flagships</t>
        </is>
      </c>
      <c r="G42" s="74" t="inlineStr">
        <is>
          <t>2026-08</t>
        </is>
      </c>
      <c r="H42" s="74" t="inlineStr">
        <is>
          <t>localizado</t>
        </is>
      </c>
      <c r="I42" s="139" t="n">
        <v>2234066329.65</v>
      </c>
      <c r="J42" s="139" t="n">
        <v>2234066329.656016</v>
      </c>
      <c r="K42" s="139" t="n">
        <v>296491137.414</v>
      </c>
      <c r="L42" s="140" t="n">
        <v>0.1327136681122846</v>
      </c>
      <c r="M42" s="74" t="inlineStr">
        <is>
          <t>Calculado com classes reportadas e PL oficial reconciliado</t>
        </is>
      </c>
      <c r="N42" s="140" t="inlineStr">
        <is>
          <t>N/D</t>
        </is>
      </c>
      <c r="O42" s="140" t="inlineStr">
        <is>
          <t>N/D</t>
        </is>
      </c>
      <c r="P42" s="140" t="inlineStr">
        <is>
          <t>N/D</t>
        </is>
      </c>
      <c r="Q42" s="140" t="inlineStr">
        <is>
          <t>N/D</t>
        </is>
      </c>
      <c r="R42" s="140" t="inlineStr">
        <is>
          <t>N/D</t>
        </is>
      </c>
      <c r="S42" s="140" t="inlineStr">
        <is>
          <t>N/D</t>
        </is>
      </c>
      <c r="T42" s="74" t="inlineStr">
        <is>
          <t>N/D</t>
        </is>
      </c>
      <c r="U42" s="74" t="inlineStr">
        <is>
          <t>sem_indice</t>
        </is>
      </c>
      <c r="V42" s="74" t="inlineStr">
        <is>
          <t>N/D</t>
        </is>
      </c>
      <c r="W42" s="74" t="b">
        <v>0</v>
      </c>
      <c r="X42" s="74" t="inlineStr">
        <is>
          <t>N/D — mínimo estrutural ou subordinação atual ausente</t>
        </is>
      </c>
      <c r="Y42" s="74" t="b">
        <v>0</v>
      </c>
      <c r="Z42" s="140" t="inlineStr">
        <is>
          <t>N/D</t>
        </is>
      </c>
      <c r="AA42" s="140" t="inlineStr">
        <is>
          <t>N/D</t>
        </is>
      </c>
      <c r="AB42" s="74" t="inlineStr">
        <is>
          <t>não medido</t>
        </is>
      </c>
      <c r="AC42" s="74" t="inlineStr">
        <is>
          <t>N/D</t>
        </is>
      </c>
      <c r="AD42" s="74" t="inlineStr">
        <is>
          <t>N/D</t>
        </is>
      </c>
      <c r="AE42" s="74" t="inlineStr">
        <is>
          <t>Veículos</t>
        </is>
      </c>
      <c r="AF42" s="74" t="inlineStr">
        <is>
          <t>Veículos</t>
        </is>
      </c>
      <c r="AG42" s="74" t="inlineStr">
        <is>
          <t>N/D</t>
        </is>
      </c>
      <c r="AH42" s="74" t="inlineStr">
        <is>
          <t>N/D</t>
        </is>
      </c>
      <c r="AI42" s="74" t="inlineStr">
        <is>
          <t>N/D</t>
        </is>
      </c>
      <c r="AJ42" s="74" t="b">
        <v>0</v>
      </c>
      <c r="AK42" s="74" t="inlineStr">
        <is>
          <t>N/D</t>
        </is>
      </c>
      <c r="AL42" s="74" t="inlineStr">
        <is>
          <t>N/D</t>
        </is>
      </c>
      <c r="AM42" s="74" t="inlineStr">
        <is>
          <t>N/D</t>
        </is>
      </c>
      <c r="AN42" s="74" t="inlineStr">
        <is>
          <t>N/D</t>
        </is>
      </c>
      <c r="AO42" s="74" t="inlineStr">
        <is>
          <t>N/D</t>
        </is>
      </c>
      <c r="AP42" s="74" t="inlineStr">
        <is>
          <t>N/D</t>
        </is>
      </c>
      <c r="AQ42" s="74" t="inlineStr">
        <is>
          <t>N/D</t>
        </is>
      </c>
      <c r="AR42" s="74" t="inlineStr">
        <is>
          <t>N/D</t>
        </is>
      </c>
      <c r="AS42" s="74" t="inlineStr">
        <is>
          <t>N/D</t>
        </is>
      </c>
      <c r="AT42" s="74" t="inlineStr">
        <is>
          <t>N/D</t>
        </is>
      </c>
      <c r="AU42" s="74" t="inlineStr">
        <is>
          <t>N/D</t>
        </is>
      </c>
      <c r="AV42" s="74" t="inlineStr">
        <is>
          <t>N/D</t>
        </is>
      </c>
      <c r="AW42" s="74" t="b">
        <v>0</v>
      </c>
      <c r="AX42" s="74" t="inlineStr">
        <is>
          <t>N/D</t>
        </is>
      </c>
      <c r="AY42" s="74" t="inlineStr">
        <is>
          <t>N/D</t>
        </is>
      </c>
      <c r="AZ42" s="140" t="inlineStr">
        <is>
          <t>N/D</t>
        </is>
      </c>
      <c r="BA42" s="74" t="inlineStr">
        <is>
          <t>N/D</t>
        </is>
      </c>
      <c r="BB42" s="141" t="inlineStr">
        <is>
          <t>N/D</t>
        </is>
      </c>
      <c r="BC42" s="139" t="inlineStr">
        <is>
          <t>N/D</t>
        </is>
      </c>
      <c r="BD42" s="74" t="inlineStr">
        <is>
          <t>N/D</t>
        </is>
      </c>
      <c r="BE42" s="74" t="inlineStr">
        <is>
          <t>N/D</t>
        </is>
      </c>
      <c r="BF42" s="74" t="inlineStr">
        <is>
          <t>N/D</t>
        </is>
      </c>
      <c r="BG42" s="74" t="inlineStr">
        <is>
          <t>N/D</t>
        </is>
      </c>
      <c r="BH42" s="74" t="inlineStr">
        <is>
          <t>N/D</t>
        </is>
      </c>
      <c r="BI42" s="74" t="inlineStr">
        <is>
          <t>N/D</t>
        </is>
      </c>
      <c r="BJ42" s="74" t="inlineStr">
        <is>
          <t>não localizado</t>
        </is>
      </c>
      <c r="BK42" s="74" t="b">
        <v>0</v>
      </c>
      <c r="BL42" s="74" t="inlineStr">
        <is>
          <t>N/D</t>
        </is>
      </c>
      <c r="BM42" s="74" t="inlineStr">
        <is>
          <t>N/D</t>
        </is>
      </c>
      <c r="BN42" s="74" t="inlineStr">
        <is>
          <t>N/D</t>
        </is>
      </c>
      <c r="BO42" s="74" t="inlineStr">
        <is>
          <t>N/D</t>
        </is>
      </c>
      <c r="BP42" s="74" t="inlineStr">
        <is>
          <t>N/D</t>
        </is>
      </c>
      <c r="BQ42" s="74" t="inlineStr">
        <is>
          <t>N/D</t>
        </is>
      </c>
      <c r="BR42" s="74" t="inlineStr">
        <is>
          <t>N/D</t>
        </is>
      </c>
      <c r="BS42" s="74" t="inlineStr">
        <is>
          <t>sem_overlay</t>
        </is>
      </c>
      <c r="BT42" s="74" t="inlineStr">
        <is>
          <t>N/D</t>
        </is>
      </c>
      <c r="BU42" s="74" t="inlineStr">
        <is>
          <t>1059307</t>
        </is>
      </c>
      <c r="BV42" s="74" t="inlineStr">
        <is>
          <t>2025-12-10</t>
        </is>
      </c>
      <c r="BW42" s="74" t="inlineStr">
        <is>
          <t>cláusulas de subordinação e definições revisadas</t>
        </is>
      </c>
      <c r="BX42" s="74" t="inlineStr">
        <is>
          <t>revisto — mínimo júnior não isolado</t>
        </is>
      </c>
      <c r="BY42" s="74" t="inlineStr">
        <is>
          <t>FundosNet/B3; documento 1059307; referência 2025-12-10; cláusulas candidatas revisadas</t>
        </is>
      </c>
      <c r="BZ42" s="74" t="inlineStr">
        <is>
          <t>N/D</t>
        </is>
      </c>
      <c r="CA42" s="74" t="inlineStr">
        <is>
          <t>mínimo estrutural comparável; preço unitário da cota; originador; cedente; sacado/devedor; tipo de recebível</t>
        </is>
      </c>
      <c r="CB42" s="74" t="inlineStr">
        <is>
          <t>minimo_estrutural_ausente</t>
        </is>
      </c>
    </row>
    <row r="43" ht="31.5" customHeight="1">
      <c r="A43" s="75" t="n">
        <v>20</v>
      </c>
      <c r="B43" s="142" t="n">
        <v>50114948000146</v>
      </c>
      <c r="C43" s="75" t="inlineStr">
        <is>
          <t>50.114.948/0001-46</t>
        </is>
      </c>
      <c r="D43" s="75" t="inlineStr">
        <is>
          <t>DRIVER BRASIL SIX BANCO VOLKSWAGEN FIDC FINANCIAMENTO DE VEÍCULOS - RESPONSABILIDADE LIMITADA</t>
        </is>
      </c>
      <c r="E43" s="75" t="inlineStr">
        <is>
          <t>Driver Brasil Six Banco Volkswagen</t>
        </is>
      </c>
      <c r="F43" s="75" t="inlineStr">
        <is>
          <t>Flagships</t>
        </is>
      </c>
      <c r="G43" s="75" t="inlineStr">
        <is>
          <t>2026-08</t>
        </is>
      </c>
      <c r="H43" s="75" t="inlineStr">
        <is>
          <t>localizado</t>
        </is>
      </c>
      <c r="I43" s="143" t="n">
        <v>1717932634.87</v>
      </c>
      <c r="J43" s="143" t="n">
        <v>1717932634.827409</v>
      </c>
      <c r="K43" s="143" t="n">
        <v>258597626.4874086</v>
      </c>
      <c r="L43" s="144" t="n">
        <v>0.1505283858275254</v>
      </c>
      <c r="M43" s="75" t="inlineStr">
        <is>
          <t>Calculado com classes reportadas e PL oficial reconciliado</t>
        </is>
      </c>
      <c r="N43" s="144" t="inlineStr">
        <is>
          <t>N/D</t>
        </is>
      </c>
      <c r="O43" s="144" t="inlineStr">
        <is>
          <t>N/D</t>
        </is>
      </c>
      <c r="P43" s="144" t="inlineStr">
        <is>
          <t>N/D</t>
        </is>
      </c>
      <c r="Q43" s="144" t="inlineStr">
        <is>
          <t>N/D</t>
        </is>
      </c>
      <c r="R43" s="144" t="inlineStr">
        <is>
          <t>N/D</t>
        </is>
      </c>
      <c r="S43" s="144" t="inlineStr">
        <is>
          <t>N/D</t>
        </is>
      </c>
      <c r="T43" s="75" t="inlineStr">
        <is>
          <t>N/D</t>
        </is>
      </c>
      <c r="U43" s="75" t="inlineStr">
        <is>
          <t>sem_indice</t>
        </is>
      </c>
      <c r="V43" s="75" t="inlineStr">
        <is>
          <t>N/D</t>
        </is>
      </c>
      <c r="W43" s="75" t="b">
        <v>0</v>
      </c>
      <c r="X43" s="75" t="inlineStr">
        <is>
          <t>N/D — mínimo estrutural ou subordinação atual ausente</t>
        </is>
      </c>
      <c r="Y43" s="75" t="b">
        <v>0</v>
      </c>
      <c r="Z43" s="144" t="inlineStr">
        <is>
          <t>N/D</t>
        </is>
      </c>
      <c r="AA43" s="144" t="inlineStr">
        <is>
          <t>N/D</t>
        </is>
      </c>
      <c r="AB43" s="75" t="inlineStr">
        <is>
          <t>não medido</t>
        </is>
      </c>
      <c r="AC43" s="75" t="inlineStr">
        <is>
          <t>N/D</t>
        </is>
      </c>
      <c r="AD43" s="75" t="inlineStr">
        <is>
          <t>N/D</t>
        </is>
      </c>
      <c r="AE43" s="75" t="inlineStr">
        <is>
          <t>Veículos</t>
        </is>
      </c>
      <c r="AF43" s="75" t="inlineStr">
        <is>
          <t>Veículos</t>
        </is>
      </c>
      <c r="AG43" s="75" t="inlineStr">
        <is>
          <t>N/D</t>
        </is>
      </c>
      <c r="AH43" s="75" t="inlineStr">
        <is>
          <t>N/D</t>
        </is>
      </c>
      <c r="AI43" s="75" t="inlineStr">
        <is>
          <t>N/D</t>
        </is>
      </c>
      <c r="AJ43" s="75" t="b">
        <v>0</v>
      </c>
      <c r="AK43" s="75" t="inlineStr">
        <is>
          <t>N/D</t>
        </is>
      </c>
      <c r="AL43" s="75" t="inlineStr">
        <is>
          <t>N/D</t>
        </is>
      </c>
      <c r="AM43" s="75" t="inlineStr">
        <is>
          <t>N/D</t>
        </is>
      </c>
      <c r="AN43" s="75" t="inlineStr">
        <is>
          <t>N/D</t>
        </is>
      </c>
      <c r="AO43" s="75" t="inlineStr">
        <is>
          <t>N/D</t>
        </is>
      </c>
      <c r="AP43" s="75" t="inlineStr">
        <is>
          <t>N/D</t>
        </is>
      </c>
      <c r="AQ43" s="75" t="inlineStr">
        <is>
          <t>N/D</t>
        </is>
      </c>
      <c r="AR43" s="75" t="inlineStr">
        <is>
          <t>N/D</t>
        </is>
      </c>
      <c r="AS43" s="75" t="inlineStr">
        <is>
          <t>N/D</t>
        </is>
      </c>
      <c r="AT43" s="75" t="inlineStr">
        <is>
          <t>N/D</t>
        </is>
      </c>
      <c r="AU43" s="75" t="inlineStr">
        <is>
          <t>N/D</t>
        </is>
      </c>
      <c r="AV43" s="75" t="inlineStr">
        <is>
          <t>N/D</t>
        </is>
      </c>
      <c r="AW43" s="75" t="b">
        <v>0</v>
      </c>
      <c r="AX43" s="75" t="inlineStr">
        <is>
          <t>N/D</t>
        </is>
      </c>
      <c r="AY43" s="75" t="inlineStr">
        <is>
          <t>N/D</t>
        </is>
      </c>
      <c r="AZ43" s="144" t="inlineStr">
        <is>
          <t>N/D</t>
        </is>
      </c>
      <c r="BA43" s="75" t="inlineStr">
        <is>
          <t>N/D</t>
        </is>
      </c>
      <c r="BB43" s="145" t="inlineStr">
        <is>
          <t>N/D</t>
        </is>
      </c>
      <c r="BC43" s="143" t="inlineStr">
        <is>
          <t>N/D</t>
        </is>
      </c>
      <c r="BD43" s="75" t="inlineStr">
        <is>
          <t>N/D</t>
        </is>
      </c>
      <c r="BE43" s="75" t="inlineStr">
        <is>
          <t>N/D</t>
        </is>
      </c>
      <c r="BF43" s="75" t="inlineStr">
        <is>
          <t>N/D</t>
        </is>
      </c>
      <c r="BG43" s="75" t="inlineStr">
        <is>
          <t>N/D</t>
        </is>
      </c>
      <c r="BH43" s="75" t="inlineStr">
        <is>
          <t>N/D</t>
        </is>
      </c>
      <c r="BI43" s="75" t="inlineStr">
        <is>
          <t>N/D</t>
        </is>
      </c>
      <c r="BJ43" s="75" t="inlineStr">
        <is>
          <t>não localizado</t>
        </is>
      </c>
      <c r="BK43" s="75" t="b">
        <v>0</v>
      </c>
      <c r="BL43" s="75" t="inlineStr">
        <is>
          <t>N/D</t>
        </is>
      </c>
      <c r="BM43" s="75" t="inlineStr">
        <is>
          <t>N/D</t>
        </is>
      </c>
      <c r="BN43" s="75" t="inlineStr">
        <is>
          <t>N/D</t>
        </is>
      </c>
      <c r="BO43" s="75" t="inlineStr">
        <is>
          <t>N/D</t>
        </is>
      </c>
      <c r="BP43" s="75" t="inlineStr">
        <is>
          <t>N/D</t>
        </is>
      </c>
      <c r="BQ43" s="75" t="inlineStr">
        <is>
          <t>N/D</t>
        </is>
      </c>
      <c r="BR43" s="75" t="inlineStr">
        <is>
          <t>N/D</t>
        </is>
      </c>
      <c r="BS43" s="75" t="inlineStr">
        <is>
          <t>sem_overlay</t>
        </is>
      </c>
      <c r="BT43" s="75" t="inlineStr">
        <is>
          <t>N/D</t>
        </is>
      </c>
      <c r="BU43" s="75" t="inlineStr">
        <is>
          <t>N/D</t>
        </is>
      </c>
      <c r="BV43" s="75" t="inlineStr">
        <is>
          <t>N/D</t>
        </is>
      </c>
      <c r="BW43" s="75" t="inlineStr">
        <is>
          <t>N/D</t>
        </is>
      </c>
      <c r="BX43" s="75" t="inlineStr">
        <is>
          <t>lacuna — regulamento integral não disponível nas fontes locais</t>
        </is>
      </c>
      <c r="BY43" s="75" t="inlineStr">
        <is>
          <t>N/D</t>
        </is>
      </c>
      <c r="BZ43" s="75" t="inlineStr">
        <is>
          <t>N/D</t>
        </is>
      </c>
      <c r="CA43" s="75" t="inlineStr">
        <is>
          <t>mínimo estrutural comparável; preço unitário da cota; originador; cedente; sacado/devedor; tipo de recebível</t>
        </is>
      </c>
      <c r="CB43" s="75" t="inlineStr">
        <is>
          <t>minimo_estrutural_ausente</t>
        </is>
      </c>
    </row>
    <row r="44" ht="31.5" customHeight="1">
      <c r="A44" s="74" t="n">
        <v>21</v>
      </c>
      <c r="B44" s="138" t="n">
        <v>62543802000103</v>
      </c>
      <c r="C44" s="74" t="inlineStr">
        <is>
          <t>62.543.802/0001-03</t>
        </is>
      </c>
      <c r="D44" s="74" t="inlineStr">
        <is>
          <t>PINE LIFT I CARTÃO INSS FIDC - RESP LIMITADA</t>
        </is>
      </c>
      <c r="E44" s="74" t="inlineStr">
        <is>
          <t>Pine Lift I Cartão INSS</t>
        </is>
      </c>
      <c r="F44" s="74" t="inlineStr">
        <is>
          <t>Flagships</t>
        </is>
      </c>
      <c r="G44" s="74" t="inlineStr">
        <is>
          <t>2026-08</t>
        </is>
      </c>
      <c r="H44" s="74" t="inlineStr">
        <is>
          <t>localizado</t>
        </is>
      </c>
      <c r="I44" s="139" t="n">
        <v>156842036.36</v>
      </c>
      <c r="J44" s="139" t="n">
        <v>157003762.060002</v>
      </c>
      <c r="K44" s="139" t="n">
        <v>28087695.01007579</v>
      </c>
      <c r="L44" s="140" t="n">
        <v>0.1790826978655519</v>
      </c>
      <c r="M44" s="74" t="inlineStr">
        <is>
          <t>Calculado com classes reportadas e PL oficial reconciliado</t>
        </is>
      </c>
      <c r="N44" s="140" t="inlineStr">
        <is>
          <t>N/D</t>
        </is>
      </c>
      <c r="O44" s="140" t="inlineStr">
        <is>
          <t>N/D</t>
        </is>
      </c>
      <c r="P44" s="140" t="inlineStr">
        <is>
          <t>N/D</t>
        </is>
      </c>
      <c r="Q44" s="140" t="inlineStr">
        <is>
          <t>N/D</t>
        </is>
      </c>
      <c r="R44" s="140" t="inlineStr">
        <is>
          <t>N/D</t>
        </is>
      </c>
      <c r="S44" s="140" t="inlineStr">
        <is>
          <t>N/D</t>
        </is>
      </c>
      <c r="T44" s="74" t="inlineStr">
        <is>
          <t>N/D</t>
        </is>
      </c>
      <c r="U44" s="74" t="inlineStr">
        <is>
          <t>sem_indice</t>
        </is>
      </c>
      <c r="V44" s="74" t="inlineStr">
        <is>
          <t>N/D</t>
        </is>
      </c>
      <c r="W44" s="74" t="b">
        <v>0</v>
      </c>
      <c r="X44" s="74" t="inlineStr">
        <is>
          <t>N/D — mínimo estrutural ou subordinação atual ausente</t>
        </is>
      </c>
      <c r="Y44" s="74" t="b">
        <v>0</v>
      </c>
      <c r="Z44" s="140" t="inlineStr">
        <is>
          <t>N/D</t>
        </is>
      </c>
      <c r="AA44" s="140" t="inlineStr">
        <is>
          <t>N/D</t>
        </is>
      </c>
      <c r="AB44" s="74" t="inlineStr">
        <is>
          <t>não medido</t>
        </is>
      </c>
      <c r="AC44" s="74" t="inlineStr">
        <is>
          <t>N/D</t>
        </is>
      </c>
      <c r="AD44" s="74" t="inlineStr">
        <is>
          <t>N/D</t>
        </is>
      </c>
      <c r="AE44" s="74" t="inlineStr">
        <is>
          <t>Cartão consignado</t>
        </is>
      </c>
      <c r="AF44" s="74" t="inlineStr">
        <is>
          <t>Financeiro</t>
        </is>
      </c>
      <c r="AG44" s="74" t="inlineStr">
        <is>
          <t>N/D</t>
        </is>
      </c>
      <c r="AH44" s="74" t="inlineStr">
        <is>
          <t>N/D</t>
        </is>
      </c>
      <c r="AI44" s="74" t="inlineStr">
        <is>
          <t>N/D</t>
        </is>
      </c>
      <c r="AJ44" s="74" t="b">
        <v>0</v>
      </c>
      <c r="AK44" s="74" t="inlineStr">
        <is>
          <t>N/D</t>
        </is>
      </c>
      <c r="AL44" s="74" t="inlineStr">
        <is>
          <t>N/D</t>
        </is>
      </c>
      <c r="AM44" s="74" t="inlineStr">
        <is>
          <t>N/D</t>
        </is>
      </c>
      <c r="AN44" s="74" t="inlineStr">
        <is>
          <t>N/D</t>
        </is>
      </c>
      <c r="AO44" s="74" t="inlineStr">
        <is>
          <t>N/D</t>
        </is>
      </c>
      <c r="AP44" s="74" t="inlineStr">
        <is>
          <t>N/D</t>
        </is>
      </c>
      <c r="AQ44" s="74" t="inlineStr">
        <is>
          <t>N/D</t>
        </is>
      </c>
      <c r="AR44" s="74" t="inlineStr">
        <is>
          <t>N/D</t>
        </is>
      </c>
      <c r="AS44" s="74" t="inlineStr">
        <is>
          <t>N/D</t>
        </is>
      </c>
      <c r="AT44" s="74" t="inlineStr">
        <is>
          <t>N/D</t>
        </is>
      </c>
      <c r="AU44" s="74" t="inlineStr">
        <is>
          <t>N/D</t>
        </is>
      </c>
      <c r="AV44" s="74" t="inlineStr">
        <is>
          <t>N/D</t>
        </is>
      </c>
      <c r="AW44" s="74" t="b">
        <v>0</v>
      </c>
      <c r="AX44" s="74" t="inlineStr">
        <is>
          <t>N/D</t>
        </is>
      </c>
      <c r="AY44" s="74" t="inlineStr">
        <is>
          <t>N/D</t>
        </is>
      </c>
      <c r="AZ44" s="140" t="inlineStr">
        <is>
          <t>N/D</t>
        </is>
      </c>
      <c r="BA44" s="74" t="inlineStr">
        <is>
          <t>N/D</t>
        </is>
      </c>
      <c r="BB44" s="141" t="inlineStr">
        <is>
          <t>N/D</t>
        </is>
      </c>
      <c r="BC44" s="139" t="inlineStr">
        <is>
          <t>N/D</t>
        </is>
      </c>
      <c r="BD44" s="74" t="inlineStr">
        <is>
          <t>N/D</t>
        </is>
      </c>
      <c r="BE44" s="74" t="inlineStr">
        <is>
          <t>N/D</t>
        </is>
      </c>
      <c r="BF44" s="74" t="inlineStr">
        <is>
          <t>N/D</t>
        </is>
      </c>
      <c r="BG44" s="74" t="inlineStr">
        <is>
          <t>N/D</t>
        </is>
      </c>
      <c r="BH44" s="74" t="inlineStr">
        <is>
          <t>N/D</t>
        </is>
      </c>
      <c r="BI44" s="74" t="inlineStr">
        <is>
          <t>N/D</t>
        </is>
      </c>
      <c r="BJ44" s="74" t="inlineStr">
        <is>
          <t>não localizado</t>
        </is>
      </c>
      <c r="BK44" s="74" t="b">
        <v>0</v>
      </c>
      <c r="BL44" s="74" t="inlineStr">
        <is>
          <t>N/D</t>
        </is>
      </c>
      <c r="BM44" s="74" t="inlineStr">
        <is>
          <t>N/D</t>
        </is>
      </c>
      <c r="BN44" s="74" t="inlineStr">
        <is>
          <t>N/D</t>
        </is>
      </c>
      <c r="BO44" s="74" t="inlineStr">
        <is>
          <t>N/D</t>
        </is>
      </c>
      <c r="BP44" s="74" t="inlineStr">
        <is>
          <t>N/D</t>
        </is>
      </c>
      <c r="BQ44" s="74" t="inlineStr">
        <is>
          <t>N/D</t>
        </is>
      </c>
      <c r="BR44" s="74" t="inlineStr">
        <is>
          <t>N/D</t>
        </is>
      </c>
      <c r="BS44" s="74" t="inlineStr">
        <is>
          <t>sem_overlay</t>
        </is>
      </c>
      <c r="BT44" s="74" t="inlineStr">
        <is>
          <t>N/D</t>
        </is>
      </c>
      <c r="BU44" s="74" t="inlineStr">
        <is>
          <t>N/D</t>
        </is>
      </c>
      <c r="BV44" s="74" t="inlineStr">
        <is>
          <t>N/D</t>
        </is>
      </c>
      <c r="BW44" s="74" t="inlineStr">
        <is>
          <t>N/D</t>
        </is>
      </c>
      <c r="BX44" s="74" t="inlineStr">
        <is>
          <t>lacuna — regulamento integral não disponível nas fontes locais</t>
        </is>
      </c>
      <c r="BY44" s="74" t="inlineStr">
        <is>
          <t>N/D</t>
        </is>
      </c>
      <c r="BZ44" s="74" t="inlineStr">
        <is>
          <t>N/D</t>
        </is>
      </c>
      <c r="CA44" s="74" t="inlineStr">
        <is>
          <t>mínimo estrutural comparável; preço unitário da cota; originador; cedente; sacado/devedor; tipo de recebível</t>
        </is>
      </c>
      <c r="CB44" s="74" t="inlineStr">
        <is>
          <t>minimo_estrutural_ausente</t>
        </is>
      </c>
    </row>
    <row r="45" ht="31.5" customHeight="1">
      <c r="A45" s="75" t="n">
        <v>22</v>
      </c>
      <c r="B45" s="142" t="n">
        <v>55316469000126</v>
      </c>
      <c r="C45" s="75" t="inlineStr">
        <is>
          <t>55.316.469/0001-26</t>
        </is>
      </c>
      <c r="D45" s="75" t="inlineStr">
        <is>
          <t>SOMAPAY CARTÃO CONSIGNADO PÚBLICO FUNDO DE INVESTIMENTO EM DIREITOS CREDITÓRIOS RESP LIMITADA</t>
        </is>
      </c>
      <c r="E45" s="75" t="inlineStr">
        <is>
          <t>Somapay Cartão Consignado Público</t>
        </is>
      </c>
      <c r="F45" s="75" t="inlineStr">
        <is>
          <t>Flagships</t>
        </is>
      </c>
      <c r="G45" s="75" t="inlineStr">
        <is>
          <t>2026-08</t>
        </is>
      </c>
      <c r="H45" s="75" t="inlineStr">
        <is>
          <t>localizado</t>
        </is>
      </c>
      <c r="I45" s="143" t="n">
        <v>165703933.81</v>
      </c>
      <c r="J45" s="143" t="n">
        <v>165703933.8099347</v>
      </c>
      <c r="K45" s="143" t="n">
        <v>72181604.50992766</v>
      </c>
      <c r="L45" s="144" t="n">
        <v>0.4356058595005522</v>
      </c>
      <c r="M45" s="75" t="inlineStr">
        <is>
          <t>Calculado com classes reportadas e PL oficial reconciliado</t>
        </is>
      </c>
      <c r="N45" s="144" t="inlineStr">
        <is>
          <t>N/D</t>
        </is>
      </c>
      <c r="O45" s="144" t="inlineStr">
        <is>
          <t>N/D</t>
        </is>
      </c>
      <c r="P45" s="144" t="inlineStr">
        <is>
          <t>N/D</t>
        </is>
      </c>
      <c r="Q45" s="144" t="inlineStr">
        <is>
          <t>N/D</t>
        </is>
      </c>
      <c r="R45" s="144" t="inlineStr">
        <is>
          <t>N/D</t>
        </is>
      </c>
      <c r="S45" s="144" t="inlineStr">
        <is>
          <t>N/D</t>
        </is>
      </c>
      <c r="T45" s="75" t="inlineStr">
        <is>
          <t>N/D</t>
        </is>
      </c>
      <c r="U45" s="75" t="inlineStr">
        <is>
          <t>sem_indice</t>
        </is>
      </c>
      <c r="V45" s="75" t="inlineStr">
        <is>
          <t>N/D</t>
        </is>
      </c>
      <c r="W45" s="75" t="b">
        <v>0</v>
      </c>
      <c r="X45" s="75" t="inlineStr">
        <is>
          <t>N/D — mínimo estrutural ou subordinação atual ausente</t>
        </is>
      </c>
      <c r="Y45" s="75" t="b">
        <v>0</v>
      </c>
      <c r="Z45" s="144" t="inlineStr">
        <is>
          <t>N/D</t>
        </is>
      </c>
      <c r="AA45" s="144" t="inlineStr">
        <is>
          <t>N/D</t>
        </is>
      </c>
      <c r="AB45" s="75" t="inlineStr">
        <is>
          <t>não medido</t>
        </is>
      </c>
      <c r="AC45" s="75" t="inlineStr">
        <is>
          <t>N/D</t>
        </is>
      </c>
      <c r="AD45" s="75" t="inlineStr">
        <is>
          <t>N/D</t>
        </is>
      </c>
      <c r="AE45" s="75" t="inlineStr">
        <is>
          <t>Cartão consignado</t>
        </is>
      </c>
      <c r="AF45" s="75" t="inlineStr">
        <is>
          <t>Financeiro</t>
        </is>
      </c>
      <c r="AG45" s="75" t="inlineStr">
        <is>
          <t>N/D</t>
        </is>
      </c>
      <c r="AH45" s="75" t="inlineStr">
        <is>
          <t>N/D</t>
        </is>
      </c>
      <c r="AI45" s="75" t="inlineStr">
        <is>
          <t>N/D</t>
        </is>
      </c>
      <c r="AJ45" s="75" t="b">
        <v>0</v>
      </c>
      <c r="AK45" s="75" t="inlineStr">
        <is>
          <t>N/D</t>
        </is>
      </c>
      <c r="AL45" s="75" t="inlineStr">
        <is>
          <t>N/D</t>
        </is>
      </c>
      <c r="AM45" s="75" t="inlineStr">
        <is>
          <t>N/D</t>
        </is>
      </c>
      <c r="AN45" s="75" t="inlineStr">
        <is>
          <t>N/D</t>
        </is>
      </c>
      <c r="AO45" s="75" t="inlineStr">
        <is>
          <t>N/D</t>
        </is>
      </c>
      <c r="AP45" s="75" t="inlineStr">
        <is>
          <t>N/D</t>
        </is>
      </c>
      <c r="AQ45" s="75" t="inlineStr">
        <is>
          <t>N/D</t>
        </is>
      </c>
      <c r="AR45" s="75" t="inlineStr">
        <is>
          <t>N/D</t>
        </is>
      </c>
      <c r="AS45" s="75" t="inlineStr">
        <is>
          <t>N/D</t>
        </is>
      </c>
      <c r="AT45" s="75" t="inlineStr">
        <is>
          <t>N/D</t>
        </is>
      </c>
      <c r="AU45" s="75" t="inlineStr">
        <is>
          <t>N/D</t>
        </is>
      </c>
      <c r="AV45" s="75" t="inlineStr">
        <is>
          <t>N/D</t>
        </is>
      </c>
      <c r="AW45" s="75" t="b">
        <v>0</v>
      </c>
      <c r="AX45" s="75" t="inlineStr">
        <is>
          <t>N/D</t>
        </is>
      </c>
      <c r="AY45" s="75" t="inlineStr">
        <is>
          <t>N/D</t>
        </is>
      </c>
      <c r="AZ45" s="144" t="inlineStr">
        <is>
          <t>N/D</t>
        </is>
      </c>
      <c r="BA45" s="75" t="inlineStr">
        <is>
          <t>N/D</t>
        </is>
      </c>
      <c r="BB45" s="145" t="inlineStr">
        <is>
          <t>N/D</t>
        </is>
      </c>
      <c r="BC45" s="143" t="inlineStr">
        <is>
          <t>N/D</t>
        </is>
      </c>
      <c r="BD45" s="75" t="inlineStr">
        <is>
          <t>N/D</t>
        </is>
      </c>
      <c r="BE45" s="75" t="inlineStr">
        <is>
          <t>N/D</t>
        </is>
      </c>
      <c r="BF45" s="75" t="inlineStr">
        <is>
          <t>N/D</t>
        </is>
      </c>
      <c r="BG45" s="75" t="inlineStr">
        <is>
          <t>N/D</t>
        </is>
      </c>
      <c r="BH45" s="75" t="inlineStr">
        <is>
          <t>N/D</t>
        </is>
      </c>
      <c r="BI45" s="75" t="inlineStr">
        <is>
          <t>N/D</t>
        </is>
      </c>
      <c r="BJ45" s="75" t="inlineStr">
        <is>
          <t>não localizado</t>
        </is>
      </c>
      <c r="BK45" s="75" t="b">
        <v>0</v>
      </c>
      <c r="BL45" s="75" t="inlineStr">
        <is>
          <t>N/D</t>
        </is>
      </c>
      <c r="BM45" s="75" t="inlineStr">
        <is>
          <t>N/D</t>
        </is>
      </c>
      <c r="BN45" s="75" t="inlineStr">
        <is>
          <t>N/D</t>
        </is>
      </c>
      <c r="BO45" s="75" t="inlineStr">
        <is>
          <t>N/D</t>
        </is>
      </c>
      <c r="BP45" s="75" t="inlineStr">
        <is>
          <t>N/D</t>
        </is>
      </c>
      <c r="BQ45" s="75" t="inlineStr">
        <is>
          <t>N/D</t>
        </is>
      </c>
      <c r="BR45" s="75" t="inlineStr">
        <is>
          <t>N/D</t>
        </is>
      </c>
      <c r="BS45" s="75" t="inlineStr">
        <is>
          <t>sem_overlay</t>
        </is>
      </c>
      <c r="BT45" s="75" t="inlineStr">
        <is>
          <t>N/D</t>
        </is>
      </c>
      <c r="BU45" s="75" t="inlineStr">
        <is>
          <t>N/D</t>
        </is>
      </c>
      <c r="BV45" s="75" t="inlineStr">
        <is>
          <t>N/D</t>
        </is>
      </c>
      <c r="BW45" s="75" t="inlineStr">
        <is>
          <t>N/D</t>
        </is>
      </c>
      <c r="BX45" s="75" t="inlineStr">
        <is>
          <t>lacuna — regulamento integral não disponível nas fontes locais</t>
        </is>
      </c>
      <c r="BY45" s="75" t="inlineStr">
        <is>
          <t>N/D</t>
        </is>
      </c>
      <c r="BZ45" s="75" t="inlineStr">
        <is>
          <t>N/D</t>
        </is>
      </c>
      <c r="CA45" s="75" t="inlineStr">
        <is>
          <t>mínimo estrutural comparável; preço unitário da cota; originador; cedente; sacado/devedor; tipo de recebível</t>
        </is>
      </c>
      <c r="CB45" s="75" t="inlineStr">
        <is>
          <t>minimo_estrutural_ausente</t>
        </is>
      </c>
    </row>
    <row r="46" ht="31.5" customHeight="1">
      <c r="A46" s="74" t="n">
        <v>23</v>
      </c>
      <c r="B46" s="138" t="n">
        <v>58188881000104</v>
      </c>
      <c r="C46" s="74" t="inlineStr">
        <is>
          <t>58.188.881/0001-04</t>
        </is>
      </c>
      <c r="D46" s="74" t="inlineStr">
        <is>
          <t>FUNDO DE INVESTIMENTO EM DIREITOS CREDITÓRIOS MT CARTÃO CONSIGNADO I</t>
        </is>
      </c>
      <c r="E46" s="74" t="inlineStr">
        <is>
          <t>MT Cartão Consignado I</t>
        </is>
      </c>
      <c r="F46" s="74" t="inlineStr">
        <is>
          <t>Flagships</t>
        </is>
      </c>
      <c r="G46" s="74" t="inlineStr">
        <is>
          <t>2026-08</t>
        </is>
      </c>
      <c r="H46" s="74" t="inlineStr">
        <is>
          <t>localizado</t>
        </is>
      </c>
      <c r="I46" s="139" t="n">
        <v>70275566.59</v>
      </c>
      <c r="J46" s="139" t="n">
        <v>70275566.58953458</v>
      </c>
      <c r="K46" s="139" t="n">
        <v>1905940.039476934</v>
      </c>
      <c r="L46" s="140" t="n">
        <v>0.02712094874448359</v>
      </c>
      <c r="M46" s="74" t="inlineStr">
        <is>
          <t>Calculado com classes reportadas e PL oficial reconciliado</t>
        </is>
      </c>
      <c r="N46" s="140" t="inlineStr">
        <is>
          <t>N/D</t>
        </is>
      </c>
      <c r="O46" s="140" t="inlineStr">
        <is>
          <t>N/D</t>
        </is>
      </c>
      <c r="P46" s="140" t="inlineStr">
        <is>
          <t>N/D</t>
        </is>
      </c>
      <c r="Q46" s="140" t="inlineStr">
        <is>
          <t>N/D</t>
        </is>
      </c>
      <c r="R46" s="140" t="inlineStr">
        <is>
          <t>N/D</t>
        </is>
      </c>
      <c r="S46" s="140" t="inlineStr">
        <is>
          <t>N/D</t>
        </is>
      </c>
      <c r="T46" s="74" t="inlineStr">
        <is>
          <t>N/D</t>
        </is>
      </c>
      <c r="U46" s="74" t="inlineStr">
        <is>
          <t>sem_indice</t>
        </is>
      </c>
      <c r="V46" s="74" t="inlineStr">
        <is>
          <t>N/D</t>
        </is>
      </c>
      <c r="W46" s="74" t="b">
        <v>0</v>
      </c>
      <c r="X46" s="74" t="inlineStr">
        <is>
          <t>N/D — mínimo estrutural ou subordinação atual ausente</t>
        </is>
      </c>
      <c r="Y46" s="74" t="b">
        <v>0</v>
      </c>
      <c r="Z46" s="140" t="inlineStr">
        <is>
          <t>N/D</t>
        </is>
      </c>
      <c r="AA46" s="140" t="inlineStr">
        <is>
          <t>N/D</t>
        </is>
      </c>
      <c r="AB46" s="74" t="inlineStr">
        <is>
          <t>não medido</t>
        </is>
      </c>
      <c r="AC46" s="74" t="inlineStr">
        <is>
          <t>N/D</t>
        </is>
      </c>
      <c r="AD46" s="74" t="inlineStr">
        <is>
          <t>N/D</t>
        </is>
      </c>
      <c r="AE46" s="74" t="inlineStr">
        <is>
          <t>Cartão consignado</t>
        </is>
      </c>
      <c r="AF46" s="74" t="inlineStr">
        <is>
          <t>Financeiro</t>
        </is>
      </c>
      <c r="AG46" s="74" t="inlineStr">
        <is>
          <t>N/D</t>
        </is>
      </c>
      <c r="AH46" s="74" t="inlineStr">
        <is>
          <t>N/D</t>
        </is>
      </c>
      <c r="AI46" s="74" t="inlineStr">
        <is>
          <t>N/D</t>
        </is>
      </c>
      <c r="AJ46" s="74" t="b">
        <v>0</v>
      </c>
      <c r="AK46" s="74" t="inlineStr">
        <is>
          <t>N/D</t>
        </is>
      </c>
      <c r="AL46" s="74" t="inlineStr">
        <is>
          <t>N/D</t>
        </is>
      </c>
      <c r="AM46" s="74" t="inlineStr">
        <is>
          <t>N/D</t>
        </is>
      </c>
      <c r="AN46" s="74" t="inlineStr">
        <is>
          <t>N/D</t>
        </is>
      </c>
      <c r="AO46" s="74" t="inlineStr">
        <is>
          <t>N/D</t>
        </is>
      </c>
      <c r="AP46" s="74" t="inlineStr">
        <is>
          <t>N/D</t>
        </is>
      </c>
      <c r="AQ46" s="74" t="inlineStr">
        <is>
          <t>N/D</t>
        </is>
      </c>
      <c r="AR46" s="74" t="inlineStr">
        <is>
          <t>N/D</t>
        </is>
      </c>
      <c r="AS46" s="74" t="inlineStr">
        <is>
          <t>N/D</t>
        </is>
      </c>
      <c r="AT46" s="74" t="inlineStr">
        <is>
          <t>N/D</t>
        </is>
      </c>
      <c r="AU46" s="74" t="inlineStr">
        <is>
          <t>N/D</t>
        </is>
      </c>
      <c r="AV46" s="74" t="inlineStr">
        <is>
          <t>N/D</t>
        </is>
      </c>
      <c r="AW46" s="74" t="b">
        <v>0</v>
      </c>
      <c r="AX46" s="74" t="inlineStr">
        <is>
          <t>N/D</t>
        </is>
      </c>
      <c r="AY46" s="74" t="inlineStr">
        <is>
          <t>N/D</t>
        </is>
      </c>
      <c r="AZ46" s="140" t="inlineStr">
        <is>
          <t>N/D</t>
        </is>
      </c>
      <c r="BA46" s="74" t="inlineStr">
        <is>
          <t>N/D</t>
        </is>
      </c>
      <c r="BB46" s="141" t="inlineStr">
        <is>
          <t>N/D</t>
        </is>
      </c>
      <c r="BC46" s="139" t="inlineStr">
        <is>
          <t>N/D</t>
        </is>
      </c>
      <c r="BD46" s="74" t="inlineStr">
        <is>
          <t>N/D</t>
        </is>
      </c>
      <c r="BE46" s="74" t="inlineStr">
        <is>
          <t>N/D</t>
        </is>
      </c>
      <c r="BF46" s="74" t="inlineStr">
        <is>
          <t>N/D</t>
        </is>
      </c>
      <c r="BG46" s="74" t="inlineStr">
        <is>
          <t>N/D</t>
        </is>
      </c>
      <c r="BH46" s="74" t="inlineStr">
        <is>
          <t>N/D</t>
        </is>
      </c>
      <c r="BI46" s="74" t="inlineStr">
        <is>
          <t>N/D</t>
        </is>
      </c>
      <c r="BJ46" s="74" t="inlineStr">
        <is>
          <t>não localizado</t>
        </is>
      </c>
      <c r="BK46" s="74" t="b">
        <v>0</v>
      </c>
      <c r="BL46" s="74" t="inlineStr">
        <is>
          <t>N/D</t>
        </is>
      </c>
      <c r="BM46" s="74" t="inlineStr">
        <is>
          <t>N/D</t>
        </is>
      </c>
      <c r="BN46" s="74" t="inlineStr">
        <is>
          <t>N/D</t>
        </is>
      </c>
      <c r="BO46" s="74" t="inlineStr">
        <is>
          <t>N/D</t>
        </is>
      </c>
      <c r="BP46" s="74" t="inlineStr">
        <is>
          <t>N/D</t>
        </is>
      </c>
      <c r="BQ46" s="74" t="inlineStr">
        <is>
          <t>N/D</t>
        </is>
      </c>
      <c r="BR46" s="74" t="inlineStr">
        <is>
          <t>N/D</t>
        </is>
      </c>
      <c r="BS46" s="74" t="inlineStr">
        <is>
          <t>sem_overlay</t>
        </is>
      </c>
      <c r="BT46" s="74" t="inlineStr">
        <is>
          <t>N/D</t>
        </is>
      </c>
      <c r="BU46" s="74" t="inlineStr">
        <is>
          <t>N/D</t>
        </is>
      </c>
      <c r="BV46" s="74" t="inlineStr">
        <is>
          <t>N/D</t>
        </is>
      </c>
      <c r="BW46" s="74" t="inlineStr">
        <is>
          <t>N/D</t>
        </is>
      </c>
      <c r="BX46" s="74" t="inlineStr">
        <is>
          <t>lacuna — regulamento integral não disponível nas fontes locais</t>
        </is>
      </c>
      <c r="BY46" s="74" t="inlineStr">
        <is>
          <t>N/D</t>
        </is>
      </c>
      <c r="BZ46" s="74" t="inlineStr">
        <is>
          <t>N/D</t>
        </is>
      </c>
      <c r="CA46" s="74" t="inlineStr">
        <is>
          <t>mínimo estrutural comparável; preço unitário da cota; originador; cedente; sacado/devedor; tipo de recebível</t>
        </is>
      </c>
      <c r="CB46" s="74" t="inlineStr">
        <is>
          <t>minimo_estrutural_ausente</t>
        </is>
      </c>
    </row>
    <row r="47" ht="31.5" customHeight="1">
      <c r="A47" s="75" t="n">
        <v>24</v>
      </c>
      <c r="B47" s="142" t="n">
        <v>12803721000119</v>
      </c>
      <c r="C47" s="75" t="inlineStr">
        <is>
          <t>12.803.721/0001-19</t>
        </is>
      </c>
      <c r="D47" s="75" t="inlineStr">
        <is>
          <t>FUNDO DE INVESTIMENTO EM DIREITOS CREDITÓRIOS FRATTO</t>
        </is>
      </c>
      <c r="E47" s="75" t="inlineStr">
        <is>
          <t>Fratto</t>
        </is>
      </c>
      <c r="F47" s="75" t="inlineStr">
        <is>
          <t>Flagships</t>
        </is>
      </c>
      <c r="G47" s="75" t="inlineStr">
        <is>
          <t>2026-08</t>
        </is>
      </c>
      <c r="H47" s="75" t="inlineStr">
        <is>
          <t>localizado</t>
        </is>
      </c>
      <c r="I47" s="143" t="n">
        <v>123712597.71</v>
      </c>
      <c r="J47" s="143" t="n">
        <v>123712597.7199095</v>
      </c>
      <c r="K47" s="143" t="n">
        <v>98124355.15990032</v>
      </c>
      <c r="L47" s="144" t="n">
        <v>0.7931638085065341</v>
      </c>
      <c r="M47" s="75" t="inlineStr">
        <is>
          <t>Calculado com classes reportadas e PL oficial reconciliado</t>
        </is>
      </c>
      <c r="N47" s="144" t="inlineStr">
        <is>
          <t>N/D</t>
        </is>
      </c>
      <c r="O47" s="144" t="inlineStr">
        <is>
          <t>N/D</t>
        </is>
      </c>
      <c r="P47" s="144" t="inlineStr">
        <is>
          <t>N/D</t>
        </is>
      </c>
      <c r="Q47" s="144" t="inlineStr">
        <is>
          <t>N/D</t>
        </is>
      </c>
      <c r="R47" s="144" t="inlineStr">
        <is>
          <t>N/D</t>
        </is>
      </c>
      <c r="S47" s="144" t="inlineStr">
        <is>
          <t>N/D</t>
        </is>
      </c>
      <c r="T47" s="75" t="inlineStr">
        <is>
          <t>N/D</t>
        </is>
      </c>
      <c r="U47" s="75" t="inlineStr">
        <is>
          <t>sem_indice</t>
        </is>
      </c>
      <c r="V47" s="75" t="inlineStr">
        <is>
          <t>N/D</t>
        </is>
      </c>
      <c r="W47" s="75" t="b">
        <v>0</v>
      </c>
      <c r="X47" s="75" t="inlineStr">
        <is>
          <t>N/D — mínimo estrutural ou subordinação atual ausente</t>
        </is>
      </c>
      <c r="Y47" s="75" t="b">
        <v>0</v>
      </c>
      <c r="Z47" s="144" t="inlineStr">
        <is>
          <t>N/D</t>
        </is>
      </c>
      <c r="AA47" s="144" t="inlineStr">
        <is>
          <t>N/D</t>
        </is>
      </c>
      <c r="AB47" s="75" t="inlineStr">
        <is>
          <t>não medido</t>
        </is>
      </c>
      <c r="AC47" s="75" t="inlineStr">
        <is>
          <t>N/D</t>
        </is>
      </c>
      <c r="AD47" s="75" t="inlineStr">
        <is>
          <t>N/D</t>
        </is>
      </c>
      <c r="AE47" s="75" t="inlineStr">
        <is>
          <t>Factoring</t>
        </is>
      </c>
      <c r="AF47" s="75" t="inlineStr">
        <is>
          <t>Factoring</t>
        </is>
      </c>
      <c r="AG47" s="75" t="inlineStr">
        <is>
          <t>N/D</t>
        </is>
      </c>
      <c r="AH47" s="75" t="inlineStr">
        <is>
          <t>N/D</t>
        </is>
      </c>
      <c r="AI47" s="75" t="inlineStr">
        <is>
          <t>N/D</t>
        </is>
      </c>
      <c r="AJ47" s="75" t="b">
        <v>0</v>
      </c>
      <c r="AK47" s="75" t="inlineStr">
        <is>
          <t>N/D</t>
        </is>
      </c>
      <c r="AL47" s="75" t="inlineStr">
        <is>
          <t>N/D</t>
        </is>
      </c>
      <c r="AM47" s="75" t="inlineStr">
        <is>
          <t>N/D</t>
        </is>
      </c>
      <c r="AN47" s="75" t="inlineStr">
        <is>
          <t>N/D</t>
        </is>
      </c>
      <c r="AO47" s="75" t="inlineStr">
        <is>
          <t>N/D</t>
        </is>
      </c>
      <c r="AP47" s="75" t="inlineStr">
        <is>
          <t>N/D</t>
        </is>
      </c>
      <c r="AQ47" s="75" t="inlineStr">
        <is>
          <t>N/D</t>
        </is>
      </c>
      <c r="AR47" s="75" t="inlineStr">
        <is>
          <t>N/D</t>
        </is>
      </c>
      <c r="AS47" s="75" t="inlineStr">
        <is>
          <t>N/D</t>
        </is>
      </c>
      <c r="AT47" s="75" t="inlineStr">
        <is>
          <t>N/D</t>
        </is>
      </c>
      <c r="AU47" s="75" t="inlineStr">
        <is>
          <t>N/D</t>
        </is>
      </c>
      <c r="AV47" s="75" t="inlineStr">
        <is>
          <t>N/D</t>
        </is>
      </c>
      <c r="AW47" s="75" t="b">
        <v>0</v>
      </c>
      <c r="AX47" s="75" t="inlineStr">
        <is>
          <t>N/D</t>
        </is>
      </c>
      <c r="AY47" s="75" t="inlineStr">
        <is>
          <t>N/D</t>
        </is>
      </c>
      <c r="AZ47" s="144" t="inlineStr">
        <is>
          <t>N/D</t>
        </is>
      </c>
      <c r="BA47" s="75" t="inlineStr">
        <is>
          <t>N/D</t>
        </is>
      </c>
      <c r="BB47" s="145" t="inlineStr">
        <is>
          <t>N/D</t>
        </is>
      </c>
      <c r="BC47" s="143" t="inlineStr">
        <is>
          <t>N/D</t>
        </is>
      </c>
      <c r="BD47" s="75" t="inlineStr">
        <is>
          <t>N/D</t>
        </is>
      </c>
      <c r="BE47" s="75" t="inlineStr">
        <is>
          <t>N/D</t>
        </is>
      </c>
      <c r="BF47" s="75" t="inlineStr">
        <is>
          <t>N/D</t>
        </is>
      </c>
      <c r="BG47" s="75" t="inlineStr">
        <is>
          <t>N/D</t>
        </is>
      </c>
      <c r="BH47" s="75" t="inlineStr">
        <is>
          <t>N/D</t>
        </is>
      </c>
      <c r="BI47" s="75" t="inlineStr">
        <is>
          <t>N/D</t>
        </is>
      </c>
      <c r="BJ47" s="75" t="inlineStr">
        <is>
          <t>não localizado</t>
        </is>
      </c>
      <c r="BK47" s="75" t="b">
        <v>0</v>
      </c>
      <c r="BL47" s="75" t="inlineStr">
        <is>
          <t>N/D</t>
        </is>
      </c>
      <c r="BM47" s="75" t="inlineStr">
        <is>
          <t>N/D</t>
        </is>
      </c>
      <c r="BN47" s="75" t="inlineStr">
        <is>
          <t>N/D</t>
        </is>
      </c>
      <c r="BO47" s="75" t="inlineStr">
        <is>
          <t>N/D</t>
        </is>
      </c>
      <c r="BP47" s="75" t="inlineStr">
        <is>
          <t>N/D</t>
        </is>
      </c>
      <c r="BQ47" s="75" t="inlineStr">
        <is>
          <t>N/D</t>
        </is>
      </c>
      <c r="BR47" s="75" t="inlineStr">
        <is>
          <t>N/D</t>
        </is>
      </c>
      <c r="BS47" s="75" t="inlineStr">
        <is>
          <t>sem_overlay</t>
        </is>
      </c>
      <c r="BT47" s="75" t="inlineStr">
        <is>
          <t>N/D</t>
        </is>
      </c>
      <c r="BU47" s="75" t="inlineStr">
        <is>
          <t>N/D</t>
        </is>
      </c>
      <c r="BV47" s="75" t="inlineStr">
        <is>
          <t>N/D</t>
        </is>
      </c>
      <c r="BW47" s="75" t="inlineStr">
        <is>
          <t>N/D</t>
        </is>
      </c>
      <c r="BX47" s="75" t="inlineStr">
        <is>
          <t>lacuna — regulamento integral não disponível nas fontes locais</t>
        </is>
      </c>
      <c r="BY47" s="75" t="inlineStr">
        <is>
          <t>N/D</t>
        </is>
      </c>
      <c r="BZ47" s="75" t="inlineStr">
        <is>
          <t>N/D</t>
        </is>
      </c>
      <c r="CA47" s="75" t="inlineStr">
        <is>
          <t>mínimo estrutural comparável; preço unitário da cota; originador; cedente; sacado/devedor; tipo de recebível</t>
        </is>
      </c>
      <c r="CB47" s="75" t="inlineStr">
        <is>
          <t>minimo_estrutural_ausente</t>
        </is>
      </c>
    </row>
    <row r="48" ht="31.5" customHeight="1">
      <c r="A48" s="74" t="n">
        <v>25</v>
      </c>
      <c r="B48" s="138" t="n">
        <v>12778706000168</v>
      </c>
      <c r="C48" s="74" t="inlineStr">
        <is>
          <t>12.778.706/0001-68</t>
        </is>
      </c>
      <c r="D48" s="74" t="inlineStr">
        <is>
          <t>FUNDO DE INVESTIMENTO EM DIREITOS CREDITÓRIOS - BRASILFACTORS CRÉDITO CORPORATIVO</t>
        </is>
      </c>
      <c r="E48" s="74" t="inlineStr">
        <is>
          <t>Brasilfactors Crédito Corporativo</t>
        </is>
      </c>
      <c r="F48" s="74" t="inlineStr">
        <is>
          <t>Flagships</t>
        </is>
      </c>
      <c r="G48" s="74" t="inlineStr">
        <is>
          <t>2026-08</t>
        </is>
      </c>
      <c r="H48" s="74" t="inlineStr">
        <is>
          <t>localizado</t>
        </is>
      </c>
      <c r="I48" s="139" t="n">
        <v>114301786.77</v>
      </c>
      <c r="J48" s="139" t="n">
        <v>114301786.7667676</v>
      </c>
      <c r="K48" s="139" t="n">
        <v>2773468.769926359</v>
      </c>
      <c r="L48" s="140" t="n">
        <v>0.02426443932593268</v>
      </c>
      <c r="M48" s="74" t="inlineStr">
        <is>
          <t>Calculado com classes reportadas e PL oficial reconciliado</t>
        </is>
      </c>
      <c r="N48" s="140" t="inlineStr">
        <is>
          <t>N/D</t>
        </is>
      </c>
      <c r="O48" s="140" t="inlineStr">
        <is>
          <t>N/D</t>
        </is>
      </c>
      <c r="P48" s="140" t="inlineStr">
        <is>
          <t>N/D</t>
        </is>
      </c>
      <c r="Q48" s="140" t="inlineStr">
        <is>
          <t>N/D</t>
        </is>
      </c>
      <c r="R48" s="140" t="inlineStr">
        <is>
          <t>N/D</t>
        </is>
      </c>
      <c r="S48" s="140" t="inlineStr">
        <is>
          <t>N/D</t>
        </is>
      </c>
      <c r="T48" s="74" t="inlineStr">
        <is>
          <t>N/D</t>
        </is>
      </c>
      <c r="U48" s="74" t="inlineStr">
        <is>
          <t>sem_indice</t>
        </is>
      </c>
      <c r="V48" s="74" t="inlineStr">
        <is>
          <t>N/D</t>
        </is>
      </c>
      <c r="W48" s="74" t="b">
        <v>0</v>
      </c>
      <c r="X48" s="74" t="inlineStr">
        <is>
          <t>N/D — mínimo estrutural ou subordinação atual ausente</t>
        </is>
      </c>
      <c r="Y48" s="74" t="b">
        <v>0</v>
      </c>
      <c r="Z48" s="140" t="inlineStr">
        <is>
          <t>N/D</t>
        </is>
      </c>
      <c r="AA48" s="140" t="inlineStr">
        <is>
          <t>N/D</t>
        </is>
      </c>
      <c r="AB48" s="74" t="inlineStr">
        <is>
          <t>não medido</t>
        </is>
      </c>
      <c r="AC48" s="74" t="inlineStr">
        <is>
          <t>N/D</t>
        </is>
      </c>
      <c r="AD48" s="74" t="inlineStr">
        <is>
          <t>N/D</t>
        </is>
      </c>
      <c r="AE48" s="74" t="inlineStr">
        <is>
          <t>Factoring</t>
        </is>
      </c>
      <c r="AF48" s="74" t="inlineStr">
        <is>
          <t>Factoring</t>
        </is>
      </c>
      <c r="AG48" s="74" t="inlineStr">
        <is>
          <t>N/D</t>
        </is>
      </c>
      <c r="AH48" s="74" t="inlineStr">
        <is>
          <t>N/D</t>
        </is>
      </c>
      <c r="AI48" s="74" t="inlineStr">
        <is>
          <t>N/D</t>
        </is>
      </c>
      <c r="AJ48" s="74" t="b">
        <v>0</v>
      </c>
      <c r="AK48" s="74" t="inlineStr">
        <is>
          <t>N/D</t>
        </is>
      </c>
      <c r="AL48" s="74" t="inlineStr">
        <is>
          <t>N/D</t>
        </is>
      </c>
      <c r="AM48" s="74" t="inlineStr">
        <is>
          <t>N/D</t>
        </is>
      </c>
      <c r="AN48" s="74" t="inlineStr">
        <is>
          <t>N/D</t>
        </is>
      </c>
      <c r="AO48" s="74" t="inlineStr">
        <is>
          <t>N/D</t>
        </is>
      </c>
      <c r="AP48" s="74" t="inlineStr">
        <is>
          <t>N/D</t>
        </is>
      </c>
      <c r="AQ48" s="74" t="inlineStr">
        <is>
          <t>N/D</t>
        </is>
      </c>
      <c r="AR48" s="74" t="inlineStr">
        <is>
          <t>N/D</t>
        </is>
      </c>
      <c r="AS48" s="74" t="inlineStr">
        <is>
          <t>N/D</t>
        </is>
      </c>
      <c r="AT48" s="74" t="inlineStr">
        <is>
          <t>N/D</t>
        </is>
      </c>
      <c r="AU48" s="74" t="inlineStr">
        <is>
          <t>N/D</t>
        </is>
      </c>
      <c r="AV48" s="74" t="inlineStr">
        <is>
          <t>N/D</t>
        </is>
      </c>
      <c r="AW48" s="74" t="b">
        <v>0</v>
      </c>
      <c r="AX48" s="74" t="inlineStr">
        <is>
          <t>N/D</t>
        </is>
      </c>
      <c r="AY48" s="74" t="inlineStr">
        <is>
          <t>N/D</t>
        </is>
      </c>
      <c r="AZ48" s="140" t="inlineStr">
        <is>
          <t>N/D</t>
        </is>
      </c>
      <c r="BA48" s="74" t="inlineStr">
        <is>
          <t>N/D</t>
        </is>
      </c>
      <c r="BB48" s="141" t="inlineStr">
        <is>
          <t>N/D</t>
        </is>
      </c>
      <c r="BC48" s="139" t="inlineStr">
        <is>
          <t>N/D</t>
        </is>
      </c>
      <c r="BD48" s="74" t="inlineStr">
        <is>
          <t>N/D</t>
        </is>
      </c>
      <c r="BE48" s="74" t="inlineStr">
        <is>
          <t>N/D</t>
        </is>
      </c>
      <c r="BF48" s="74" t="inlineStr">
        <is>
          <t>N/D</t>
        </is>
      </c>
      <c r="BG48" s="74" t="inlineStr">
        <is>
          <t>N/D</t>
        </is>
      </c>
      <c r="BH48" s="74" t="inlineStr">
        <is>
          <t>N/D</t>
        </is>
      </c>
      <c r="BI48" s="74" t="inlineStr">
        <is>
          <t>N/D</t>
        </is>
      </c>
      <c r="BJ48" s="74" t="inlineStr">
        <is>
          <t>não localizado</t>
        </is>
      </c>
      <c r="BK48" s="74" t="b">
        <v>0</v>
      </c>
      <c r="BL48" s="74" t="inlineStr">
        <is>
          <t>N/D</t>
        </is>
      </c>
      <c r="BM48" s="74" t="inlineStr">
        <is>
          <t>N/D</t>
        </is>
      </c>
      <c r="BN48" s="74" t="inlineStr">
        <is>
          <t>N/D</t>
        </is>
      </c>
      <c r="BO48" s="74" t="inlineStr">
        <is>
          <t>N/D</t>
        </is>
      </c>
      <c r="BP48" s="74" t="inlineStr">
        <is>
          <t>N/D</t>
        </is>
      </c>
      <c r="BQ48" s="74" t="inlineStr">
        <is>
          <t>N/D</t>
        </is>
      </c>
      <c r="BR48" s="74" t="inlineStr">
        <is>
          <t>N/D</t>
        </is>
      </c>
      <c r="BS48" s="74" t="inlineStr">
        <is>
          <t>sem_overlay</t>
        </is>
      </c>
      <c r="BT48" s="74" t="inlineStr">
        <is>
          <t>N/D</t>
        </is>
      </c>
      <c r="BU48" s="74" t="inlineStr">
        <is>
          <t>N/D</t>
        </is>
      </c>
      <c r="BV48" s="74" t="inlineStr">
        <is>
          <t>N/D</t>
        </is>
      </c>
      <c r="BW48" s="74" t="inlineStr">
        <is>
          <t>N/D</t>
        </is>
      </c>
      <c r="BX48" s="74" t="inlineStr">
        <is>
          <t>lacuna — regulamento integral não disponível nas fontes locais</t>
        </is>
      </c>
      <c r="BY48" s="74" t="inlineStr">
        <is>
          <t>N/D</t>
        </is>
      </c>
      <c r="BZ48" s="74" t="inlineStr">
        <is>
          <t>N/D</t>
        </is>
      </c>
      <c r="CA48" s="74" t="inlineStr">
        <is>
          <t>mínimo estrutural comparável; preço unitário da cota; originador; cedente; sacado/devedor; tipo de recebível</t>
        </is>
      </c>
      <c r="CB48" s="74" t="inlineStr">
        <is>
          <t>minimo_estrutural_ausente</t>
        </is>
      </c>
    </row>
    <row r="49" ht="31.5" customHeight="1">
      <c r="A49" s="75" t="n">
        <v>26</v>
      </c>
      <c r="B49" s="142" t="n">
        <v>41970012000126</v>
      </c>
      <c r="C49" s="75" t="inlineStr">
        <is>
          <t>41.970.012/0001-26</t>
        </is>
      </c>
      <c r="D49" s="75" t="inlineStr">
        <is>
          <t>MERCADO CRÉDITO II BRASIL FUNDO DE INVESTIMENTO EM DIREITOS CREDITÓRIOS DE RESPONSABILIDADE LIMITADA</t>
        </is>
      </c>
      <c r="E49" s="75" t="inlineStr">
        <is>
          <t>Mercado Crédito, Mercado Crédito I e II</t>
        </is>
      </c>
      <c r="F49" s="75" t="inlineStr">
        <is>
          <t>Flagships</t>
        </is>
      </c>
      <c r="G49" s="75" t="inlineStr">
        <is>
          <t>2026-08</t>
        </is>
      </c>
      <c r="H49" s="75" t="inlineStr">
        <is>
          <t>localizado</t>
        </is>
      </c>
      <c r="I49" s="143" t="n">
        <v>1847170248.89</v>
      </c>
      <c r="J49" s="143" t="n">
        <v>1846911710.549834</v>
      </c>
      <c r="K49" s="143" t="n">
        <v>639160693.8738735</v>
      </c>
      <c r="L49" s="144" t="n">
        <v>0.3460215398434212</v>
      </c>
      <c r="M49" s="75" t="inlineStr">
        <is>
          <t>Calculado com classes reportadas e PL oficial reconciliado</t>
        </is>
      </c>
      <c r="N49" s="144" t="n">
        <v>0.1</v>
      </c>
      <c r="O49" s="144" t="inlineStr">
        <is>
          <t>N/D</t>
        </is>
      </c>
      <c r="P49" s="144" t="inlineStr">
        <is>
          <t>N/D</t>
        </is>
      </c>
      <c r="Q49" s="144" t="inlineStr">
        <is>
          <t>N/D</t>
        </is>
      </c>
      <c r="R49" s="144" t="inlineStr">
        <is>
          <t>N/D</t>
        </is>
      </c>
      <c r="S49" s="144" t="inlineStr">
        <is>
          <t>N/D</t>
        </is>
      </c>
      <c r="T49" s="75" t="inlineStr">
        <is>
          <t>10,0%</t>
        </is>
      </c>
      <c r="U49" s="75" t="inlineStr">
        <is>
          <t>junior_pl</t>
        </is>
      </c>
      <c r="V49" s="75" t="inlineStr">
        <is>
          <t>direto no regulamento</t>
        </is>
      </c>
      <c r="W49" s="75" t="b">
        <v>0</v>
      </c>
      <c r="X49" s="75" t="inlineStr">
        <is>
          <t>N/D — equivalência entre mínimo júnior e subordinação total não comprovada</t>
        </is>
      </c>
      <c r="Y49" s="75" t="b">
        <v>1</v>
      </c>
      <c r="Z49" s="144" t="inlineStr">
        <is>
          <t>N/D</t>
        </is>
      </c>
      <c r="AA49" s="144" t="inlineStr">
        <is>
          <t>N/D</t>
        </is>
      </c>
      <c r="AB49" s="75" t="inlineStr">
        <is>
          <t>não medido</t>
        </is>
      </c>
      <c r="AC49" s="75" t="inlineStr">
        <is>
          <t>N/D</t>
        </is>
      </c>
      <c r="AD49" s="75" t="inlineStr">
        <is>
          <t>N/D</t>
        </is>
      </c>
      <c r="AE49" s="75" t="inlineStr">
        <is>
          <t>Crédito PJ</t>
        </is>
      </c>
      <c r="AF49" s="75" t="inlineStr">
        <is>
          <t>Financeiro</t>
        </is>
      </c>
      <c r="AG49" s="75" t="inlineStr">
        <is>
          <t>N/D</t>
        </is>
      </c>
      <c r="AH49" s="75" t="inlineStr">
        <is>
          <t>N/D</t>
        </is>
      </c>
      <c r="AI49" s="75" t="inlineStr">
        <is>
          <t>N/D</t>
        </is>
      </c>
      <c r="AJ49" s="75" t="b">
        <v>0</v>
      </c>
      <c r="AK49" s="75" t="inlineStr">
        <is>
          <t>N/D</t>
        </is>
      </c>
      <c r="AL49" s="75" t="inlineStr">
        <is>
          <t>N/D</t>
        </is>
      </c>
      <c r="AM49" s="75" t="inlineStr">
        <is>
          <t>N/D</t>
        </is>
      </c>
      <c r="AN49" s="75" t="inlineStr">
        <is>
          <t>N/D</t>
        </is>
      </c>
      <c r="AO49" s="75" t="inlineStr">
        <is>
          <t>N/D</t>
        </is>
      </c>
      <c r="AP49" s="75" t="inlineStr">
        <is>
          <t>N/D</t>
        </is>
      </c>
      <c r="AQ49" s="75" t="inlineStr">
        <is>
          <t>N/D</t>
        </is>
      </c>
      <c r="AR49" s="75" t="inlineStr">
        <is>
          <t>N/D</t>
        </is>
      </c>
      <c r="AS49" s="75" t="inlineStr">
        <is>
          <t>N/D</t>
        </is>
      </c>
      <c r="AT49" s="75" t="inlineStr">
        <is>
          <t>N/D</t>
        </is>
      </c>
      <c r="AU49" s="75" t="inlineStr">
        <is>
          <t>N/D</t>
        </is>
      </c>
      <c r="AV49" s="75" t="inlineStr">
        <is>
          <t>N/D</t>
        </is>
      </c>
      <c r="AW49" s="75" t="b">
        <v>0</v>
      </c>
      <c r="AX49" s="75" t="inlineStr">
        <is>
          <t>N/D</t>
        </is>
      </c>
      <c r="AY49" s="75" t="inlineStr">
        <is>
          <t>N/D</t>
        </is>
      </c>
      <c r="AZ49" s="144" t="inlineStr">
        <is>
          <t>N/D</t>
        </is>
      </c>
      <c r="BA49" s="75" t="inlineStr">
        <is>
          <t>N/D</t>
        </is>
      </c>
      <c r="BB49" s="145" t="inlineStr">
        <is>
          <t>N/D</t>
        </is>
      </c>
      <c r="BC49" s="143" t="inlineStr">
        <is>
          <t>N/D</t>
        </is>
      </c>
      <c r="BD49" s="75" t="inlineStr">
        <is>
          <t>R$ 1.000,00 da data base do apêndice / R$ 561,60 da data base do apêndice / R$ 492,09 da data base do apêndice</t>
        </is>
      </c>
      <c r="BE49" s="75" t="inlineStr">
        <is>
          <t>preço/VNU conforme fonte</t>
        </is>
      </c>
      <c r="BF49" s="75" t="inlineStr">
        <is>
          <t>1ª emissão sênior da 1ª série / 2ª emissão sênior da 1ª série / 3ª emissão sênior da 1ª série</t>
        </is>
      </c>
      <c r="BG49" s="75" t="inlineStr">
        <is>
          <t>N/D</t>
        </is>
      </c>
      <c r="BH49" s="75" t="inlineStr">
        <is>
          <t>1302706</t>
        </is>
      </c>
      <c r="BI49" s="75" t="inlineStr">
        <is>
          <t>data/raw/41970012000126/1302706_regulamento.pdf · ID 1302706 · 27/08/2026 · p. 133–136 · https://fnet.bmfbovespa.com.br/fnet/publico/visualizarDocumento?id=1302706 | data/raw/41970012000126/1302706_regulamento.pdf · ID 1302706 · 27/08/2026 · p. 137–140 · https://fnet.bmfbovespa.com.br/fnet/publico/visualizarDocumento?id=1302706 | data/raw/41970012000126/1302706_regulamento.pdf · ID 1302706 · 27/08/2026 · p. 141–144 · https://fnet.bmfbovespa.com.br/fnet/publico/visualizarDocumento?id=1302706</t>
        </is>
      </c>
      <c r="BJ49" s="75" t="inlineStr">
        <is>
          <t>localizado documentalmente</t>
        </is>
      </c>
      <c r="BK49" s="75" t="b">
        <v>1</v>
      </c>
      <c r="BL49" s="75" t="inlineStr">
        <is>
          <t>N/D</t>
        </is>
      </c>
      <c r="BM49" s="75" t="inlineStr">
        <is>
          <t>N/D</t>
        </is>
      </c>
      <c r="BN49" s="75" t="inlineStr">
        <is>
          <t>N/D</t>
        </is>
      </c>
      <c r="BO49" s="75" t="inlineStr">
        <is>
          <t>N/D</t>
        </is>
      </c>
      <c r="BP49" s="75" t="inlineStr">
        <is>
          <t>N/D</t>
        </is>
      </c>
      <c r="BQ49" s="75" t="inlineStr">
        <is>
          <t>N/D</t>
        </is>
      </c>
      <c r="BR49" s="75" t="inlineStr">
        <is>
          <t>N/D</t>
        </is>
      </c>
      <c r="BS49" s="75" t="inlineStr">
        <is>
          <t>sem_overlay</t>
        </is>
      </c>
      <c r="BT49" s="75" t="inlineStr">
        <is>
          <t>N/D</t>
        </is>
      </c>
      <c r="BU49" s="75" t="inlineStr">
        <is>
          <t>1077334</t>
        </is>
      </c>
      <c r="BV49" s="75" t="inlineStr">
        <is>
          <t>2025-12-19</t>
        </is>
      </c>
      <c r="BW49" s="75" t="inlineStr">
        <is>
          <t>cláusula 7.29.2</t>
        </is>
      </c>
      <c r="BX49" s="75" t="inlineStr">
        <is>
          <t>revisto — mínimo júnior localizado</t>
        </is>
      </c>
      <c r="BY49" s="75" t="inlineStr">
        <is>
          <t>FundosNet/B3; documento 1077334; referência 2025-12-19; cláusula 7.29.2</t>
        </is>
      </c>
      <c r="BZ49" s="75" t="inlineStr">
        <is>
          <t>Razão de subordinação júnior na primeira integralização: mínimo de 10,0%.</t>
        </is>
      </c>
      <c r="CA49" s="75" t="inlineStr">
        <is>
          <t>mínimo estrutural comparável; originador; cedente; sacado/devedor; tipo de recebível</t>
        </is>
      </c>
      <c r="CB49" s="75" t="inlineStr">
        <is>
          <t>estrutura_incomparavel</t>
        </is>
      </c>
    </row>
    <row r="50" ht="31.5" customHeight="1">
      <c r="A50" s="74" t="n">
        <v>26</v>
      </c>
      <c r="B50" s="138" t="n">
        <v>33254370000104</v>
      </c>
      <c r="C50" s="74" t="inlineStr">
        <is>
          <t>33.254.370/0001-04</t>
        </is>
      </c>
      <c r="D50" s="74" t="inlineStr">
        <is>
          <t>MERCADO CRÉDITO FUNDO DE INVESTIMENTO EM DIREITOS CREDITÓRIOS RESPONSABILIDADE LIMITADA</t>
        </is>
      </c>
      <c r="E50" s="74" t="inlineStr">
        <is>
          <t>Mercado Crédito, Mercado Crédito I e II</t>
        </is>
      </c>
      <c r="F50" s="74" t="inlineStr">
        <is>
          <t>Flagships</t>
        </is>
      </c>
      <c r="G50" s="74" t="inlineStr">
        <is>
          <t>2026-08</t>
        </is>
      </c>
      <c r="H50" s="74" t="inlineStr">
        <is>
          <t>localizado</t>
        </is>
      </c>
      <c r="I50" s="139" t="n">
        <v>3311135945.94</v>
      </c>
      <c r="J50" s="139" t="n">
        <v>3311135945.770138</v>
      </c>
      <c r="K50" s="139" t="n">
        <v>2413596720.624928</v>
      </c>
      <c r="L50" s="140" t="n">
        <v>0.7289331395723562</v>
      </c>
      <c r="M50" s="74" t="inlineStr">
        <is>
          <t>Calculado com classes reportadas e PL oficial reconciliado</t>
        </is>
      </c>
      <c r="N50" s="140" t="inlineStr">
        <is>
          <t>N/D</t>
        </is>
      </c>
      <c r="O50" s="140" t="inlineStr">
        <is>
          <t>N/D</t>
        </is>
      </c>
      <c r="P50" s="140" t="inlineStr">
        <is>
          <t>N/D</t>
        </is>
      </c>
      <c r="Q50" s="140" t="inlineStr">
        <is>
          <t>N/D</t>
        </is>
      </c>
      <c r="R50" s="140" t="inlineStr">
        <is>
          <t>N/D</t>
        </is>
      </c>
      <c r="S50" s="140" t="inlineStr">
        <is>
          <t>N/D</t>
        </is>
      </c>
      <c r="T50" s="74" t="inlineStr">
        <is>
          <t>N/D</t>
        </is>
      </c>
      <c r="U50" s="74" t="inlineStr">
        <is>
          <t>sem_indice</t>
        </is>
      </c>
      <c r="V50" s="74" t="inlineStr">
        <is>
          <t>N/D</t>
        </is>
      </c>
      <c r="W50" s="74" t="b">
        <v>0</v>
      </c>
      <c r="X50" s="74" t="inlineStr">
        <is>
          <t>N/D — mínimo estrutural ou subordinação atual ausente</t>
        </is>
      </c>
      <c r="Y50" s="74" t="b">
        <v>0</v>
      </c>
      <c r="Z50" s="140" t="inlineStr">
        <is>
          <t>N/D</t>
        </is>
      </c>
      <c r="AA50" s="140" t="inlineStr">
        <is>
          <t>N/D</t>
        </is>
      </c>
      <c r="AB50" s="74" t="inlineStr">
        <is>
          <t>não medido</t>
        </is>
      </c>
      <c r="AC50" s="74" t="inlineStr">
        <is>
          <t>N/D</t>
        </is>
      </c>
      <c r="AD50" s="74" t="inlineStr">
        <is>
          <t>N/D</t>
        </is>
      </c>
      <c r="AE50" s="74" t="inlineStr">
        <is>
          <t>Crédito PJ</t>
        </is>
      </c>
      <c r="AF50" s="74" t="inlineStr">
        <is>
          <t>Financeiro</t>
        </is>
      </c>
      <c r="AG50" s="74" t="inlineStr">
        <is>
          <t>N/D</t>
        </is>
      </c>
      <c r="AH50" s="74" t="inlineStr">
        <is>
          <t>N/D</t>
        </is>
      </c>
      <c r="AI50" s="74" t="inlineStr">
        <is>
          <t>N/D</t>
        </is>
      </c>
      <c r="AJ50" s="74" t="b">
        <v>0</v>
      </c>
      <c r="AK50" s="74" t="inlineStr">
        <is>
          <t>N/D</t>
        </is>
      </c>
      <c r="AL50" s="74" t="inlineStr">
        <is>
          <t>N/D</t>
        </is>
      </c>
      <c r="AM50" s="74" t="inlineStr">
        <is>
          <t>N/D</t>
        </is>
      </c>
      <c r="AN50" s="74" t="inlineStr">
        <is>
          <t>N/D</t>
        </is>
      </c>
      <c r="AO50" s="74" t="inlineStr">
        <is>
          <t>N/D</t>
        </is>
      </c>
      <c r="AP50" s="74" t="inlineStr">
        <is>
          <t>N/D</t>
        </is>
      </c>
      <c r="AQ50" s="74" t="inlineStr">
        <is>
          <t>N/D</t>
        </is>
      </c>
      <c r="AR50" s="74" t="inlineStr">
        <is>
          <t>N/D</t>
        </is>
      </c>
      <c r="AS50" s="74" t="inlineStr">
        <is>
          <t>N/D</t>
        </is>
      </c>
      <c r="AT50" s="74" t="inlineStr">
        <is>
          <t>N/D</t>
        </is>
      </c>
      <c r="AU50" s="74" t="inlineStr">
        <is>
          <t>N/D</t>
        </is>
      </c>
      <c r="AV50" s="74" t="inlineStr">
        <is>
          <t>N/D</t>
        </is>
      </c>
      <c r="AW50" s="74" t="b">
        <v>0</v>
      </c>
      <c r="AX50" s="74" t="inlineStr">
        <is>
          <t>N/D</t>
        </is>
      </c>
      <c r="AY50" s="74" t="inlineStr">
        <is>
          <t>N/D</t>
        </is>
      </c>
      <c r="AZ50" s="140" t="inlineStr">
        <is>
          <t>N/D</t>
        </is>
      </c>
      <c r="BA50" s="74" t="inlineStr">
        <is>
          <t>N/D</t>
        </is>
      </c>
      <c r="BB50" s="141" t="inlineStr">
        <is>
          <t>N/D</t>
        </is>
      </c>
      <c r="BC50" s="139" t="n">
        <v>1000</v>
      </c>
      <c r="BD50" s="74" t="inlineStr">
        <is>
          <t>R$ 1.000,00</t>
        </is>
      </c>
      <c r="BE50" s="74" t="inlineStr">
        <is>
          <t>preço/VNU conforme fonte</t>
        </is>
      </c>
      <c r="BF50" s="74" t="inlineStr">
        <is>
          <t>3ª série sênior</t>
        </is>
      </c>
      <c r="BG50" s="74" t="inlineStr">
        <is>
          <t>N/D</t>
        </is>
      </c>
      <c r="BH50" s="74" t="inlineStr">
        <is>
          <t>1128340</t>
        </is>
      </c>
      <c r="BI50" s="74" t="inlineStr">
        <is>
          <t>data/raw/33254370000104/1128340_regulamento.pdf · ID 1128340 · 03/03/2026 · p. 118–121 · https://fnet.bmfbovespa.com.br/fnet/publico/visualizarDocumento?id=1128340</t>
        </is>
      </c>
      <c r="BJ50" s="74" t="inlineStr">
        <is>
          <t>localizado documentalmente</t>
        </is>
      </c>
      <c r="BK50" s="74" t="b">
        <v>1</v>
      </c>
      <c r="BL50" s="74" t="inlineStr">
        <is>
          <t>N/D</t>
        </is>
      </c>
      <c r="BM50" s="74" t="inlineStr">
        <is>
          <t>N/D</t>
        </is>
      </c>
      <c r="BN50" s="74" t="inlineStr">
        <is>
          <t>N/D</t>
        </is>
      </c>
      <c r="BO50" s="74" t="inlineStr">
        <is>
          <t>N/D</t>
        </is>
      </c>
      <c r="BP50" s="74" t="inlineStr">
        <is>
          <t>N/D</t>
        </is>
      </c>
      <c r="BQ50" s="74" t="inlineStr">
        <is>
          <t>N/D</t>
        </is>
      </c>
      <c r="BR50" s="74" t="inlineStr">
        <is>
          <t>N/D</t>
        </is>
      </c>
      <c r="BS50" s="74" t="inlineStr">
        <is>
          <t>sem_overlay</t>
        </is>
      </c>
      <c r="BT50" s="74" t="inlineStr">
        <is>
          <t>N/D</t>
        </is>
      </c>
      <c r="BU50" s="74" t="inlineStr">
        <is>
          <t>1128340</t>
        </is>
      </c>
      <c r="BV50" s="74" t="inlineStr">
        <is>
          <t>2026-03-03</t>
        </is>
      </c>
      <c r="BW50" s="74" t="inlineStr">
        <is>
          <t>cláusulas de subordinação e definições revisadas</t>
        </is>
      </c>
      <c r="BX50" s="74" t="inlineStr">
        <is>
          <t>revisto — mínimo júnior não isolado</t>
        </is>
      </c>
      <c r="BY50" s="74" t="inlineStr">
        <is>
          <t>FundosNet/B3; documento 1128340; referência 2026-03-03; cláusulas candidatas revisadas</t>
        </is>
      </c>
      <c r="BZ50" s="74" t="inlineStr">
        <is>
          <t>N/D</t>
        </is>
      </c>
      <c r="CA50" s="74" t="inlineStr">
        <is>
          <t>mínimo estrutural comparável; originador; cedente; sacado/devedor; tipo de recebível</t>
        </is>
      </c>
      <c r="CB50" s="74" t="inlineStr">
        <is>
          <t>minimo_estrutural_ausente</t>
        </is>
      </c>
    </row>
    <row r="51" ht="31.5" customHeight="1">
      <c r="A51" s="75" t="n">
        <v>26</v>
      </c>
      <c r="B51" s="142" t="n">
        <v>37511828000114</v>
      </c>
      <c r="C51" s="75" t="inlineStr">
        <is>
          <t>37.511.828/0001-14</t>
        </is>
      </c>
      <c r="D51" s="75" t="inlineStr">
        <is>
          <t>MERCADO CRÉDITO I BRASIL FIDC SEGMENTO FINANCEIRO DE RESPONSABILIDADE LIMITADA</t>
        </is>
      </c>
      <c r="E51" s="75" t="inlineStr">
        <is>
          <t>Mercado Crédito, Mercado Crédito I e II</t>
        </is>
      </c>
      <c r="F51" s="75" t="inlineStr">
        <is>
          <t>Flagships</t>
        </is>
      </c>
      <c r="G51" s="75" t="inlineStr">
        <is>
          <t>2026-08</t>
        </is>
      </c>
      <c r="H51" s="75" t="inlineStr">
        <is>
          <t>localizado</t>
        </is>
      </c>
      <c r="I51" s="143" t="n">
        <v>741792160.36</v>
      </c>
      <c r="J51" s="143" t="n">
        <v>741792161.8949635</v>
      </c>
      <c r="K51" s="143" t="n">
        <v>231454289.6495936</v>
      </c>
      <c r="L51" s="144" t="n">
        <v>0.3120204041213731</v>
      </c>
      <c r="M51" s="75" t="inlineStr">
        <is>
          <t>Calculado com classes reportadas e PL oficial reconciliado</t>
        </is>
      </c>
      <c r="N51" s="144" t="n">
        <v>0.1</v>
      </c>
      <c r="O51" s="144" t="inlineStr">
        <is>
          <t>N/D</t>
        </is>
      </c>
      <c r="P51" s="144" t="inlineStr">
        <is>
          <t>N/D</t>
        </is>
      </c>
      <c r="Q51" s="144" t="inlineStr">
        <is>
          <t>N/D</t>
        </is>
      </c>
      <c r="R51" s="144" t="inlineStr">
        <is>
          <t>N/D</t>
        </is>
      </c>
      <c r="S51" s="144" t="inlineStr">
        <is>
          <t>N/D</t>
        </is>
      </c>
      <c r="T51" s="75" t="inlineStr">
        <is>
          <t>10,0% base; aumentos condicionais</t>
        </is>
      </c>
      <c r="U51" s="75" t="inlineStr">
        <is>
          <t>junior_pl</t>
        </is>
      </c>
      <c r="V51" s="75" t="inlineStr">
        <is>
          <t>direto no regulamento</t>
        </is>
      </c>
      <c r="W51" s="75" t="b">
        <v>0</v>
      </c>
      <c r="X51" s="75" t="inlineStr">
        <is>
          <t>N/D — equivalência entre mínimo júnior e subordinação total não comprovada</t>
        </is>
      </c>
      <c r="Y51" s="75" t="b">
        <v>1</v>
      </c>
      <c r="Z51" s="144" t="inlineStr">
        <is>
          <t>N/D</t>
        </is>
      </c>
      <c r="AA51" s="144" t="inlineStr">
        <is>
          <t>N/D</t>
        </is>
      </c>
      <c r="AB51" s="75" t="inlineStr">
        <is>
          <t>não medido</t>
        </is>
      </c>
      <c r="AC51" s="75" t="inlineStr">
        <is>
          <t>N/D</t>
        </is>
      </c>
      <c r="AD51" s="75" t="inlineStr">
        <is>
          <t>N/D</t>
        </is>
      </c>
      <c r="AE51" s="75" t="inlineStr">
        <is>
          <t>Crédito PJ</t>
        </is>
      </c>
      <c r="AF51" s="75" t="inlineStr">
        <is>
          <t>Financeiro</t>
        </is>
      </c>
      <c r="AG51" s="75" t="inlineStr">
        <is>
          <t>N/D</t>
        </is>
      </c>
      <c r="AH51" s="75" t="inlineStr">
        <is>
          <t>N/D</t>
        </is>
      </c>
      <c r="AI51" s="75" t="inlineStr">
        <is>
          <t>N/D</t>
        </is>
      </c>
      <c r="AJ51" s="75" t="b">
        <v>0</v>
      </c>
      <c r="AK51" s="75" t="inlineStr">
        <is>
          <t>N/D</t>
        </is>
      </c>
      <c r="AL51" s="75" t="inlineStr">
        <is>
          <t>N/D</t>
        </is>
      </c>
      <c r="AM51" s="75" t="inlineStr">
        <is>
          <t>N/D</t>
        </is>
      </c>
      <c r="AN51" s="75" t="inlineStr">
        <is>
          <t>N/D</t>
        </is>
      </c>
      <c r="AO51" s="75" t="inlineStr">
        <is>
          <t>N/D</t>
        </is>
      </c>
      <c r="AP51" s="75" t="inlineStr">
        <is>
          <t>N/D</t>
        </is>
      </c>
      <c r="AQ51" s="75" t="inlineStr">
        <is>
          <t>N/D</t>
        </is>
      </c>
      <c r="AR51" s="75" t="inlineStr">
        <is>
          <t>N/D</t>
        </is>
      </c>
      <c r="AS51" s="75" t="inlineStr">
        <is>
          <t>N/D</t>
        </is>
      </c>
      <c r="AT51" s="75" t="inlineStr">
        <is>
          <t>N/D</t>
        </is>
      </c>
      <c r="AU51" s="75" t="inlineStr">
        <is>
          <t>N/D</t>
        </is>
      </c>
      <c r="AV51" s="75" t="inlineStr">
        <is>
          <t>N/D</t>
        </is>
      </c>
      <c r="AW51" s="75" t="b">
        <v>0</v>
      </c>
      <c r="AX51" s="75" t="inlineStr">
        <is>
          <t>N/D</t>
        </is>
      </c>
      <c r="AY51" s="75" t="inlineStr">
        <is>
          <t>N/D</t>
        </is>
      </c>
      <c r="AZ51" s="144" t="inlineStr">
        <is>
          <t>N/D</t>
        </is>
      </c>
      <c r="BA51" s="75" t="inlineStr">
        <is>
          <t>N/D</t>
        </is>
      </c>
      <c r="BB51" s="145" t="inlineStr">
        <is>
          <t>N/D</t>
        </is>
      </c>
      <c r="BC51" s="143" t="inlineStr">
        <is>
          <t>N/D</t>
        </is>
      </c>
      <c r="BD51" s="75" t="inlineStr">
        <is>
          <t>N/D</t>
        </is>
      </c>
      <c r="BE51" s="75" t="inlineStr">
        <is>
          <t>N/D</t>
        </is>
      </c>
      <c r="BF51" s="75" t="inlineStr">
        <is>
          <t>N/D</t>
        </is>
      </c>
      <c r="BG51" s="75" t="inlineStr">
        <is>
          <t>N/D</t>
        </is>
      </c>
      <c r="BH51" s="75" t="inlineStr">
        <is>
          <t>N/D</t>
        </is>
      </c>
      <c r="BI51" s="75" t="inlineStr">
        <is>
          <t>N/D</t>
        </is>
      </c>
      <c r="BJ51" s="75" t="inlineStr">
        <is>
          <t>não localizado</t>
        </is>
      </c>
      <c r="BK51" s="75" t="b">
        <v>0</v>
      </c>
      <c r="BL51" s="75" t="inlineStr">
        <is>
          <t>N/D</t>
        </is>
      </c>
      <c r="BM51" s="75" t="inlineStr">
        <is>
          <t>N/D</t>
        </is>
      </c>
      <c r="BN51" s="75" t="inlineStr">
        <is>
          <t>N/D</t>
        </is>
      </c>
      <c r="BO51" s="75" t="inlineStr">
        <is>
          <t>N/D</t>
        </is>
      </c>
      <c r="BP51" s="75" t="inlineStr">
        <is>
          <t>N/D</t>
        </is>
      </c>
      <c r="BQ51" s="75" t="inlineStr">
        <is>
          <t>N/D</t>
        </is>
      </c>
      <c r="BR51" s="75" t="inlineStr">
        <is>
          <t>N/D</t>
        </is>
      </c>
      <c r="BS51" s="75" t="inlineStr">
        <is>
          <t>sem_overlay</t>
        </is>
      </c>
      <c r="BT51" s="75" t="inlineStr">
        <is>
          <t>N/D</t>
        </is>
      </c>
      <c r="BU51" s="75" t="inlineStr">
        <is>
          <t>1200490</t>
        </is>
      </c>
      <c r="BV51" s="75" t="inlineStr">
        <is>
          <t>2026-03-27</t>
        </is>
      </c>
      <c r="BW51" s="75" t="inlineStr">
        <is>
          <t>p. 41–42; definição “Minimum Junior Ratio”</t>
        </is>
      </c>
      <c r="BX51" s="75" t="inlineStr">
        <is>
          <t>revisto — mínimo júnior localizado</t>
        </is>
      </c>
      <c r="BY51" s="75" t="inlineStr">
        <is>
          <t>FundosNet/B3; documento 1200490; referência 2026-03-27; p. 41–42; definição “Minimum Junior Ratio”</t>
        </is>
      </c>
      <c r="BZ51" s="75" t="inlineStr">
        <is>
          <t>Cotas subordinadas júnior / PL, mínimo-base de 10,0%, com aumentos condicionados a juros excedentes e inadimplência.</t>
        </is>
      </c>
      <c r="CA51" s="75" t="inlineStr">
        <is>
          <t>mínimo estrutural comparável; preço unitário da cota; originador; cedente; sacado/devedor; tipo de recebível</t>
        </is>
      </c>
      <c r="CB51" s="75" t="inlineStr">
        <is>
          <t>estrutura_incomparavel</t>
        </is>
      </c>
    </row>
  </sheetData>
  <mergeCells count="13">
    <mergeCell ref="BC3:BK3"/>
    <mergeCell ref="BL3:BT3"/>
    <mergeCell ref="A2:CB2"/>
    <mergeCell ref="A3:H3"/>
    <mergeCell ref="I3:M3"/>
    <mergeCell ref="BU3:BZ3"/>
    <mergeCell ref="CA3:CB3"/>
    <mergeCell ref="AC3:AP3"/>
    <mergeCell ref="A1:CB1"/>
    <mergeCell ref="AQ3:AX3"/>
    <mergeCell ref="W3:AB3"/>
    <mergeCell ref="AY3:BB3"/>
    <mergeCell ref="N3:V3"/>
  </mergeCells>
  <conditionalFormatting sqref="AB5:AB51">
    <cfRule type="containsText" priority="1" operator="containsText" dxfId="0" text="abaixo do mínimo"/>
    <cfRule type="containsText" priority="2" operator="containsText" dxfId="1" text="folga estreita"/>
    <cfRule type="containsText" priority="3" operator="containsText" dxfId="2" text="acima do mínimo"/>
    <cfRule type="containsText" priority="4" operator="containsText" dxfId="3" text="não medido"/>
  </conditionalFormatting>
  <conditionalFormatting sqref="AE5:AE51">
    <cfRule type="containsText" priority="5" operator="containsText" dxfId="4" text="Adquirência"/>
    <cfRule type="containsText" priority="6" operator="containsText" dxfId="5" text="Agro / revenda"/>
    <cfRule type="containsText" priority="7" operator="containsText" dxfId="6" text="Consignado INSS"/>
    <cfRule type="containsText" priority="8" operator="containsText" dxfId="7" text="Consignado FGTS"/>
    <cfRule type="containsText" priority="9" operator="containsText" dxfId="8" text="Consignado CLT"/>
    <cfRule type="containsText" priority="10" operator="containsText" dxfId="9" text="Consignado estadual"/>
    <cfRule type="containsText" priority="11" operator="containsText" dxfId="10" text="Veículos"/>
    <cfRule type="containsText" priority="12" operator="containsText" dxfId="11" text="Cartão consignado"/>
    <cfRule type="containsText" priority="13" operator="containsText" dxfId="12" text="Factoring"/>
    <cfRule type="containsText" priority="14" operator="containsText" dxfId="13" text="Crédito PJ"/>
    <cfRule type="containsText" priority="15" operator="containsText" dxfId="14" text="Financeiro"/>
    <cfRule type="containsText" priority="16" operator="containsText" dxfId="15" text="Outros"/>
  </conditionalFormatting>
  <conditionalFormatting sqref="BS5:BS51">
    <cfRule type="containsText" priority="17" operator="containsText" dxfId="1" text="manual_aplicado"/>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99"/>
  <sheetViews>
    <sheetView workbookViewId="0">
      <pane xSplit="2" ySplit="4" topLeftCell="C5" activePane="bottomRight" state="frozen"/>
      <selection activeCell="A1" sqref="A1"/>
    </sheetView>
  </sheetViews>
  <sheetFormatPr baseColWidth="8" defaultRowHeight="15"/>
  <cols>
    <col width="15" customWidth="1" min="1" max="1"/>
    <col width="26.25" customWidth="1" min="2" max="2"/>
    <col width="13.13000011444092" customWidth="1" min="3" max="3"/>
    <col width="11.88000011444092" customWidth="1" min="4" max="4"/>
    <col width="18.1299991607666" customWidth="1" min="5" max="5"/>
    <col width="16.8799991607666" customWidth="1" min="6" max="6"/>
    <col width="16.8799991607666" customWidth="1" min="7" max="7"/>
    <col width="15.63000011444092" customWidth="1" min="8" max="8"/>
  </cols>
  <sheetData>
    <row r="1" ht="25.5" customHeight="1">
      <c r="A1" s="26" t="inlineStr">
        <is>
          <t>Cobertura e lacunas · Carteira 101 + Flagships</t>
        </is>
      </c>
    </row>
    <row r="2" ht="22.5" customHeight="1">
      <c r="A2" s="29" t="inlineStr">
        <is>
          <t>Cobertura por quantidade e PL. O denominador de cada percentual permanece explícito.</t>
        </is>
      </c>
    </row>
    <row r="4" ht="25.5" customHeight="1">
      <c r="A4" s="32" t="inlineStr">
        <is>
          <t>Coorte</t>
        </is>
      </c>
      <c r="B4" s="32" t="inlineStr">
        <is>
          <t>Campo</t>
        </is>
      </c>
      <c r="C4" s="32" t="inlineStr">
        <is>
          <t>Linhas com dado</t>
        </is>
      </c>
      <c r="D4" s="32" t="inlineStr">
        <is>
          <t>Linhas totais</t>
        </is>
      </c>
      <c r="E4" s="32" t="inlineStr">
        <is>
          <t>Cobertura por quantidade</t>
        </is>
      </c>
      <c r="F4" s="32" t="inlineStr">
        <is>
          <t>PL com dado</t>
        </is>
      </c>
      <c r="G4" s="32" t="inlineStr">
        <is>
          <t>PL total</t>
        </is>
      </c>
      <c r="H4" s="32" t="inlineStr">
        <is>
          <t>Cobertura por PL</t>
        </is>
      </c>
    </row>
    <row r="5">
      <c r="A5" s="104" t="inlineStr">
        <is>
          <t>Carteira 101</t>
        </is>
      </c>
      <c r="B5" s="104" t="inlineStr">
        <is>
          <t>nome_oficial_cvm</t>
        </is>
      </c>
      <c r="C5" s="104" t="n">
        <v>100</v>
      </c>
      <c r="D5" s="104" t="n">
        <v>101</v>
      </c>
      <c r="E5" s="149" t="n">
        <v>0.9900990099009901</v>
      </c>
      <c r="F5" s="150" t="n">
        <v>54122205348.12</v>
      </c>
      <c r="G5" s="150" t="n">
        <v>54122205348.12</v>
      </c>
      <c r="H5" s="149" t="n">
        <v>1</v>
      </c>
    </row>
    <row r="6">
      <c r="A6" s="106" t="inlineStr">
        <is>
          <t>Carteira 101</t>
        </is>
      </c>
      <c r="B6" s="106" t="inlineStr">
        <is>
          <t>pl_atual_brl</t>
        </is>
      </c>
      <c r="C6" s="106" t="n">
        <v>78</v>
      </c>
      <c r="D6" s="106" t="n">
        <v>101</v>
      </c>
      <c r="E6" s="151" t="n">
        <v>0.7722772277227723</v>
      </c>
      <c r="F6" s="152" t="n">
        <v>54122205348.12</v>
      </c>
      <c r="G6" s="152" t="n">
        <v>54122205348.12</v>
      </c>
      <c r="H6" s="151" t="n">
        <v>1</v>
      </c>
    </row>
    <row r="7">
      <c r="A7" s="105" t="inlineStr">
        <is>
          <t>Carteira 101</t>
        </is>
      </c>
      <c r="B7" s="105" t="inlineStr">
        <is>
          <t>sub_pl_atual</t>
        </is>
      </c>
      <c r="C7" s="105" t="n">
        <v>70</v>
      </c>
      <c r="D7" s="105" t="n">
        <v>101</v>
      </c>
      <c r="E7" s="153" t="n">
        <v>0.693069306930693</v>
      </c>
      <c r="F7" s="154" t="n">
        <v>41958853641.3</v>
      </c>
      <c r="G7" s="154" t="n">
        <v>54122205348.12</v>
      </c>
      <c r="H7" s="153" t="n">
        <v>0.7752613436835404</v>
      </c>
    </row>
    <row r="8">
      <c r="A8" s="106" t="inlineStr">
        <is>
          <t>Carteira 101</t>
        </is>
      </c>
      <c r="B8" s="106" t="inlineStr">
        <is>
          <t>indice_minimo_junior</t>
        </is>
      </c>
      <c r="C8" s="106" t="n">
        <v>83</v>
      </c>
      <c r="D8" s="106" t="n">
        <v>101</v>
      </c>
      <c r="E8" s="151" t="n">
        <v>0.8217821782178217</v>
      </c>
      <c r="F8" s="152" t="n">
        <v>52322078125.24</v>
      </c>
      <c r="G8" s="152" t="n">
        <v>54122205348.12</v>
      </c>
      <c r="H8" s="151" t="n">
        <v>0.9667395810776486</v>
      </c>
    </row>
    <row r="9">
      <c r="A9" s="105" t="inlineStr">
        <is>
          <t>Carteira 101</t>
        </is>
      </c>
      <c r="B9" s="105" t="inlineStr">
        <is>
          <t>indice_minimo_estrutural</t>
        </is>
      </c>
      <c r="C9" s="105" t="n">
        <v>99</v>
      </c>
      <c r="D9" s="105" t="n">
        <v>101</v>
      </c>
      <c r="E9" s="153" t="n">
        <v>0.9801980198019802</v>
      </c>
      <c r="F9" s="154" t="n">
        <v>54122205348.12</v>
      </c>
      <c r="G9" s="154" t="n">
        <v>54122205348.12</v>
      </c>
      <c r="H9" s="153" t="n">
        <v>1</v>
      </c>
    </row>
    <row r="10">
      <c r="A10" s="106" t="inlineStr">
        <is>
          <t>Carteira 101</t>
        </is>
      </c>
      <c r="B10" s="106" t="inlineStr">
        <is>
          <t>folga_pp</t>
        </is>
      </c>
      <c r="C10" s="106" t="n">
        <v>24</v>
      </c>
      <c r="D10" s="106" t="n">
        <v>101</v>
      </c>
      <c r="E10" s="151" t="n">
        <v>0.2376237623762376</v>
      </c>
      <c r="F10" s="152" t="n">
        <v>13000551045.19</v>
      </c>
      <c r="G10" s="152" t="n">
        <v>54122205348.12</v>
      </c>
      <c r="H10" s="151" t="n">
        <v>0.2402073411748288</v>
      </c>
    </row>
    <row r="11">
      <c r="A11" s="105" t="inlineStr">
        <is>
          <t>Carteira 101</t>
        </is>
      </c>
      <c r="B11" s="105" t="inlineStr">
        <is>
          <t>grupo_comparacao</t>
        </is>
      </c>
      <c r="C11" s="105" t="n">
        <v>100</v>
      </c>
      <c r="D11" s="105" t="n">
        <v>101</v>
      </c>
      <c r="E11" s="153" t="n">
        <v>0.9900990099009901</v>
      </c>
      <c r="F11" s="154" t="n">
        <v>54122205348.12</v>
      </c>
      <c r="G11" s="154" t="n">
        <v>54122205348.12</v>
      </c>
      <c r="H11" s="153" t="n">
        <v>1</v>
      </c>
    </row>
    <row r="12">
      <c r="A12" s="106" t="inlineStr">
        <is>
          <t>Carteira 101</t>
        </is>
      </c>
      <c r="B12" s="106" t="inlineStr">
        <is>
          <t>preco_cota_unitario</t>
        </is>
      </c>
      <c r="C12" s="106" t="n">
        <v>85</v>
      </c>
      <c r="D12" s="106" t="n">
        <v>101</v>
      </c>
      <c r="E12" s="151" t="n">
        <v>0.8415841584158416</v>
      </c>
      <c r="F12" s="152" t="n">
        <v>48322020245.59</v>
      </c>
      <c r="G12" s="152" t="n">
        <v>54122205348.12</v>
      </c>
      <c r="H12" s="151" t="n">
        <v>0.8928316932907192</v>
      </c>
    </row>
    <row r="13">
      <c r="A13" s="105" t="inlineStr">
        <is>
          <t>Carteira 101</t>
        </is>
      </c>
      <c r="B13" s="105" t="inlineStr">
        <is>
          <t>preco_cota_classe_serie</t>
        </is>
      </c>
      <c r="C13" s="105" t="n">
        <v>69</v>
      </c>
      <c r="D13" s="105" t="n">
        <v>101</v>
      </c>
      <c r="E13" s="153" t="n">
        <v>0.6831683168316832</v>
      </c>
      <c r="F13" s="154" t="n">
        <v>36398452333.85999</v>
      </c>
      <c r="G13" s="154" t="n">
        <v>54122205348.12</v>
      </c>
      <c r="H13" s="153" t="n">
        <v>0.6725234513217104</v>
      </c>
    </row>
    <row r="14">
      <c r="A14" s="106" t="inlineStr">
        <is>
          <t>Carteira 101</t>
        </is>
      </c>
      <c r="B14" s="106" t="inlineStr">
        <is>
          <t>preco_cota_natureza</t>
        </is>
      </c>
      <c r="C14" s="106" t="n">
        <v>85</v>
      </c>
      <c r="D14" s="106" t="n">
        <v>101</v>
      </c>
      <c r="E14" s="151" t="n">
        <v>0.8415841584158416</v>
      </c>
      <c r="F14" s="152" t="n">
        <v>48322020245.59</v>
      </c>
      <c r="G14" s="152" t="n">
        <v>54122205348.12</v>
      </c>
      <c r="H14" s="151" t="n">
        <v>0.8928316932907192</v>
      </c>
    </row>
    <row r="15">
      <c r="A15" s="105" t="inlineStr">
        <is>
          <t>Carteira 101</t>
        </is>
      </c>
      <c r="B15" s="105" t="inlineStr">
        <is>
          <t>preco_cota_documento_data</t>
        </is>
      </c>
      <c r="C15" s="105" t="n">
        <v>85</v>
      </c>
      <c r="D15" s="105" t="n">
        <v>101</v>
      </c>
      <c r="E15" s="153" t="n">
        <v>0.8415841584158416</v>
      </c>
      <c r="F15" s="154" t="n">
        <v>48322020245.59</v>
      </c>
      <c r="G15" s="154" t="n">
        <v>54122205348.12</v>
      </c>
      <c r="H15" s="153" t="n">
        <v>0.8928316932907192</v>
      </c>
    </row>
    <row r="16">
      <c r="A16" s="106" t="inlineStr">
        <is>
          <t>Carteira 101</t>
        </is>
      </c>
      <c r="B16" s="106" t="inlineStr">
        <is>
          <t>preco_cota_documento_id</t>
        </is>
      </c>
      <c r="C16" s="106" t="n">
        <v>85</v>
      </c>
      <c r="D16" s="106" t="n">
        <v>101</v>
      </c>
      <c r="E16" s="151" t="n">
        <v>0.8415841584158416</v>
      </c>
      <c r="F16" s="152" t="n">
        <v>48322020245.59</v>
      </c>
      <c r="G16" s="152" t="n">
        <v>54122205348.12</v>
      </c>
      <c r="H16" s="151" t="n">
        <v>0.8928316932907192</v>
      </c>
    </row>
    <row r="17">
      <c r="A17" s="105" t="inlineStr">
        <is>
          <t>Carteira 101</t>
        </is>
      </c>
      <c r="B17" s="105" t="inlineStr">
        <is>
          <t>preco_cota_fonte</t>
        </is>
      </c>
      <c r="C17" s="105" t="n">
        <v>85</v>
      </c>
      <c r="D17" s="105" t="n">
        <v>101</v>
      </c>
      <c r="E17" s="153" t="n">
        <v>0.8415841584158416</v>
      </c>
      <c r="F17" s="154" t="n">
        <v>48322020245.59</v>
      </c>
      <c r="G17" s="154" t="n">
        <v>54122205348.12</v>
      </c>
      <c r="H17" s="153" t="n">
        <v>0.8928316932907192</v>
      </c>
    </row>
    <row r="18">
      <c r="A18" s="106" t="inlineStr">
        <is>
          <t>Carteira 101</t>
        </is>
      </c>
      <c r="B18" s="106" t="inlineStr">
        <is>
          <t>posicao_mercado</t>
        </is>
      </c>
      <c r="C18" s="106" t="n">
        <v>101</v>
      </c>
      <c r="D18" s="106" t="n">
        <v>101</v>
      </c>
      <c r="E18" s="151" t="n">
        <v>1</v>
      </c>
      <c r="F18" s="152" t="n">
        <v>54122205348.12</v>
      </c>
      <c r="G18" s="152" t="n">
        <v>54122205348.12</v>
      </c>
      <c r="H18" s="151" t="n">
        <v>1</v>
      </c>
    </row>
    <row r="19">
      <c r="A19" s="105" t="inlineStr">
        <is>
          <t>Carteira 101</t>
        </is>
      </c>
      <c r="B19" s="105" t="inlineStr">
        <is>
          <t>excesso_vs_mercado</t>
        </is>
      </c>
      <c r="C19" s="105" t="n">
        <v>33</v>
      </c>
      <c r="D19" s="105" t="n">
        <v>101</v>
      </c>
      <c r="E19" s="153" t="n">
        <v>0.3267326732673267</v>
      </c>
      <c r="F19" s="154" t="n">
        <v>23718382923.21</v>
      </c>
      <c r="G19" s="154" t="n">
        <v>54122205348.12</v>
      </c>
      <c r="H19" s="153" t="n">
        <v>0.4382375546349367</v>
      </c>
    </row>
    <row r="20">
      <c r="A20" s="106" t="inlineStr">
        <is>
          <t>Carteira 101</t>
        </is>
      </c>
      <c r="B20" s="106" t="inlineStr">
        <is>
          <t>n_comparaveis_categoria</t>
        </is>
      </c>
      <c r="C20" s="106" t="n">
        <v>100</v>
      </c>
      <c r="D20" s="106" t="n">
        <v>101</v>
      </c>
      <c r="E20" s="151" t="n">
        <v>0.9900990099009901</v>
      </c>
      <c r="F20" s="152" t="n">
        <v>54122205348.12</v>
      </c>
      <c r="G20" s="152" t="n">
        <v>54122205348.12</v>
      </c>
      <c r="H20" s="151" t="n">
        <v>1</v>
      </c>
    </row>
    <row r="21">
      <c r="A21" s="105" t="inlineStr">
        <is>
          <t>Carteira 101</t>
        </is>
      </c>
      <c r="B21" s="105" t="inlineStr">
        <is>
          <t>benchmark_confiavel</t>
        </is>
      </c>
      <c r="C21" s="105" t="n">
        <v>101</v>
      </c>
      <c r="D21" s="105" t="n">
        <v>101</v>
      </c>
      <c r="E21" s="153" t="n">
        <v>1</v>
      </c>
      <c r="F21" s="154" t="n">
        <v>54122205348.12</v>
      </c>
      <c r="G21" s="154" t="n">
        <v>54122205348.12</v>
      </c>
      <c r="H21" s="153" t="n">
        <v>1</v>
      </c>
    </row>
    <row r="22">
      <c r="A22" s="106" t="inlineStr">
        <is>
          <t>Carteira 101</t>
        </is>
      </c>
      <c r="B22" s="106" t="inlineStr">
        <is>
          <t>cedente_originador_literal</t>
        </is>
      </c>
      <c r="C22" s="106" t="n">
        <v>85</v>
      </c>
      <c r="D22" s="106" t="n">
        <v>101</v>
      </c>
      <c r="E22" s="151" t="n">
        <v>0.8415841584158416</v>
      </c>
      <c r="F22" s="152" t="n">
        <v>42786378487.53</v>
      </c>
      <c r="G22" s="152" t="n">
        <v>54122205348.12</v>
      </c>
      <c r="H22" s="151" t="n">
        <v>0.790551275808576</v>
      </c>
    </row>
    <row r="23">
      <c r="A23" s="105" t="inlineStr">
        <is>
          <t>Carteira 101</t>
        </is>
      </c>
      <c r="B23" s="105" t="inlineStr">
        <is>
          <t>originador</t>
        </is>
      </c>
      <c r="C23" s="105" t="n">
        <v>14</v>
      </c>
      <c r="D23" s="105" t="n">
        <v>101</v>
      </c>
      <c r="E23" s="153" t="n">
        <v>0.1386138613861386</v>
      </c>
      <c r="F23" s="154" t="n">
        <v>12731283712.43</v>
      </c>
      <c r="G23" s="154" t="n">
        <v>54122205348.12</v>
      </c>
      <c r="H23" s="153" t="n">
        <v>0.2352321682115682</v>
      </c>
    </row>
    <row r="24">
      <c r="A24" s="106" t="inlineStr">
        <is>
          <t>Carteira 101</t>
        </is>
      </c>
      <c r="B24" s="106" t="inlineStr">
        <is>
          <t>cedente</t>
        </is>
      </c>
      <c r="C24" s="106" t="n">
        <v>93</v>
      </c>
      <c r="D24" s="106" t="n">
        <v>101</v>
      </c>
      <c r="E24" s="151" t="n">
        <v>0.9207920792079208</v>
      </c>
      <c r="F24" s="152" t="n">
        <v>48186161854.10999</v>
      </c>
      <c r="G24" s="152" t="n">
        <v>54122205348.12</v>
      </c>
      <c r="H24" s="151" t="n">
        <v>0.8903214779252118</v>
      </c>
    </row>
    <row r="25">
      <c r="A25" s="105" t="inlineStr">
        <is>
          <t>Carteira 101</t>
        </is>
      </c>
      <c r="B25" s="105" t="inlineStr">
        <is>
          <t>sacado_devedor</t>
        </is>
      </c>
      <c r="C25" s="105" t="n">
        <v>37</v>
      </c>
      <c r="D25" s="105" t="n">
        <v>101</v>
      </c>
      <c r="E25" s="153" t="n">
        <v>0.3663366336633663</v>
      </c>
      <c r="F25" s="154" t="n">
        <v>17959750690.13</v>
      </c>
      <c r="G25" s="154" t="n">
        <v>54122205348.12</v>
      </c>
      <c r="H25" s="153" t="n">
        <v>0.3318370080193684</v>
      </c>
    </row>
    <row r="26">
      <c r="A26" s="106" t="inlineStr">
        <is>
          <t>Carteira 101</t>
        </is>
      </c>
      <c r="B26" s="106" t="inlineStr">
        <is>
          <t>tipo_recebivel_literal</t>
        </is>
      </c>
      <c r="C26" s="106" t="n">
        <v>67</v>
      </c>
      <c r="D26" s="106" t="n">
        <v>101</v>
      </c>
      <c r="E26" s="151" t="n">
        <v>0.6633663366336634</v>
      </c>
      <c r="F26" s="152" t="n">
        <v>38796523635.64999</v>
      </c>
      <c r="G26" s="152" t="n">
        <v>54122205348.12</v>
      </c>
      <c r="H26" s="151" t="n">
        <v>0.7168319063516809</v>
      </c>
    </row>
    <row r="27">
      <c r="A27" s="105" t="inlineStr">
        <is>
          <t>Carteira 101</t>
        </is>
      </c>
      <c r="B27" s="105" t="inlineStr">
        <is>
          <t>fonte_partes_recebivel</t>
        </is>
      </c>
      <c r="C27" s="105" t="n">
        <v>95</v>
      </c>
      <c r="D27" s="105" t="n">
        <v>101</v>
      </c>
      <c r="E27" s="153" t="n">
        <v>0.9405940594059405</v>
      </c>
      <c r="F27" s="154" t="n">
        <v>48330435401.1</v>
      </c>
      <c r="G27" s="154" t="n">
        <v>54122205348.12</v>
      </c>
      <c r="H27" s="153" t="n">
        <v>0.8929871776331602</v>
      </c>
    </row>
    <row r="28">
      <c r="A28" s="106" t="inlineStr">
        <is>
          <t>Flagships</t>
        </is>
      </c>
      <c r="B28" s="106" t="inlineStr">
        <is>
          <t>nome_oficial_cvm</t>
        </is>
      </c>
      <c r="C28" s="106" t="n">
        <v>47</v>
      </c>
      <c r="D28" s="106" t="n">
        <v>47</v>
      </c>
      <c r="E28" s="151" t="n">
        <v>1</v>
      </c>
      <c r="F28" s="152" t="n">
        <v>107850412362.25</v>
      </c>
      <c r="G28" s="152" t="n">
        <v>107850412362.25</v>
      </c>
      <c r="H28" s="151" t="n">
        <v>1</v>
      </c>
    </row>
    <row r="29">
      <c r="A29" s="105" t="inlineStr">
        <is>
          <t>Flagships</t>
        </is>
      </c>
      <c r="B29" s="105" t="inlineStr">
        <is>
          <t>pl_atual_brl</t>
        </is>
      </c>
      <c r="C29" s="105" t="n">
        <v>47</v>
      </c>
      <c r="D29" s="105" t="n">
        <v>47</v>
      </c>
      <c r="E29" s="153" t="n">
        <v>1</v>
      </c>
      <c r="F29" s="154" t="n">
        <v>107850412362.25</v>
      </c>
      <c r="G29" s="154" t="n">
        <v>107850412362.25</v>
      </c>
      <c r="H29" s="153" t="n">
        <v>1</v>
      </c>
    </row>
    <row r="30">
      <c r="A30" s="106" t="inlineStr">
        <is>
          <t>Flagships</t>
        </is>
      </c>
      <c r="B30" s="106" t="inlineStr">
        <is>
          <t>sub_pl_atual</t>
        </is>
      </c>
      <c r="C30" s="106" t="n">
        <v>45</v>
      </c>
      <c r="D30" s="106" t="n">
        <v>47</v>
      </c>
      <c r="E30" s="151" t="n">
        <v>0.9574468085106383</v>
      </c>
      <c r="F30" s="152" t="n">
        <v>98550453511.37001</v>
      </c>
      <c r="G30" s="152" t="n">
        <v>107850412362.25</v>
      </c>
      <c r="H30" s="151" t="n">
        <v>0.9137698350225762</v>
      </c>
    </row>
    <row r="31">
      <c r="A31" s="105" t="inlineStr">
        <is>
          <t>Flagships</t>
        </is>
      </c>
      <c r="B31" s="105" t="inlineStr">
        <is>
          <t>indice_minimo_junior</t>
        </is>
      </c>
      <c r="C31" s="105" t="n">
        <v>11</v>
      </c>
      <c r="D31" s="105" t="n">
        <v>47</v>
      </c>
      <c r="E31" s="153" t="n">
        <v>0.2340425531914894</v>
      </c>
      <c r="F31" s="154" t="n">
        <v>17291577673.75</v>
      </c>
      <c r="G31" s="154" t="n">
        <v>107850412362.25</v>
      </c>
      <c r="H31" s="153" t="n">
        <v>0.1603292680576011</v>
      </c>
    </row>
    <row r="32">
      <c r="A32" s="106" t="inlineStr">
        <is>
          <t>Flagships</t>
        </is>
      </c>
      <c r="B32" s="106" t="inlineStr">
        <is>
          <t>indice_minimo_estrutural</t>
        </is>
      </c>
      <c r="C32" s="106" t="n">
        <v>11</v>
      </c>
      <c r="D32" s="106" t="n">
        <v>47</v>
      </c>
      <c r="E32" s="151" t="n">
        <v>0.2340425531914894</v>
      </c>
      <c r="F32" s="152" t="n">
        <v>17291577673.75</v>
      </c>
      <c r="G32" s="152" t="n">
        <v>107850412362.25</v>
      </c>
      <c r="H32" s="151" t="n">
        <v>0.1603292680576011</v>
      </c>
    </row>
    <row r="33">
      <c r="A33" s="105" t="inlineStr">
        <is>
          <t>Flagships</t>
        </is>
      </c>
      <c r="B33" s="105" t="inlineStr">
        <is>
          <t>folga_pp</t>
        </is>
      </c>
      <c r="C33" s="105" t="n">
        <v>4</v>
      </c>
      <c r="D33" s="105" t="n">
        <v>47</v>
      </c>
      <c r="E33" s="153" t="n">
        <v>0.0851063829787234</v>
      </c>
      <c r="F33" s="154" t="n">
        <v>3922385487.69</v>
      </c>
      <c r="G33" s="154" t="n">
        <v>107850412362.25</v>
      </c>
      <c r="H33" s="153" t="n">
        <v>0.03636875744633611</v>
      </c>
    </row>
    <row r="34">
      <c r="A34" s="106" t="inlineStr">
        <is>
          <t>Flagships</t>
        </is>
      </c>
      <c r="B34" s="106" t="inlineStr">
        <is>
          <t>grupo_comparacao</t>
        </is>
      </c>
      <c r="C34" s="106" t="n">
        <v>47</v>
      </c>
      <c r="D34" s="106" t="n">
        <v>47</v>
      </c>
      <c r="E34" s="151" t="n">
        <v>1</v>
      </c>
      <c r="F34" s="152" t="n">
        <v>107850412362.25</v>
      </c>
      <c r="G34" s="152" t="n">
        <v>107850412362.25</v>
      </c>
      <c r="H34" s="151" t="n">
        <v>1</v>
      </c>
    </row>
    <row r="35">
      <c r="A35" s="105" t="inlineStr">
        <is>
          <t>Flagships</t>
        </is>
      </c>
      <c r="B35" s="105" t="inlineStr">
        <is>
          <t>preco_cota_unitario</t>
        </is>
      </c>
      <c r="C35" s="105" t="n">
        <v>12</v>
      </c>
      <c r="D35" s="105" t="n">
        <v>47</v>
      </c>
      <c r="E35" s="153" t="n">
        <v>0.2553191489361702</v>
      </c>
      <c r="F35" s="154" t="n">
        <v>25331387490.34</v>
      </c>
      <c r="G35" s="154" t="n">
        <v>107850412362.25</v>
      </c>
      <c r="H35" s="153" t="n">
        <v>0.2348752029362341</v>
      </c>
    </row>
    <row r="36">
      <c r="A36" s="106" t="inlineStr">
        <is>
          <t>Flagships</t>
        </is>
      </c>
      <c r="B36" s="106" t="inlineStr">
        <is>
          <t>preco_cota_classe_serie</t>
        </is>
      </c>
      <c r="C36" s="106" t="n">
        <v>12</v>
      </c>
      <c r="D36" s="106" t="n">
        <v>47</v>
      </c>
      <c r="E36" s="151" t="n">
        <v>0.2553191489361702</v>
      </c>
      <c r="F36" s="152" t="n">
        <v>25331387490.34</v>
      </c>
      <c r="G36" s="152" t="n">
        <v>107850412362.25</v>
      </c>
      <c r="H36" s="151" t="n">
        <v>0.2348752029362341</v>
      </c>
    </row>
    <row r="37">
      <c r="A37" s="105" t="inlineStr">
        <is>
          <t>Flagships</t>
        </is>
      </c>
      <c r="B37" s="105" t="inlineStr">
        <is>
          <t>preco_cota_natureza</t>
        </is>
      </c>
      <c r="C37" s="105" t="n">
        <v>12</v>
      </c>
      <c r="D37" s="105" t="n">
        <v>47</v>
      </c>
      <c r="E37" s="153" t="n">
        <v>0.2553191489361702</v>
      </c>
      <c r="F37" s="154" t="n">
        <v>25331387490.34</v>
      </c>
      <c r="G37" s="154" t="n">
        <v>107850412362.25</v>
      </c>
      <c r="H37" s="153" t="n">
        <v>0.2348752029362341</v>
      </c>
    </row>
    <row r="38">
      <c r="A38" s="106" t="inlineStr">
        <is>
          <t>Flagships</t>
        </is>
      </c>
      <c r="B38" s="106" t="inlineStr">
        <is>
          <t>preco_cota_documento_data</t>
        </is>
      </c>
      <c r="C38" s="106" t="n">
        <v>0</v>
      </c>
      <c r="D38" s="106" t="n">
        <v>47</v>
      </c>
      <c r="E38" s="151" t="n">
        <v>0</v>
      </c>
      <c r="F38" s="152" t="n">
        <v>0</v>
      </c>
      <c r="G38" s="152" t="n">
        <v>107850412362.25</v>
      </c>
      <c r="H38" s="151" t="n">
        <v>0</v>
      </c>
    </row>
    <row r="39">
      <c r="A39" s="105" t="inlineStr">
        <is>
          <t>Flagships</t>
        </is>
      </c>
      <c r="B39" s="105" t="inlineStr">
        <is>
          <t>preco_cota_documento_id</t>
        </is>
      </c>
      <c r="C39" s="105" t="n">
        <v>12</v>
      </c>
      <c r="D39" s="105" t="n">
        <v>47</v>
      </c>
      <c r="E39" s="153" t="n">
        <v>0.2553191489361702</v>
      </c>
      <c r="F39" s="154" t="n">
        <v>25331387490.34</v>
      </c>
      <c r="G39" s="154" t="n">
        <v>107850412362.25</v>
      </c>
      <c r="H39" s="153" t="n">
        <v>0.2348752029362341</v>
      </c>
    </row>
    <row r="40">
      <c r="A40" s="106" t="inlineStr">
        <is>
          <t>Flagships</t>
        </is>
      </c>
      <c r="B40" s="106" t="inlineStr">
        <is>
          <t>preco_cota_fonte</t>
        </is>
      </c>
      <c r="C40" s="106" t="n">
        <v>12</v>
      </c>
      <c r="D40" s="106" t="n">
        <v>47</v>
      </c>
      <c r="E40" s="151" t="n">
        <v>0.2553191489361702</v>
      </c>
      <c r="F40" s="152" t="n">
        <v>25331387490.34</v>
      </c>
      <c r="G40" s="152" t="n">
        <v>107850412362.25</v>
      </c>
      <c r="H40" s="151" t="n">
        <v>0.2348752029362341</v>
      </c>
    </row>
    <row r="41">
      <c r="A41" s="105" t="inlineStr">
        <is>
          <t>Flagships</t>
        </is>
      </c>
      <c r="B41" s="105" t="inlineStr">
        <is>
          <t>posicao_mercado</t>
        </is>
      </c>
      <c r="C41" s="105" t="n">
        <v>0</v>
      </c>
      <c r="D41" s="105" t="n">
        <v>47</v>
      </c>
      <c r="E41" s="153" t="n">
        <v>0</v>
      </c>
      <c r="F41" s="154" t="n">
        <v>0</v>
      </c>
      <c r="G41" s="154" t="n">
        <v>107850412362.25</v>
      </c>
      <c r="H41" s="153" t="n">
        <v>0</v>
      </c>
    </row>
    <row r="42">
      <c r="A42" s="106" t="inlineStr">
        <is>
          <t>Flagships</t>
        </is>
      </c>
      <c r="B42" s="106" t="inlineStr">
        <is>
          <t>excesso_vs_mercado</t>
        </is>
      </c>
      <c r="C42" s="106" t="n">
        <v>0</v>
      </c>
      <c r="D42" s="106" t="n">
        <v>47</v>
      </c>
      <c r="E42" s="151" t="n">
        <v>0</v>
      </c>
      <c r="F42" s="152" t="n">
        <v>0</v>
      </c>
      <c r="G42" s="152" t="n">
        <v>107850412362.25</v>
      </c>
      <c r="H42" s="151" t="n">
        <v>0</v>
      </c>
    </row>
    <row r="43">
      <c r="A43" s="105" t="inlineStr">
        <is>
          <t>Flagships</t>
        </is>
      </c>
      <c r="B43" s="105" t="inlineStr">
        <is>
          <t>n_comparaveis_categoria</t>
        </is>
      </c>
      <c r="C43" s="105" t="n">
        <v>0</v>
      </c>
      <c r="D43" s="105" t="n">
        <v>47</v>
      </c>
      <c r="E43" s="153" t="n">
        <v>0</v>
      </c>
      <c r="F43" s="154" t="n">
        <v>0</v>
      </c>
      <c r="G43" s="154" t="n">
        <v>107850412362.25</v>
      </c>
      <c r="H43" s="153" t="n">
        <v>0</v>
      </c>
    </row>
    <row r="44">
      <c r="A44" s="106" t="inlineStr">
        <is>
          <t>Flagships</t>
        </is>
      </c>
      <c r="B44" s="106" t="inlineStr">
        <is>
          <t>benchmark_confiavel</t>
        </is>
      </c>
      <c r="C44" s="106" t="n">
        <v>0</v>
      </c>
      <c r="D44" s="106" t="n">
        <v>47</v>
      </c>
      <c r="E44" s="151" t="n">
        <v>0</v>
      </c>
      <c r="F44" s="152" t="n">
        <v>0</v>
      </c>
      <c r="G44" s="152" t="n">
        <v>107850412362.25</v>
      </c>
      <c r="H44" s="151" t="n">
        <v>0</v>
      </c>
    </row>
    <row r="45">
      <c r="A45" s="105" t="inlineStr">
        <is>
          <t>Flagships</t>
        </is>
      </c>
      <c r="B45" s="105" t="inlineStr">
        <is>
          <t>cedente_originador_literal</t>
        </is>
      </c>
      <c r="C45" s="105" t="n">
        <v>8</v>
      </c>
      <c r="D45" s="105" t="n">
        <v>47</v>
      </c>
      <c r="E45" s="153" t="n">
        <v>0.1702127659574468</v>
      </c>
      <c r="F45" s="154" t="n">
        <v>67740426372.61</v>
      </c>
      <c r="G45" s="154" t="n">
        <v>107850412362.25</v>
      </c>
      <c r="H45" s="153" t="n">
        <v>0.6280961276724856</v>
      </c>
    </row>
    <row r="46">
      <c r="A46" s="106" t="inlineStr">
        <is>
          <t>Flagships</t>
        </is>
      </c>
      <c r="B46" s="106" t="inlineStr">
        <is>
          <t>originador</t>
        </is>
      </c>
      <c r="C46" s="106" t="n">
        <v>7</v>
      </c>
      <c r="D46" s="106" t="n">
        <v>47</v>
      </c>
      <c r="E46" s="151" t="n">
        <v>0.148936170212766</v>
      </c>
      <c r="F46" s="152" t="n">
        <v>67075023458.50999</v>
      </c>
      <c r="G46" s="152" t="n">
        <v>107850412362.25</v>
      </c>
      <c r="H46" s="151" t="n">
        <v>0.6219264441309424</v>
      </c>
    </row>
    <row r="47">
      <c r="A47" s="105" t="inlineStr">
        <is>
          <t>Flagships</t>
        </is>
      </c>
      <c r="B47" s="105" t="inlineStr">
        <is>
          <t>cedente</t>
        </is>
      </c>
      <c r="C47" s="105" t="n">
        <v>3</v>
      </c>
      <c r="D47" s="105" t="n">
        <v>47</v>
      </c>
      <c r="E47" s="153" t="n">
        <v>0.06382978723404255</v>
      </c>
      <c r="F47" s="154" t="n">
        <v>10481595144.19</v>
      </c>
      <c r="G47" s="154" t="n">
        <v>107850412362.25</v>
      </c>
      <c r="H47" s="153" t="n">
        <v>0.09718641695113987</v>
      </c>
    </row>
    <row r="48">
      <c r="A48" s="106" t="inlineStr">
        <is>
          <t>Flagships</t>
        </is>
      </c>
      <c r="B48" s="106" t="inlineStr">
        <is>
          <t>sacado_devedor</t>
        </is>
      </c>
      <c r="C48" s="106" t="n">
        <v>0</v>
      </c>
      <c r="D48" s="106" t="n">
        <v>47</v>
      </c>
      <c r="E48" s="151" t="n">
        <v>0</v>
      </c>
      <c r="F48" s="152" t="n">
        <v>0</v>
      </c>
      <c r="G48" s="152" t="n">
        <v>107850412362.25</v>
      </c>
      <c r="H48" s="151" t="n">
        <v>0</v>
      </c>
    </row>
    <row r="49">
      <c r="A49" s="105" t="inlineStr">
        <is>
          <t>Flagships</t>
        </is>
      </c>
      <c r="B49" s="105" t="inlineStr">
        <is>
          <t>tipo_recebivel_literal</t>
        </is>
      </c>
      <c r="C49" s="105" t="n">
        <v>2</v>
      </c>
      <c r="D49" s="105" t="n">
        <v>47</v>
      </c>
      <c r="E49" s="153" t="n">
        <v>0.0425531914893617</v>
      </c>
      <c r="F49" s="154" t="n">
        <v>9816192230.09</v>
      </c>
      <c r="G49" s="154" t="n">
        <v>107850412362.25</v>
      </c>
      <c r="H49" s="153" t="n">
        <v>0.09101673340959687</v>
      </c>
    </row>
    <row r="50">
      <c r="A50" s="106" t="inlineStr">
        <is>
          <t>Flagships</t>
        </is>
      </c>
      <c r="B50" s="106" t="inlineStr">
        <is>
          <t>fonte_partes_recebivel</t>
        </is>
      </c>
      <c r="C50" s="106" t="n">
        <v>8</v>
      </c>
      <c r="D50" s="106" t="n">
        <v>47</v>
      </c>
      <c r="E50" s="151" t="n">
        <v>0.1702127659574468</v>
      </c>
      <c r="F50" s="152" t="n">
        <v>67740426372.61</v>
      </c>
      <c r="G50" s="152" t="n">
        <v>107850412362.25</v>
      </c>
      <c r="H50" s="151" t="n">
        <v>0.6280961276724856</v>
      </c>
    </row>
    <row r="53">
      <c r="A53" s="119" t="inlineStr">
        <is>
          <t>LACUNAS POR CNPJ</t>
        </is>
      </c>
    </row>
    <row r="54">
      <c r="A54" s="120" t="inlineStr">
        <is>
          <t>Coorte</t>
        </is>
      </c>
      <c r="B54" s="120" t="inlineStr">
        <is>
          <t>CNPJ</t>
        </is>
      </c>
      <c r="C54" s="120" t="inlineStr">
        <is>
          <t>Nome de referência</t>
        </is>
      </c>
      <c r="D54" s="120" t="inlineStr">
        <is>
          <t>Status do preenchimento</t>
        </is>
      </c>
      <c r="E54" s="120" t="inlineStr">
        <is>
          <t>Campos não preenchidos</t>
        </is>
      </c>
      <c r="F54" s="120" t="inlineStr">
        <is>
          <t>Motivo da comparabilidade</t>
        </is>
      </c>
      <c r="G54" s="120" t="inlineStr">
        <is>
          <t>Status da curadoria</t>
        </is>
      </c>
    </row>
    <row r="55" ht="34.5" customHeight="1">
      <c r="A55" s="121" t="inlineStr">
        <is>
          <t>Carteira 101</t>
        </is>
      </c>
      <c r="B55" s="155" t="inlineStr">
        <is>
          <t>42462306000100</t>
        </is>
      </c>
      <c r="C55" s="121" t="inlineStr">
        <is>
          <t>IS GREEN SOLFACIL II FIDC</t>
        </is>
      </c>
      <c r="D55" s="121" t="inlineStr">
        <is>
          <t>estrutura_incomparavel</t>
        </is>
      </c>
      <c r="E55" s="121" t="inlineStr">
        <is>
          <t>preço unitário da cota; sacado/devedor</t>
        </is>
      </c>
      <c r="F55" s="121" t="inlineStr">
        <is>
          <t>Mínimo júnior isolado; a subordinação atual disponível agrega todas as classes subordinadas.</t>
        </is>
      </c>
      <c r="G55" s="121" t="inlineStr">
        <is>
          <t>revisto — mínimo júnior localizado</t>
        </is>
      </c>
    </row>
    <row r="56" ht="34.5" customHeight="1">
      <c r="A56" s="121" t="inlineStr">
        <is>
          <t>Carteira 101</t>
        </is>
      </c>
      <c r="B56" s="155" t="inlineStr">
        <is>
          <t>54810968000102</t>
        </is>
      </c>
      <c r="C56" s="121" t="inlineStr">
        <is>
          <t>ANGA FGTS III FUNDO DE INVESTIMENTO EM DIREITOS CR</t>
        </is>
      </c>
      <c r="D56" s="121" t="inlineStr">
        <is>
          <t>estrutura_incomparavel</t>
        </is>
      </c>
      <c r="E56" s="121" t="inlineStr">
        <is>
          <t>originador; sacado/devedor</t>
        </is>
      </c>
      <c r="F56" s="121" t="inlineStr">
        <is>
          <t>Mínimo júnior isolado; a subordinação atual disponível agrega todas as classes subordinadas.</t>
        </is>
      </c>
      <c r="G56" s="121" t="inlineStr">
        <is>
          <t>revisto — mínimo júnior localizado</t>
        </is>
      </c>
    </row>
    <row r="57" ht="34.5" customHeight="1">
      <c r="A57" s="121" t="inlineStr">
        <is>
          <t>Carteira 101</t>
        </is>
      </c>
      <c r="B57" s="155" t="inlineStr">
        <is>
          <t>53270983000142</t>
        </is>
      </c>
      <c r="C57" s="121" t="inlineStr">
        <is>
          <t>ANGA FGTS MAIS AG FIDC RESPONSABILIDADE LIMITADA</t>
        </is>
      </c>
      <c r="D57" s="121" t="inlineStr">
        <is>
          <t>estrutura_incomparavel</t>
        </is>
      </c>
      <c r="E57" s="121" t="inlineStr">
        <is>
          <t>originador; sacado/devedor; tipo de recebível</t>
        </is>
      </c>
      <c r="F57" s="121" t="inlineStr">
        <is>
          <t>Mínimo júnior isolado; a subordinação atual disponível agrega todas as classes subordinadas.</t>
        </is>
      </c>
      <c r="G57" s="121" t="inlineStr">
        <is>
          <t>revisto — mínimo júnior localizado</t>
        </is>
      </c>
    </row>
    <row r="58" ht="34.5" customHeight="1">
      <c r="A58" s="121" t="inlineStr">
        <is>
          <t>Carteira 101</t>
        </is>
      </c>
      <c r="B58" s="155" t="inlineStr">
        <is>
          <t>52968533000165</t>
        </is>
      </c>
      <c r="C58" s="121" t="inlineStr">
        <is>
          <t>MCPO FUNDO DE INVESTIMENTO EM DIREITOS CREDITORIO</t>
        </is>
      </c>
      <c r="D58" s="121" t="inlineStr">
        <is>
          <t>completo_para_folga</t>
        </is>
      </c>
      <c r="E58" s="121" t="inlineStr">
        <is>
          <t>originador</t>
        </is>
      </c>
      <c r="F58" s="121" t="inlineStr">
        <is>
          <t>Suporte total ou combinado; não representa mínimo júnior isolado.</t>
        </is>
      </c>
      <c r="G58" s="121" t="inlineStr">
        <is>
          <t>revisto — suporte estrutural total localizado</t>
        </is>
      </c>
    </row>
    <row r="59" ht="34.5" customHeight="1">
      <c r="A59" s="121" t="inlineStr">
        <is>
          <t>Carteira 101</t>
        </is>
      </c>
      <c r="B59" s="155" t="inlineStr">
        <is>
          <t>52100879000147</t>
        </is>
      </c>
      <c r="C59" s="121" t="inlineStr">
        <is>
          <t>SOTREQ FUNDO DE INVESTIMENTO EM DIREITOS CREDITORIOS</t>
        </is>
      </c>
      <c r="D59" s="121" t="inlineStr">
        <is>
          <t>completo_para_folga</t>
        </is>
      </c>
      <c r="E59" s="121" t="inlineStr">
        <is>
          <t>originador; sacado/devedor; tipo de recebível</t>
        </is>
      </c>
      <c r="F59" s="121" t="inlineStr">
        <is>
          <t>Suporte total ou combinado; não representa mínimo júnior isolado.</t>
        </is>
      </c>
      <c r="G59" s="121" t="inlineStr">
        <is>
          <t>revisto — suporte estrutural total localizado</t>
        </is>
      </c>
    </row>
    <row r="60" ht="34.5" customHeight="1">
      <c r="A60" s="121" t="inlineStr">
        <is>
          <t>Carteira 101</t>
        </is>
      </c>
      <c r="B60" s="155" t="inlineStr">
        <is>
          <t>53662209000187</t>
        </is>
      </c>
      <c r="C60" s="121" t="inlineStr">
        <is>
          <t>PNEUCASH FUNDO DE INVESTIMENTO EM DIREITOS CREDITORIOS</t>
        </is>
      </c>
      <c r="D60" s="121" t="inlineStr">
        <is>
          <t>sub_pl_atual_ausente</t>
        </is>
      </c>
      <c r="E60" s="121" t="inlineStr">
        <is>
          <t>Sub/PL atual; originador; tipo de recebível</t>
        </is>
      </c>
      <c r="F60" s="121" t="inlineStr">
        <is>
          <t>Suporte total ou combinado; não representa mínimo júnior isolado.</t>
        </is>
      </c>
      <c r="G60" s="121" t="inlineStr">
        <is>
          <t>revisto — suporte estrutural total localizado</t>
        </is>
      </c>
    </row>
    <row r="61" ht="34.5" customHeight="1">
      <c r="A61" s="121" t="inlineStr">
        <is>
          <t>Carteira 101</t>
        </is>
      </c>
      <c r="B61" s="155" t="inlineStr">
        <is>
          <t>53577135000180</t>
        </is>
      </c>
      <c r="C61" s="121" t="inlineStr">
        <is>
          <t>ANGA FGTS II FUNDO DE INVESTIMENTO EM DIREITOS CR</t>
        </is>
      </c>
      <c r="D61" s="121" t="inlineStr">
        <is>
          <t>estrutura_incomparavel</t>
        </is>
      </c>
      <c r="E61" s="121" t="inlineStr">
        <is>
          <t>originador; sacado/devedor</t>
        </is>
      </c>
      <c r="F61" s="121" t="inlineStr">
        <is>
          <t>Mínimo júnior isolado; a subordinação atual disponível agrega todas as classes subordinadas.</t>
        </is>
      </c>
      <c r="G61" s="121" t="inlineStr">
        <is>
          <t>revisto — mínimo júnior localizado</t>
        </is>
      </c>
    </row>
    <row r="62" ht="34.5" customHeight="1">
      <c r="A62" s="121" t="inlineStr">
        <is>
          <t>Carteira 101</t>
        </is>
      </c>
      <c r="B62" s="155" t="inlineStr">
        <is>
          <t>62626887000185</t>
        </is>
      </c>
      <c r="C62" s="121" t="inlineStr">
        <is>
          <t>TOP 2025 C FIDC RESP LTDA</t>
        </is>
      </c>
      <c r="D62" s="121" t="inlineStr">
        <is>
          <t>estrutura_incomparavel</t>
        </is>
      </c>
      <c r="E62" s="121" t="inlineStr">
        <is>
          <t>originador</t>
        </is>
      </c>
      <c r="F62" s="121" t="inlineStr">
        <is>
          <t>Mínimo júnior isolado; a subordinação atual disponível agrega todas as classes subordinadas.</t>
        </is>
      </c>
      <c r="G62" s="121" t="inlineStr">
        <is>
          <t>revisto — mínimo júnior localizado</t>
        </is>
      </c>
    </row>
    <row r="63" ht="34.5" customHeight="1">
      <c r="A63" s="121" t="inlineStr">
        <is>
          <t>Carteira 101</t>
        </is>
      </c>
      <c r="B63" s="155" t="inlineStr">
        <is>
          <t>50098465000103</t>
        </is>
      </c>
      <c r="C63" s="121" t="inlineStr">
        <is>
          <t>CHEMICAL XIII FUNDO DE INVESTIMENTO EM DIREITOS</t>
        </is>
      </c>
      <c r="D63" s="121" t="inlineStr">
        <is>
          <t>sub_pl_atual_ausente</t>
        </is>
      </c>
      <c r="E63" s="121" t="inlineStr">
        <is>
          <t>PL atual; Sub/PL atual; sacado/devedor; tipo de recebível</t>
        </is>
      </c>
      <c r="F63" s="121" t="inlineStr">
        <is>
          <t>Suporte total ou combinado; não representa mínimo júnior isolado.</t>
        </is>
      </c>
      <c r="G63" s="121" t="inlineStr">
        <is>
          <t>revisto — suporte estrutural total localizado</t>
        </is>
      </c>
    </row>
    <row r="64" ht="34.5" customHeight="1">
      <c r="A64" s="121" t="inlineStr">
        <is>
          <t>Carteira 101</t>
        </is>
      </c>
      <c r="B64" s="155" t="inlineStr">
        <is>
          <t>48967719000122</t>
        </is>
      </c>
      <c r="C64" s="121" t="inlineStr">
        <is>
          <t>SOULPAY FIDC</t>
        </is>
      </c>
      <c r="D64" s="121" t="inlineStr">
        <is>
          <t>completo_para_folga</t>
        </is>
      </c>
      <c r="E64" s="121" t="inlineStr">
        <is>
          <t>originador; sacado/devedor; tipo de recebível</t>
        </is>
      </c>
      <c r="F64" s="121" t="inlineStr">
        <is>
          <t>Estrutura com uma única classe subordinada; métrica atual e piso usam o total subordinado sobre o PL.</t>
        </is>
      </c>
      <c r="G64" s="121" t="inlineStr">
        <is>
          <t>revisto — mínimo júnior localizado</t>
        </is>
      </c>
    </row>
    <row r="65" ht="34.5" customHeight="1">
      <c r="A65" s="121" t="inlineStr">
        <is>
          <t>Carteira 101</t>
        </is>
      </c>
      <c r="B65" s="155" t="inlineStr">
        <is>
          <t>37645417000111</t>
        </is>
      </c>
      <c r="C65" s="121" t="inlineStr">
        <is>
          <t>UBYFOL AGRO FIDC III</t>
        </is>
      </c>
      <c r="D65" s="121" t="inlineStr">
        <is>
          <t>sub_pl_atual_ausente</t>
        </is>
      </c>
      <c r="E65" s="121" t="inlineStr">
        <is>
          <t>PL atual; Sub/PL atual; preço unitário da cota; originador; sacado/devedor</t>
        </is>
      </c>
      <c r="F65" s="121" t="inlineStr">
        <is>
          <t>Mínimo júnior isolado; a subordinação atual disponível agrega todas as classes subordinadas.</t>
        </is>
      </c>
      <c r="G65" s="121" t="inlineStr">
        <is>
          <t>revisto — mínimo júnior localizado</t>
        </is>
      </c>
    </row>
    <row r="66" ht="34.5" customHeight="1">
      <c r="A66" s="121" t="inlineStr">
        <is>
          <t>Carteira 101</t>
        </is>
      </c>
      <c r="B66" s="155" t="inlineStr">
        <is>
          <t>50832746000130</t>
        </is>
      </c>
      <c r="C66" s="121" t="inlineStr">
        <is>
          <t>BOASAFRA FIDC DO AGRONEGOCIO</t>
        </is>
      </c>
      <c r="D66" s="121" t="inlineStr">
        <is>
          <t>sub_pl_atual_ausente</t>
        </is>
      </c>
      <c r="E66" s="121" t="inlineStr">
        <is>
          <t>PL atual; Sub/PL atual; originador; sacado/devedor</t>
        </is>
      </c>
      <c r="F66" s="121" t="inlineStr">
        <is>
          <t>Mínimo júnior isolado; a subordinação atual disponível agrega mais de uma classe subordinada ou usa denominador distinto.</t>
        </is>
      </c>
      <c r="G66" s="121" t="inlineStr">
        <is>
          <t>revisto — mínimo júnior localizado</t>
        </is>
      </c>
    </row>
    <row r="67" ht="34.5" customHeight="1">
      <c r="A67" s="121" t="inlineStr">
        <is>
          <t>Carteira 101</t>
        </is>
      </c>
      <c r="B67" s="155" t="inlineStr">
        <is>
          <t>33076242000118</t>
        </is>
      </c>
      <c r="C67" s="121" t="inlineStr">
        <is>
          <t>FUNDO DE INVESTIMENTO EM DIREITOS CREDITORIOS ALBA</t>
        </is>
      </c>
      <c r="D67" s="121" t="inlineStr">
        <is>
          <t>completo_para_folga</t>
        </is>
      </c>
      <c r="E67" s="121" t="inlineStr">
        <is>
          <t>preço unitário da cota; originador; sacado/devedor; tipo de recebível</t>
        </is>
      </c>
      <c r="F67" s="121" t="inlineStr">
        <is>
          <t>Estrutura com uma única classe subordinada; métrica atual e piso usam o total subordinado sobre o PL.</t>
        </is>
      </c>
      <c r="G67" s="121" t="inlineStr">
        <is>
          <t>revisto — mínimo júnior localizado</t>
        </is>
      </c>
    </row>
    <row r="68" ht="34.5" customHeight="1">
      <c r="A68" s="121" t="inlineStr">
        <is>
          <t>Carteira 101</t>
        </is>
      </c>
      <c r="B68" s="155" t="inlineStr">
        <is>
          <t>44173467000109</t>
        </is>
      </c>
      <c r="C68" s="121" t="inlineStr">
        <is>
          <t>RECEIVABLES 48 FUNDO DE INVEST INSS MEU TUDO</t>
        </is>
      </c>
      <c r="D68" s="121" t="inlineStr">
        <is>
          <t>estrutura_incomparavel</t>
        </is>
      </c>
      <c r="E68" s="121" t="inlineStr">
        <is>
          <t>originador; sacado/devedor</t>
        </is>
      </c>
      <c r="F68" s="121" t="inlineStr">
        <is>
          <t>Mínimo júnior isolado; a subordinação atual disponível agrega mais de uma classe subordinada ou usa denominador distinto.</t>
        </is>
      </c>
      <c r="G68" s="121" t="inlineStr">
        <is>
          <t>revisto — mínimo júnior localizado</t>
        </is>
      </c>
    </row>
    <row r="69" ht="34.5" customHeight="1">
      <c r="A69" s="121" t="inlineStr">
        <is>
          <t>Carteira 101</t>
        </is>
      </c>
      <c r="B69" s="155" t="inlineStr">
        <is>
          <t>48313595000161</t>
        </is>
      </c>
      <c r="C69" s="121" t="inlineStr">
        <is>
          <t>IBBA AGRO BR FUNDO DE INVESTIMENTO EM DIREITOS CRE</t>
        </is>
      </c>
      <c r="D69" s="121" t="inlineStr">
        <is>
          <t>sub_pl_atual_ausente</t>
        </is>
      </c>
      <c r="E69" s="121" t="inlineStr">
        <is>
          <t>Sub/PL atual; mínimo estrutural comparável; originador; sacado/devedor; tipo de recebível</t>
        </is>
      </c>
      <c r="F69" s="121" t="inlineStr">
        <is>
          <t>Regulamento revisado sem índice percentual isolável.</t>
        </is>
      </c>
      <c r="G69" s="121" t="inlineStr">
        <is>
          <t>revisto — regulamento sem índice percentual isolável</t>
        </is>
      </c>
    </row>
    <row r="70" ht="34.5" customHeight="1">
      <c r="A70" s="121" t="inlineStr">
        <is>
          <t>Carteira 101</t>
        </is>
      </c>
      <c r="B70" s="155" t="inlineStr">
        <is>
          <t>32526025000110</t>
        </is>
      </c>
      <c r="C70" s="121" t="inlineStr">
        <is>
          <t>COBUCCIO FUNDO I F D C NAO P</t>
        </is>
      </c>
      <c r="D70" s="121" t="inlineStr">
        <is>
          <t>estrutura_incomparavel</t>
        </is>
      </c>
      <c r="E70" s="121" t="inlineStr">
        <is>
          <t>originador; cedente; sacado/devedor; tipo de recebível</t>
        </is>
      </c>
      <c r="F70" s="121" t="inlineStr">
        <is>
          <t>Mínimo júnior isolado; a subordinação atual disponível agrega todas as classes subordinadas.</t>
        </is>
      </c>
      <c r="G70" s="121" t="inlineStr">
        <is>
          <t>revisto — mínimo júnior localizado</t>
        </is>
      </c>
    </row>
    <row r="71" ht="34.5" customHeight="1">
      <c r="A71" s="121" t="inlineStr">
        <is>
          <t>Carteira 101</t>
        </is>
      </c>
      <c r="B71" s="155" t="inlineStr">
        <is>
          <t>45523699000102</t>
        </is>
      </c>
      <c r="C71" s="121" t="inlineStr">
        <is>
          <t>VIXTRA FUNDO DE INVE E D C RL</t>
        </is>
      </c>
      <c r="D71" s="121" t="inlineStr">
        <is>
          <t>estrutura_incomparavel</t>
        </is>
      </c>
      <c r="E71" s="121" t="inlineStr">
        <is>
          <t>originador; sacado/devedor</t>
        </is>
      </c>
      <c r="F71" s="121" t="inlineStr">
        <is>
          <t>Mínimo júnior isolado; a subordinação atual disponível agrega todas as classes subordinadas.</t>
        </is>
      </c>
      <c r="G71" s="121" t="inlineStr">
        <is>
          <t>revisto — mínimo júnior localizado</t>
        </is>
      </c>
    </row>
    <row r="72" ht="34.5" customHeight="1">
      <c r="A72" s="121" t="inlineStr">
        <is>
          <t>Carteira 101</t>
        </is>
      </c>
      <c r="B72" s="155" t="inlineStr">
        <is>
          <t>54083697000130</t>
        </is>
      </c>
      <c r="C72" s="121" t="inlineStr">
        <is>
          <t>PERNAMBUCANAS FIDC DE RESPONSABILIDADE LIMITADA</t>
        </is>
      </c>
      <c r="D72" s="121" t="inlineStr">
        <is>
          <t>completo_para_folga</t>
        </is>
      </c>
      <c r="E72" s="121" t="inlineStr">
        <is>
          <t>preço unitário da cota; originador; sacado/devedor; tipo de recebível</t>
        </is>
      </c>
      <c r="F72" s="121" t="inlineStr">
        <is>
          <t>Estrutura com uma única classe subordinada; métrica atual e piso usam o total subordinado sobre o PL.</t>
        </is>
      </c>
      <c r="G72" s="121" t="inlineStr">
        <is>
          <t>revisto — mínimo júnior localizado</t>
        </is>
      </c>
    </row>
    <row r="73" ht="34.5" customHeight="1">
      <c r="A73" s="121" t="inlineStr">
        <is>
          <t>Carteira 101</t>
        </is>
      </c>
      <c r="B73" s="155" t="inlineStr">
        <is>
          <t>56936116000191</t>
        </is>
      </c>
      <c r="C73" s="121" t="inlineStr">
        <is>
          <t>FATOR TARKEN FUNDO DE INVESTIMENTO EM DIREITOS CRE</t>
        </is>
      </c>
      <c r="D73" s="121" t="inlineStr">
        <is>
          <t>sub_pl_atual_ausente</t>
        </is>
      </c>
      <c r="E73" s="121" t="inlineStr">
        <is>
          <t>PL atual; Sub/PL atual; originador; tipo de recebível</t>
        </is>
      </c>
      <c r="F73" s="121" t="inlineStr">
        <is>
          <t>Mínimo júnior isolado; a subordinação atual disponível agrega todas as classes subordinadas.</t>
        </is>
      </c>
      <c r="G73" s="121" t="inlineStr">
        <is>
          <t>revisto — mínimo júnior localizado</t>
        </is>
      </c>
    </row>
    <row r="74" ht="34.5" customHeight="1">
      <c r="A74" s="121" t="inlineStr">
        <is>
          <t>Carteira 101</t>
        </is>
      </c>
      <c r="B74" s="155" t="inlineStr">
        <is>
          <t>50089559000108</t>
        </is>
      </c>
      <c r="C74" s="121" t="inlineStr">
        <is>
          <t>AGRICONNECTION FIAGRO DIREITOS CREDITORIOS</t>
        </is>
      </c>
      <c r="D74" s="121" t="inlineStr">
        <is>
          <t>sub_pl_atual_ausente</t>
        </is>
      </c>
      <c r="E74" s="121" t="inlineStr">
        <is>
          <t>PL atual; Sub/PL atual; originador</t>
        </is>
      </c>
      <c r="F74" s="121" t="inlineStr">
        <is>
          <t>Mínimo júnior isolado; a subordinação atual disponível agrega todas as classes subordinadas.</t>
        </is>
      </c>
      <c r="G74" s="121" t="inlineStr">
        <is>
          <t>revisto — mínimo júnior localizado</t>
        </is>
      </c>
    </row>
    <row r="75" ht="34.5" customHeight="1">
      <c r="A75" s="121" t="inlineStr">
        <is>
          <t>Carteira 101</t>
        </is>
      </c>
      <c r="B75" s="155" t="inlineStr">
        <is>
          <t>57131490000182</t>
        </is>
      </c>
      <c r="C75" s="121" t="inlineStr">
        <is>
          <t>PONTO RURAL FIAGRO FIDC LTDA</t>
        </is>
      </c>
      <c r="D75" s="121" t="inlineStr">
        <is>
          <t>sub_pl_atual_ausente</t>
        </is>
      </c>
      <c r="E75" s="121" t="inlineStr">
        <is>
          <t>PL atual; Sub/PL atual; preço unitário da cota; originador</t>
        </is>
      </c>
      <c r="F75" s="121" t="inlineStr">
        <is>
          <t>Suporte total ou combinado; não representa mínimo júnior isolado.</t>
        </is>
      </c>
      <c r="G75" s="121" t="inlineStr">
        <is>
          <t>revisto — suporte estrutural total localizado</t>
        </is>
      </c>
    </row>
    <row r="76" ht="34.5" customHeight="1">
      <c r="A76" s="121" t="inlineStr">
        <is>
          <t>Carteira 101</t>
        </is>
      </c>
      <c r="B76" s="155" t="inlineStr">
        <is>
          <t>47151680000108</t>
        </is>
      </c>
      <c r="C76" s="121" t="inlineStr">
        <is>
          <t>FARM TECH IBBA I FUNDO DE INVESTIMENTO EM DIREITOS</t>
        </is>
      </c>
      <c r="D76" s="121" t="inlineStr">
        <is>
          <t>completo_para_folga</t>
        </is>
      </c>
      <c r="E76" s="121" t="inlineStr">
        <is>
          <t>preço unitário da cota; originador; sacado/devedor; tipo de recebível</t>
        </is>
      </c>
      <c r="F76" s="121" t="inlineStr">
        <is>
          <t>Suporte total ou combinado; não representa mínimo júnior isolado.</t>
        </is>
      </c>
      <c r="G76" s="121" t="inlineStr">
        <is>
          <t>revisto — suporte estrutural total localizado</t>
        </is>
      </c>
    </row>
    <row r="77" ht="34.5" customHeight="1">
      <c r="A77" s="121" t="inlineStr">
        <is>
          <t>Carteira 101</t>
        </is>
      </c>
      <c r="B77" s="155" t="inlineStr">
        <is>
          <t>43309233000183</t>
        </is>
      </c>
      <c r="C77" s="121" t="inlineStr">
        <is>
          <t>FUNDO DE INVESTIMENTO EM DIREITOS CREDITORIOS LIVERPOOL</t>
        </is>
      </c>
      <c r="D77" s="121" t="inlineStr">
        <is>
          <t>sub_pl_atual_ausente</t>
        </is>
      </c>
      <c r="E77" s="121" t="inlineStr">
        <is>
          <t>PL atual; Sub/PL atual</t>
        </is>
      </c>
      <c r="F77" s="121" t="inlineStr">
        <is>
          <t>Suporte total ou combinado; não representa mínimo júnior isolado.</t>
        </is>
      </c>
      <c r="G77" s="121" t="inlineStr">
        <is>
          <t>revisto — suporte estrutural total localizado</t>
        </is>
      </c>
    </row>
    <row r="78" ht="34.5" customHeight="1">
      <c r="A78" s="121" t="inlineStr">
        <is>
          <t>Carteira 101</t>
        </is>
      </c>
      <c r="B78" s="155" t="inlineStr">
        <is>
          <t>43616659000180</t>
        </is>
      </c>
      <c r="C78" s="121" t="inlineStr">
        <is>
          <t>TALO 1 FUNDO DE INVESTIMENTO EM DIREITOS CREDITORIOS</t>
        </is>
      </c>
      <c r="D78" s="121" t="inlineStr">
        <is>
          <t>completo_para_folga</t>
        </is>
      </c>
      <c r="E78" s="121" t="inlineStr">
        <is>
          <t>sacado/devedor; tipo de recebível</t>
        </is>
      </c>
      <c r="F78" s="121" t="inlineStr">
        <is>
          <t>Suporte total ou combinado; não representa mínimo júnior isolado.</t>
        </is>
      </c>
      <c r="G78" s="121" t="inlineStr">
        <is>
          <t>revisto — suporte estrutural total localizado</t>
        </is>
      </c>
    </row>
    <row r="79" ht="34.5" customHeight="1">
      <c r="A79" s="121" t="inlineStr">
        <is>
          <t>Carteira 101</t>
        </is>
      </c>
      <c r="B79" s="155" t="inlineStr">
        <is>
          <t>52343195000176</t>
        </is>
      </c>
      <c r="C79" s="121" t="inlineStr">
        <is>
          <t>FARMTECH SYNGENTA FUNDO DE INVESTIMENTO EM DIREITO</t>
        </is>
      </c>
      <c r="D79" s="121" t="inlineStr">
        <is>
          <t>sub_pl_atual_ausente</t>
        </is>
      </c>
      <c r="E79" s="121" t="inlineStr">
        <is>
          <t>PL atual; Sub/PL atual; originador; sacado/devedor; tipo de recebível</t>
        </is>
      </c>
      <c r="F79" s="121" t="inlineStr">
        <is>
          <t>Suporte total ou combinado; não representa mínimo júnior isolado.</t>
        </is>
      </c>
      <c r="G79" s="121" t="inlineStr">
        <is>
          <t>revisto — suporte estrutural total localizado</t>
        </is>
      </c>
    </row>
    <row r="80" ht="34.5" customHeight="1">
      <c r="A80" s="121" t="inlineStr">
        <is>
          <t>Carteira 101</t>
        </is>
      </c>
      <c r="B80" s="155" t="inlineStr">
        <is>
          <t>44574361000117</t>
        </is>
      </c>
      <c r="C80" s="121" t="inlineStr">
        <is>
          <t>FUNDO DE INVESTIMENTO EM DIREITOS CREDITORIOS UPL</t>
        </is>
      </c>
      <c r="D80" s="121" t="inlineStr">
        <is>
          <t>sub_pl_atual_ausente</t>
        </is>
      </c>
      <c r="E80" s="121" t="inlineStr">
        <is>
          <t>Sub/PL atual; sacado/devedor</t>
        </is>
      </c>
      <c r="F80" s="121" t="inlineStr">
        <is>
          <t>Suporte total ou combinado; não representa mínimo júnior isolado.</t>
        </is>
      </c>
      <c r="G80" s="121" t="inlineStr">
        <is>
          <t>revisto — suporte estrutural total localizado</t>
        </is>
      </c>
    </row>
    <row r="81" ht="34.5" customHeight="1">
      <c r="A81" s="121" t="inlineStr">
        <is>
          <t>Carteira 101</t>
        </is>
      </c>
      <c r="B81" s="155" t="inlineStr">
        <is>
          <t>45123558000100</t>
        </is>
      </c>
      <c r="C81" s="121" t="inlineStr">
        <is>
          <t>CLASSE I DO CANAA FUNDO DE INVESTIMENTO NAS CADEIAS USINA COCAL</t>
        </is>
      </c>
      <c r="D81" s="121" t="inlineStr">
        <is>
          <t>fora_perimetro</t>
        </is>
      </c>
      <c r="E81" s="121" t="inlineStr">
        <is>
          <t>nome oficial CVM; PL atual; Sub/PL atual; mínimo estrutural comparável; grupo de comparação; preço unitário da cota; originador; cedente; sacado/devedor; tipo de recebível</t>
        </is>
      </c>
      <c r="F81" s="121" t="inlineStr">
        <is>
          <t>Veículo fora do endpoint documental FIDC consultado.</t>
        </is>
      </c>
      <c r="G81" s="121" t="inlineStr">
        <is>
          <t>fora do perímetro FIDC — regulamento não localizado</t>
        </is>
      </c>
    </row>
    <row r="82" ht="34.5" customHeight="1">
      <c r="A82" s="121" t="inlineStr">
        <is>
          <t>Carteira 101</t>
        </is>
      </c>
      <c r="B82" s="155" t="inlineStr">
        <is>
          <t>50857998000113</t>
        </is>
      </c>
      <c r="C82" s="121" t="inlineStr">
        <is>
          <t>LEO I FUNDO INV DIR CREDITORIOS</t>
        </is>
      </c>
      <c r="D82" s="121" t="inlineStr">
        <is>
          <t>estrutura_incomparavel</t>
        </is>
      </c>
      <c r="E82" s="121" t="inlineStr">
        <is>
          <t>originador; tipo de recebível</t>
        </is>
      </c>
      <c r="F82" s="121" t="inlineStr">
        <is>
          <t>Mínimo júnior isolado; a subordinação atual disponível agrega todas as classes subordinadas.</t>
        </is>
      </c>
      <c r="G82" s="121" t="inlineStr">
        <is>
          <t>revisto — mínimo júnior localizado</t>
        </is>
      </c>
    </row>
    <row r="83" ht="34.5" customHeight="1">
      <c r="A83" s="121" t="inlineStr">
        <is>
          <t>Carteira 101</t>
        </is>
      </c>
      <c r="B83" s="155" t="inlineStr">
        <is>
          <t>38376526000143</t>
        </is>
      </c>
      <c r="C83" s="121" t="inlineStr">
        <is>
          <t>HOTFUND FIDC</t>
        </is>
      </c>
      <c r="D83" s="121" t="inlineStr">
        <is>
          <t>estrutura_incomparavel</t>
        </is>
      </c>
      <c r="E83" s="121" t="inlineStr">
        <is>
          <t>originador</t>
        </is>
      </c>
      <c r="F83" s="121" t="inlineStr">
        <is>
          <t>Mínimo júnior isolado; a subordinação atual disponível agrega todas as classes subordinadas.</t>
        </is>
      </c>
      <c r="G83" s="121" t="inlineStr">
        <is>
          <t>revisto — mínimo júnior localizado</t>
        </is>
      </c>
    </row>
    <row r="84" ht="34.5" customHeight="1">
      <c r="A84" s="121" t="inlineStr">
        <is>
          <t>Carteira 101</t>
        </is>
      </c>
      <c r="B84" s="155" t="inlineStr">
        <is>
          <t>45598747000121</t>
        </is>
      </c>
      <c r="C84" s="121" t="inlineStr">
        <is>
          <t>FIDC SUMUP</t>
        </is>
      </c>
      <c r="D84" s="121" t="inlineStr">
        <is>
          <t>completo_para_folga</t>
        </is>
      </c>
      <c r="E84" s="121" t="inlineStr">
        <is>
          <t>originador</t>
        </is>
      </c>
      <c r="F84" s="121" t="inlineStr">
        <is>
          <t>Estrutura com uma única classe subordinada; métrica atual e piso usam o total subordinado sobre o PL.</t>
        </is>
      </c>
      <c r="G84" s="121" t="inlineStr">
        <is>
          <t>revisto — mínimo júnior localizado</t>
        </is>
      </c>
    </row>
    <row r="85" ht="34.5" customHeight="1">
      <c r="A85" s="121" t="inlineStr">
        <is>
          <t>Carteira 101</t>
        </is>
      </c>
      <c r="B85" s="155" t="inlineStr">
        <is>
          <t>41197066000109</t>
        </is>
      </c>
      <c r="C85" s="121" t="inlineStr">
        <is>
          <t>MOVILEPAY CREDITO I FIDC SEGMENTO FINANCEIRO DE RE</t>
        </is>
      </c>
      <c r="D85" s="121" t="inlineStr">
        <is>
          <t>estrutura_incomparavel</t>
        </is>
      </c>
      <c r="E85" s="121" t="inlineStr">
        <is>
          <t>preço unitário da cota; originador</t>
        </is>
      </c>
      <c r="F85" s="121" t="inlineStr">
        <is>
          <t>Mínimo júnior isolado; a subordinação atual disponível agrega todas as classes subordinadas.</t>
        </is>
      </c>
      <c r="G85" s="121" t="inlineStr">
        <is>
          <t>revisto — mínimo júnior localizado</t>
        </is>
      </c>
    </row>
    <row r="86" ht="34.5" customHeight="1">
      <c r="A86" s="121" t="inlineStr">
        <is>
          <t>Carteira 101</t>
        </is>
      </c>
      <c r="B86" s="155" t="inlineStr">
        <is>
          <t>44124617000194</t>
        </is>
      </c>
      <c r="C86" s="121" t="inlineStr">
        <is>
          <t>CLOUDWALK AKIRA II FUNDO DE INVESTIMENTO EM DIREITO</t>
        </is>
      </c>
      <c r="D86" s="121" t="inlineStr">
        <is>
          <t>sub_pl_atual_ausente</t>
        </is>
      </c>
      <c r="E86" s="121" t="inlineStr">
        <is>
          <t>PL atual; Sub/PL atual; originador</t>
        </is>
      </c>
      <c r="F86" s="121" t="inlineStr">
        <is>
          <t>Estrutura com uma única classe subordinada; métrica atual e piso usam o total subordinado sobre o PL.</t>
        </is>
      </c>
      <c r="G86" s="121" t="inlineStr">
        <is>
          <t>revisto — mínimo júnior localizado</t>
        </is>
      </c>
    </row>
    <row r="87" ht="34.5" customHeight="1">
      <c r="A87" s="121" t="inlineStr">
        <is>
          <t>Carteira 101</t>
        </is>
      </c>
      <c r="B87" s="155" t="inlineStr">
        <is>
          <t>42085816000105</t>
        </is>
      </c>
      <c r="C87" s="121" t="inlineStr">
        <is>
          <t>CLOUDWALK KICK ASS I FUNDO DE INVESTIMENTO EM DIRE</t>
        </is>
      </c>
      <c r="D87" s="121" t="inlineStr">
        <is>
          <t>sub_pl_atual_ausente</t>
        </is>
      </c>
      <c r="E87" s="121" t="inlineStr">
        <is>
          <t>PL atual; Sub/PL atual; originador</t>
        </is>
      </c>
      <c r="F87" s="121" t="inlineStr">
        <is>
          <t>Estrutura com uma única classe subordinada; métrica atual e piso usam o total subordinado sobre o PL.</t>
        </is>
      </c>
      <c r="G87" s="121" t="inlineStr">
        <is>
          <t>revisto — mínimo júnior localizado</t>
        </is>
      </c>
    </row>
    <row r="88" ht="34.5" customHeight="1">
      <c r="A88" s="121" t="inlineStr">
        <is>
          <t>Carteira 101</t>
        </is>
      </c>
      <c r="B88" s="155" t="inlineStr">
        <is>
          <t>38385876000176</t>
        </is>
      </c>
      <c r="C88" s="121" t="inlineStr">
        <is>
          <t>ESTRATEGIA EDUCACIONAL FIDC</t>
        </is>
      </c>
      <c r="D88" s="121" t="inlineStr">
        <is>
          <t>sub_pl_atual_ausente</t>
        </is>
      </c>
      <c r="E88" s="121" t="inlineStr">
        <is>
          <t>PL atual; Sub/PL atual; originador; sacado/devedor</t>
        </is>
      </c>
      <c r="F88" s="121" t="inlineStr">
        <is>
          <t>Mínimo júnior isolado; a subordinação atual disponível agrega todas as classes subordinadas.</t>
        </is>
      </c>
      <c r="G88" s="121" t="inlineStr">
        <is>
          <t>revisto — mínimo júnior localizado</t>
        </is>
      </c>
    </row>
    <row r="89" ht="34.5" customHeight="1">
      <c r="A89" s="121" t="inlineStr">
        <is>
          <t>Carteira 101</t>
        </is>
      </c>
      <c r="B89" s="155" t="inlineStr">
        <is>
          <t>40919667000107</t>
        </is>
      </c>
      <c r="C89" s="121" t="inlineStr">
        <is>
          <t>RECARGAPAY I FUNDO DE INVESTIMENTO EM DIREITOS CRE</t>
        </is>
      </c>
      <c r="D89" s="121" t="inlineStr">
        <is>
          <t>completo_para_folga</t>
        </is>
      </c>
      <c r="E89" s="121" t="inlineStr">
        <is>
          <t>originador; sacado/devedor</t>
        </is>
      </c>
      <c r="F89" s="121" t="inlineStr">
        <is>
          <t>Estrutura com uma única classe subordinada; métrica atual e piso usam o total subordinado sobre o PL.</t>
        </is>
      </c>
      <c r="G89" s="121" t="inlineStr">
        <is>
          <t>revisto — mínimo júnior localizado</t>
        </is>
      </c>
    </row>
    <row r="90" ht="34.5" customHeight="1">
      <c r="A90" s="121" t="inlineStr">
        <is>
          <t>Carteira 101</t>
        </is>
      </c>
      <c r="B90" s="155" t="inlineStr">
        <is>
          <t>42102603000144</t>
        </is>
      </c>
      <c r="C90" s="121" t="inlineStr">
        <is>
          <t>CLOUDWALK KICK ASS II FUNDO DE INVESTIMENTO EM DIR</t>
        </is>
      </c>
      <c r="D90" s="121" t="inlineStr">
        <is>
          <t>sub_pl_atual_ausente</t>
        </is>
      </c>
      <c r="E90" s="121" t="inlineStr">
        <is>
          <t>PL atual; Sub/PL atual; originador</t>
        </is>
      </c>
      <c r="F90" s="121" t="inlineStr">
        <is>
          <t>Estrutura com uma única classe subordinada; métrica atual e piso usam o total subordinado sobre o PL.</t>
        </is>
      </c>
      <c r="G90" s="121" t="inlineStr">
        <is>
          <t>revisto — mínimo júnior localizado</t>
        </is>
      </c>
    </row>
    <row r="91" ht="34.5" customHeight="1">
      <c r="A91" s="121" t="inlineStr">
        <is>
          <t>Carteira 101</t>
        </is>
      </c>
      <c r="B91" s="155" t="inlineStr">
        <is>
          <t>28169275000172</t>
        </is>
      </c>
      <c r="C91" s="121" t="inlineStr">
        <is>
          <t>FUNDO DE INVESTIMENTO EM DIREITOS CREDITORIOS PAGSEGURO I</t>
        </is>
      </c>
      <c r="D91" s="121" t="inlineStr">
        <is>
          <t>sub_pl_atual_ausente</t>
        </is>
      </c>
      <c r="E91" s="121" t="inlineStr">
        <is>
          <t>Sub/PL atual; sacado/devedor</t>
        </is>
      </c>
      <c r="F91" s="121" t="inlineStr">
        <is>
          <t>Mínimo júnior isolado; a subordinação atual disponível agrega mais de uma classe subordinada ou usa denominador distinto.</t>
        </is>
      </c>
      <c r="G91" s="121" t="inlineStr">
        <is>
          <t>revisto — mínimo júnior localizado</t>
        </is>
      </c>
    </row>
    <row r="92" ht="34.5" customHeight="1">
      <c r="A92" s="121" t="inlineStr">
        <is>
          <t>Carteira 101</t>
        </is>
      </c>
      <c r="B92" s="155" t="inlineStr">
        <is>
          <t>38658727000133</t>
        </is>
      </c>
      <c r="C92" s="121" t="inlineStr">
        <is>
          <t>FIDC FORNEC MADEIRA MADEIRA I</t>
        </is>
      </c>
      <c r="D92" s="121" t="inlineStr">
        <is>
          <t>completo_para_folga</t>
        </is>
      </c>
      <c r="E92" s="121" t="inlineStr">
        <is>
          <t>originador</t>
        </is>
      </c>
      <c r="F92" s="121" t="inlineStr">
        <is>
          <t>Estrutura com uma única classe subordinada; métrica atual e piso usam o total subordinado sobre o PL.</t>
        </is>
      </c>
      <c r="G92" s="121" t="inlineStr">
        <is>
          <t>revisto — mínimo júnior localizado</t>
        </is>
      </c>
    </row>
    <row r="93" ht="34.5" customHeight="1">
      <c r="A93" s="121" t="inlineStr">
        <is>
          <t>Carteira 101</t>
        </is>
      </c>
      <c r="B93" s="155" t="inlineStr">
        <is>
          <t>52271464000136</t>
        </is>
      </c>
      <c r="C93" s="121" t="inlineStr">
        <is>
          <t>KIWIFY FUNDO DE INVESTIMENTO E</t>
        </is>
      </c>
      <c r="D93" s="121" t="inlineStr">
        <is>
          <t>estrutura_incomparavel</t>
        </is>
      </c>
      <c r="E93" s="121" t="inlineStr">
        <is>
          <t>originador</t>
        </is>
      </c>
      <c r="F93" s="121" t="inlineStr">
        <is>
          <t>Mínimo júnior isolado; a subordinação atual disponível agrega todas as classes subordinadas.</t>
        </is>
      </c>
      <c r="G93" s="121" t="inlineStr">
        <is>
          <t>revisto — mínimo júnior localizado</t>
        </is>
      </c>
    </row>
    <row r="94" ht="34.5" customHeight="1">
      <c r="A94" s="121" t="inlineStr">
        <is>
          <t>Carteira 101</t>
        </is>
      </c>
      <c r="B94" s="155" t="inlineStr">
        <is>
          <t>29226654000110</t>
        </is>
      </c>
      <c r="C94" s="121" t="inlineStr">
        <is>
          <t>INVESTCRED FUNDO DE INVESTIMENTO EM DIREITOS CREDI</t>
        </is>
      </c>
      <c r="D94" s="121" t="inlineStr">
        <is>
          <t>completo_para_folga</t>
        </is>
      </c>
      <c r="E94" s="121" t="inlineStr">
        <is>
          <t>originador; sacado/devedor</t>
        </is>
      </c>
      <c r="F94" s="121" t="inlineStr">
        <is>
          <t>Estrutura com uma única classe subordinada; métrica atual e piso usam o total subordinado sobre o PL.</t>
        </is>
      </c>
      <c r="G94" s="121" t="inlineStr">
        <is>
          <t>revisto — mínimo júnior localizado</t>
        </is>
      </c>
    </row>
    <row r="95" ht="34.5" customHeight="1">
      <c r="A95" s="121" t="inlineStr">
        <is>
          <t>Carteira 101</t>
        </is>
      </c>
      <c r="B95" s="155" t="inlineStr">
        <is>
          <t>54857414000160</t>
        </is>
      </c>
      <c r="C95" s="121" t="inlineStr">
        <is>
          <t>INDIE MERX RAIZ I CREDITO AGRO FUNDO DE INVESTIMEN</t>
        </is>
      </c>
      <c r="D95" s="121" t="inlineStr">
        <is>
          <t>estrutura_incomparavel</t>
        </is>
      </c>
      <c r="E95" s="121" t="inlineStr">
        <is>
          <t>originador</t>
        </is>
      </c>
      <c r="F95" s="121" t="inlineStr">
        <is>
          <t>Mínimo júnior isolado; a subordinação atual disponível agrega todas as classes subordinadas.</t>
        </is>
      </c>
      <c r="G95" s="121" t="inlineStr">
        <is>
          <t>revisto — mínimo júnior localizado</t>
        </is>
      </c>
    </row>
    <row r="96" ht="34.5" customHeight="1">
      <c r="A96" s="121" t="inlineStr">
        <is>
          <t>Carteira 101</t>
        </is>
      </c>
      <c r="B96" s="155" t="inlineStr">
        <is>
          <t>44124465000120</t>
        </is>
      </c>
      <c r="C96" s="121" t="inlineStr">
        <is>
          <t>TMAQ21 FUNDO I E D CREDITORIOS</t>
        </is>
      </c>
      <c r="D96" s="121" t="inlineStr">
        <is>
          <t>sub_pl_atual_ausente</t>
        </is>
      </c>
      <c r="E96" s="121" t="inlineStr">
        <is>
          <t>PL atual; Sub/PL atual; preço unitário da cota</t>
        </is>
      </c>
      <c r="F96" s="121" t="inlineStr">
        <is>
          <t>Mínimo júnior isolado; a subordinação atual disponível agrega todas as classes subordinadas.</t>
        </is>
      </c>
      <c r="G96" s="121" t="inlineStr">
        <is>
          <t>revisto — mínimo júnior localizado</t>
        </is>
      </c>
    </row>
    <row r="97" ht="34.5" customHeight="1">
      <c r="A97" s="121" t="inlineStr">
        <is>
          <t>Carteira 101</t>
        </is>
      </c>
      <c r="B97" s="155" t="inlineStr">
        <is>
          <t>55401645000128</t>
        </is>
      </c>
      <c r="C97" s="121" t="inlineStr">
        <is>
          <t>QUATA FIDC FGTS FUNDO DE INVESTIMENTO EM DIREITOS</t>
        </is>
      </c>
      <c r="D97" s="121" t="inlineStr">
        <is>
          <t>estrutura_incomparavel</t>
        </is>
      </c>
      <c r="E97" s="121" t="inlineStr">
        <is>
          <t>sacado/devedor</t>
        </is>
      </c>
      <c r="F97" s="121" t="inlineStr">
        <is>
          <t>Mínimo júnior isolado; a subordinação atual disponível agrega todas as classes subordinadas.</t>
        </is>
      </c>
      <c r="G97" s="121" t="inlineStr">
        <is>
          <t>revisto — mínimo júnior localizado</t>
        </is>
      </c>
    </row>
    <row r="98" ht="34.5" customHeight="1">
      <c r="A98" s="121" t="inlineStr">
        <is>
          <t>Carteira 101</t>
        </is>
      </c>
      <c r="B98" s="155" t="inlineStr">
        <is>
          <t>63622842000103</t>
        </is>
      </c>
      <c r="C98" s="121" t="inlineStr">
        <is>
          <t>DESBRAVA UNO ART ESP FIDC RL</t>
        </is>
      </c>
      <c r="D98" s="121" t="inlineStr">
        <is>
          <t>completo_para_folga</t>
        </is>
      </c>
      <c r="E98" s="121" t="inlineStr">
        <is>
          <t>originador; sacado/devedor; tipo de recebível</t>
        </is>
      </c>
      <c r="F98" s="121" t="inlineStr">
        <is>
          <t>Estrutura com uma única classe subordinada; métrica atual e piso usam o total subordinado sobre o PL.</t>
        </is>
      </c>
      <c r="G98" s="121" t="inlineStr">
        <is>
          <t>revisto — mínimo júnior localizado</t>
        </is>
      </c>
    </row>
    <row r="99" ht="34.5" customHeight="1">
      <c r="A99" s="121" t="inlineStr">
        <is>
          <t>Carteira 101</t>
        </is>
      </c>
      <c r="B99" s="155" t="inlineStr">
        <is>
          <t>44272584000120</t>
        </is>
      </c>
      <c r="C99" s="121" t="inlineStr">
        <is>
          <t>LAVORO AGRO FIDC DAS CADEIAS PRODUTIVAS AGROINDUST</t>
        </is>
      </c>
      <c r="D99" s="121" t="inlineStr">
        <is>
          <t>sub_pl_atual_ausente</t>
        </is>
      </c>
      <c r="E99" s="121" t="inlineStr">
        <is>
          <t>PL atual; Sub/PL atual; originador; sacado/devedor; tipo de recebível</t>
        </is>
      </c>
      <c r="F99" s="121" t="inlineStr">
        <is>
          <t>Mínimo júnior isolado; a subordinação atual disponível agrega todas as classes subordinadas.</t>
        </is>
      </c>
      <c r="G99" s="121" t="inlineStr">
        <is>
          <t>revisto — mínimo júnior localizado</t>
        </is>
      </c>
    </row>
    <row r="100" ht="34.5" customHeight="1">
      <c r="A100" s="121" t="inlineStr">
        <is>
          <t>Carteira 101</t>
        </is>
      </c>
      <c r="B100" s="155" t="inlineStr">
        <is>
          <t>62838025000116</t>
        </is>
      </c>
      <c r="C100" s="121" t="inlineStr">
        <is>
          <t>TOP 2025 J FIDC RESP LTDA</t>
        </is>
      </c>
      <c r="D100" s="121" t="inlineStr">
        <is>
          <t>estrutura_incomparavel</t>
        </is>
      </c>
      <c r="E100" s="121" t="inlineStr">
        <is>
          <t>originador</t>
        </is>
      </c>
      <c r="F100" s="121" t="inlineStr">
        <is>
          <t>Mínimo júnior isolado; a subordinação atual disponível agrega todas as classes subordinadas.</t>
        </is>
      </c>
      <c r="G100" s="121" t="inlineStr">
        <is>
          <t>revisto — mínimo júnior localizado</t>
        </is>
      </c>
    </row>
    <row r="101" ht="34.5" customHeight="1">
      <c r="A101" s="121" t="inlineStr">
        <is>
          <t>Carteira 101</t>
        </is>
      </c>
      <c r="B101" s="155" t="inlineStr">
        <is>
          <t>47280025000150</t>
        </is>
      </c>
      <c r="C101" s="121" t="inlineStr">
        <is>
          <t>FUNDO DE INVESTIMENTO EM DIREITOS CREDITORIOS ALBA</t>
        </is>
      </c>
      <c r="D101" s="121" t="inlineStr">
        <is>
          <t>completo_para_folga</t>
        </is>
      </c>
      <c r="E101" s="121" t="inlineStr">
        <is>
          <t>originador; sacado/devedor; tipo de recebível</t>
        </is>
      </c>
      <c r="F101" s="121" t="inlineStr">
        <is>
          <t>Estrutura com uma única classe subordinada; métrica atual e piso usam o total subordinado sobre o PL.</t>
        </is>
      </c>
      <c r="G101" s="121" t="inlineStr">
        <is>
          <t>revisto — mínimo júnior localizado</t>
        </is>
      </c>
    </row>
    <row r="102" ht="34.5" customHeight="1">
      <c r="A102" s="121" t="inlineStr">
        <is>
          <t>Carteira 101</t>
        </is>
      </c>
      <c r="B102" s="155" t="inlineStr">
        <is>
          <t>57270666000187</t>
        </is>
      </c>
      <c r="C102" s="121" t="inlineStr">
        <is>
          <t>MOBILITAS FIDC RL</t>
        </is>
      </c>
      <c r="D102" s="121" t="inlineStr">
        <is>
          <t>estrutura_incomparavel</t>
        </is>
      </c>
      <c r="E102" s="121" t="inlineStr">
        <is>
          <t>originador; cedente; sacado/devedor</t>
        </is>
      </c>
      <c r="F102" s="121" t="inlineStr">
        <is>
          <t>Mínimo júnior isolado; a subordinação atual disponível agrega todas as classes subordinadas.</t>
        </is>
      </c>
      <c r="G102" s="121" t="inlineStr">
        <is>
          <t>revisto — mínimo júnior localizado</t>
        </is>
      </c>
    </row>
    <row r="103" ht="34.5" customHeight="1">
      <c r="A103" s="121" t="inlineStr">
        <is>
          <t>Carteira 101</t>
        </is>
      </c>
      <c r="B103" s="155" t="inlineStr">
        <is>
          <t>58288437000152</t>
        </is>
      </c>
      <c r="C103" s="121" t="inlineStr">
        <is>
          <t>ALTOMAX FIDC SEG RECEB COM LTD</t>
        </is>
      </c>
      <c r="D103" s="121" t="inlineStr">
        <is>
          <t>estrutura_incomparavel</t>
        </is>
      </c>
      <c r="E103" s="121" t="inlineStr">
        <is>
          <t>originador; tipo de recebível</t>
        </is>
      </c>
      <c r="F103" s="121" t="inlineStr">
        <is>
          <t>Mínimo júnior isolado; a subordinação atual disponível agrega todas as classes subordinadas.</t>
        </is>
      </c>
      <c r="G103" s="121" t="inlineStr">
        <is>
          <t>revisto — mínimo júnior localizado</t>
        </is>
      </c>
    </row>
    <row r="104" ht="34.5" customHeight="1">
      <c r="A104" s="121" t="inlineStr">
        <is>
          <t>Carteira 101</t>
        </is>
      </c>
      <c r="B104" s="155" t="inlineStr">
        <is>
          <t>55476342000174</t>
        </is>
      </c>
      <c r="C104" s="121" t="inlineStr">
        <is>
          <t>LAVORO AGRO II FUNDO DE INVESTIMENTO EM DIREITOS C</t>
        </is>
      </c>
      <c r="D104" s="121" t="inlineStr">
        <is>
          <t>sub_pl_atual_ausente</t>
        </is>
      </c>
      <c r="E104" s="121" t="inlineStr">
        <is>
          <t>PL atual; Sub/PL atual; originador; sacado/devedor; tipo de recebível</t>
        </is>
      </c>
      <c r="F104" s="121" t="inlineStr">
        <is>
          <t>Estrutura com uma única classe subordinada; métrica atual e piso usam o total subordinado sobre o PL.</t>
        </is>
      </c>
      <c r="G104" s="121" t="inlineStr">
        <is>
          <t>revisto — mínimo júnior localizado</t>
        </is>
      </c>
    </row>
    <row r="105" ht="34.5" customHeight="1">
      <c r="A105" s="121" t="inlineStr">
        <is>
          <t>Carteira 101</t>
        </is>
      </c>
      <c r="B105" s="155" t="inlineStr">
        <is>
          <t>63679792000192</t>
        </is>
      </c>
      <c r="C105" s="121" t="inlineStr">
        <is>
          <t>BLUE HEALTH FIDC RECEB LTDA</t>
        </is>
      </c>
      <c r="D105" s="121" t="inlineStr">
        <is>
          <t>estrutura_incomparavel</t>
        </is>
      </c>
      <c r="E105" s="121" t="inlineStr">
        <is>
          <t>originador; sacado/devedor</t>
        </is>
      </c>
      <c r="F105" s="121" t="inlineStr">
        <is>
          <t>Mínimo júnior isolado; a subordinação atual disponível agrega todas as classes subordinadas.</t>
        </is>
      </c>
      <c r="G105" s="121" t="inlineStr">
        <is>
          <t>revisto — mínimo júnior localizado</t>
        </is>
      </c>
    </row>
    <row r="106" ht="34.5" customHeight="1">
      <c r="A106" s="121" t="inlineStr">
        <is>
          <t>Carteira 101</t>
        </is>
      </c>
      <c r="B106" s="155" t="inlineStr">
        <is>
          <t>42154687000160</t>
        </is>
      </c>
      <c r="C106" s="121" t="inlineStr">
        <is>
          <t>MULTIPLIKE PLUS FUNDO I D CRED</t>
        </is>
      </c>
      <c r="D106" s="121" t="inlineStr">
        <is>
          <t>estrutura_incomparavel</t>
        </is>
      </c>
      <c r="E106" s="121" t="inlineStr">
        <is>
          <t>originador; sacado/devedor</t>
        </is>
      </c>
      <c r="F106" s="121" t="inlineStr">
        <is>
          <t>Mínimo júnior isolado; a subordinação atual disponível agrega todas as classes subordinadas.</t>
        </is>
      </c>
      <c r="G106" s="121" t="inlineStr">
        <is>
          <t>revisto — mínimo júnior calculado de cláusulas contratuais</t>
        </is>
      </c>
    </row>
    <row r="107" ht="34.5" customHeight="1">
      <c r="A107" s="121" t="inlineStr">
        <is>
          <t>Carteira 101</t>
        </is>
      </c>
      <c r="B107" s="155" t="inlineStr">
        <is>
          <t>48946335000123</t>
        </is>
      </c>
      <c r="C107" s="121" t="inlineStr">
        <is>
          <t>NAGRO OIKOS FIAGRO FUNDO DE INVESTIMENTO EM DIREI</t>
        </is>
      </c>
      <c r="D107" s="121" t="inlineStr">
        <is>
          <t>sub_pl_atual_ausente</t>
        </is>
      </c>
      <c r="E107" s="121" t="inlineStr">
        <is>
          <t>PL atual; Sub/PL atual; originador; sacado/devedor; tipo de recebível</t>
        </is>
      </c>
      <c r="F107" s="121" t="inlineStr">
        <is>
          <t>Mínimo júnior isolado; a subordinação atual disponível agrega todas as classes subordinadas.</t>
        </is>
      </c>
      <c r="G107" s="121" t="inlineStr">
        <is>
          <t>revisto — mínimo júnior localizado</t>
        </is>
      </c>
    </row>
    <row r="108" ht="34.5" customHeight="1">
      <c r="A108" s="121" t="inlineStr">
        <is>
          <t>Carteira 101</t>
        </is>
      </c>
      <c r="B108" s="155" t="inlineStr">
        <is>
          <t>55374251000128</t>
        </is>
      </c>
      <c r="C108" s="121" t="inlineStr">
        <is>
          <t>FUNDO DE INVESTIMENTO EM DIREITOS CREDITORIOS BLUE</t>
        </is>
      </c>
      <c r="D108" s="121" t="inlineStr">
        <is>
          <t>sub_pl_atual_ausente</t>
        </is>
      </c>
      <c r="E108" s="121" t="inlineStr">
        <is>
          <t>Sub/PL atual; originador; sacado/devedor</t>
        </is>
      </c>
      <c r="F108" s="121" t="inlineStr">
        <is>
          <t>Mínimo júnior isolado; a subordinação atual disponível agrega todas as classes subordinadas.</t>
        </is>
      </c>
      <c r="G108" s="121" t="inlineStr">
        <is>
          <t>revisto — mínimo júnior localizado</t>
        </is>
      </c>
    </row>
    <row r="109" ht="34.5" customHeight="1">
      <c r="A109" s="121" t="inlineStr">
        <is>
          <t>Carteira 101</t>
        </is>
      </c>
      <c r="B109" s="155" t="inlineStr">
        <is>
          <t>35868110000154</t>
        </is>
      </c>
      <c r="C109" s="121" t="inlineStr">
        <is>
          <t>FUNDO DE INVESTIMENTO EM DIREITOS CREDITORIOS BV</t>
        </is>
      </c>
      <c r="D109" s="121" t="inlineStr">
        <is>
          <t>sub_pl_atual_ausente</t>
        </is>
      </c>
      <c r="E109" s="121" t="inlineStr">
        <is>
          <t>PL atual; Sub/PL atual; preço unitário da cota; originador; sacado/devedor</t>
        </is>
      </c>
      <c r="F109" s="121" t="inlineStr">
        <is>
          <t>Estrutura com uma única classe subordinada; métrica atual e piso usam o total subordinado sobre o PL.</t>
        </is>
      </c>
      <c r="G109" s="121" t="inlineStr">
        <is>
          <t>revisto — mínimo júnior localizado</t>
        </is>
      </c>
    </row>
    <row r="110" ht="34.5" customHeight="1">
      <c r="A110" s="121" t="inlineStr">
        <is>
          <t>Carteira 101</t>
        </is>
      </c>
      <c r="B110" s="155" t="inlineStr">
        <is>
          <t>48953864000154</t>
        </is>
      </c>
      <c r="C110" s="121" t="inlineStr">
        <is>
          <t>FUNDO INVESTIMENTO E D C A II</t>
        </is>
      </c>
      <c r="D110" s="121" t="inlineStr">
        <is>
          <t>sub_pl_atual_ausente</t>
        </is>
      </c>
      <c r="E110" s="121" t="inlineStr">
        <is>
          <t>PL atual; Sub/PL atual; originador; sacado/devedor</t>
        </is>
      </c>
      <c r="F110" s="121" t="inlineStr">
        <is>
          <t>Estrutura com uma única classe subordinada; métrica atual e piso usam o total subordinado sobre o PL.</t>
        </is>
      </c>
      <c r="G110" s="121" t="inlineStr">
        <is>
          <t>revisto — mínimo júnior localizado</t>
        </is>
      </c>
    </row>
    <row r="111" ht="34.5" customHeight="1">
      <c r="A111" s="121" t="inlineStr">
        <is>
          <t>Carteira 101</t>
        </is>
      </c>
      <c r="B111" s="155" t="inlineStr">
        <is>
          <t>65976848000104</t>
        </is>
      </c>
      <c r="C111" s="121" t="inlineStr">
        <is>
          <t>FUNDO DE INVESTIMENTO EM DIREITOS CREDITORIOS AGIBANK II</t>
        </is>
      </c>
      <c r="D111" s="121" t="inlineStr">
        <is>
          <t>estrutura_incomparavel</t>
        </is>
      </c>
      <c r="E111" s="121" t="inlineStr">
        <is>
          <t>originador; cedente; sacado/devedor; tipo de recebível</t>
        </is>
      </c>
      <c r="F111" s="121" t="inlineStr">
        <is>
          <t>Mínimo júnior isolado; a subordinação atual disponível agrega todas as classes subordinadas.</t>
        </is>
      </c>
      <c r="G111" s="121" t="inlineStr">
        <is>
          <t>revisto — mínimo júnior localizado</t>
        </is>
      </c>
    </row>
    <row r="112" ht="34.5" customHeight="1">
      <c r="A112" s="121" t="inlineStr">
        <is>
          <t>Carteira 101</t>
        </is>
      </c>
      <c r="B112" s="155" t="inlineStr">
        <is>
          <t>50536324000117</t>
        </is>
      </c>
      <c r="C112" s="121" t="inlineStr">
        <is>
          <t>MAQNELSON FUNDO DE INVESTIMENTO EM DIREITOS CREDIT</t>
        </is>
      </c>
      <c r="D112" s="121" t="inlineStr">
        <is>
          <t>completo_para_folga</t>
        </is>
      </c>
      <c r="E112" s="121" t="inlineStr">
        <is>
          <t>originador; sacado/devedor</t>
        </is>
      </c>
      <c r="F112" s="121" t="inlineStr">
        <is>
          <t>Estrutura com uma única classe subordinada; métrica atual e piso usam o total subordinado sobre o PL.</t>
        </is>
      </c>
      <c r="G112" s="121" t="inlineStr">
        <is>
          <t>revisto — mínimo júnior localizado</t>
        </is>
      </c>
    </row>
    <row r="113" ht="34.5" customHeight="1">
      <c r="A113" s="121" t="inlineStr">
        <is>
          <t>Carteira 101</t>
        </is>
      </c>
      <c r="B113" s="155" t="inlineStr">
        <is>
          <t>57816252000100</t>
        </is>
      </c>
      <c r="C113" s="121" t="inlineStr">
        <is>
          <t>NATURA PAY FUNDO DE INVESTIMENTO EM DIREITOS CREDI</t>
        </is>
      </c>
      <c r="D113" s="121" t="inlineStr">
        <is>
          <t>completo_para_folga</t>
        </is>
      </c>
      <c r="E113" s="121" t="inlineStr">
        <is>
          <t>originador; sacado/devedor</t>
        </is>
      </c>
      <c r="F113" s="121" t="inlineStr">
        <is>
          <t>Estrutura com uma única classe subordinada; métrica atual e piso usam o total subordinado sobre o PL.</t>
        </is>
      </c>
      <c r="G113" s="121" t="inlineStr">
        <is>
          <t>revisto — mínimo júnior localizado</t>
        </is>
      </c>
    </row>
    <row r="114" ht="34.5" customHeight="1">
      <c r="A114" s="121" t="inlineStr">
        <is>
          <t>Carteira 101</t>
        </is>
      </c>
      <c r="B114" s="155" t="inlineStr">
        <is>
          <t>62588266000154</t>
        </is>
      </c>
      <c r="C114" s="121" t="inlineStr">
        <is>
          <t>VTK FIDC RESP LIMIT</t>
        </is>
      </c>
      <c r="D114" s="121" t="inlineStr">
        <is>
          <t>sub_pl_atual_ausente</t>
        </is>
      </c>
      <c r="E114" s="121" t="inlineStr">
        <is>
          <t>Sub/PL atual; originador; sacado/devedor</t>
        </is>
      </c>
      <c r="F114" s="121" t="inlineStr">
        <is>
          <t>Mínimo júnior isolado; a subordinação atual disponível agrega todas as classes subordinadas.</t>
        </is>
      </c>
      <c r="G114" s="121" t="inlineStr">
        <is>
          <t>revisto — mínimo júnior localizado</t>
        </is>
      </c>
    </row>
    <row r="115" ht="34.5" customHeight="1">
      <c r="A115" s="121" t="inlineStr">
        <is>
          <t>Carteira 101</t>
        </is>
      </c>
      <c r="B115" s="155" t="inlineStr">
        <is>
          <t>50988212000105</t>
        </is>
      </c>
      <c r="C115" s="121" t="inlineStr">
        <is>
          <t>CARTAO DE COMPRA SUPPLIER FUNDO DE INVESTIMENTO EM</t>
        </is>
      </c>
      <c r="D115" s="121" t="inlineStr">
        <is>
          <t>estrutura_incomparavel</t>
        </is>
      </c>
      <c r="E115" s="121" t="inlineStr">
        <is>
          <t>originador; sacado/devedor</t>
        </is>
      </c>
      <c r="F115" s="121" t="inlineStr">
        <is>
          <t>Mínimo júnior usa PL ajustado; não é comparável à subordinação atual sobre o PL oficial.</t>
        </is>
      </c>
      <c r="G115" s="121" t="inlineStr">
        <is>
          <t>revisto — mínimo júnior localizado</t>
        </is>
      </c>
    </row>
    <row r="116" ht="34.5" customHeight="1">
      <c r="A116" s="121" t="inlineStr">
        <is>
          <t>Carteira 101</t>
        </is>
      </c>
      <c r="B116" s="155" t="inlineStr">
        <is>
          <t>58476088000100</t>
        </is>
      </c>
      <c r="C116" s="121" t="inlineStr">
        <is>
          <t>CONSORCIO DALTEZ</t>
        </is>
      </c>
      <c r="D116" s="121" t="inlineStr">
        <is>
          <t>completo_para_folga</t>
        </is>
      </c>
      <c r="E116" s="121" t="inlineStr">
        <is>
          <t>originador; sacado/devedor</t>
        </is>
      </c>
      <c r="F116" s="121" t="inlineStr">
        <is>
          <t>Estrutura com uma única classe subordinada; métrica atual e piso usam o total subordinado sobre o PL.</t>
        </is>
      </c>
      <c r="G116" s="121" t="inlineStr">
        <is>
          <t>revisto — mínimo júnior localizado</t>
        </is>
      </c>
    </row>
    <row r="117" ht="34.5" customHeight="1">
      <c r="A117" s="121" t="inlineStr">
        <is>
          <t>Carteira 101</t>
        </is>
      </c>
      <c r="B117" s="155" t="inlineStr">
        <is>
          <t>58349979000198</t>
        </is>
      </c>
      <c r="C117" s="121" t="inlineStr">
        <is>
          <t>VOLKSWAGEN TERA FIDC SEGMENTO RECEBIVEIS COMERCIAI</t>
        </is>
      </c>
      <c r="D117" s="121" t="inlineStr">
        <is>
          <t>sub_pl_atual_ausente</t>
        </is>
      </c>
      <c r="E117" s="121" t="inlineStr">
        <is>
          <t>Sub/PL atual; originador</t>
        </is>
      </c>
      <c r="F117" s="121" t="inlineStr">
        <is>
          <t>Estrutura com uma única classe subordinada; métrica atual e piso usam o total subordinado sobre o PL.</t>
        </is>
      </c>
      <c r="G117" s="121" t="inlineStr">
        <is>
          <t>revisto — mínimo júnior localizado</t>
        </is>
      </c>
    </row>
    <row r="118" ht="34.5" customHeight="1">
      <c r="A118" s="121" t="inlineStr">
        <is>
          <t>Carteira 101</t>
        </is>
      </c>
      <c r="B118" s="155" t="inlineStr">
        <is>
          <t>54559035000194</t>
        </is>
      </c>
      <c r="C118" s="121" t="inlineStr">
        <is>
          <t>FUNDO DE INVESTIMENTO EM DIREITOS CREDITORIOS RESP</t>
        </is>
      </c>
      <c r="D118" s="121" t="inlineStr">
        <is>
          <t>sub_pl_atual_ausente</t>
        </is>
      </c>
      <c r="E118" s="121" t="inlineStr">
        <is>
          <t>Sub/PL atual; originador; sacado/devedor</t>
        </is>
      </c>
      <c r="F118" s="121" t="inlineStr">
        <is>
          <t>Estrutura com uma única classe subordinada; métrica atual e piso usam o total subordinado sobre o PL.</t>
        </is>
      </c>
      <c r="G118" s="121" t="inlineStr">
        <is>
          <t>revisto — mínimo júnior localizado</t>
        </is>
      </c>
    </row>
    <row r="119" ht="34.5" customHeight="1">
      <c r="A119" s="121" t="inlineStr">
        <is>
          <t>Carteira 101</t>
        </is>
      </c>
      <c r="B119" s="155" t="inlineStr">
        <is>
          <t>55070804000159</t>
        </is>
      </c>
      <c r="C119" s="121" t="inlineStr">
        <is>
          <t>ESTRATEGIA VINCULADA II FUNDO DE INVESTIMENTO EM D</t>
        </is>
      </c>
      <c r="D119" s="121" t="inlineStr">
        <is>
          <t>sub_pl_atual_ausente</t>
        </is>
      </c>
      <c r="E119" s="121" t="inlineStr">
        <is>
          <t>PL atual; Sub/PL atual; originador; sacado/devedor</t>
        </is>
      </c>
      <c r="F119" s="121" t="inlineStr">
        <is>
          <t>Estrutura com uma única classe subordinada; métrica atual e piso usam o total subordinado sobre o PL.</t>
        </is>
      </c>
      <c r="G119" s="121" t="inlineStr">
        <is>
          <t>revisto — mínimo júnior localizado</t>
        </is>
      </c>
    </row>
    <row r="120" ht="34.5" customHeight="1">
      <c r="A120" s="121" t="inlineStr">
        <is>
          <t>Carteira 101</t>
        </is>
      </c>
      <c r="B120" s="155" t="inlineStr">
        <is>
          <t>43866348000179</t>
        </is>
      </c>
      <c r="C120" s="121" t="inlineStr">
        <is>
          <t>FUNDO DE INVESTIMENTO EM DIREITOS CREDITORIOS OPEA</t>
        </is>
      </c>
      <c r="D120" s="121" t="inlineStr">
        <is>
          <t>estrutura_incomparavel</t>
        </is>
      </c>
      <c r="E120" s="121" t="inlineStr">
        <is>
          <t>sacado/devedor</t>
        </is>
      </c>
      <c r="F120" s="121" t="inlineStr">
        <is>
          <t>Mínimo júnior isolado; a subordinação atual disponível agrega todas as classes subordinadas.</t>
        </is>
      </c>
      <c r="G120" s="121" t="inlineStr">
        <is>
          <t>revisto — mínimo júnior localizado</t>
        </is>
      </c>
    </row>
    <row r="121" ht="34.5" customHeight="1">
      <c r="A121" s="121" t="inlineStr">
        <is>
          <t>Carteira 101</t>
        </is>
      </c>
      <c r="B121" s="155" t="inlineStr">
        <is>
          <t>47936340000192</t>
        </is>
      </c>
      <c r="C121" s="121" t="inlineStr">
        <is>
          <t>FUNDO DE INVESTIMENTO EM DIREITOS CREDITORIOS OPEA</t>
        </is>
      </c>
      <c r="D121" s="121" t="inlineStr">
        <is>
          <t>sub_pl_atual_ausente</t>
        </is>
      </c>
      <c r="E121" s="121" t="inlineStr">
        <is>
          <t>PL atual; Sub/PL atual; originador; sacado/devedor</t>
        </is>
      </c>
      <c r="F121" s="121" t="inlineStr">
        <is>
          <t>Suporte total ou combinado; não representa mínimo júnior isolado.</t>
        </is>
      </c>
      <c r="G121" s="121" t="inlineStr">
        <is>
          <t>revisto — suporte estrutural total localizado</t>
        </is>
      </c>
    </row>
    <row r="122" ht="34.5" customHeight="1">
      <c r="A122" s="121" t="inlineStr">
        <is>
          <t>Carteira 101</t>
        </is>
      </c>
      <c r="B122" s="155" t="inlineStr">
        <is>
          <t>58291962000127</t>
        </is>
      </c>
      <c r="C122" s="121" t="inlineStr">
        <is>
          <t>HELM FUNDO I E D C RESPONS</t>
        </is>
      </c>
      <c r="D122" s="121" t="inlineStr">
        <is>
          <t>sub_pl_atual_ausente</t>
        </is>
      </c>
      <c r="E122" s="121" t="inlineStr">
        <is>
          <t>PL atual; Sub/PL atual; originador</t>
        </is>
      </c>
      <c r="F122" s="121" t="inlineStr">
        <is>
          <t>Suporte total ou combinado; não representa mínimo júnior isolado.</t>
        </is>
      </c>
      <c r="G122" s="121" t="inlineStr">
        <is>
          <t>revisto — suporte estrutural total localizado</t>
        </is>
      </c>
    </row>
    <row r="123" ht="34.5" customHeight="1">
      <c r="A123" s="121" t="inlineStr">
        <is>
          <t>Carteira 101</t>
        </is>
      </c>
      <c r="B123" s="155" t="inlineStr">
        <is>
          <t>57259989000170</t>
        </is>
      </c>
      <c r="C123" s="121" t="inlineStr">
        <is>
          <t>TRES TENTOS FUNDO DE INVESTIMENTO EM DIREITOS CRE</t>
        </is>
      </c>
      <c r="D123" s="121" t="inlineStr">
        <is>
          <t>sub_pl_atual_ausente</t>
        </is>
      </c>
      <c r="E123" s="121" t="inlineStr">
        <is>
          <t>PL atual; Sub/PL atual; originador</t>
        </is>
      </c>
      <c r="F123" s="121" t="inlineStr">
        <is>
          <t>Suporte total ou combinado; não representa mínimo júnior isolado.</t>
        </is>
      </c>
      <c r="G123" s="121" t="inlineStr">
        <is>
          <t>revisto — suporte estrutural total localizado</t>
        </is>
      </c>
    </row>
    <row r="124" ht="34.5" customHeight="1">
      <c r="A124" s="121" t="inlineStr">
        <is>
          <t>Carteira 101</t>
        </is>
      </c>
      <c r="B124" s="155" t="inlineStr">
        <is>
          <t>58171340000165</t>
        </is>
      </c>
      <c r="C124" s="121" t="inlineStr">
        <is>
          <t>FRIMESA FUNDO DE INVESTIMENTO EM DIREITOS CREDITOR</t>
        </is>
      </c>
      <c r="D124" s="121" t="inlineStr">
        <is>
          <t>estrutura_incomparavel</t>
        </is>
      </c>
      <c r="E124" s="121" t="inlineStr">
        <is>
          <t>originador; sacado/devedor</t>
        </is>
      </c>
      <c r="F124" s="121" t="inlineStr">
        <is>
          <t>Mínimo júnior isolado; a subordinação atual disponível agrega todas as classes subordinadas.</t>
        </is>
      </c>
      <c r="G124" s="121" t="inlineStr">
        <is>
          <t>revisto — mínimo júnior localizado</t>
        </is>
      </c>
    </row>
    <row r="125" ht="34.5" customHeight="1">
      <c r="A125" s="121" t="inlineStr">
        <is>
          <t>Carteira 101</t>
        </is>
      </c>
      <c r="B125" s="155" t="inlineStr">
        <is>
          <t>51554551000138</t>
        </is>
      </c>
      <c r="C125" s="121" t="inlineStr">
        <is>
          <t>CLASSE UNICA DO FIDC CREDITO NITRO AGRO RESPONSA</t>
        </is>
      </c>
      <c r="D125" s="121" t="inlineStr">
        <is>
          <t>completo_para_folga</t>
        </is>
      </c>
      <c r="E125" s="121" t="inlineStr">
        <is>
          <t>originador</t>
        </is>
      </c>
      <c r="F125" s="121" t="inlineStr">
        <is>
          <t>Suporte total ou combinado; não representa mínimo júnior isolado.</t>
        </is>
      </c>
      <c r="G125" s="121" t="inlineStr">
        <is>
          <t>revisto — suporte estrutural total localizado</t>
        </is>
      </c>
    </row>
    <row r="126" ht="34.5" customHeight="1">
      <c r="A126" s="121" t="inlineStr">
        <is>
          <t>Carteira 101</t>
        </is>
      </c>
      <c r="B126" s="155" t="inlineStr">
        <is>
          <t>57752597000148</t>
        </is>
      </c>
      <c r="C126" s="121" t="inlineStr">
        <is>
          <t>AGROMERCANTIL CREDITO AGRO FUNDO DE INVESTIMENTO EM DIREITOS CREDITORIOS</t>
        </is>
      </c>
      <c r="D126" s="121" t="inlineStr">
        <is>
          <t>estrutura_incomparavel</t>
        </is>
      </c>
      <c r="E126" s="121" t="inlineStr">
        <is>
          <t>preço unitário da cota; originador; sacado/devedor</t>
        </is>
      </c>
      <c r="F126" s="121" t="inlineStr">
        <is>
          <t>Mínimo júnior isolado; a subordinação atual disponível agrega todas as classes subordinadas.</t>
        </is>
      </c>
      <c r="G126" s="121" t="inlineStr">
        <is>
          <t>revisto — mínimo júnior localizado</t>
        </is>
      </c>
    </row>
    <row r="127" ht="34.5" customHeight="1">
      <c r="A127" s="121" t="inlineStr">
        <is>
          <t>Carteira 101</t>
        </is>
      </c>
      <c r="B127" s="155" t="inlineStr">
        <is>
          <t>47425750000179</t>
        </is>
      </c>
      <c r="C127" s="121" t="inlineStr">
        <is>
          <t>FIDC CROPFIELD CEREALIS</t>
        </is>
      </c>
      <c r="D127" s="121" t="inlineStr">
        <is>
          <t>estrutura_incomparavel</t>
        </is>
      </c>
      <c r="E127" s="121" t="inlineStr">
        <is>
          <t>preço unitário da cota; originador; cedente; sacado/devedor; tipo de recebível</t>
        </is>
      </c>
      <c r="F127" s="121" t="inlineStr">
        <is>
          <t>Mínimo júnior isolado; a subordinação atual disponível agrega todas as classes subordinadas.</t>
        </is>
      </c>
      <c r="G127" s="121" t="inlineStr">
        <is>
          <t>revisto — mínimo júnior calculado de cláusulas contratuais</t>
        </is>
      </c>
    </row>
    <row r="128" ht="34.5" customHeight="1">
      <c r="A128" s="121" t="inlineStr">
        <is>
          <t>Carteira 101</t>
        </is>
      </c>
      <c r="B128" s="155" t="inlineStr">
        <is>
          <t>37035970000132</t>
        </is>
      </c>
      <c r="C128" s="121" t="inlineStr">
        <is>
          <t>CD BANCK FIDC</t>
        </is>
      </c>
      <c r="D128" s="121" t="inlineStr">
        <is>
          <t>estrutura_incomparavel</t>
        </is>
      </c>
      <c r="E128" s="121" t="inlineStr">
        <is>
          <t>preço unitário da cota; originador; sacado/devedor</t>
        </is>
      </c>
      <c r="F128" s="121" t="inlineStr">
        <is>
          <t>Mínimo júnior isolado; a subordinação atual disponível agrega todas as classes subordinadas.</t>
        </is>
      </c>
      <c r="G128" s="121" t="inlineStr">
        <is>
          <t>revisto — mínimo júnior calculado de cláusulas contratuais</t>
        </is>
      </c>
    </row>
    <row r="129" ht="34.5" customHeight="1">
      <c r="A129" s="121" t="inlineStr">
        <is>
          <t>Carteira 101</t>
        </is>
      </c>
      <c r="B129" s="155" t="inlineStr">
        <is>
          <t>17468142000180</t>
        </is>
      </c>
      <c r="C129" s="121" t="inlineStr">
        <is>
          <t>VALOREM FIDC MULTISSETORIAL</t>
        </is>
      </c>
      <c r="D129" s="121" t="inlineStr">
        <is>
          <t>estrutura_incomparavel</t>
        </is>
      </c>
      <c r="E129" s="121" t="inlineStr">
        <is>
          <t>originador</t>
        </is>
      </c>
      <c r="F129" s="121" t="inlineStr">
        <is>
          <t>Mínimo júnior isolado; a subordinação atual disponível agrega todas as classes subordinadas.</t>
        </is>
      </c>
      <c r="G129" s="121" t="inlineStr">
        <is>
          <t>revisto — mínimo júnior localizado</t>
        </is>
      </c>
    </row>
    <row r="130" ht="34.5" customHeight="1">
      <c r="A130" s="121" t="inlineStr">
        <is>
          <t>Carteira 101</t>
        </is>
      </c>
      <c r="B130" s="155" t="inlineStr">
        <is>
          <t>29492605000129</t>
        </is>
      </c>
      <c r="C130" s="121" t="inlineStr">
        <is>
          <t>GAZIN FUNDO DE INVESTIMENTO EM DIREITOS CREDITORIO</t>
        </is>
      </c>
      <c r="D130" s="121" t="inlineStr">
        <is>
          <t>completo_para_folga</t>
        </is>
      </c>
      <c r="E130" s="121" t="inlineStr">
        <is>
          <t>preço unitário da cota; originador; sacado/devedor; tipo de recebível</t>
        </is>
      </c>
      <c r="F130" s="121" t="inlineStr">
        <is>
          <t>Estrutura documental com cotas seniores e juniores; a métrica atual e o piso usam o total subordinado sobre o PL.</t>
        </is>
      </c>
      <c r="G130" s="121" t="inlineStr">
        <is>
          <t>revisto — mínimo júnior localizado</t>
        </is>
      </c>
    </row>
    <row r="131" ht="34.5" customHeight="1">
      <c r="A131" s="121" t="inlineStr">
        <is>
          <t>Carteira 101</t>
        </is>
      </c>
      <c r="B131" s="155" t="inlineStr">
        <is>
          <t>31739396000117</t>
        </is>
      </c>
      <c r="C131" s="121" t="inlineStr">
        <is>
          <t>FIDC LF III</t>
        </is>
      </c>
      <c r="D131" s="121" t="inlineStr">
        <is>
          <t>estrutura_incomparavel</t>
        </is>
      </c>
      <c r="E131" s="121" t="inlineStr">
        <is>
          <t>sacado/devedor</t>
        </is>
      </c>
      <c r="F131" s="121" t="inlineStr">
        <is>
          <t>Mínimo júnior isolado; a subordinação atual disponível agrega todas as classes subordinadas.</t>
        </is>
      </c>
      <c r="G131" s="121" t="inlineStr">
        <is>
          <t>revisto — mínimo júnior localizado</t>
        </is>
      </c>
    </row>
    <row r="132" ht="34.5" customHeight="1">
      <c r="A132" s="121" t="inlineStr">
        <is>
          <t>Carteira 101</t>
        </is>
      </c>
      <c r="B132" s="155" t="inlineStr">
        <is>
          <t>26749095000134</t>
        </is>
      </c>
      <c r="C132" s="121" t="inlineStr">
        <is>
          <t>CREDITO UNIVERSITARIO II FUNDO DE INVESTIMENTO EM</t>
        </is>
      </c>
      <c r="D132" s="121" t="inlineStr">
        <is>
          <t>estrutura_incomparavel</t>
        </is>
      </c>
      <c r="E132" s="121" t="inlineStr">
        <is>
          <t>originador; sacado/devedor</t>
        </is>
      </c>
      <c r="F132" s="121" t="inlineStr">
        <is>
          <t>Mínimo júnior isolado; a subordinação atual disponível agrega mais de uma classe subordinada ou usa denominador distinto.</t>
        </is>
      </c>
      <c r="G132" s="121" t="inlineStr">
        <is>
          <t>revisto — mínimo júnior localizado</t>
        </is>
      </c>
    </row>
    <row r="133" ht="34.5" customHeight="1">
      <c r="A133" s="121" t="inlineStr">
        <is>
          <t>Carteira 101</t>
        </is>
      </c>
      <c r="B133" s="155" t="inlineStr">
        <is>
          <t>62393829000159</t>
        </is>
      </c>
      <c r="C133" s="121" t="inlineStr">
        <is>
          <t>TOP 2025 V FIDC RESP LIMITADA</t>
        </is>
      </c>
      <c r="D133" s="121" t="inlineStr">
        <is>
          <t>completo_para_folga</t>
        </is>
      </c>
      <c r="E133" s="121" t="inlineStr">
        <is>
          <t>originador</t>
        </is>
      </c>
      <c r="F133" s="121" t="inlineStr">
        <is>
          <t>Estrutura com uma única classe subordinada; métrica atual e piso usam o total subordinado sobre o PL.</t>
        </is>
      </c>
      <c r="G133" s="121" t="inlineStr">
        <is>
          <t>revisto — mínimo júnior localizado</t>
        </is>
      </c>
    </row>
    <row r="134" ht="34.5" customHeight="1">
      <c r="A134" s="121" t="inlineStr">
        <is>
          <t>Carteira 101</t>
        </is>
      </c>
      <c r="B134" s="155" t="inlineStr">
        <is>
          <t>57028406000108</t>
        </is>
      </c>
      <c r="C134" s="121" t="inlineStr">
        <is>
          <t>IS GREEN SOLFACIL VI FIDC RL</t>
        </is>
      </c>
      <c r="D134" s="121" t="inlineStr">
        <is>
          <t>estrutura_incomparavel</t>
        </is>
      </c>
      <c r="E134" s="121" t="inlineStr">
        <is>
          <t>sacado/devedor</t>
        </is>
      </c>
      <c r="F134" s="121" t="inlineStr">
        <is>
          <t>Mínimo júnior isolado; a subordinação atual disponível agrega todas as classes subordinadas.</t>
        </is>
      </c>
      <c r="G134" s="121" t="inlineStr">
        <is>
          <t>revisto — mínimo júnior localizado</t>
        </is>
      </c>
    </row>
    <row r="135" ht="34.5" customHeight="1">
      <c r="A135" s="121" t="inlineStr">
        <is>
          <t>Carteira 101</t>
        </is>
      </c>
      <c r="B135" s="155" t="inlineStr">
        <is>
          <t>31570767000180</t>
        </is>
      </c>
      <c r="C135" s="121" t="inlineStr">
        <is>
          <t>FUNDO DE INVESTIMENTO EM DIREITOS</t>
        </is>
      </c>
      <c r="D135" s="121" t="inlineStr">
        <is>
          <t>estrutura_incomparavel</t>
        </is>
      </c>
      <c r="E135" s="121" t="inlineStr">
        <is>
          <t>preço unitário da cota; originador; sacado/devedor; tipo de recebível</t>
        </is>
      </c>
      <c r="F135" s="121" t="inlineStr">
        <is>
          <t>Mínimo júnior isolado; a subordinação atual disponível agrega todas as classes subordinadas.</t>
        </is>
      </c>
      <c r="G135" s="121" t="inlineStr">
        <is>
          <t>revisto — mínimo júnior localizado</t>
        </is>
      </c>
    </row>
    <row r="136" ht="34.5" customHeight="1">
      <c r="A136" s="121" t="inlineStr">
        <is>
          <t>Carteira 101</t>
        </is>
      </c>
      <c r="B136" s="155" t="inlineStr">
        <is>
          <t>54464892000100</t>
        </is>
      </c>
      <c r="C136" s="121" t="inlineStr">
        <is>
          <t>FUNDO I E D C MF RECEIV</t>
        </is>
      </c>
      <c r="D136" s="121" t="inlineStr">
        <is>
          <t>estrutura_incomparavel</t>
        </is>
      </c>
      <c r="E136" s="121" t="inlineStr">
        <is>
          <t>originador; sacado/devedor; tipo de recebível</t>
        </is>
      </c>
      <c r="F136" s="121" t="inlineStr">
        <is>
          <t>Mínimo júnior isolado; a subordinação atual disponível agrega mais de uma classe subordinada ou usa denominador distinto.</t>
        </is>
      </c>
      <c r="G136" s="121" t="inlineStr">
        <is>
          <t>revisto — mínimo júnior localizado</t>
        </is>
      </c>
    </row>
    <row r="137" ht="34.5" customHeight="1">
      <c r="A137" s="121" t="inlineStr">
        <is>
          <t>Carteira 101</t>
        </is>
      </c>
      <c r="B137" s="155" t="inlineStr">
        <is>
          <t>11468186000124</t>
        </is>
      </c>
      <c r="C137" s="121" t="inlineStr">
        <is>
          <t>ATLANTA FIDC NAO PADRONIZADO</t>
        </is>
      </c>
      <c r="D137" s="121" t="inlineStr">
        <is>
          <t>estrutura_incomparavel</t>
        </is>
      </c>
      <c r="E137" s="121" t="inlineStr">
        <is>
          <t>originador; sacado/devedor</t>
        </is>
      </c>
      <c r="F137" s="121" t="inlineStr">
        <is>
          <t>Mínimo júnior isolado; a subordinação atual disponível agrega todas as classes subordinadas.</t>
        </is>
      </c>
      <c r="G137" s="121" t="inlineStr">
        <is>
          <t>revisto — mínimo júnior localizado</t>
        </is>
      </c>
    </row>
    <row r="138" ht="34.5" customHeight="1">
      <c r="A138" s="121" t="inlineStr">
        <is>
          <t>Carteira 101</t>
        </is>
      </c>
      <c r="B138" s="155" t="inlineStr">
        <is>
          <t>43193260000133</t>
        </is>
      </c>
      <c r="C138" s="121" t="inlineStr">
        <is>
          <t>RESIDENCE CLUB FIDC</t>
        </is>
      </c>
      <c r="D138" s="121" t="inlineStr">
        <is>
          <t>estrutura_incomparavel</t>
        </is>
      </c>
      <c r="E138" s="121" t="inlineStr">
        <is>
          <t>originador; sacado/devedor; tipo de recebível</t>
        </is>
      </c>
      <c r="F138" s="121" t="inlineStr">
        <is>
          <t>Mínimo júnior isolado; a subordinação atual disponível agrega mais de uma classe subordinada ou usa denominador distinto.</t>
        </is>
      </c>
      <c r="G138" s="121" t="inlineStr">
        <is>
          <t>revisto — mínimo júnior localizado</t>
        </is>
      </c>
    </row>
    <row r="139" ht="34.5" customHeight="1">
      <c r="A139" s="121" t="inlineStr">
        <is>
          <t>Carteira 101</t>
        </is>
      </c>
      <c r="B139" s="155" t="inlineStr">
        <is>
          <t>58152340000118</t>
        </is>
      </c>
      <c r="C139" s="121" t="inlineStr">
        <is>
          <t>MONEE II FUNDO DE INVESTIMENTO</t>
        </is>
      </c>
      <c r="D139" s="121" t="inlineStr">
        <is>
          <t>completo_para_folga</t>
        </is>
      </c>
      <c r="E139" s="121" t="inlineStr">
        <is>
          <t>preço unitário da cota; originador; sacado/devedor; tipo de recebível</t>
        </is>
      </c>
      <c r="F139" s="121" t="inlineStr">
        <is>
          <t>Estrutura com uma única classe subordinada; métrica atual e piso usam o total subordinado sobre o PL.</t>
        </is>
      </c>
      <c r="G139" s="121" t="inlineStr">
        <is>
          <t>revisto — mínimo júnior localizado</t>
        </is>
      </c>
    </row>
    <row r="140" ht="34.5" customHeight="1">
      <c r="A140" s="121" t="inlineStr">
        <is>
          <t>Carteira 101</t>
        </is>
      </c>
      <c r="B140" s="155" t="inlineStr">
        <is>
          <t>52340225000190</t>
        </is>
      </c>
      <c r="C140" s="121" t="inlineStr">
        <is>
          <t>INOVA CREDTECH III FUNDO DE INVESTIMENTO</t>
        </is>
      </c>
      <c r="D140" s="121" t="inlineStr">
        <is>
          <t>estrutura_incomparavel</t>
        </is>
      </c>
      <c r="E140" s="121" t="inlineStr">
        <is>
          <t>originador; cedente</t>
        </is>
      </c>
      <c r="F140" s="121" t="inlineStr">
        <is>
          <t>Mínimo júnior isolado; a subordinação atual disponível agrega todas as classes subordinadas.</t>
        </is>
      </c>
      <c r="G140" s="121" t="inlineStr">
        <is>
          <t>revisto — mínimo júnior localizado</t>
        </is>
      </c>
    </row>
    <row r="141" ht="34.5" customHeight="1">
      <c r="A141" s="121" t="inlineStr">
        <is>
          <t>Carteira 101</t>
        </is>
      </c>
      <c r="B141" s="155" t="inlineStr">
        <is>
          <t>63546406000194</t>
        </is>
      </c>
      <c r="C141" s="121" t="inlineStr">
        <is>
          <t>PINE INSS III FUNDO DE INVESTIMENTO EM DIREITOS CREDITORIOS RESPONSABILIDADE</t>
        </is>
      </c>
      <c r="D141" s="121" t="inlineStr">
        <is>
          <t>estrutura_incomparavel</t>
        </is>
      </c>
      <c r="E141" s="121" t="inlineStr">
        <is>
          <t>originador; tipo de recebível</t>
        </is>
      </c>
      <c r="F141" s="121" t="inlineStr">
        <is>
          <t>Mínimo júnior isolado; a subordinação atual disponível agrega todas as classes subordinadas.</t>
        </is>
      </c>
      <c r="G141" s="121" t="inlineStr">
        <is>
          <t>revisto — mínimo júnior localizado</t>
        </is>
      </c>
    </row>
    <row r="142" ht="34.5" customHeight="1">
      <c r="A142" s="121" t="inlineStr">
        <is>
          <t>Carteira 101</t>
        </is>
      </c>
      <c r="B142" s="155" t="inlineStr">
        <is>
          <t>37294759000134</t>
        </is>
      </c>
      <c r="C142" s="121" t="inlineStr">
        <is>
          <t>FUNDO I E D C GALLERIA</t>
        </is>
      </c>
      <c r="D142" s="121" t="inlineStr">
        <is>
          <t>completo_para_folga</t>
        </is>
      </c>
      <c r="E142" s="121" t="inlineStr">
        <is>
          <t>originador; sacado/devedor</t>
        </is>
      </c>
      <c r="F142" s="121" t="inlineStr">
        <is>
          <t>Suporte total ou combinado; não representa mínimo júnior isolado.</t>
        </is>
      </c>
      <c r="G142" s="121" t="inlineStr">
        <is>
          <t>revisto — suporte estrutural total localizado</t>
        </is>
      </c>
    </row>
    <row r="143" ht="34.5" customHeight="1">
      <c r="A143" s="121" t="inlineStr">
        <is>
          <t>Carteira 101</t>
        </is>
      </c>
      <c r="B143" s="155" t="inlineStr">
        <is>
          <t>42085830000109</t>
        </is>
      </c>
      <c r="C143" s="121" t="inlineStr">
        <is>
          <t>CLOUDWALK AKIRA I FUNDO DE INVESTIMENTO EM DIREITO</t>
        </is>
      </c>
      <c r="D143" s="121" t="inlineStr">
        <is>
          <t>completo_para_folga</t>
        </is>
      </c>
      <c r="E143" s="121" t="inlineStr">
        <is>
          <t>originador</t>
        </is>
      </c>
      <c r="F143" s="121" t="inlineStr">
        <is>
          <t>Estrutura com uma única classe subordinada; métrica atual e piso usam o total subordinado sobre o PL.</t>
        </is>
      </c>
      <c r="G143" s="121" t="inlineStr">
        <is>
          <t>revisto — mínimo júnior localizado</t>
        </is>
      </c>
    </row>
    <row r="144" ht="34.5" customHeight="1">
      <c r="A144" s="121" t="inlineStr">
        <is>
          <t>Carteira 101</t>
        </is>
      </c>
      <c r="B144" s="155" t="inlineStr">
        <is>
          <t>61288838000117</t>
        </is>
      </c>
      <c r="C144" s="121" t="inlineStr">
        <is>
          <t>FIDC MOVILE III</t>
        </is>
      </c>
      <c r="D144" s="121" t="inlineStr">
        <is>
          <t>estrutura_incomparavel</t>
        </is>
      </c>
      <c r="E144" s="121" t="inlineStr">
        <is>
          <t>originador</t>
        </is>
      </c>
      <c r="F144" s="121" t="inlineStr">
        <is>
          <t>Mínimo júnior isolado; a subordinação atual disponível agrega todas as classes subordinadas.</t>
        </is>
      </c>
      <c r="G144" s="121" t="inlineStr">
        <is>
          <t>revisto — mínimo júnior localizado</t>
        </is>
      </c>
    </row>
    <row r="145" ht="34.5" customHeight="1">
      <c r="A145" s="121" t="inlineStr">
        <is>
          <t>Carteira 101</t>
        </is>
      </c>
      <c r="B145" s="155" t="inlineStr">
        <is>
          <t>30035329000159</t>
        </is>
      </c>
      <c r="C145" s="121" t="inlineStr">
        <is>
          <t>VIAINVEST II FIDC MULTISSETORIAL</t>
        </is>
      </c>
      <c r="D145" s="121" t="inlineStr">
        <is>
          <t>estrutura_incomparavel</t>
        </is>
      </c>
      <c r="E145" s="121" t="inlineStr">
        <is>
          <t>originador; tipo de recebível</t>
        </is>
      </c>
      <c r="F145" s="121" t="inlineStr">
        <is>
          <t>Mínimo júnior isolado; a subordinação atual disponível agrega mais de uma classe subordinada ou usa denominador distinto.</t>
        </is>
      </c>
      <c r="G145" s="121" t="inlineStr">
        <is>
          <t>revisto — mínimo júnior localizado</t>
        </is>
      </c>
    </row>
    <row r="146" ht="34.5" customHeight="1">
      <c r="A146" s="121" t="inlineStr">
        <is>
          <t>Carteira 101</t>
        </is>
      </c>
      <c r="B146" s="155" t="inlineStr">
        <is>
          <t>63657457000193</t>
        </is>
      </c>
      <c r="C146" s="121" t="inlineStr">
        <is>
          <t>MSV3 FUNDO DE INVESTIMENTO EM DIREITOS CREDITORIOS RECEBIVEIS COMERCIAIS</t>
        </is>
      </c>
      <c r="D146" s="121" t="inlineStr">
        <is>
          <t>estrutura_incomparavel</t>
        </is>
      </c>
      <c r="E146" s="121" t="inlineStr">
        <is>
          <t>originador; tipo de recebível</t>
        </is>
      </c>
      <c r="F146" s="121" t="inlineStr">
        <is>
          <t>Mínimo júnior isolado; a subordinação atual disponível agrega todas as classes subordinadas.</t>
        </is>
      </c>
      <c r="G146" s="121" t="inlineStr">
        <is>
          <t>revisto — mínimo júnior localizado</t>
        </is>
      </c>
    </row>
    <row r="147" ht="34.5" customHeight="1">
      <c r="A147" s="121" t="inlineStr">
        <is>
          <t>Carteira 101</t>
        </is>
      </c>
      <c r="B147" s="155" t="inlineStr">
        <is>
          <t>63066147000102</t>
        </is>
      </c>
      <c r="C147" s="121" t="inlineStr">
        <is>
          <t>FUNDO DE INVESTIMENTO EM DIREITOS</t>
        </is>
      </c>
      <c r="D147" s="121" t="inlineStr">
        <is>
          <t>estrutura_incomparavel</t>
        </is>
      </c>
      <c r="E147" s="121" t="inlineStr">
        <is>
          <t>originador; sacado/devedor</t>
        </is>
      </c>
      <c r="F147" s="121" t="inlineStr">
        <is>
          <t>Mínimo júnior isolado; a subordinação atual disponível agrega todas as classes subordinadas.</t>
        </is>
      </c>
      <c r="G147" s="121" t="inlineStr">
        <is>
          <t>revisto — mínimo júnior localizado</t>
        </is>
      </c>
    </row>
    <row r="148" ht="34.5" customHeight="1">
      <c r="A148" s="121" t="inlineStr">
        <is>
          <t>Carteira 101</t>
        </is>
      </c>
      <c r="B148" s="155" t="inlineStr">
        <is>
          <t>65836995000170</t>
        </is>
      </c>
      <c r="C148" s="121" t="inlineStr">
        <is>
          <t>DAYCOVAL 0410 FUNDO DE INV EM DIREITOS CREDITORIOS</t>
        </is>
      </c>
      <c r="D148" s="121" t="inlineStr">
        <is>
          <t>completo_para_folga</t>
        </is>
      </c>
      <c r="E148" s="121" t="inlineStr">
        <is>
          <t>originador</t>
        </is>
      </c>
      <c r="F148" s="121" t="inlineStr">
        <is>
          <t>Suporte total ou combinado; não representa mínimo júnior isolado.</t>
        </is>
      </c>
      <c r="G148" s="121" t="inlineStr">
        <is>
          <t>revisto — suporte estrutural total localizado</t>
        </is>
      </c>
    </row>
    <row r="149" ht="34.5" customHeight="1">
      <c r="A149" s="121" t="inlineStr">
        <is>
          <t>Carteira 101</t>
        </is>
      </c>
      <c r="B149" s="155" t="inlineStr">
        <is>
          <t>65873297000145</t>
        </is>
      </c>
      <c r="C149" s="121" t="inlineStr">
        <is>
          <t>ARCELORMITTAL VERTICE FUNDO DE INVESTIMENTO EM DIREITOS CRED</t>
        </is>
      </c>
      <c r="D149" s="121" t="inlineStr">
        <is>
          <t>completo_para_folga</t>
        </is>
      </c>
      <c r="E149" s="121" t="inlineStr">
        <is>
          <t>originador; sacado/devedor</t>
        </is>
      </c>
      <c r="F149" s="121" t="inlineStr">
        <is>
          <t>Estrutura com uma única classe subordinada; métrica atual e piso usam o total subordinado sobre o PL.</t>
        </is>
      </c>
      <c r="G149" s="121" t="inlineStr">
        <is>
          <t>revisto — mínimo júnior localizado</t>
        </is>
      </c>
    </row>
    <row r="150" ht="34.5" customHeight="1">
      <c r="A150" s="121" t="inlineStr">
        <is>
          <t>Carteira 101</t>
        </is>
      </c>
      <c r="B150" s="155" t="inlineStr">
        <is>
          <t>65347578000164</t>
        </is>
      </c>
      <c r="C150" s="121" t="inlineStr">
        <is>
          <t>ICRED INSS III FUNDO DE INVESTIMENTO EM DIREITOS CREDITORIOS RESPONSABILIDADE</t>
        </is>
      </c>
      <c r="D150" s="121" t="inlineStr">
        <is>
          <t>estrutura_incomparavel</t>
        </is>
      </c>
      <c r="E150" s="121" t="inlineStr">
        <is>
          <t>originador; cedente; sacado/devedor; tipo de recebível</t>
        </is>
      </c>
      <c r="F150" s="121" t="inlineStr">
        <is>
          <t>Mínimo júnior isolado; a subordinação atual disponível agrega todas as classes subordinadas.</t>
        </is>
      </c>
      <c r="G150" s="121" t="inlineStr">
        <is>
          <t>revisto — mínimo júnior localizado</t>
        </is>
      </c>
    </row>
    <row r="151" ht="34.5" customHeight="1">
      <c r="A151" s="121" t="inlineStr">
        <is>
          <t>Carteira 101</t>
        </is>
      </c>
      <c r="B151" s="155" t="inlineStr">
        <is>
          <t>18185812000114</t>
        </is>
      </c>
      <c r="C151" s="121" t="inlineStr">
        <is>
          <t>GAVEA SUL FUNDO DE INVESTIMENTO EM DIREITOS CREDITORIOS MULTISSETORIAL</t>
        </is>
      </c>
      <c r="D151" s="121" t="inlineStr">
        <is>
          <t>estrutura_incomparavel</t>
        </is>
      </c>
      <c r="E151" s="121" t="inlineStr">
        <is>
          <t>originador; tipo de recebível</t>
        </is>
      </c>
      <c r="F151" s="121" t="inlineStr">
        <is>
          <t>Mínimo júnior isolado; a subordinação atual disponível agrega todas as classes subordinadas.</t>
        </is>
      </c>
      <c r="G151" s="121" t="inlineStr">
        <is>
          <t>revisto — mínimo júnior localizado</t>
        </is>
      </c>
    </row>
    <row r="152" ht="34.5" customHeight="1">
      <c r="A152" s="121" t="inlineStr">
        <is>
          <t>Carteira 101</t>
        </is>
      </c>
      <c r="B152" s="155" t="inlineStr">
        <is>
          <t>49113994000141</t>
        </is>
      </c>
      <c r="C152" s="121" t="inlineStr">
        <is>
          <t>FUNDO DE INVESTIMENTO EM DIREITOS CREDITORIOS CAP RESPONSABILIDADE LIMITADA</t>
        </is>
      </c>
      <c r="D152" s="121" t="inlineStr">
        <is>
          <t>estrutura_incomparavel</t>
        </is>
      </c>
      <c r="E152" s="121" t="inlineStr">
        <is>
          <t>originador; cedente; sacado/devedor; tipo de recebível</t>
        </is>
      </c>
      <c r="F152" s="121" t="inlineStr">
        <is>
          <t>Mínimo júnior isolado; a subordinação atual disponível agrega todas as classes subordinadas.</t>
        </is>
      </c>
      <c r="G152" s="121" t="inlineStr">
        <is>
          <t>revisto — mínimo júnior localizado</t>
        </is>
      </c>
    </row>
    <row r="153" ht="34.5" customHeight="1">
      <c r="A153" s="121" t="inlineStr">
        <is>
          <t>Flagships</t>
        </is>
      </c>
      <c r="B153" s="155" t="inlineStr">
        <is>
          <t>58458416000138</t>
        </is>
      </c>
      <c r="C153" s="121" t="inlineStr">
        <is>
          <t>MT Consignado Privado I e II</t>
        </is>
      </c>
      <c r="D153" s="121" t="inlineStr">
        <is>
          <t>minimo_estrutural_ausente</t>
        </is>
      </c>
      <c r="E153" s="121" t="inlineStr">
        <is>
          <t>mínimo estrutural comparável; preço unitário da cota; originador; cedente; sacado/devedor; tipo de recebível</t>
        </is>
      </c>
      <c r="F153" s="121" t="inlineStr">
        <is>
          <t>N/D — mínimo estrutural ou subordinação atual ausente</t>
        </is>
      </c>
      <c r="G153" s="121" t="inlineStr">
        <is>
          <t>lacuna — regulamento integral não disponível nas fontes locais</t>
        </is>
      </c>
    </row>
    <row r="154" ht="34.5" customHeight="1">
      <c r="A154" s="121" t="inlineStr">
        <is>
          <t>Flagships</t>
        </is>
      </c>
      <c r="B154" s="155" t="inlineStr">
        <is>
          <t>60010416000112</t>
        </is>
      </c>
      <c r="C154" s="121" t="inlineStr">
        <is>
          <t>MT Consignado Privado I e II</t>
        </is>
      </c>
      <c r="D154" s="121" t="inlineStr">
        <is>
          <t>completo_para_folga</t>
        </is>
      </c>
      <c r="E154" s="121" t="inlineStr">
        <is>
          <t>originador; cedente; sacado/devedor; tipo de recebível</t>
        </is>
      </c>
      <c r="F154" s="121" t="inlineStr">
        <is>
          <t>Comparável — documento confirma ausência de mezanino</t>
        </is>
      </c>
      <c r="G154" s="121" t="inlineStr">
        <is>
          <t>revisto — mínimo júnior localizado</t>
        </is>
      </c>
    </row>
    <row r="155" ht="34.5" customHeight="1">
      <c r="A155" s="121" t="inlineStr">
        <is>
          <t>Flagships</t>
        </is>
      </c>
      <c r="B155" s="155" t="inlineStr">
        <is>
          <t>53841740000117</t>
        </is>
      </c>
      <c r="C155" s="121" t="inlineStr">
        <is>
          <t>Paketa</t>
        </is>
      </c>
      <c r="D155" s="121" t="inlineStr">
        <is>
          <t>minimo_estrutural_ausente</t>
        </is>
      </c>
      <c r="E155" s="121" t="inlineStr">
        <is>
          <t>mínimo estrutural comparável; preço unitário da cota; originador; cedente; sacado/devedor; tipo de recebível</t>
        </is>
      </c>
      <c r="F155" s="121" t="inlineStr">
        <is>
          <t>N/D — mínimo estrutural ou subordinação atual ausente</t>
        </is>
      </c>
      <c r="G155" s="121" t="inlineStr">
        <is>
          <t>lacuna — regulamento integral não disponível nas fontes locais</t>
        </is>
      </c>
    </row>
    <row r="156" ht="34.5" customHeight="1">
      <c r="A156" s="121" t="inlineStr">
        <is>
          <t>Flagships</t>
        </is>
      </c>
      <c r="B156" s="155" t="inlineStr">
        <is>
          <t>62390922000100</t>
        </is>
      </c>
      <c r="C156" s="121" t="inlineStr">
        <is>
          <t>CLT Now</t>
        </is>
      </c>
      <c r="D156" s="121" t="inlineStr">
        <is>
          <t>minimo_estrutural_ausente</t>
        </is>
      </c>
      <c r="E156" s="121" t="inlineStr">
        <is>
          <t>mínimo estrutural comparável; preço unitário da cota; originador; cedente; sacado/devedor; tipo de recebível</t>
        </is>
      </c>
      <c r="F156" s="121" t="inlineStr">
        <is>
          <t>N/D — mínimo estrutural ou subordinação atual ausente</t>
        </is>
      </c>
      <c r="G156" s="121" t="inlineStr">
        <is>
          <t>revisto — mínimo júnior não isolado</t>
        </is>
      </c>
    </row>
    <row r="157" ht="34.5" customHeight="1">
      <c r="A157" s="121" t="inlineStr">
        <is>
          <t>Flagships</t>
        </is>
      </c>
      <c r="B157" s="155" t="inlineStr">
        <is>
          <t>63546406000194</t>
        </is>
      </c>
      <c r="C157" s="121" t="inlineStr">
        <is>
          <t>Pine INSS I, II e III</t>
        </is>
      </c>
      <c r="D157" s="121" t="inlineStr">
        <is>
          <t>estrutura_incomparavel</t>
        </is>
      </c>
      <c r="E157" s="121" t="inlineStr">
        <is>
          <t>mínimo estrutural comparável; originador; cedente; sacado/devedor; tipo de recebível</t>
        </is>
      </c>
      <c r="F157" s="121" t="inlineStr">
        <is>
          <t>N/D — equivalência entre mínimo júnior e subordinação total não comprovada</t>
        </is>
      </c>
      <c r="G157" s="121" t="inlineStr">
        <is>
          <t>revisto — mínimo júnior localizado</t>
        </is>
      </c>
    </row>
    <row r="158" ht="34.5" customHeight="1">
      <c r="A158" s="121" t="inlineStr">
        <is>
          <t>Flagships</t>
        </is>
      </c>
      <c r="B158" s="155" t="inlineStr">
        <is>
          <t>61271872000189</t>
        </is>
      </c>
      <c r="C158" s="121" t="inlineStr">
        <is>
          <t>Pine INSS I, II e III</t>
        </is>
      </c>
      <c r="D158" s="121" t="inlineStr">
        <is>
          <t>minimo_estrutural_ausente</t>
        </is>
      </c>
      <c r="E158" s="121" t="inlineStr">
        <is>
          <t>mínimo estrutural comparável; preço unitário da cota; originador; cedente; sacado/devedor; tipo de recebível</t>
        </is>
      </c>
      <c r="F158" s="121" t="inlineStr">
        <is>
          <t>N/D — mínimo estrutural ou subordinação atual ausente</t>
        </is>
      </c>
      <c r="G158" s="121" t="inlineStr">
        <is>
          <t>revisto — mínimo júnior não isolado</t>
        </is>
      </c>
    </row>
    <row r="159" ht="34.5" customHeight="1">
      <c r="A159" s="121" t="inlineStr">
        <is>
          <t>Flagships</t>
        </is>
      </c>
      <c r="B159" s="155" t="inlineStr">
        <is>
          <t>63321684000143</t>
        </is>
      </c>
      <c r="C159" s="121" t="inlineStr">
        <is>
          <t>Pine INSS I, II e III</t>
        </is>
      </c>
      <c r="D159" s="121" t="inlineStr">
        <is>
          <t>minimo_estrutural_ausente</t>
        </is>
      </c>
      <c r="E159" s="121" t="inlineStr">
        <is>
          <t>mínimo estrutural comparável; preço unitário da cota; originador; cedente; sacado/devedor; tipo de recebível</t>
        </is>
      </c>
      <c r="F159" s="121" t="inlineStr">
        <is>
          <t>N/D — mínimo estrutural ou subordinação atual ausente</t>
        </is>
      </c>
      <c r="G159" s="121" t="inlineStr">
        <is>
          <t>lacuna — regulamento integral não disponível nas fontes locais</t>
        </is>
      </c>
    </row>
    <row r="160" ht="34.5" customHeight="1">
      <c r="A160" s="121" t="inlineStr">
        <is>
          <t>Flagships</t>
        </is>
      </c>
      <c r="B160" s="155" t="inlineStr">
        <is>
          <t>62310468000130</t>
        </is>
      </c>
      <c r="C160" s="121" t="inlineStr">
        <is>
          <t>MT INSS Receivables VI</t>
        </is>
      </c>
      <c r="D160" s="121" t="inlineStr">
        <is>
          <t>minimo_estrutural_ausente</t>
        </is>
      </c>
      <c r="E160" s="121" t="inlineStr">
        <is>
          <t>mínimo estrutural comparável; preço unitário da cota; originador; cedente; sacado/devedor; tipo de recebível</t>
        </is>
      </c>
      <c r="F160" s="121" t="inlineStr">
        <is>
          <t>N/D — mínimo estrutural ou subordinação atual ausente</t>
        </is>
      </c>
      <c r="G160" s="121" t="inlineStr">
        <is>
          <t>revisto — mínimo júnior não isolado</t>
        </is>
      </c>
    </row>
    <row r="161" ht="34.5" customHeight="1">
      <c r="A161" s="121" t="inlineStr">
        <is>
          <t>Flagships</t>
        </is>
      </c>
      <c r="B161" s="155" t="inlineStr">
        <is>
          <t>63733796000101</t>
        </is>
      </c>
      <c r="C161" s="121" t="inlineStr">
        <is>
          <t>ICRED Chopin INSS</t>
        </is>
      </c>
      <c r="D161" s="121" t="inlineStr">
        <is>
          <t>minimo_estrutural_ausente</t>
        </is>
      </c>
      <c r="E161" s="121" t="inlineStr">
        <is>
          <t>mínimo estrutural comparável; preço unitário da cota; originador; cedente; sacado/devedor; tipo de recebível</t>
        </is>
      </c>
      <c r="F161" s="121" t="inlineStr">
        <is>
          <t>N/D — mínimo estrutural ou subordinação atual ausente</t>
        </is>
      </c>
      <c r="G161" s="121" t="inlineStr">
        <is>
          <t>lacuna — regulamento integral não disponível nas fontes locais</t>
        </is>
      </c>
    </row>
    <row r="162" ht="34.5" customHeight="1">
      <c r="A162" s="121" t="inlineStr">
        <is>
          <t>Flagships</t>
        </is>
      </c>
      <c r="B162" s="155" t="inlineStr">
        <is>
          <t>53337453000174</t>
        </is>
      </c>
      <c r="C162" s="121" t="inlineStr">
        <is>
          <t>CM Estadual I e II</t>
        </is>
      </c>
      <c r="D162" s="121" t="inlineStr">
        <is>
          <t>minimo_estrutural_ausente</t>
        </is>
      </c>
      <c r="E162" s="121" t="inlineStr">
        <is>
          <t>mínimo estrutural comparável; preço unitário da cota; originador; cedente; sacado/devedor; tipo de recebível</t>
        </is>
      </c>
      <c r="F162" s="121" t="inlineStr">
        <is>
          <t>N/D — mínimo estrutural ou subordinação atual ausente</t>
        </is>
      </c>
      <c r="G162" s="121" t="inlineStr">
        <is>
          <t>revisto — mínimo júnior não isolado</t>
        </is>
      </c>
    </row>
    <row r="163" ht="34.5" customHeight="1">
      <c r="A163" s="121" t="inlineStr">
        <is>
          <t>Flagships</t>
        </is>
      </c>
      <c r="B163" s="155" t="inlineStr">
        <is>
          <t>44395657000170</t>
        </is>
      </c>
      <c r="C163" s="121" t="inlineStr">
        <is>
          <t>CM Estadual I e II</t>
        </is>
      </c>
      <c r="D163" s="121" t="inlineStr">
        <is>
          <t>minimo_estrutural_ausente</t>
        </is>
      </c>
      <c r="E163" s="121" t="inlineStr">
        <is>
          <t>mínimo estrutural comparável; preço unitário da cota; originador; cedente; sacado/devedor; tipo de recebível</t>
        </is>
      </c>
      <c r="F163" s="121" t="inlineStr">
        <is>
          <t>N/D — mínimo estrutural ou subordinação atual ausente</t>
        </is>
      </c>
      <c r="G163" s="121" t="inlineStr">
        <is>
          <t>lacuna — regulamento integral não disponível nas fontes locais</t>
        </is>
      </c>
    </row>
    <row r="164" ht="34.5" customHeight="1">
      <c r="A164" s="121" t="inlineStr">
        <is>
          <t>Flagships</t>
        </is>
      </c>
      <c r="B164" s="155" t="inlineStr">
        <is>
          <t>65839682000176</t>
        </is>
      </c>
      <c r="C164" s="121" t="inlineStr">
        <is>
          <t>PicPay FGTS I e II</t>
        </is>
      </c>
      <c r="D164" s="121" t="inlineStr">
        <is>
          <t>minimo_estrutural_ausente</t>
        </is>
      </c>
      <c r="E164" s="121" t="inlineStr">
        <is>
          <t>mínimo estrutural comparável; preço unitário da cota; originador; cedente; sacado/devedor; tipo de recebível</t>
        </is>
      </c>
      <c r="F164" s="121" t="inlineStr">
        <is>
          <t>N/D — mínimo estrutural ou subordinação atual ausente</t>
        </is>
      </c>
      <c r="G164" s="121" t="inlineStr">
        <is>
          <t>revisto — mínimo júnior não isolado</t>
        </is>
      </c>
    </row>
    <row r="165" ht="34.5" customHeight="1">
      <c r="A165" s="121" t="inlineStr">
        <is>
          <t>Flagships</t>
        </is>
      </c>
      <c r="B165" s="155" t="inlineStr">
        <is>
          <t>58148845000109</t>
        </is>
      </c>
      <c r="C165" s="121" t="inlineStr">
        <is>
          <t>PicPay FGTS I e II</t>
        </is>
      </c>
      <c r="D165" s="121" t="inlineStr">
        <is>
          <t>minimo_estrutural_ausente</t>
        </is>
      </c>
      <c r="E165" s="121" t="inlineStr">
        <is>
          <t>mínimo estrutural comparável; preço unitário da cota; originador; cedente; sacado/devedor; tipo de recebível</t>
        </is>
      </c>
      <c r="F165" s="121" t="inlineStr">
        <is>
          <t>N/D — mínimo estrutural ou subordinação atual ausente</t>
        </is>
      </c>
      <c r="G165" s="121" t="inlineStr">
        <is>
          <t>revisto — mínimo júnior não isolado</t>
        </is>
      </c>
    </row>
    <row r="166" ht="34.5" customHeight="1">
      <c r="A166" s="121" t="inlineStr">
        <is>
          <t>Flagships</t>
        </is>
      </c>
      <c r="B166" s="155" t="inlineStr">
        <is>
          <t>62010175000137</t>
        </is>
      </c>
      <c r="C166" s="121" t="inlineStr">
        <is>
          <t>MT FGTS II e IV</t>
        </is>
      </c>
      <c r="D166" s="121" t="inlineStr">
        <is>
          <t>minimo_estrutural_ausente</t>
        </is>
      </c>
      <c r="E166" s="121" t="inlineStr">
        <is>
          <t>mínimo estrutural comparável; preço unitário da cota; originador; cedente; sacado/devedor; tipo de recebível</t>
        </is>
      </c>
      <c r="F166" s="121" t="inlineStr">
        <is>
          <t>N/D — mínimo estrutural ou subordinação atual ausente</t>
        </is>
      </c>
      <c r="G166" s="121" t="inlineStr">
        <is>
          <t>lacuna — regulamento integral não disponível nas fontes locais</t>
        </is>
      </c>
    </row>
    <row r="167" ht="34.5" customHeight="1">
      <c r="A167" s="121" t="inlineStr">
        <is>
          <t>Flagships</t>
        </is>
      </c>
      <c r="B167" s="155" t="inlineStr">
        <is>
          <t>54464892000100</t>
        </is>
      </c>
      <c r="C167" s="121" t="inlineStr">
        <is>
          <t>MT FGTS II e IV</t>
        </is>
      </c>
      <c r="D167" s="121" t="inlineStr">
        <is>
          <t>minimo_estrutural_ausente</t>
        </is>
      </c>
      <c r="E167" s="121" t="inlineStr">
        <is>
          <t>mínimo estrutural comparável; preço unitário da cota; originador; sacado/devedor; tipo de recebível</t>
        </is>
      </c>
      <c r="F167" s="121" t="inlineStr">
        <is>
          <t>N/D — mínimo estrutural ou subordinação atual ausente</t>
        </is>
      </c>
      <c r="G167" s="121" t="inlineStr">
        <is>
          <t>lacuna — regulamento integral não disponível nas fontes locais</t>
        </is>
      </c>
    </row>
    <row r="168" ht="34.5" customHeight="1">
      <c r="A168" s="121" t="inlineStr">
        <is>
          <t>Flagships</t>
        </is>
      </c>
      <c r="B168" s="155" t="inlineStr">
        <is>
          <t>63848380000139</t>
        </is>
      </c>
      <c r="C168" s="121" t="inlineStr">
        <is>
          <t>Daycoval FGTS I</t>
        </is>
      </c>
      <c r="D168" s="121" t="inlineStr">
        <is>
          <t>minimo_estrutural_ausente</t>
        </is>
      </c>
      <c r="E168" s="121" t="inlineStr">
        <is>
          <t>mínimo estrutural comparável; preço unitário da cota; originador; cedente; sacado/devedor; tipo de recebível</t>
        </is>
      </c>
      <c r="F168" s="121" t="inlineStr">
        <is>
          <t>N/D — mínimo estrutural ou subordinação atual ausente</t>
        </is>
      </c>
      <c r="G168" s="121" t="inlineStr">
        <is>
          <t>revisto — mínimo júnior não isolado</t>
        </is>
      </c>
    </row>
    <row r="169" ht="34.5" customHeight="1">
      <c r="A169" s="121" t="inlineStr">
        <is>
          <t>Flagships</t>
        </is>
      </c>
      <c r="B169" s="155" t="inlineStr">
        <is>
          <t>62393679000183</t>
        </is>
      </c>
      <c r="C169" s="121" t="inlineStr">
        <is>
          <t>Cloudwalk Bela Pi e Big Picture I–IV</t>
        </is>
      </c>
      <c r="D169" s="121" t="inlineStr">
        <is>
          <t>minimo_estrutural_ausente</t>
        </is>
      </c>
      <c r="E169" s="121" t="inlineStr">
        <is>
          <t>mínimo estrutural comparável; preço unitário da cota; cedente; sacado/devedor; tipo de recebível</t>
        </is>
      </c>
      <c r="F169" s="121" t="inlineStr">
        <is>
          <t>N/D — mínimo estrutural ou subordinação atual ausente</t>
        </is>
      </c>
      <c r="G169" s="121" t="inlineStr">
        <is>
          <t>revisto — mínimo júnior localizado</t>
        </is>
      </c>
    </row>
    <row r="170" ht="34.5" customHeight="1">
      <c r="A170" s="121" t="inlineStr">
        <is>
          <t>Flagships</t>
        </is>
      </c>
      <c r="B170" s="155" t="inlineStr">
        <is>
          <t>60356171000180</t>
        </is>
      </c>
      <c r="C170" s="121" t="inlineStr">
        <is>
          <t>Cloudwalk Bela Pi e Big Picture I–IV</t>
        </is>
      </c>
      <c r="D170" s="121" t="inlineStr">
        <is>
          <t>estrutura_incomparavel</t>
        </is>
      </c>
      <c r="E170" s="121" t="inlineStr">
        <is>
          <t>mínimo estrutural comparável; cedente; sacado/devedor; tipo de recebível</t>
        </is>
      </c>
      <c r="F170" s="121" t="inlineStr">
        <is>
          <t>N/D — equivalência entre mínimo júnior e subordinação total não comprovada</t>
        </is>
      </c>
      <c r="G170" s="121" t="inlineStr">
        <is>
          <t>revisto — mínimo júnior localizado</t>
        </is>
      </c>
    </row>
    <row r="171" ht="34.5" customHeight="1">
      <c r="A171" s="121" t="inlineStr">
        <is>
          <t>Flagships</t>
        </is>
      </c>
      <c r="B171" s="155" t="inlineStr">
        <is>
          <t>54218673000141</t>
        </is>
      </c>
      <c r="C171" s="121" t="inlineStr">
        <is>
          <t>Cloudwalk Bela Pi e Big Picture I–IV</t>
        </is>
      </c>
      <c r="D171" s="121" t="inlineStr">
        <is>
          <t>completo_para_folga</t>
        </is>
      </c>
      <c r="E171" s="121" t="inlineStr">
        <is>
          <t>originador; cedente; sacado/devedor; tipo de recebível</t>
        </is>
      </c>
      <c r="F171" s="121" t="inlineStr">
        <is>
          <t>Comparável — documento confirma ausência de mezanino</t>
        </is>
      </c>
      <c r="G171" s="121" t="inlineStr">
        <is>
          <t>revisto — mínimo júnior localizado</t>
        </is>
      </c>
    </row>
    <row r="172" ht="34.5" customHeight="1">
      <c r="A172" s="121" t="inlineStr">
        <is>
          <t>Flagships</t>
        </is>
      </c>
      <c r="B172" s="155" t="inlineStr">
        <is>
          <t>54248022000102</t>
        </is>
      </c>
      <c r="C172" s="121" t="inlineStr">
        <is>
          <t>Cloudwalk Bela Pi e Big Picture I–IV</t>
        </is>
      </c>
      <c r="D172" s="121" t="inlineStr">
        <is>
          <t>completo_para_folga</t>
        </is>
      </c>
      <c r="E172" s="121" t="inlineStr">
        <is>
          <t>originador; cedente; sacado/devedor; tipo de recebível</t>
        </is>
      </c>
      <c r="F172" s="121" t="inlineStr">
        <is>
          <t>Comparável — documento confirma ausência de mezanino</t>
        </is>
      </c>
      <c r="G172" s="121" t="inlineStr">
        <is>
          <t>revisto — mínimo júnior localizado</t>
        </is>
      </c>
    </row>
    <row r="173" ht="34.5" customHeight="1">
      <c r="A173" s="121" t="inlineStr">
        <is>
          <t>Flagships</t>
        </is>
      </c>
      <c r="B173" s="155" t="inlineStr">
        <is>
          <t>54218941000125</t>
        </is>
      </c>
      <c r="C173" s="121" t="inlineStr">
        <is>
          <t>Cloudwalk Bela Pi e Big Picture I–IV</t>
        </is>
      </c>
      <c r="D173" s="121" t="inlineStr">
        <is>
          <t>completo_para_folga</t>
        </is>
      </c>
      <c r="E173" s="121" t="inlineStr">
        <is>
          <t>originador; cedente; sacado/devedor; tipo de recebível</t>
        </is>
      </c>
      <c r="F173" s="121" t="inlineStr">
        <is>
          <t>Comparável — documento confirma ausência de mezanino</t>
        </is>
      </c>
      <c r="G173" s="121" t="inlineStr">
        <is>
          <t>revisto — mínimo júnior localizado</t>
        </is>
      </c>
    </row>
    <row r="174" ht="34.5" customHeight="1">
      <c r="A174" s="121" t="inlineStr">
        <is>
          <t>Flagships</t>
        </is>
      </c>
      <c r="B174" s="155" t="inlineStr">
        <is>
          <t>54219179000100</t>
        </is>
      </c>
      <c r="C174" s="121" t="inlineStr">
        <is>
          <t>Cloudwalk Bela Pi e Big Picture I–IV</t>
        </is>
      </c>
      <c r="D174" s="121" t="inlineStr">
        <is>
          <t>minimo_estrutural_ausente</t>
        </is>
      </c>
      <c r="E174" s="121" t="inlineStr">
        <is>
          <t>mínimo estrutural comparável; originador; cedente; sacado/devedor; tipo de recebível</t>
        </is>
      </c>
      <c r="F174" s="121" t="inlineStr">
        <is>
          <t>N/D — mínimo estrutural ou subordinação atual ausente</t>
        </is>
      </c>
      <c r="G174" s="121" t="inlineStr">
        <is>
          <t>revisto — conflito interno do documento</t>
        </is>
      </c>
    </row>
    <row r="175" ht="34.5" customHeight="1">
      <c r="A175" s="121" t="inlineStr">
        <is>
          <t>Flagships</t>
        </is>
      </c>
      <c r="B175" s="155" t="inlineStr">
        <is>
          <t>26286939000158</t>
        </is>
      </c>
      <c r="C175" s="121" t="inlineStr">
        <is>
          <t>Cielo</t>
        </is>
      </c>
      <c r="D175" s="121" t="inlineStr">
        <is>
          <t>minimo_estrutural_ausente</t>
        </is>
      </c>
      <c r="E175" s="121" t="inlineStr">
        <is>
          <t>mínimo estrutural comparável; preço unitário da cota; cedente; sacado/devedor; tipo de recebível</t>
        </is>
      </c>
      <c r="F175" s="121" t="inlineStr">
        <is>
          <t>N/D — mínimo estrutural ou subordinação atual ausente</t>
        </is>
      </c>
      <c r="G175" s="121" t="inlineStr">
        <is>
          <t>lacuna — regulamento integral não disponível nas fontes locais</t>
        </is>
      </c>
    </row>
    <row r="176" ht="34.5" customHeight="1">
      <c r="A176" s="121" t="inlineStr">
        <is>
          <t>Flagships</t>
        </is>
      </c>
      <c r="B176" s="155" t="inlineStr">
        <is>
          <t>54979779000168</t>
        </is>
      </c>
      <c r="C176" s="121" t="inlineStr">
        <is>
          <t>ACR BEM, ACR I e ACR IV</t>
        </is>
      </c>
      <c r="D176" s="121" t="inlineStr">
        <is>
          <t>minimo_estrutural_ausente</t>
        </is>
      </c>
      <c r="E176" s="121" t="inlineStr">
        <is>
          <t>mínimo estrutural comparável; preço unitário da cota; cedente; sacado/devedor; tipo de recebível</t>
        </is>
      </c>
      <c r="F176" s="121" t="inlineStr">
        <is>
          <t>N/D — mínimo estrutural ou subordinação atual ausente</t>
        </is>
      </c>
      <c r="G176" s="121" t="inlineStr">
        <is>
          <t>lacuna — regulamento integral não disponível nas fontes locais</t>
        </is>
      </c>
    </row>
    <row r="177" ht="34.5" customHeight="1">
      <c r="A177" s="121" t="inlineStr">
        <is>
          <t>Flagships</t>
        </is>
      </c>
      <c r="B177" s="155" t="inlineStr">
        <is>
          <t>52256912000122</t>
        </is>
      </c>
      <c r="C177" s="121" t="inlineStr">
        <is>
          <t>ACR BEM, ACR I e ACR IV</t>
        </is>
      </c>
      <c r="D177" s="121" t="inlineStr">
        <is>
          <t>minimo_estrutural_ausente</t>
        </is>
      </c>
      <c r="E177" s="121" t="inlineStr">
        <is>
          <t>mínimo estrutural comparável; preço unitário da cota; originador; cedente; sacado/devedor; tipo de recebível</t>
        </is>
      </c>
      <c r="F177" s="121" t="inlineStr">
        <is>
          <t>N/D — mínimo estrutural ou subordinação atual ausente</t>
        </is>
      </c>
      <c r="G177" s="121" t="inlineStr">
        <is>
          <t>lacuna — regulamento integral não disponível nas fontes locais</t>
        </is>
      </c>
    </row>
    <row r="178" ht="34.5" customHeight="1">
      <c r="A178" s="121" t="inlineStr">
        <is>
          <t>Flagships</t>
        </is>
      </c>
      <c r="B178" s="155" t="inlineStr">
        <is>
          <t>51983832000106</t>
        </is>
      </c>
      <c r="C178" s="121" t="inlineStr">
        <is>
          <t>ACR BEM, ACR I e ACR IV</t>
        </is>
      </c>
      <c r="D178" s="121" t="inlineStr">
        <is>
          <t>minimo_estrutural_ausente</t>
        </is>
      </c>
      <c r="E178" s="121" t="inlineStr">
        <is>
          <t>mínimo estrutural comparável; preço unitário da cota; originador; cedente; sacado/devedor; tipo de recebível</t>
        </is>
      </c>
      <c r="F178" s="121" t="inlineStr">
        <is>
          <t>N/D — mínimo estrutural ou subordinação atual ausente</t>
        </is>
      </c>
      <c r="G178" s="121" t="inlineStr">
        <is>
          <t>lacuna — regulamento integral não disponível nas fontes locais</t>
        </is>
      </c>
    </row>
    <row r="179" ht="34.5" customHeight="1">
      <c r="A179" s="121" t="inlineStr">
        <is>
          <t>Flagships</t>
        </is>
      </c>
      <c r="B179" s="155" t="inlineStr">
        <is>
          <t>26287464000114</t>
        </is>
      </c>
      <c r="C179" s="121" t="inlineStr">
        <is>
          <t>Tapso</t>
        </is>
      </c>
      <c r="D179" s="121" t="inlineStr">
        <is>
          <t>minimo_estrutural_ausente</t>
        </is>
      </c>
      <c r="E179" s="121" t="inlineStr">
        <is>
          <t>mínimo estrutural comparável; preço unitário da cota; cedente; sacado/devedor; tipo de recebível</t>
        </is>
      </c>
      <c r="F179" s="121" t="inlineStr">
        <is>
          <t>N/D — mínimo estrutural ou subordinação atual ausente</t>
        </is>
      </c>
      <c r="G179" s="121" t="inlineStr">
        <is>
          <t>lacuna — regulamento integral não disponível nas fontes locais</t>
        </is>
      </c>
    </row>
    <row r="180" ht="34.5" customHeight="1">
      <c r="A180" s="121" t="inlineStr">
        <is>
          <t>Flagships</t>
        </is>
      </c>
      <c r="B180" s="155" t="inlineStr">
        <is>
          <t>63572282000111</t>
        </is>
      </c>
      <c r="C180" s="121" t="inlineStr">
        <is>
          <t>Seller I, II e III</t>
        </is>
      </c>
      <c r="D180" s="121" t="inlineStr">
        <is>
          <t>estrutura_incomparavel</t>
        </is>
      </c>
      <c r="E180" s="121" t="inlineStr">
        <is>
          <t>mínimo estrutural comparável; preço unitário da cota; originador; cedente; sacado/devedor; tipo de recebível</t>
        </is>
      </c>
      <c r="F180" s="121" t="inlineStr">
        <is>
          <t>N/D — equivalência entre mínimo júnior e subordinação total não comprovada</t>
        </is>
      </c>
      <c r="G180" s="121" t="inlineStr">
        <is>
          <t>revisto — mínimo júnior localizado</t>
        </is>
      </c>
    </row>
    <row r="181" ht="34.5" customHeight="1">
      <c r="A181" s="121" t="inlineStr">
        <is>
          <t>Flagships</t>
        </is>
      </c>
      <c r="B181" s="155" t="inlineStr">
        <is>
          <t>50473039000102</t>
        </is>
      </c>
      <c r="C181" s="121" t="inlineStr">
        <is>
          <t>Seller I, II e III</t>
        </is>
      </c>
      <c r="D181" s="121" t="inlineStr">
        <is>
          <t>estrutura_incomparavel</t>
        </is>
      </c>
      <c r="E181" s="121" t="inlineStr">
        <is>
          <t>mínimo estrutural comparável; sacado/devedor</t>
        </is>
      </c>
      <c r="F181" s="121" t="inlineStr">
        <is>
          <t>N/D — equivalência entre mínimo júnior e subordinação total não comprovada</t>
        </is>
      </c>
      <c r="G181" s="121" t="inlineStr">
        <is>
          <t>revisto — mínimo júnior localizado</t>
        </is>
      </c>
    </row>
    <row r="182" ht="34.5" customHeight="1">
      <c r="A182" s="121" t="inlineStr">
        <is>
          <t>Flagships</t>
        </is>
      </c>
      <c r="B182" s="155" t="inlineStr">
        <is>
          <t>55471753000177</t>
        </is>
      </c>
      <c r="C182" s="121" t="inlineStr">
        <is>
          <t>Seller I, II e III</t>
        </is>
      </c>
      <c r="D182" s="121" t="inlineStr">
        <is>
          <t>estrutura_incomparavel</t>
        </is>
      </c>
      <c r="E182" s="121" t="inlineStr">
        <is>
          <t>mínimo estrutural comparável; originador; cedente; sacado/devedor; tipo de recebível</t>
        </is>
      </c>
      <c r="F182" s="121" t="inlineStr">
        <is>
          <t>N/D — equivalência entre mínimo júnior e subordinação total não comprovada</t>
        </is>
      </c>
      <c r="G182" s="121" t="inlineStr">
        <is>
          <t>revisto — mínimo júnior localizado</t>
        </is>
      </c>
    </row>
    <row r="183" ht="34.5" customHeight="1">
      <c r="A183" s="121" t="inlineStr">
        <is>
          <t>Flagships</t>
        </is>
      </c>
      <c r="B183" s="155" t="inlineStr">
        <is>
          <t>28169275000172</t>
        </is>
      </c>
      <c r="C183" s="121" t="inlineStr">
        <is>
          <t>PagSeguro I</t>
        </is>
      </c>
      <c r="D183" s="121" t="inlineStr">
        <is>
          <t>sub_pl_atual_ausente</t>
        </is>
      </c>
      <c r="E183" s="121" t="inlineStr">
        <is>
          <t>Sub/PL atual; mínimo estrutural comparável; sacado/devedor</t>
        </is>
      </c>
      <c r="F183" s="121" t="inlineStr">
        <is>
          <t>N/D — mínimo estrutural ou subordinação atual ausente</t>
        </is>
      </c>
      <c r="G183" s="121" t="inlineStr">
        <is>
          <t>revisto — mínimo júnior não isolado</t>
        </is>
      </c>
    </row>
    <row r="184" ht="34.5" customHeight="1">
      <c r="A184" s="121" t="inlineStr">
        <is>
          <t>Flagships</t>
        </is>
      </c>
      <c r="B184" s="155" t="inlineStr">
        <is>
          <t>66929956000180</t>
        </is>
      </c>
      <c r="C184" s="121" t="inlineStr">
        <is>
          <t>BV Auto I, II e III</t>
        </is>
      </c>
      <c r="D184" s="121" t="inlineStr">
        <is>
          <t>sub_pl_atual_ausente</t>
        </is>
      </c>
      <c r="E184" s="121" t="inlineStr">
        <is>
          <t>Sub/PL atual; mínimo estrutural comparável; preço unitário da cota; originador; cedente; sacado/devedor; tipo de recebível</t>
        </is>
      </c>
      <c r="F184" s="121" t="inlineStr">
        <is>
          <t>N/D — mínimo estrutural ou subordinação atual ausente</t>
        </is>
      </c>
      <c r="G184" s="121" t="inlineStr">
        <is>
          <t>lacuna — regulamento integral não disponível nas fontes locais</t>
        </is>
      </c>
    </row>
    <row r="185" ht="34.5" customHeight="1">
      <c r="A185" s="121" t="inlineStr">
        <is>
          <t>Flagships</t>
        </is>
      </c>
      <c r="B185" s="155" t="inlineStr">
        <is>
          <t>57532556000146</t>
        </is>
      </c>
      <c r="C185" s="121" t="inlineStr">
        <is>
          <t>BV Auto I, II e III</t>
        </is>
      </c>
      <c r="D185" s="121" t="inlineStr">
        <is>
          <t>minimo_estrutural_ausente</t>
        </is>
      </c>
      <c r="E185" s="121" t="inlineStr">
        <is>
          <t>mínimo estrutural comparável; preço unitário da cota; originador; cedente; sacado/devedor; tipo de recebível</t>
        </is>
      </c>
      <c r="F185" s="121" t="inlineStr">
        <is>
          <t>N/D — mínimo estrutural ou subordinação atual ausente</t>
        </is>
      </c>
      <c r="G185" s="121" t="inlineStr">
        <is>
          <t>lacuna — regulamento integral não disponível nas fontes locais</t>
        </is>
      </c>
    </row>
    <row r="186" ht="34.5" customHeight="1">
      <c r="A186" s="121" t="inlineStr">
        <is>
          <t>Flagships</t>
        </is>
      </c>
      <c r="B186" s="155" t="inlineStr">
        <is>
          <t>60598366000136</t>
        </is>
      </c>
      <c r="C186" s="121" t="inlineStr">
        <is>
          <t>BV Auto I, II e III</t>
        </is>
      </c>
      <c r="D186" s="121" t="inlineStr">
        <is>
          <t>minimo_estrutural_ausente</t>
        </is>
      </c>
      <c r="E186" s="121" t="inlineStr">
        <is>
          <t>mínimo estrutural comparável; preço unitário da cota; originador; cedente; sacado/devedor; tipo de recebível</t>
        </is>
      </c>
      <c r="F186" s="121" t="inlineStr">
        <is>
          <t>N/D — mínimo estrutural ou subordinação atual ausente</t>
        </is>
      </c>
      <c r="G186" s="121" t="inlineStr">
        <is>
          <t>revisto — mínimo júnior não isolado</t>
        </is>
      </c>
    </row>
    <row r="187" ht="34.5" customHeight="1">
      <c r="A187" s="121" t="inlineStr">
        <is>
          <t>Flagships</t>
        </is>
      </c>
      <c r="B187" s="155" t="inlineStr">
        <is>
          <t>59929098000109</t>
        </is>
      </c>
      <c r="C187" s="121" t="inlineStr">
        <is>
          <t>Creditas Auto X, XI e XII</t>
        </is>
      </c>
      <c r="D187" s="121" t="inlineStr">
        <is>
          <t>minimo_estrutural_ausente</t>
        </is>
      </c>
      <c r="E187" s="121" t="inlineStr">
        <is>
          <t>mínimo estrutural comparável; preço unitário da cota; originador; cedente; sacado/devedor; tipo de recebível</t>
        </is>
      </c>
      <c r="F187" s="121" t="inlineStr">
        <is>
          <t>N/D — mínimo estrutural ou subordinação atual ausente</t>
        </is>
      </c>
      <c r="G187" s="121" t="inlineStr">
        <is>
          <t>lacuna — regulamento integral não disponível nas fontes locais</t>
        </is>
      </c>
    </row>
    <row r="188" ht="34.5" customHeight="1">
      <c r="A188" s="121" t="inlineStr">
        <is>
          <t>Flagships</t>
        </is>
      </c>
      <c r="B188" s="155" t="inlineStr">
        <is>
          <t>53095241000128</t>
        </is>
      </c>
      <c r="C188" s="121" t="inlineStr">
        <is>
          <t>Creditas Auto X, XI e XII</t>
        </is>
      </c>
      <c r="D188" s="121" t="inlineStr">
        <is>
          <t>minimo_estrutural_ausente</t>
        </is>
      </c>
      <c r="E188" s="121" t="inlineStr">
        <is>
          <t>mínimo estrutural comparável; preço unitário da cota; originador; cedente; sacado/devedor; tipo de recebível</t>
        </is>
      </c>
      <c r="F188" s="121" t="inlineStr">
        <is>
          <t>N/D — mínimo estrutural ou subordinação atual ausente</t>
        </is>
      </c>
      <c r="G188" s="121" t="inlineStr">
        <is>
          <t>lacuna — regulamento integral não disponível nas fontes locais</t>
        </is>
      </c>
    </row>
    <row r="189" ht="34.5" customHeight="1">
      <c r="A189" s="121" t="inlineStr">
        <is>
          <t>Flagships</t>
        </is>
      </c>
      <c r="B189" s="155" t="inlineStr">
        <is>
          <t>58035124000192</t>
        </is>
      </c>
      <c r="C189" s="121" t="inlineStr">
        <is>
          <t>Creditas Auto X, XI e XII</t>
        </is>
      </c>
      <c r="D189" s="121" t="inlineStr">
        <is>
          <t>minimo_estrutural_ausente</t>
        </is>
      </c>
      <c r="E189" s="121" t="inlineStr">
        <is>
          <t>mínimo estrutural comparável; preço unitário da cota; originador; cedente; sacado/devedor; tipo de recebível</t>
        </is>
      </c>
      <c r="F189" s="121" t="inlineStr">
        <is>
          <t>N/D — mínimo estrutural ou subordinação atual ausente</t>
        </is>
      </c>
      <c r="G189" s="121" t="inlineStr">
        <is>
          <t>lacuna — regulamento integral não disponível nas fontes locais</t>
        </is>
      </c>
    </row>
    <row r="190" ht="34.5" customHeight="1">
      <c r="A190" s="121" t="inlineStr">
        <is>
          <t>Flagships</t>
        </is>
      </c>
      <c r="B190" s="155" t="inlineStr">
        <is>
          <t>63662224000189</t>
        </is>
      </c>
      <c r="C190" s="121" t="inlineStr">
        <is>
          <t>Santander Auto Loans I</t>
        </is>
      </c>
      <c r="D190" s="121" t="inlineStr">
        <is>
          <t>minimo_estrutural_ausente</t>
        </is>
      </c>
      <c r="E190" s="121" t="inlineStr">
        <is>
          <t>mínimo estrutural comparável; preço unitário da cota; originador; cedente; sacado/devedor; tipo de recebível</t>
        </is>
      </c>
      <c r="F190" s="121" t="inlineStr">
        <is>
          <t>N/D — mínimo estrutural ou subordinação atual ausente</t>
        </is>
      </c>
      <c r="G190" s="121" t="inlineStr">
        <is>
          <t>revisto — mínimo júnior não isolado</t>
        </is>
      </c>
    </row>
    <row r="191" ht="34.5" customHeight="1">
      <c r="A191" s="121" t="inlineStr">
        <is>
          <t>Flagships</t>
        </is>
      </c>
      <c r="B191" s="155" t="inlineStr">
        <is>
          <t>50114948000146</t>
        </is>
      </c>
      <c r="C191" s="121" t="inlineStr">
        <is>
          <t>Driver Brasil Six Banco Volkswagen</t>
        </is>
      </c>
      <c r="D191" s="121" t="inlineStr">
        <is>
          <t>minimo_estrutural_ausente</t>
        </is>
      </c>
      <c r="E191" s="121" t="inlineStr">
        <is>
          <t>mínimo estrutural comparável; preço unitário da cota; originador; cedente; sacado/devedor; tipo de recebível</t>
        </is>
      </c>
      <c r="F191" s="121" t="inlineStr">
        <is>
          <t>N/D — mínimo estrutural ou subordinação atual ausente</t>
        </is>
      </c>
      <c r="G191" s="121" t="inlineStr">
        <is>
          <t>lacuna — regulamento integral não disponível nas fontes locais</t>
        </is>
      </c>
    </row>
    <row r="192" ht="34.5" customHeight="1">
      <c r="A192" s="121" t="inlineStr">
        <is>
          <t>Flagships</t>
        </is>
      </c>
      <c r="B192" s="155" t="inlineStr">
        <is>
          <t>62543802000103</t>
        </is>
      </c>
      <c r="C192" s="121" t="inlineStr">
        <is>
          <t>Pine Lift I Cartão INSS</t>
        </is>
      </c>
      <c r="D192" s="121" t="inlineStr">
        <is>
          <t>minimo_estrutural_ausente</t>
        </is>
      </c>
      <c r="E192" s="121" t="inlineStr">
        <is>
          <t>mínimo estrutural comparável; preço unitário da cota; originador; cedente; sacado/devedor; tipo de recebível</t>
        </is>
      </c>
      <c r="F192" s="121" t="inlineStr">
        <is>
          <t>N/D — mínimo estrutural ou subordinação atual ausente</t>
        </is>
      </c>
      <c r="G192" s="121" t="inlineStr">
        <is>
          <t>lacuna — regulamento integral não disponível nas fontes locais</t>
        </is>
      </c>
    </row>
    <row r="193" ht="34.5" customHeight="1">
      <c r="A193" s="121" t="inlineStr">
        <is>
          <t>Flagships</t>
        </is>
      </c>
      <c r="B193" s="155" t="inlineStr">
        <is>
          <t>55316469000126</t>
        </is>
      </c>
      <c r="C193" s="121" t="inlineStr">
        <is>
          <t>Somapay Cartão Consignado Público</t>
        </is>
      </c>
      <c r="D193" s="121" t="inlineStr">
        <is>
          <t>minimo_estrutural_ausente</t>
        </is>
      </c>
      <c r="E193" s="121" t="inlineStr">
        <is>
          <t>mínimo estrutural comparável; preço unitário da cota; originador; cedente; sacado/devedor; tipo de recebível</t>
        </is>
      </c>
      <c r="F193" s="121" t="inlineStr">
        <is>
          <t>N/D — mínimo estrutural ou subordinação atual ausente</t>
        </is>
      </c>
      <c r="G193" s="121" t="inlineStr">
        <is>
          <t>lacuna — regulamento integral não disponível nas fontes locais</t>
        </is>
      </c>
    </row>
    <row r="194" ht="34.5" customHeight="1">
      <c r="A194" s="121" t="inlineStr">
        <is>
          <t>Flagships</t>
        </is>
      </c>
      <c r="B194" s="155" t="inlineStr">
        <is>
          <t>58188881000104</t>
        </is>
      </c>
      <c r="C194" s="121" t="inlineStr">
        <is>
          <t>MT Cartão Consignado I</t>
        </is>
      </c>
      <c r="D194" s="121" t="inlineStr">
        <is>
          <t>minimo_estrutural_ausente</t>
        </is>
      </c>
      <c r="E194" s="121" t="inlineStr">
        <is>
          <t>mínimo estrutural comparável; preço unitário da cota; originador; cedente; sacado/devedor; tipo de recebível</t>
        </is>
      </c>
      <c r="F194" s="121" t="inlineStr">
        <is>
          <t>N/D — mínimo estrutural ou subordinação atual ausente</t>
        </is>
      </c>
      <c r="G194" s="121" t="inlineStr">
        <is>
          <t>lacuna — regulamento integral não disponível nas fontes locais</t>
        </is>
      </c>
    </row>
    <row r="195" ht="34.5" customHeight="1">
      <c r="A195" s="121" t="inlineStr">
        <is>
          <t>Flagships</t>
        </is>
      </c>
      <c r="B195" s="155" t="inlineStr">
        <is>
          <t>12803721000119</t>
        </is>
      </c>
      <c r="C195" s="121" t="inlineStr">
        <is>
          <t>Fratto</t>
        </is>
      </c>
      <c r="D195" s="121" t="inlineStr">
        <is>
          <t>minimo_estrutural_ausente</t>
        </is>
      </c>
      <c r="E195" s="121" t="inlineStr">
        <is>
          <t>mínimo estrutural comparável; preço unitário da cota; originador; cedente; sacado/devedor; tipo de recebível</t>
        </is>
      </c>
      <c r="F195" s="121" t="inlineStr">
        <is>
          <t>N/D — mínimo estrutural ou subordinação atual ausente</t>
        </is>
      </c>
      <c r="G195" s="121" t="inlineStr">
        <is>
          <t>lacuna — regulamento integral não disponível nas fontes locais</t>
        </is>
      </c>
    </row>
    <row r="196" ht="34.5" customHeight="1">
      <c r="A196" s="121" t="inlineStr">
        <is>
          <t>Flagships</t>
        </is>
      </c>
      <c r="B196" s="155" t="inlineStr">
        <is>
          <t>12778706000168</t>
        </is>
      </c>
      <c r="C196" s="121" t="inlineStr">
        <is>
          <t>Brasilfactors Crédito Corporativo</t>
        </is>
      </c>
      <c r="D196" s="121" t="inlineStr">
        <is>
          <t>minimo_estrutural_ausente</t>
        </is>
      </c>
      <c r="E196" s="121" t="inlineStr">
        <is>
          <t>mínimo estrutural comparável; preço unitário da cota; originador; cedente; sacado/devedor; tipo de recebível</t>
        </is>
      </c>
      <c r="F196" s="121" t="inlineStr">
        <is>
          <t>N/D — mínimo estrutural ou subordinação atual ausente</t>
        </is>
      </c>
      <c r="G196" s="121" t="inlineStr">
        <is>
          <t>lacuna — regulamento integral não disponível nas fontes locais</t>
        </is>
      </c>
    </row>
    <row r="197" ht="34.5" customHeight="1">
      <c r="A197" s="121" t="inlineStr">
        <is>
          <t>Flagships</t>
        </is>
      </c>
      <c r="B197" s="155" t="inlineStr">
        <is>
          <t>41970012000126</t>
        </is>
      </c>
      <c r="C197" s="121" t="inlineStr">
        <is>
          <t>Mercado Crédito, Mercado Crédito I e II</t>
        </is>
      </c>
      <c r="D197" s="121" t="inlineStr">
        <is>
          <t>estrutura_incomparavel</t>
        </is>
      </c>
      <c r="E197" s="121" t="inlineStr">
        <is>
          <t>mínimo estrutural comparável; originador; cedente; sacado/devedor; tipo de recebível</t>
        </is>
      </c>
      <c r="F197" s="121" t="inlineStr">
        <is>
          <t>N/D — equivalência entre mínimo júnior e subordinação total não comprovada</t>
        </is>
      </c>
      <c r="G197" s="121" t="inlineStr">
        <is>
          <t>revisto — mínimo júnior localizado</t>
        </is>
      </c>
    </row>
    <row r="198" ht="34.5" customHeight="1">
      <c r="A198" s="121" t="inlineStr">
        <is>
          <t>Flagships</t>
        </is>
      </c>
      <c r="B198" s="155" t="inlineStr">
        <is>
          <t>33254370000104</t>
        </is>
      </c>
      <c r="C198" s="121" t="inlineStr">
        <is>
          <t>Mercado Crédito, Mercado Crédito I e II</t>
        </is>
      </c>
      <c r="D198" s="121" t="inlineStr">
        <is>
          <t>minimo_estrutural_ausente</t>
        </is>
      </c>
      <c r="E198" s="121" t="inlineStr">
        <is>
          <t>mínimo estrutural comparável; originador; cedente; sacado/devedor; tipo de recebível</t>
        </is>
      </c>
      <c r="F198" s="121" t="inlineStr">
        <is>
          <t>N/D — mínimo estrutural ou subordinação atual ausente</t>
        </is>
      </c>
      <c r="G198" s="121" t="inlineStr">
        <is>
          <t>revisto — mínimo júnior não isolado</t>
        </is>
      </c>
    </row>
    <row r="199" ht="34.5" customHeight="1">
      <c r="A199" s="121" t="inlineStr">
        <is>
          <t>Flagships</t>
        </is>
      </c>
      <c r="B199" s="155" t="inlineStr">
        <is>
          <t>37511828000114</t>
        </is>
      </c>
      <c r="C199" s="121" t="inlineStr">
        <is>
          <t>Mercado Crédito, Mercado Crédito I e II</t>
        </is>
      </c>
      <c r="D199" s="121" t="inlineStr">
        <is>
          <t>estrutura_incomparavel</t>
        </is>
      </c>
      <c r="E199" s="121" t="inlineStr">
        <is>
          <t>mínimo estrutural comparável; preço unitário da cota; originador; cedente; sacado/devedor; tipo de recebível</t>
        </is>
      </c>
      <c r="F199" s="121" t="inlineStr">
        <is>
          <t>N/D — equivalência entre mínimo júnior e subordinação total não comprovada</t>
        </is>
      </c>
      <c r="G199" s="121" t="inlineStr">
        <is>
          <t>revisto — mínimo júnior localizado</t>
        </is>
      </c>
    </row>
  </sheetData>
  <mergeCells count="3">
    <mergeCell ref="A2:H2"/>
    <mergeCell ref="A53:G53"/>
    <mergeCell ref="A1:H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84"/>
  <sheetViews>
    <sheetView workbookViewId="0">
      <pane xSplit="2" ySplit="4" topLeftCell="C5" activePane="bottomRight" state="frozen"/>
      <selection activeCell="A1" sqref="A1"/>
    </sheetView>
  </sheetViews>
  <sheetFormatPr baseColWidth="8" defaultRowHeight="15"/>
  <cols>
    <col width="29.3799991607666" customWidth="1" min="1" max="1"/>
    <col width="30.6299991607666" customWidth="1" min="2" max="2"/>
    <col width="18.1299991607666" customWidth="1" min="3" max="3"/>
    <col width="32.5" customWidth="1" min="4" max="4"/>
    <col width="77.5" customWidth="1" min="5" max="5"/>
    <col width="32.5" customWidth="1" min="6" max="6"/>
  </cols>
  <sheetData>
    <row r="1" ht="25.5" customHeight="1">
      <c r="A1" s="26" t="inlineStr">
        <is>
          <t>Dicionário da base Carteira 101 + Flagships</t>
        </is>
      </c>
    </row>
    <row r="2" ht="22.5" customHeight="1">
      <c r="A2" s="29" t="inlineStr">
        <is>
          <t>Definições, tipos, origem e tratamento de lacunas das colunas manipuláveis.</t>
        </is>
      </c>
    </row>
    <row r="4" ht="25.5" customHeight="1">
      <c r="A4" s="32" t="inlineStr">
        <is>
          <t>Campo no Excel</t>
        </is>
      </c>
      <c r="B4" s="32" t="inlineStr">
        <is>
          <t>Campo no payload</t>
        </is>
      </c>
      <c r="C4" s="32" t="inlineStr">
        <is>
          <t>Tipo</t>
        </is>
      </c>
      <c r="D4" s="32" t="inlineStr">
        <is>
          <t>Origem</t>
        </is>
      </c>
      <c r="E4" s="32" t="inlineStr">
        <is>
          <t>Definição</t>
        </is>
      </c>
      <c r="F4" s="32" t="inlineStr">
        <is>
          <t>Regra de lacuna</t>
        </is>
      </c>
    </row>
    <row r="5" ht="33" customHeight="1">
      <c r="A5" s="104" t="inlineStr">
        <is>
          <t>Ordem</t>
        </is>
      </c>
      <c r="B5" s="104" t="inlineStr">
        <is>
          <t>ordem</t>
        </is>
      </c>
      <c r="C5" s="104" t="inlineStr">
        <is>
          <t>Inteiro</t>
        </is>
      </c>
      <c r="D5" s="104" t="inlineStr">
        <is>
          <t>Normalização do export</t>
        </is>
      </c>
      <c r="E5" s="104" t="inlineStr">
        <is>
          <t>Campo ordem preservado na granularidade de um CNPJ.</t>
        </is>
      </c>
      <c r="F5" s="104" t="inlineStr">
        <is>
          <t>N/D identifica ausência; nenhum valor é imputado como zero.</t>
        </is>
      </c>
    </row>
    <row r="6" ht="33" customHeight="1">
      <c r="A6" s="106" t="inlineStr">
        <is>
          <t>CNPJ</t>
        </is>
      </c>
      <c r="B6" s="106" t="inlineStr">
        <is>
          <t>cnpj_numerico</t>
        </is>
      </c>
      <c r="C6" s="106" t="inlineStr">
        <is>
          <t>Identificador numérico</t>
        </is>
      </c>
      <c r="D6" s="106" t="inlineStr">
        <is>
          <t>CVM / Informe Mensal</t>
        </is>
      </c>
      <c r="E6" s="106" t="inlineStr">
        <is>
          <t>CNPJ com 14 dígitos, gravado como número e exibido sem separadores.</t>
        </is>
      </c>
      <c r="F6" s="106" t="inlineStr">
        <is>
          <t>N/D identifica ausência; nenhum valor é imputado como zero.</t>
        </is>
      </c>
    </row>
    <row r="7" ht="33" customHeight="1">
      <c r="A7" s="105" t="inlineStr">
        <is>
          <t>CNPJ formatado</t>
        </is>
      </c>
      <c r="B7" s="105" t="inlineStr">
        <is>
          <t>cnpj_formatado</t>
        </is>
      </c>
      <c r="C7" s="105" t="inlineStr">
        <is>
          <t>Texto</t>
        </is>
      </c>
      <c r="D7" s="105" t="inlineStr">
        <is>
          <t>CVM / Informe Mensal</t>
        </is>
      </c>
      <c r="E7" s="105" t="inlineStr">
        <is>
          <t>Campo cnpj formatado preservado na granularidade de um CNPJ.</t>
        </is>
      </c>
      <c r="F7" s="105" t="inlineStr">
        <is>
          <t>N/D identifica ausência; nenhum valor é imputado como zero.</t>
        </is>
      </c>
    </row>
    <row r="8" ht="33" customHeight="1">
      <c r="A8" s="106" t="inlineStr">
        <is>
          <t>Nome completo do fundo (CVM)</t>
        </is>
      </c>
      <c r="B8" s="106" t="inlineStr">
        <is>
          <t>nome_oficial_cvm</t>
        </is>
      </c>
      <c r="C8" s="106" t="inlineStr">
        <is>
          <t>Texto</t>
        </is>
      </c>
      <c r="D8" s="106" t="inlineStr">
        <is>
          <t>CVM / Informe Mensal</t>
        </is>
      </c>
      <c r="E8" s="106" t="inlineStr">
        <is>
          <t>Denominação completa observada no cadastro/base CVM.</t>
        </is>
      </c>
      <c r="F8" s="106" t="inlineStr">
        <is>
          <t>N/D identifica ausência; nenhum valor é imputado como zero.</t>
        </is>
      </c>
    </row>
    <row r="9" ht="33" customHeight="1">
      <c r="A9" s="105" t="inlineStr">
        <is>
          <t>Nome de referência</t>
        </is>
      </c>
      <c r="B9" s="105" t="inlineStr">
        <is>
          <t>nome_referencia</t>
        </is>
      </c>
      <c r="C9" s="105" t="inlineStr">
        <is>
          <t>Texto</t>
        </is>
      </c>
      <c r="D9" s="105" t="inlineStr">
        <is>
          <t>CVM / Informe Mensal</t>
        </is>
      </c>
      <c r="E9" s="105" t="inlineStr">
        <is>
          <t>Campo nome de referência preservado na granularidade de um CNPJ.</t>
        </is>
      </c>
      <c r="F9" s="105" t="inlineStr">
        <is>
          <t>N/D identifica ausência; nenhum valor é imputado como zero.</t>
        </is>
      </c>
    </row>
    <row r="10" ht="33" customHeight="1">
      <c r="A10" s="106" t="inlineStr">
        <is>
          <t>Coorte</t>
        </is>
      </c>
      <c r="B10" s="106" t="inlineStr">
        <is>
          <t>coorte</t>
        </is>
      </c>
      <c r="C10" s="106" t="inlineStr">
        <is>
          <t>Texto</t>
        </is>
      </c>
      <c r="D10" s="106" t="inlineStr">
        <is>
          <t>Normalização do export</t>
        </is>
      </c>
      <c r="E10" s="106" t="inlineStr">
        <is>
          <t>Campo coorte preservado na granularidade de um CNPJ.</t>
        </is>
      </c>
      <c r="F10" s="106" t="inlineStr">
        <is>
          <t>N/D identifica ausência; nenhum valor é imputado como zero.</t>
        </is>
      </c>
    </row>
    <row r="11" ht="33" customHeight="1">
      <c r="A11" s="105" t="inlineStr">
        <is>
          <t>Data de referência</t>
        </is>
      </c>
      <c r="B11" s="105" t="inlineStr">
        <is>
          <t>data_ref</t>
        </is>
      </c>
      <c r="C11" s="105" t="inlineStr">
        <is>
          <t>Texto</t>
        </is>
      </c>
      <c r="D11" s="105" t="inlineStr">
        <is>
          <t>Normalização do export</t>
        </is>
      </c>
      <c r="E11" s="105" t="inlineStr">
        <is>
          <t>Campo data de referência preservado na granularidade de um CNPJ.</t>
        </is>
      </c>
      <c r="F11" s="105" t="inlineStr">
        <is>
          <t>N/D identifica ausência; nenhum valor é imputado como zero.</t>
        </is>
      </c>
    </row>
    <row r="12" ht="33" customHeight="1">
      <c r="A12" s="106" t="inlineStr">
        <is>
          <t>Status da identidade</t>
        </is>
      </c>
      <c r="B12" s="106" t="inlineStr">
        <is>
          <t>status_identidade</t>
        </is>
      </c>
      <c r="C12" s="106" t="inlineStr">
        <is>
          <t>Texto</t>
        </is>
      </c>
      <c r="D12" s="106" t="inlineStr">
        <is>
          <t>CVM / Informe Mensal</t>
        </is>
      </c>
      <c r="E12" s="106" t="inlineStr">
        <is>
          <t>Campo status da identidade preservado na granularidade de um CNPJ.</t>
        </is>
      </c>
      <c r="F12" s="106" t="inlineStr">
        <is>
          <t>N/D identifica ausência; nenhum valor é imputado como zero.</t>
        </is>
      </c>
    </row>
    <row r="13" ht="33" customHeight="1">
      <c r="A13" s="105" t="inlineStr">
        <is>
          <t>PL atual</t>
        </is>
      </c>
      <c r="B13" s="105" t="inlineStr">
        <is>
          <t>pl_atual_brl</t>
        </is>
      </c>
      <c r="C13" s="105" t="inlineStr">
        <is>
          <t>Moeda (R$)</t>
        </is>
      </c>
      <c r="D13" s="105" t="inlineStr">
        <is>
          <t>CVM / Informe Mensal</t>
        </is>
      </c>
      <c r="E13" s="105" t="inlineStr">
        <is>
          <t>Patrimônio líquido do veículo na competência de referência.</t>
        </is>
      </c>
      <c r="F13" s="105" t="inlineStr">
        <is>
          <t>N/D identifica ausência; nenhum valor é imputado como zero.</t>
        </is>
      </c>
    </row>
    <row r="14" ht="33" customHeight="1">
      <c r="A14" s="106" t="inlineStr">
        <is>
          <t>PL das classes reportadas</t>
        </is>
      </c>
      <c r="B14" s="106" t="inlineStr">
        <is>
          <t>pl_classes_reportadas_brl</t>
        </is>
      </c>
      <c r="C14" s="106" t="inlineStr">
        <is>
          <t>Moeda (R$)</t>
        </is>
      </c>
      <c r="D14" s="106" t="inlineStr">
        <is>
          <t>CVM / Informe Mensal</t>
        </is>
      </c>
      <c r="E14" s="106" t="inlineStr">
        <is>
          <t>Soma das classes de cotas reportadas no Informe Mensal.</t>
        </is>
      </c>
      <c r="F14" s="106" t="inlineStr">
        <is>
          <t>N/D identifica ausência; nenhum valor é imputado como zero.</t>
        </is>
      </c>
    </row>
    <row r="15" ht="33" customHeight="1">
      <c r="A15" s="105" t="inlineStr">
        <is>
          <t>PL subordinado atual</t>
        </is>
      </c>
      <c r="B15" s="105" t="inlineStr">
        <is>
          <t>pl_subordinado_atual_brl</t>
        </is>
      </c>
      <c r="C15" s="105" t="inlineStr">
        <is>
          <t>Moeda (R$)</t>
        </is>
      </c>
      <c r="D15" s="105" t="inlineStr">
        <is>
          <t>CVM / Informe Mensal</t>
        </is>
      </c>
      <c r="E15" s="105" t="inlineStr">
        <is>
          <t>Soma das classes subordinadas reportadas.</t>
        </is>
      </c>
      <c r="F15" s="105" t="inlineStr">
        <is>
          <t>N/D identifica ausência; nenhum valor é imputado como zero.</t>
        </is>
      </c>
    </row>
    <row r="16" ht="33" customHeight="1">
      <c r="A16" s="106" t="inlineStr">
        <is>
          <t>Sub / PL atual</t>
        </is>
      </c>
      <c r="B16" s="106" t="inlineStr">
        <is>
          <t>sub_pl_atual</t>
        </is>
      </c>
      <c r="C16" s="106" t="inlineStr">
        <is>
          <t>Percentual</t>
        </is>
      </c>
      <c r="D16" s="106" t="inlineStr">
        <is>
          <t>CVM / Informe Mensal</t>
        </is>
      </c>
      <c r="E16" s="106" t="inlineStr">
        <is>
          <t>PL subordinado atual dividido pelo PL oficial reconciliado.</t>
        </is>
      </c>
      <c r="F16" s="106" t="inlineStr">
        <is>
          <t>N/D identifica ausência; nenhum valor é imputado como zero.</t>
        </is>
      </c>
    </row>
    <row r="17" ht="33" customHeight="1">
      <c r="A17" s="105" t="inlineStr">
        <is>
          <t>Status do Sub / PL</t>
        </is>
      </c>
      <c r="B17" s="105" t="inlineStr">
        <is>
          <t>status_sub_pl_atual</t>
        </is>
      </c>
      <c r="C17" s="105" t="inlineStr">
        <is>
          <t>Texto</t>
        </is>
      </c>
      <c r="D17" s="105" t="inlineStr">
        <is>
          <t>CVM / Informe Mensal</t>
        </is>
      </c>
      <c r="E17" s="105" t="inlineStr">
        <is>
          <t>Campo status do sub / pl preservado na granularidade de um CNPJ.</t>
        </is>
      </c>
      <c r="F17" s="105" t="inlineStr">
        <is>
          <t>N/D identifica ausência; nenhum valor é imputado como zero.</t>
        </is>
      </c>
    </row>
    <row r="18" ht="33" customHeight="1">
      <c r="A18" s="106" t="inlineStr">
        <is>
          <t>Mínimo Jr literal</t>
        </is>
      </c>
      <c r="B18" s="106" t="inlineStr">
        <is>
          <t>minimo_junior_literal</t>
        </is>
      </c>
      <c r="C18" s="106" t="inlineStr">
        <is>
          <t>Percentual</t>
        </is>
      </c>
      <c r="D18" s="106" t="inlineStr">
        <is>
          <t>Curadoria documental</t>
        </is>
      </c>
      <c r="E18" s="106" t="inlineStr">
        <is>
          <t>Mínimo júnior lido diretamente no documento, sobre PL.</t>
        </is>
      </c>
      <c r="F18" s="106" t="inlineStr">
        <is>
          <t>N/D identifica ausência; nenhum valor é imputado como zero.</t>
        </is>
      </c>
    </row>
    <row r="19" ht="33" customHeight="1">
      <c r="A19" s="105" t="inlineStr">
        <is>
          <t>Mínimo Jr calculado*</t>
        </is>
      </c>
      <c r="B19" s="105" t="inlineStr">
        <is>
          <t>minimo_junior_calculado</t>
        </is>
      </c>
      <c r="C19" s="105" t="inlineStr">
        <is>
          <t>Percentual</t>
        </is>
      </c>
      <c r="D19" s="105" t="inlineStr">
        <is>
          <t>Curadoria documental</t>
        </is>
      </c>
      <c r="E19" s="105" t="inlineStr">
        <is>
          <t>Mínimo júnior convertido de razão/fator documental; linha marcada com *.</t>
        </is>
      </c>
      <c r="F19" s="105" t="inlineStr">
        <is>
          <t>N/D identifica ausência; nenhum valor é imputado como zero.</t>
        </is>
      </c>
    </row>
    <row r="20" ht="33" customHeight="1">
      <c r="A20" s="106" t="inlineStr">
        <is>
          <t>Mínimo Jr ajustado*</t>
        </is>
      </c>
      <c r="B20" s="106" t="inlineStr">
        <is>
          <t>minimo_junior_ajustado</t>
        </is>
      </c>
      <c r="C20" s="106" t="inlineStr">
        <is>
          <t>Percentual</t>
        </is>
      </c>
      <c r="D20" s="106" t="inlineStr">
        <is>
          <t>Curadoria documental</t>
        </is>
      </c>
      <c r="E20" s="106" t="inlineStr">
        <is>
          <t>Mínimo júnior sobre denominador ajustado; linha marcada com *.</t>
        </is>
      </c>
      <c r="F20" s="106" t="inlineStr">
        <is>
          <t>N/D identifica ausência; nenhum valor é imputado como zero.</t>
        </is>
      </c>
    </row>
    <row r="21" ht="33" customHeight="1">
      <c r="A21" s="105" t="inlineStr">
        <is>
          <t>Suporte total*</t>
        </is>
      </c>
      <c r="B21" s="105" t="inlineStr">
        <is>
          <t>suporte_total</t>
        </is>
      </c>
      <c r="C21" s="105" t="inlineStr">
        <is>
          <t>Percentual</t>
        </is>
      </c>
      <c r="D21" s="105" t="inlineStr">
        <is>
          <t>Curadoria documental</t>
        </is>
      </c>
      <c r="E21" s="105" t="inlineStr">
        <is>
          <t>Piso de suporte subordinado total; métrica distinta do júnior isolado.</t>
        </is>
      </c>
      <c r="F21" s="105" t="inlineStr">
        <is>
          <t>N/D identifica ausência; nenhum valor é imputado como zero.</t>
        </is>
      </c>
    </row>
    <row r="22" ht="33" customHeight="1">
      <c r="A22" s="106" t="inlineStr">
        <is>
          <t>Suporte Jr + Mezanino*</t>
        </is>
      </c>
      <c r="B22" s="106" t="inlineStr">
        <is>
          <t>suporte_combinado_junior_mezanino</t>
        </is>
      </c>
      <c r="C22" s="106" t="inlineStr">
        <is>
          <t>Percentual</t>
        </is>
      </c>
      <c r="D22" s="106" t="inlineStr">
        <is>
          <t>Curadoria documental</t>
        </is>
      </c>
      <c r="E22" s="106" t="inlineStr">
        <is>
          <t>Piso combinado de cotas júnior e mezanino.</t>
        </is>
      </c>
      <c r="F22" s="106" t="inlineStr">
        <is>
          <t>N/D identifica ausência; nenhum valor é imputado como zero.</t>
        </is>
      </c>
    </row>
    <row r="23" ht="33" customHeight="1">
      <c r="A23" s="105" t="inlineStr">
        <is>
          <t>Índice estrutural usado</t>
        </is>
      </c>
      <c r="B23" s="105" t="inlineStr">
        <is>
          <t>minimo_estrutural_usado</t>
        </is>
      </c>
      <c r="C23" s="105" t="inlineStr">
        <is>
          <t>Percentual</t>
        </is>
      </c>
      <c r="D23" s="105" t="inlineStr">
        <is>
          <t>Curadoria documental</t>
        </is>
      </c>
      <c r="E23" s="105" t="inlineStr">
        <is>
          <t>Piso usado no cálculo somente quando comparável ao Sub/PL atual.</t>
        </is>
      </c>
      <c r="F23" s="105" t="inlineStr">
        <is>
          <t>N/D identifica ausência; nenhum valor é imputado como zero.</t>
        </is>
      </c>
    </row>
    <row r="24" ht="33" customHeight="1">
      <c r="A24" s="106" t="inlineStr">
        <is>
          <t>Índice estrutural exibido</t>
        </is>
      </c>
      <c r="B24" s="106" t="inlineStr">
        <is>
          <t>minimo_estrutural_display</t>
        </is>
      </c>
      <c r="C24" s="106" t="inlineStr">
        <is>
          <t>Texto</t>
        </is>
      </c>
      <c r="D24" s="106" t="inlineStr">
        <is>
          <t>Curadoria documental</t>
        </is>
      </c>
      <c r="E24" s="106" t="inlineStr">
        <is>
          <t>Campo índice estrutural exibido preservado na granularidade de um CNPJ.</t>
        </is>
      </c>
      <c r="F24" s="106" t="inlineStr">
        <is>
          <t>N/D identifica ausência; nenhum valor é imputado como zero.</t>
        </is>
      </c>
    </row>
    <row r="25" ht="33" customHeight="1">
      <c r="A25" s="105" t="inlineStr">
        <is>
          <t>Natureza do índice</t>
        </is>
      </c>
      <c r="B25" s="105" t="inlineStr">
        <is>
          <t>minimo_estrutural_natureza</t>
        </is>
      </c>
      <c r="C25" s="105" t="inlineStr">
        <is>
          <t>Texto</t>
        </is>
      </c>
      <c r="D25" s="105" t="inlineStr">
        <is>
          <t>Curadoria documental</t>
        </is>
      </c>
      <c r="E25" s="105" t="inlineStr">
        <is>
          <t>Campo natureza do índice preservado na granularidade de um CNPJ.</t>
        </is>
      </c>
      <c r="F25" s="105" t="inlineStr">
        <is>
          <t>N/D identifica ausência; nenhum valor é imputado como zero.</t>
        </is>
      </c>
    </row>
    <row r="26" ht="33" customHeight="1">
      <c r="A26" s="106" t="inlineStr">
        <is>
          <t>Fórmula / regra</t>
        </is>
      </c>
      <c r="B26" s="106" t="inlineStr">
        <is>
          <t>minimo_estrutural_formula</t>
        </is>
      </c>
      <c r="C26" s="106" t="inlineStr">
        <is>
          <t>Texto</t>
        </is>
      </c>
      <c r="D26" s="106" t="inlineStr">
        <is>
          <t>Curadoria documental</t>
        </is>
      </c>
      <c r="E26" s="106" t="inlineStr">
        <is>
          <t>Campo fórmula / regra preservado na granularidade de um CNPJ.</t>
        </is>
      </c>
      <c r="F26" s="106" t="inlineStr">
        <is>
          <t>N/D identifica ausência; nenhum valor é imputado como zero.</t>
        </is>
      </c>
    </row>
    <row r="27" ht="33" customHeight="1">
      <c r="A27" s="105" t="inlineStr">
        <is>
          <t>Comparável?</t>
        </is>
      </c>
      <c r="B27" s="105" t="inlineStr">
        <is>
          <t>comparavel_flag</t>
        </is>
      </c>
      <c r="C27" s="105" t="inlineStr">
        <is>
          <t>Booleano</t>
        </is>
      </c>
      <c r="D27" s="105" t="inlineStr">
        <is>
          <t>Pacote estrutural existente</t>
        </is>
      </c>
      <c r="E27" s="105" t="inlineStr">
        <is>
          <t>Confirma equivalência suficiente entre numerador, denominador e tranche.</t>
        </is>
      </c>
      <c r="F27" s="105" t="inlineStr">
        <is>
          <t>N/D identifica ausência; nenhum valor é imputado como zero.</t>
        </is>
      </c>
    </row>
    <row r="28" ht="33" customHeight="1">
      <c r="A28" s="106" t="inlineStr">
        <is>
          <t>Motivo da comparabilidade</t>
        </is>
      </c>
      <c r="B28" s="106" t="inlineStr">
        <is>
          <t>comparabilidade_motivo</t>
        </is>
      </c>
      <c r="C28" s="106" t="inlineStr">
        <is>
          <t>Texto</t>
        </is>
      </c>
      <c r="D28" s="106" t="inlineStr">
        <is>
          <t>Pacote estrutural existente</t>
        </is>
      </c>
      <c r="E28" s="106" t="inlineStr">
        <is>
          <t>Campo motivo da comparabilidade preservado na granularidade de um CNPJ.</t>
        </is>
      </c>
      <c r="F28" s="106" t="inlineStr">
        <is>
          <t>N/D identifica ausência; nenhum valor é imputado como zero.</t>
        </is>
      </c>
    </row>
    <row r="29" ht="33" customHeight="1">
      <c r="A29" s="105" t="inlineStr">
        <is>
          <t>Exceção*</t>
        </is>
      </c>
      <c r="B29" s="105" t="inlineStr">
        <is>
          <t>excecao_asterisco_flag</t>
        </is>
      </c>
      <c r="C29" s="105" t="inlineStr">
        <is>
          <t>Booleano</t>
        </is>
      </c>
      <c r="D29" s="105" t="inlineStr">
        <is>
          <t>Pacote estrutural existente</t>
        </is>
      </c>
      <c r="E29" s="105" t="inlineStr">
        <is>
          <t>Campo exceção* preservado na granularidade de um CNPJ.</t>
        </is>
      </c>
      <c r="F29" s="105" t="inlineStr">
        <is>
          <t>N/D identifica ausência; nenhum valor é imputado como zero.</t>
        </is>
      </c>
    </row>
    <row r="30" ht="33" customHeight="1">
      <c r="A30" s="106" t="inlineStr">
        <is>
          <t>Folga / falta</t>
        </is>
      </c>
      <c r="B30" s="106" t="inlineStr">
        <is>
          <t>folga_pp</t>
        </is>
      </c>
      <c r="C30" s="106" t="inlineStr">
        <is>
          <t>Percentual</t>
        </is>
      </c>
      <c r="D30" s="106" t="inlineStr">
        <is>
          <t>Pacote estrutural existente</t>
        </is>
      </c>
      <c r="E30" s="106" t="inlineStr">
        <is>
          <t>Sub/PL atual menos o piso estrutural comparável.</t>
        </is>
      </c>
      <c r="F30" s="106" t="inlineStr">
        <is>
          <t>N/D identifica ausência; nenhum valor é imputado como zero.</t>
        </is>
      </c>
    </row>
    <row r="31" ht="33" customHeight="1">
      <c r="A31" s="105" t="inlineStr">
        <is>
          <t>Capacidade até o gatilho</t>
        </is>
      </c>
      <c r="B31" s="105" t="inlineStr">
        <is>
          <t>capacidade_ate_gatilho</t>
        </is>
      </c>
      <c r="C31" s="105" t="inlineStr">
        <is>
          <t>Percentual</t>
        </is>
      </c>
      <c r="D31" s="105" t="inlineStr">
        <is>
          <t>Pacote estrutural existente</t>
        </is>
      </c>
      <c r="E31" s="105" t="inlineStr">
        <is>
          <t>(Sub/PL atual − piso) / (1 − piso), somente em linhas comparáveis.</t>
        </is>
      </c>
      <c r="F31" s="105" t="inlineStr">
        <is>
          <t>N/D identifica ausência; nenhum valor é imputado como zero.</t>
        </is>
      </c>
    </row>
    <row r="32" ht="33" customHeight="1">
      <c r="A32" s="106" t="inlineStr">
        <is>
          <t>Situação regulatória</t>
        </is>
      </c>
      <c r="B32" s="106" t="inlineStr">
        <is>
          <t>situacao_regulatoria</t>
        </is>
      </c>
      <c r="C32" s="106" t="inlineStr">
        <is>
          <t>Texto</t>
        </is>
      </c>
      <c r="D32" s="106" t="inlineStr">
        <is>
          <t>Pacote estrutural existente</t>
        </is>
      </c>
      <c r="E32" s="106" t="inlineStr">
        <is>
          <t>Banda de situação frente ao piso documental.</t>
        </is>
      </c>
      <c r="F32" s="106" t="inlineStr">
        <is>
          <t>N/D identifica ausência; nenhum valor é imputado como zero.</t>
        </is>
      </c>
    </row>
    <row r="33" ht="33" customHeight="1">
      <c r="A33" s="105" t="inlineStr">
        <is>
          <t>Tipo</t>
        </is>
      </c>
      <c r="B33" s="105" t="inlineStr">
        <is>
          <t>tipo_exibicao</t>
        </is>
      </c>
      <c r="C33" s="105" t="inlineStr">
        <is>
          <t>Texto</t>
        </is>
      </c>
      <c r="D33" s="105" t="inlineStr">
        <is>
          <t>Taxonomia analítica / oficial preservada</t>
        </is>
      </c>
      <c r="E33" s="105" t="inlineStr">
        <is>
          <t>Campo tipo preservado na granularidade de um CNPJ.</t>
        </is>
      </c>
      <c r="F33" s="105" t="inlineStr">
        <is>
          <t>N/D identifica ausência; nenhum valor é imputado como zero.</t>
        </is>
      </c>
    </row>
    <row r="34" ht="33" customHeight="1">
      <c r="A34" s="106" t="inlineStr">
        <is>
          <t>Foco</t>
        </is>
      </c>
      <c r="B34" s="106" t="inlineStr">
        <is>
          <t>foco_exibicao</t>
        </is>
      </c>
      <c r="C34" s="106" t="inlineStr">
        <is>
          <t>Texto</t>
        </is>
      </c>
      <c r="D34" s="106" t="inlineStr">
        <is>
          <t>Taxonomia analítica / oficial preservada</t>
        </is>
      </c>
      <c r="E34" s="106" t="inlineStr">
        <is>
          <t>Campo foco preservado na granularidade de um CNPJ.</t>
        </is>
      </c>
      <c r="F34" s="106" t="inlineStr">
        <is>
          <t>N/D identifica ausência; nenhum valor é imputado como zero.</t>
        </is>
      </c>
    </row>
    <row r="35" ht="33" customHeight="1">
      <c r="A35" s="105" t="inlineStr">
        <is>
          <t>Taxonomia estrutural</t>
        </is>
      </c>
      <c r="B35" s="105" t="inlineStr">
        <is>
          <t>taxonomia_estrutural</t>
        </is>
      </c>
      <c r="C35" s="105" t="inlineStr">
        <is>
          <t>Texto</t>
        </is>
      </c>
      <c r="D35" s="105" t="inlineStr">
        <is>
          <t>Taxonomia analítica / oficial preservada</t>
        </is>
      </c>
      <c r="E35" s="105" t="inlineStr">
        <is>
          <t>Campo taxonomia estrutural preservado na granularidade de um CNPJ.</t>
        </is>
      </c>
      <c r="F35" s="105" t="inlineStr">
        <is>
          <t>N/D identifica ausência; nenhum valor é imputado como zero.</t>
        </is>
      </c>
    </row>
    <row r="36" ht="33" customHeight="1">
      <c r="A36" s="106" t="inlineStr">
        <is>
          <t>Grupo de comparação</t>
        </is>
      </c>
      <c r="B36" s="106" t="inlineStr">
        <is>
          <t>grupo_comparacao</t>
        </is>
      </c>
      <c r="C36" s="106" t="inlineStr">
        <is>
          <t>Texto</t>
        </is>
      </c>
      <c r="D36" s="106" t="inlineStr">
        <is>
          <t>Taxonomia analítica / oficial preservada</t>
        </is>
      </c>
      <c r="E36" s="106" t="inlineStr">
        <is>
          <t>Grupo comparável da taxonomia estrutural compartilhada entre Carteira I e flagships.</t>
        </is>
      </c>
      <c r="F36" s="106" t="inlineStr">
        <is>
          <t>N/D identifica ausência; nenhum valor é imputado como zero.</t>
        </is>
      </c>
    </row>
    <row r="37" ht="33" customHeight="1">
      <c r="A37" s="105" t="inlineStr">
        <is>
          <t>Categoria de risco atual</t>
        </is>
      </c>
      <c r="B37" s="105" t="inlineStr">
        <is>
          <t>categoria_risco_atual</t>
        </is>
      </c>
      <c r="C37" s="105" t="inlineStr">
        <is>
          <t>Texto</t>
        </is>
      </c>
      <c r="D37" s="105" t="inlineStr">
        <is>
          <t>Normalização do export</t>
        </is>
      </c>
      <c r="E37" s="105" t="inlineStr">
        <is>
          <t>Campo categoria de risco atual preservado na granularidade de um CNPJ.</t>
        </is>
      </c>
      <c r="F37" s="105" t="inlineStr">
        <is>
          <t>N/D identifica ausência; nenhum valor é imputado como zero.</t>
        </is>
      </c>
    </row>
    <row r="38" ht="33" customHeight="1">
      <c r="A38" s="106" t="inlineStr">
        <is>
          <t>Categoria de risco proposta</t>
        </is>
      </c>
      <c r="B38" s="106" t="inlineStr">
        <is>
          <t>categoria_risco_proposta</t>
        </is>
      </c>
      <c r="C38" s="106" t="inlineStr">
        <is>
          <t>Texto</t>
        </is>
      </c>
      <c r="D38" s="106" t="inlineStr">
        <is>
          <t>Normalização do export</t>
        </is>
      </c>
      <c r="E38" s="106" t="inlineStr">
        <is>
          <t>Campo categoria de risco proposta preservado na granularidade de um CNPJ.</t>
        </is>
      </c>
      <c r="F38" s="106" t="inlineStr">
        <is>
          <t>N/D identifica ausência; nenhum valor é imputado como zero.</t>
        </is>
      </c>
    </row>
    <row r="39" ht="33" customHeight="1">
      <c r="A39" s="105" t="inlineStr">
        <is>
          <t>Subtipo de risco diagnosticado</t>
        </is>
      </c>
      <c r="B39" s="105" t="inlineStr">
        <is>
          <t>subtipo_risco_diagnosticado</t>
        </is>
      </c>
      <c r="C39" s="105" t="inlineStr">
        <is>
          <t>Texto</t>
        </is>
      </c>
      <c r="D39" s="105" t="inlineStr">
        <is>
          <t>Normalização do export</t>
        </is>
      </c>
      <c r="E39" s="105" t="inlineStr">
        <is>
          <t>Campo subtipo de risco diagnosticado preservado na granularidade de um CNPJ.</t>
        </is>
      </c>
      <c r="F39" s="105" t="inlineStr">
        <is>
          <t>N/D identifica ausência; nenhum valor é imputado como zero.</t>
        </is>
      </c>
    </row>
    <row r="40" ht="33" customHeight="1">
      <c r="A40" s="106" t="inlineStr">
        <is>
          <t>Reclassificação proposta?</t>
        </is>
      </c>
      <c r="B40" s="106" t="inlineStr">
        <is>
          <t>reclassificacao_proposta_flag</t>
        </is>
      </c>
      <c r="C40" s="106" t="inlineStr">
        <is>
          <t>Booleano</t>
        </is>
      </c>
      <c r="D40" s="106" t="inlineStr">
        <is>
          <t>Normalização do export</t>
        </is>
      </c>
      <c r="E40" s="106" t="inlineStr">
        <is>
          <t>Campo reclassificação proposta? preservado na granularidade de um CNPJ.</t>
        </is>
      </c>
      <c r="F40" s="106" t="inlineStr">
        <is>
          <t>N/D identifica ausência; nenhum valor é imputado como zero.</t>
        </is>
      </c>
    </row>
    <row r="41" ht="33" customHeight="1">
      <c r="A41" s="105" t="inlineStr">
        <is>
          <t>Status da avaliação</t>
        </is>
      </c>
      <c r="B41" s="105" t="inlineStr">
        <is>
          <t>status_avaliacao_reclassificacao</t>
        </is>
      </c>
      <c r="C41" s="105" t="inlineStr">
        <is>
          <t>Texto</t>
        </is>
      </c>
      <c r="D41" s="105" t="inlineStr">
        <is>
          <t>Normalização do export</t>
        </is>
      </c>
      <c r="E41" s="105" t="inlineStr">
        <is>
          <t>Campo status da avaliação preservado na granularidade de um CNPJ.</t>
        </is>
      </c>
      <c r="F41" s="105" t="inlineStr">
        <is>
          <t>N/D identifica ausência; nenhum valor é imputado como zero.</t>
        </is>
      </c>
    </row>
    <row r="42" ht="33" customHeight="1">
      <c r="A42" s="106" t="inlineStr">
        <is>
          <t>Fundamento da avaliação</t>
        </is>
      </c>
      <c r="B42" s="106" t="inlineStr">
        <is>
          <t>fundamento_avaliacao_reclassificacao</t>
        </is>
      </c>
      <c r="C42" s="106" t="inlineStr">
        <is>
          <t>Texto</t>
        </is>
      </c>
      <c r="D42" s="106" t="inlineStr">
        <is>
          <t>Normalização do export</t>
        </is>
      </c>
      <c r="E42" s="106" t="inlineStr">
        <is>
          <t>Campo fundamento da avaliação preservado na granularidade de um CNPJ.</t>
        </is>
      </c>
      <c r="F42" s="106" t="inlineStr">
        <is>
          <t>N/D identifica ausência; nenhum valor é imputado como zero.</t>
        </is>
      </c>
    </row>
    <row r="43" ht="33" customHeight="1">
      <c r="A43" s="105" t="inlineStr">
        <is>
          <t>Fonte da avaliação</t>
        </is>
      </c>
      <c r="B43" s="105" t="inlineStr">
        <is>
          <t>fonte_avaliacao_reclassificacao</t>
        </is>
      </c>
      <c r="C43" s="105" t="inlineStr">
        <is>
          <t>Texto</t>
        </is>
      </c>
      <c r="D43" s="105" t="inlineStr">
        <is>
          <t>Normalização do export</t>
        </is>
      </c>
      <c r="E43" s="105" t="inlineStr">
        <is>
          <t>Campo fonte da avaliação preservado na granularidade de um CNPJ.</t>
        </is>
      </c>
      <c r="F43" s="105" t="inlineStr">
        <is>
          <t>N/D identifica ausência; nenhum valor é imputado como zero.</t>
        </is>
      </c>
    </row>
    <row r="44" ht="33" customHeight="1">
      <c r="A44" s="106" t="inlineStr">
        <is>
          <t>Middle Market · status</t>
        </is>
      </c>
      <c r="B44" s="106" t="inlineStr">
        <is>
          <t>middle_market_status</t>
        </is>
      </c>
      <c r="C44" s="106" t="inlineStr">
        <is>
          <t>Texto</t>
        </is>
      </c>
      <c r="D44" s="106" t="inlineStr">
        <is>
          <t>Normalização do export</t>
        </is>
      </c>
      <c r="E44" s="106" t="inlineStr">
        <is>
          <t>Campo middle market · status preservado na granularidade de um CNPJ.</t>
        </is>
      </c>
      <c r="F44" s="106" t="inlineStr">
        <is>
          <t>N/D identifica ausência; nenhum valor é imputado como zero.</t>
        </is>
      </c>
    </row>
    <row r="45" ht="33" customHeight="1">
      <c r="A45" s="105" t="inlineStr">
        <is>
          <t>Middle Market · evidência</t>
        </is>
      </c>
      <c r="B45" s="105" t="inlineStr">
        <is>
          <t>middle_market_evidencia</t>
        </is>
      </c>
      <c r="C45" s="105" t="inlineStr">
        <is>
          <t>Texto</t>
        </is>
      </c>
      <c r="D45" s="105" t="inlineStr">
        <is>
          <t>Normalização do export</t>
        </is>
      </c>
      <c r="E45" s="105" t="inlineStr">
        <is>
          <t>Campo middle market · evidência preservado na granularidade de um CNPJ.</t>
        </is>
      </c>
      <c r="F45" s="105" t="inlineStr">
        <is>
          <t>N/D identifica ausência; nenhum valor é imputado como zero.</t>
        </is>
      </c>
    </row>
    <row r="46" ht="33" customHeight="1">
      <c r="A46" s="106" t="inlineStr">
        <is>
          <t>Porte documentado?</t>
        </is>
      </c>
      <c r="B46" s="106" t="inlineStr">
        <is>
          <t>middle_market_porte_documentado_flag</t>
        </is>
      </c>
      <c r="C46" s="106" t="inlineStr">
        <is>
          <t>Booleano</t>
        </is>
      </c>
      <c r="D46" s="106" t="inlineStr">
        <is>
          <t>Normalização do export</t>
        </is>
      </c>
      <c r="E46" s="106" t="inlineStr">
        <is>
          <t>Campo porte documentado? preservado na granularidade de um CNPJ.</t>
        </is>
      </c>
      <c r="F46" s="106" t="inlineStr">
        <is>
          <t>N/D identifica ausência; nenhum valor é imputado como zero.</t>
        </is>
      </c>
    </row>
    <row r="47" ht="33" customHeight="1">
      <c r="A47" s="105" t="inlineStr">
        <is>
          <t>Categoria MVP</t>
        </is>
      </c>
      <c r="B47" s="105" t="inlineStr">
        <is>
          <t>mvp_slide_categoria</t>
        </is>
      </c>
      <c r="C47" s="105" t="inlineStr">
        <is>
          <t>Texto</t>
        </is>
      </c>
      <c r="D47" s="105" t="inlineStr">
        <is>
          <t>Normalização do export</t>
        </is>
      </c>
      <c r="E47" s="105" t="inlineStr">
        <is>
          <t>Campo categoria mvp preservado na granularidade de um CNPJ.</t>
        </is>
      </c>
      <c r="F47" s="105" t="inlineStr">
        <is>
          <t>N/D identifica ausência; nenhum valor é imputado como zero.</t>
        </is>
      </c>
    </row>
    <row r="48" ht="33" customHeight="1">
      <c r="A48" s="106" t="inlineStr">
        <is>
          <t>Categoria MVP original</t>
        </is>
      </c>
      <c r="B48" s="106" t="inlineStr">
        <is>
          <t>mvp_slide_categoria_original</t>
        </is>
      </c>
      <c r="C48" s="106" t="inlineStr">
        <is>
          <t>Texto</t>
        </is>
      </c>
      <c r="D48" s="106" t="inlineStr">
        <is>
          <t>Normalização do export</t>
        </is>
      </c>
      <c r="E48" s="106" t="inlineStr">
        <is>
          <t>Campo categoria mvp original preservado na granularidade de um CNPJ.</t>
        </is>
      </c>
      <c r="F48" s="106" t="inlineStr">
        <is>
          <t>N/D identifica ausência; nenhum valor é imputado como zero.</t>
        </is>
      </c>
    </row>
    <row r="49" ht="33" customHeight="1">
      <c r="A49" s="105" t="inlineStr">
        <is>
          <t>Override editorial?</t>
        </is>
      </c>
      <c r="B49" s="105" t="inlineStr">
        <is>
          <t>mvp_slide_categoria_override_flag</t>
        </is>
      </c>
      <c r="C49" s="105" t="inlineStr">
        <is>
          <t>Booleano</t>
        </is>
      </c>
      <c r="D49" s="105" t="inlineStr">
        <is>
          <t>Normalização do export</t>
        </is>
      </c>
      <c r="E49" s="105" t="inlineStr">
        <is>
          <t>Campo override editorial? preservado na granularidade de um CNPJ.</t>
        </is>
      </c>
      <c r="F49" s="105" t="inlineStr">
        <is>
          <t>N/D identifica ausência; nenhum valor é imputado como zero.</t>
        </is>
      </c>
    </row>
    <row r="50" ht="33" customHeight="1">
      <c r="A50" s="106" t="inlineStr">
        <is>
          <t>Fonte do override MVP</t>
        </is>
      </c>
      <c r="B50" s="106" t="inlineStr">
        <is>
          <t>mvp_slide_categoria_fonte</t>
        </is>
      </c>
      <c r="C50" s="106" t="inlineStr">
        <is>
          <t>Texto</t>
        </is>
      </c>
      <c r="D50" s="106" t="inlineStr">
        <is>
          <t>Normalização do export</t>
        </is>
      </c>
      <c r="E50" s="106" t="inlineStr">
        <is>
          <t>Campo fonte do override mvp preservado na granularidade de um CNPJ.</t>
        </is>
      </c>
      <c r="F50" s="106" t="inlineStr">
        <is>
          <t>N/D identifica ausência; nenhum valor é imputado como zero.</t>
        </is>
      </c>
    </row>
    <row r="51" ht="33" customHeight="1">
      <c r="A51" s="105" t="inlineStr">
        <is>
          <t>Motivo do override MVP</t>
        </is>
      </c>
      <c r="B51" s="105" t="inlineStr">
        <is>
          <t>mvp_slide_categoria_motivo</t>
        </is>
      </c>
      <c r="C51" s="105" t="inlineStr">
        <is>
          <t>Texto</t>
        </is>
      </c>
      <c r="D51" s="105" t="inlineStr">
        <is>
          <t>Normalização do export</t>
        </is>
      </c>
      <c r="E51" s="105" t="inlineStr">
        <is>
          <t>Campo motivo do override mvp preservado na granularidade de um CNPJ.</t>
        </is>
      </c>
      <c r="F51" s="105" t="inlineStr">
        <is>
          <t>N/D identifica ausência; nenhum valor é imputado como zero.</t>
        </is>
      </c>
    </row>
    <row r="52" ht="33" customHeight="1">
      <c r="A52" s="106" t="inlineStr">
        <is>
          <t>Faixa de Sub atual · MVP</t>
        </is>
      </c>
      <c r="B52" s="106" t="inlineStr">
        <is>
          <t>mvp_faixa_sub_atual</t>
        </is>
      </c>
      <c r="C52" s="106" t="inlineStr">
        <is>
          <t>Texto</t>
        </is>
      </c>
      <c r="D52" s="106" t="inlineStr">
        <is>
          <t>Normalização do export</t>
        </is>
      </c>
      <c r="E52" s="106" t="inlineStr">
        <is>
          <t>Campo faixa de sub atual · mvp preservado na granularidade de um CNPJ.</t>
        </is>
      </c>
      <c r="F52" s="106" t="inlineStr">
        <is>
          <t>N/D identifica ausência; nenhum valor é imputado como zero.</t>
        </is>
      </c>
    </row>
    <row r="53" ht="33" customHeight="1">
      <c r="A53" s="105" t="inlineStr">
        <is>
          <t>Elegível nos 6 slides?</t>
        </is>
      </c>
      <c r="B53" s="105" t="inlineStr">
        <is>
          <t>mvp_elegivel_flag</t>
        </is>
      </c>
      <c r="C53" s="105" t="inlineStr">
        <is>
          <t>Booleano</t>
        </is>
      </c>
      <c r="D53" s="105" t="inlineStr">
        <is>
          <t>Normalização do export</t>
        </is>
      </c>
      <c r="E53" s="105" t="inlineStr">
        <is>
          <t>Campo elegível nos 6 slides? preservado na granularidade de um CNPJ.</t>
        </is>
      </c>
      <c r="F53" s="105" t="inlineStr">
        <is>
          <t>N/D identifica ausência; nenhum valor é imputado como zero.</t>
        </is>
      </c>
    </row>
    <row r="54" ht="33" customHeight="1">
      <c r="A54" s="106" t="inlineStr">
        <is>
          <t>Sinal vs. mínimo estrutural</t>
        </is>
      </c>
      <c r="B54" s="106" t="inlineStr">
        <is>
          <t>mvp_situacao_piso</t>
        </is>
      </c>
      <c r="C54" s="106" t="inlineStr">
        <is>
          <t>Texto</t>
        </is>
      </c>
      <c r="D54" s="106" t="inlineStr">
        <is>
          <t>Normalização do export</t>
        </is>
      </c>
      <c r="E54" s="106" t="inlineStr">
        <is>
          <t>Campo sinal vs. mínimo estrutural preservado na granularidade de um CNPJ.</t>
        </is>
      </c>
      <c r="F54" s="106" t="inlineStr">
        <is>
          <t>N/D identifica ausência; nenhum valor é imputado como zero.</t>
        </is>
      </c>
    </row>
    <row r="55" ht="33" customHeight="1">
      <c r="A55" s="105" t="inlineStr">
        <is>
          <t>Posição vs. mercado</t>
        </is>
      </c>
      <c r="B55" s="105" t="inlineStr">
        <is>
          <t>posicao_mercado</t>
        </is>
      </c>
      <c r="C55" s="105" t="inlineStr">
        <is>
          <t>Texto</t>
        </is>
      </c>
      <c r="D55" s="105" t="inlineStr">
        <is>
          <t>Pacote estrutural existente</t>
        </is>
      </c>
      <c r="E55" s="105" t="inlineStr">
        <is>
          <t>Posição relativa à mediana dos pares quando o benchmark cumpre o limiar mínimo.</t>
        </is>
      </c>
      <c r="F55" s="105" t="inlineStr">
        <is>
          <t>N/D identifica ausência; nenhum valor é imputado como zero.</t>
        </is>
      </c>
    </row>
    <row r="56" ht="33" customHeight="1">
      <c r="A56" s="106" t="inlineStr">
        <is>
          <t>Excesso vs. mediana</t>
        </is>
      </c>
      <c r="B56" s="106" t="inlineStr">
        <is>
          <t>excesso_vs_mercado</t>
        </is>
      </c>
      <c r="C56" s="106" t="inlineStr">
        <is>
          <t>Percentual</t>
        </is>
      </c>
      <c r="D56" s="106" t="inlineStr">
        <is>
          <t>Pacote estrutural existente</t>
        </is>
      </c>
      <c r="E56" s="106" t="inlineStr">
        <is>
          <t>Sub/PL atual menos a mediana dos pares comparáveis; permanece ausente sem benchmark confiável.</t>
        </is>
      </c>
      <c r="F56" s="106" t="inlineStr">
        <is>
          <t>N/D identifica ausência; nenhum valor é imputado como zero.</t>
        </is>
      </c>
    </row>
    <row r="57" ht="33" customHeight="1">
      <c r="A57" s="105" t="inlineStr">
        <is>
          <t>Benchmark confiável?</t>
        </is>
      </c>
      <c r="B57" s="105" t="inlineStr">
        <is>
          <t>benchmark_confiavel</t>
        </is>
      </c>
      <c r="C57" s="105" t="inlineStr">
        <is>
          <t>Booleano</t>
        </is>
      </c>
      <c r="D57" s="105" t="inlineStr">
        <is>
          <t>Pacote estrutural existente</t>
        </is>
      </c>
      <c r="E57" s="105" t="inlineStr">
        <is>
          <t>Indica que a categoria tem pelo menos o número mínimo configurado de comparáveis.</t>
        </is>
      </c>
      <c r="F57" s="105" t="inlineStr">
        <is>
          <t>N/D identifica ausência; nenhum valor é imputado como zero.</t>
        </is>
      </c>
    </row>
    <row r="58" ht="33" customHeight="1">
      <c r="A58" s="106" t="inlineStr">
        <is>
          <t>Nº de comparáveis</t>
        </is>
      </c>
      <c r="B58" s="106" t="inlineStr">
        <is>
          <t>n_comparaveis_categoria</t>
        </is>
      </c>
      <c r="C58" s="106" t="inlineStr">
        <is>
          <t>Inteiro</t>
        </is>
      </c>
      <c r="D58" s="106" t="inlineStr">
        <is>
          <t>Pacote estrutural existente</t>
        </is>
      </c>
      <c r="E58" s="106" t="inlineStr">
        <is>
          <t>Quantidade de pares com subordinação atual utilizável na categoria.</t>
        </is>
      </c>
      <c r="F58" s="106" t="inlineStr">
        <is>
          <t>N/D identifica ausência; nenhum valor é imputado como zero.</t>
        </is>
      </c>
    </row>
    <row r="59" ht="33" customHeight="1">
      <c r="A59" s="105" t="inlineStr">
        <is>
          <t>Preço unitário numérico</t>
        </is>
      </c>
      <c r="B59" s="105" t="inlineStr">
        <is>
          <t>preco_cota_brl</t>
        </is>
      </c>
      <c r="C59" s="105" t="inlineStr">
        <is>
          <t>Moeda (R$)</t>
        </is>
      </c>
      <c r="D59" s="105" t="inlineStr">
        <is>
          <t>Curadoria documental de VNU/preço unitário</t>
        </is>
      </c>
      <c r="E59" s="105" t="inlineStr">
        <is>
          <t>Preço unitário numérico quando uma única leitura documental é aplicável.</t>
        </is>
      </c>
      <c r="F59" s="105" t="inlineStr">
        <is>
          <t>N/D identifica ausência; nenhum valor é imputado como zero.</t>
        </is>
      </c>
    </row>
    <row r="60" ht="33" customHeight="1">
      <c r="A60" s="106" t="inlineStr">
        <is>
          <t>Preço por cota · leitura</t>
        </is>
      </c>
      <c r="B60" s="106" t="inlineStr">
        <is>
          <t>preco_cota_display</t>
        </is>
      </c>
      <c r="C60" s="106" t="inlineStr">
        <is>
          <t>Texto</t>
        </is>
      </c>
      <c r="D60" s="106" t="inlineStr">
        <is>
          <t>Curadoria documental de VNU/preço unitário</t>
        </is>
      </c>
      <c r="E60" s="106" t="inlineStr">
        <is>
          <t>Preço unitário preservado por classe ou série; não inclui quantidade, taxa, spread ou remuneração.</t>
        </is>
      </c>
      <c r="F60" s="106" t="inlineStr">
        <is>
          <t>N/D identifica ausência; nenhum valor é imputado como zero.</t>
        </is>
      </c>
    </row>
    <row r="61" ht="33" customHeight="1">
      <c r="A61" s="105" t="inlineStr">
        <is>
          <t>Natureza do preço</t>
        </is>
      </c>
      <c r="B61" s="105" t="inlineStr">
        <is>
          <t>preco_cota_natureza</t>
        </is>
      </c>
      <c r="C61" s="105" t="inlineStr">
        <is>
          <t>Texto</t>
        </is>
      </c>
      <c r="D61" s="105" t="inlineStr">
        <is>
          <t>Curadoria documental de VNU/preço unitário</t>
        </is>
      </c>
      <c r="E61" s="105" t="inlineStr">
        <is>
          <t>Natureza documental do preço: VNU, emissão, subscrição ou integralização.</t>
        </is>
      </c>
      <c r="F61" s="105" t="inlineStr">
        <is>
          <t>N/D identifica ausência; nenhum valor é imputado como zero.</t>
        </is>
      </c>
    </row>
    <row r="62" ht="33" customHeight="1">
      <c r="A62" s="106" t="inlineStr">
        <is>
          <t>Classe / série do preço</t>
        </is>
      </c>
      <c r="B62" s="106" t="inlineStr">
        <is>
          <t>preco_cota_classe_serie</t>
        </is>
      </c>
      <c r="C62" s="106" t="inlineStr">
        <is>
          <t>Texto</t>
        </is>
      </c>
      <c r="D62" s="106" t="inlineStr">
        <is>
          <t>Curadoria documental de VNU/preço unitário</t>
        </is>
      </c>
      <c r="E62" s="106" t="inlineStr">
        <is>
          <t>Classe ou série à qual o preço unitário se refere.</t>
        </is>
      </c>
      <c r="F62" s="106" t="inlineStr">
        <is>
          <t>N/D identifica ausência; nenhum valor é imputado como zero.</t>
        </is>
      </c>
    </row>
    <row r="63" ht="33" customHeight="1">
      <c r="A63" s="105" t="inlineStr">
        <is>
          <t>Data do documento de preço</t>
        </is>
      </c>
      <c r="B63" s="105" t="inlineStr">
        <is>
          <t>preco_cota_documento_data</t>
        </is>
      </c>
      <c r="C63" s="105" t="inlineStr">
        <is>
          <t>Texto</t>
        </is>
      </c>
      <c r="D63" s="105" t="inlineStr">
        <is>
          <t>Curadoria documental de VNU/preço unitário</t>
        </is>
      </c>
      <c r="E63" s="105" t="inlineStr">
        <is>
          <t>Data do documento que sustenta o preço unitário.</t>
        </is>
      </c>
      <c r="F63" s="105" t="inlineStr">
        <is>
          <t>N/D identifica ausência; nenhum valor é imputado como zero.</t>
        </is>
      </c>
    </row>
    <row r="64" ht="33" customHeight="1">
      <c r="A64" s="106" t="inlineStr">
        <is>
          <t>Documento do preço</t>
        </is>
      </c>
      <c r="B64" s="106" t="inlineStr">
        <is>
          <t>preco_cota_documento_id</t>
        </is>
      </c>
      <c r="C64" s="106" t="inlineStr">
        <is>
          <t>Texto</t>
        </is>
      </c>
      <c r="D64" s="106" t="inlineStr">
        <is>
          <t>Curadoria documental de VNU/preço unitário</t>
        </is>
      </c>
      <c r="E64" s="106" t="inlineStr">
        <is>
          <t>Identificador do documento que sustenta o preço unitário.</t>
        </is>
      </c>
      <c r="F64" s="106" t="inlineStr">
        <is>
          <t>N/D identifica ausência; nenhum valor é imputado como zero.</t>
        </is>
      </c>
    </row>
    <row r="65" ht="33" customHeight="1">
      <c r="A65" s="105" t="inlineStr">
        <is>
          <t>Fonte do preço</t>
        </is>
      </c>
      <c r="B65" s="105" t="inlineStr">
        <is>
          <t>preco_cota_fonte</t>
        </is>
      </c>
      <c r="C65" s="105" t="inlineStr">
        <is>
          <t>Texto</t>
        </is>
      </c>
      <c r="D65" s="105" t="inlineStr">
        <is>
          <t>Curadoria documental de VNU/preço unitário</t>
        </is>
      </c>
      <c r="E65" s="105" t="inlineStr">
        <is>
          <t>Caminho ou URL da evidência documental do preço unitário.</t>
        </is>
      </c>
      <c r="F65" s="105" t="inlineStr">
        <is>
          <t>N/D identifica ausência; nenhum valor é imputado como zero.</t>
        </is>
      </c>
    </row>
    <row r="66" ht="33" customHeight="1">
      <c r="A66" s="106" t="inlineStr">
        <is>
          <t>Status do preço</t>
        </is>
      </c>
      <c r="B66" s="106" t="inlineStr">
        <is>
          <t>preco_cota_status</t>
        </is>
      </c>
      <c r="C66" s="106" t="inlineStr">
        <is>
          <t>Texto</t>
        </is>
      </c>
      <c r="D66" s="106" t="inlineStr">
        <is>
          <t>Curadoria documental de VNU/preço unitário</t>
        </is>
      </c>
      <c r="E66" s="106" t="inlineStr">
        <is>
          <t>Status de localização e revisão do preço unitário.</t>
        </is>
      </c>
      <c r="F66" s="106" t="inlineStr">
        <is>
          <t>N/D identifica ausência; nenhum valor é imputado como zero.</t>
        </is>
      </c>
    </row>
    <row r="67" ht="33" customHeight="1">
      <c r="A67" s="105" t="inlineStr">
        <is>
          <t>Exceção de preço*</t>
        </is>
      </c>
      <c r="B67" s="105" t="inlineStr">
        <is>
          <t>preco_cota_excecao_asterisco_flag</t>
        </is>
      </c>
      <c r="C67" s="105" t="inlineStr">
        <is>
          <t>Booleano</t>
        </is>
      </c>
      <c r="D67" s="105" t="inlineStr">
        <is>
          <t>Curadoria documental de VNU/preço unitário</t>
        </is>
      </c>
      <c r="E67" s="105" t="inlineStr">
        <is>
          <t>Marca múltiplos valores/classes ou natureza que exige leitura do documento.</t>
        </is>
      </c>
      <c r="F67" s="105" t="inlineStr">
        <is>
          <t>N/D identifica ausência; nenhum valor é imputado como zero.</t>
        </is>
      </c>
    </row>
    <row r="68" ht="33" customHeight="1">
      <c r="A68" s="106" t="inlineStr">
        <is>
          <t>Cedente / Originador literal*</t>
        </is>
      </c>
      <c r="B68" s="106" t="inlineStr">
        <is>
          <t>cedente_originador_literal</t>
        </is>
      </c>
      <c r="C68" s="106" t="inlineStr">
        <is>
          <t>Texto</t>
        </is>
      </c>
      <c r="D68" s="106" t="inlineStr">
        <is>
          <t>Documento ou overlay manual auditado</t>
        </is>
      </c>
      <c r="E68" s="106" t="inlineStr">
        <is>
          <t>Transcrição literal da coluna combinada Cedente/Originador.</t>
        </is>
      </c>
      <c r="F68" s="106" t="inlineStr">
        <is>
          <t>N/D identifica ausência; nenhum valor é imputado como zero.</t>
        </is>
      </c>
    </row>
    <row r="69" ht="33" customHeight="1">
      <c r="A69" s="105" t="inlineStr">
        <is>
          <t>Papel literal*</t>
        </is>
      </c>
      <c r="B69" s="105" t="inlineStr">
        <is>
          <t>papel_literal</t>
        </is>
      </c>
      <c r="C69" s="105" t="inlineStr">
        <is>
          <t>Texto</t>
        </is>
      </c>
      <c r="D69" s="105" t="inlineStr">
        <is>
          <t>Documento ou overlay manual auditado</t>
        </is>
      </c>
      <c r="E69" s="105" t="inlineStr">
        <is>
          <t>Papel indicado literalmente na fonte manual.</t>
        </is>
      </c>
      <c r="F69" s="105" t="inlineStr">
        <is>
          <t>N/D identifica ausência; nenhum valor é imputado como zero.</t>
        </is>
      </c>
    </row>
    <row r="70" ht="33" customHeight="1">
      <c r="A70" s="106" t="inlineStr">
        <is>
          <t>Originador*</t>
        </is>
      </c>
      <c r="B70" s="106" t="inlineStr">
        <is>
          <t>originador</t>
        </is>
      </c>
      <c r="C70" s="106" t="inlineStr">
        <is>
          <t>Texto</t>
        </is>
      </c>
      <c r="D70" s="106" t="inlineStr">
        <is>
          <t>Documento ou overlay manual auditado</t>
        </is>
      </c>
      <c r="E70" s="106" t="inlineStr">
        <is>
          <t>Campo originador* preservado na granularidade de um CNPJ.</t>
        </is>
      </c>
      <c r="F70" s="106" t="inlineStr">
        <is>
          <t>N/D identifica ausência; nenhum valor é imputado como zero.</t>
        </is>
      </c>
    </row>
    <row r="71" ht="33" customHeight="1">
      <c r="A71" s="105" t="inlineStr">
        <is>
          <t>Cedente*</t>
        </is>
      </c>
      <c r="B71" s="105" t="inlineStr">
        <is>
          <t>cedente</t>
        </is>
      </c>
      <c r="C71" s="105" t="inlineStr">
        <is>
          <t>Texto</t>
        </is>
      </c>
      <c r="D71" s="105" t="inlineStr">
        <is>
          <t>Documento ou overlay manual auditado</t>
        </is>
      </c>
      <c r="E71" s="105" t="inlineStr">
        <is>
          <t>Campo cedente* preservado na granularidade de um CNPJ.</t>
        </is>
      </c>
      <c r="F71" s="105" t="inlineStr">
        <is>
          <t>N/D identifica ausência; nenhum valor é imputado como zero.</t>
        </is>
      </c>
    </row>
    <row r="72" ht="33" customHeight="1">
      <c r="A72" s="106" t="inlineStr">
        <is>
          <t>Sacado / devedor*</t>
        </is>
      </c>
      <c r="B72" s="106" t="inlineStr">
        <is>
          <t>sacado_devedor</t>
        </is>
      </c>
      <c r="C72" s="106" t="inlineStr">
        <is>
          <t>Texto</t>
        </is>
      </c>
      <c r="D72" s="106" t="inlineStr">
        <is>
          <t>Documento ou overlay manual auditado</t>
        </is>
      </c>
      <c r="E72" s="106" t="inlineStr">
        <is>
          <t>Campo sacado / devedor* preservado na granularidade de um CNPJ.</t>
        </is>
      </c>
      <c r="F72" s="106" t="inlineStr">
        <is>
          <t>N/D identifica ausência; nenhum valor é imputado como zero.</t>
        </is>
      </c>
    </row>
    <row r="73" ht="33" customHeight="1">
      <c r="A73" s="105" t="inlineStr">
        <is>
          <t>Tipo de recebível*</t>
        </is>
      </c>
      <c r="B73" s="105" t="inlineStr">
        <is>
          <t>tipo_recebivel_literal</t>
        </is>
      </c>
      <c r="C73" s="105" t="inlineStr">
        <is>
          <t>Texto</t>
        </is>
      </c>
      <c r="D73" s="105" t="inlineStr">
        <is>
          <t>Taxonomia analítica / oficial preservada</t>
        </is>
      </c>
      <c r="E73" s="105" t="inlineStr">
        <is>
          <t>Campo tipo de recebível* preservado na granularidade de um CNPJ.</t>
        </is>
      </c>
      <c r="F73" s="105" t="inlineStr">
        <is>
          <t>N/D identifica ausência; nenhum valor é imputado como zero.</t>
        </is>
      </c>
    </row>
    <row r="74" ht="33" customHeight="1">
      <c r="A74" s="106" t="inlineStr">
        <is>
          <t>Fonte das partes / recebível</t>
        </is>
      </c>
      <c r="B74" s="106" t="inlineStr">
        <is>
          <t>fonte_partes_recebivel</t>
        </is>
      </c>
      <c r="C74" s="106" t="inlineStr">
        <is>
          <t>Texto</t>
        </is>
      </c>
      <c r="D74" s="106" t="inlineStr">
        <is>
          <t>Documento ou overlay manual auditado</t>
        </is>
      </c>
      <c r="E74" s="106" t="inlineStr">
        <is>
          <t>Documento ou foto que sustenta partes e tipo de recebível.</t>
        </is>
      </c>
      <c r="F74" s="106" t="inlineStr">
        <is>
          <t>N/D identifica ausência; nenhum valor é imputado como zero.</t>
        </is>
      </c>
    </row>
    <row r="75" ht="33" customHeight="1">
      <c r="A75" s="105" t="inlineStr">
        <is>
          <t>Status do complemento manual</t>
        </is>
      </c>
      <c r="B75" s="105" t="inlineStr">
        <is>
          <t>status_complemento_manual</t>
        </is>
      </c>
      <c r="C75" s="105" t="inlineStr">
        <is>
          <t>Texto</t>
        </is>
      </c>
      <c r="D75" s="105" t="inlineStr">
        <is>
          <t>Documento ou overlay manual auditado</t>
        </is>
      </c>
      <c r="E75" s="105" t="inlineStr">
        <is>
          <t>Campo status do complemento manual preservado na granularidade de um CNPJ.</t>
        </is>
      </c>
      <c r="F75" s="105" t="inlineStr">
        <is>
          <t>N/D identifica ausência; nenhum valor é imputado como zero.</t>
        </is>
      </c>
    </row>
    <row r="76" ht="33" customHeight="1">
      <c r="A76" s="106" t="inlineStr">
        <is>
          <t>Observação do complemento manual</t>
        </is>
      </c>
      <c r="B76" s="106" t="inlineStr">
        <is>
          <t>observacao_complemento_manual</t>
        </is>
      </c>
      <c r="C76" s="106" t="inlineStr">
        <is>
          <t>Texto</t>
        </is>
      </c>
      <c r="D76" s="106" t="inlineStr">
        <is>
          <t>Documento ou overlay manual auditado</t>
        </is>
      </c>
      <c r="E76" s="106" t="inlineStr">
        <is>
          <t>Campo observação do complemento manual preservado na granularidade de um CNPJ.</t>
        </is>
      </c>
      <c r="F76" s="106" t="inlineStr">
        <is>
          <t>N/D identifica ausência; nenhum valor é imputado como zero.</t>
        </is>
      </c>
    </row>
    <row r="77" ht="33" customHeight="1">
      <c r="A77" s="105" t="inlineStr">
        <is>
          <t>Documento</t>
        </is>
      </c>
      <c r="B77" s="105" t="inlineStr">
        <is>
          <t>documento_id</t>
        </is>
      </c>
      <c r="C77" s="105" t="inlineStr">
        <is>
          <t>Texto</t>
        </is>
      </c>
      <c r="D77" s="105" t="inlineStr">
        <is>
          <t>Curadoria documental</t>
        </is>
      </c>
      <c r="E77" s="105" t="inlineStr">
        <is>
          <t>Campo documento preservado na granularidade de um CNPJ.</t>
        </is>
      </c>
      <c r="F77" s="105" t="inlineStr">
        <is>
          <t>N/D identifica ausência; nenhum valor é imputado como zero.</t>
        </is>
      </c>
    </row>
    <row r="78" ht="33" customHeight="1">
      <c r="A78" s="106" t="inlineStr">
        <is>
          <t>Data do documento</t>
        </is>
      </c>
      <c r="B78" s="106" t="inlineStr">
        <is>
          <t>documento_data</t>
        </is>
      </c>
      <c r="C78" s="106" t="inlineStr">
        <is>
          <t>Texto</t>
        </is>
      </c>
      <c r="D78" s="106" t="inlineStr">
        <is>
          <t>Curadoria documental</t>
        </is>
      </c>
      <c r="E78" s="106" t="inlineStr">
        <is>
          <t>Campo data do documento preservado na granularidade de um CNPJ.</t>
        </is>
      </c>
      <c r="F78" s="106" t="inlineStr">
        <is>
          <t>N/D identifica ausência; nenhum valor é imputado como zero.</t>
        </is>
      </c>
    </row>
    <row r="79" ht="33" customHeight="1">
      <c r="A79" s="105" t="inlineStr">
        <is>
          <t>Página / cláusula</t>
        </is>
      </c>
      <c r="B79" s="105" t="inlineStr">
        <is>
          <t>pagina_clausula</t>
        </is>
      </c>
      <c r="C79" s="105" t="inlineStr">
        <is>
          <t>Texto</t>
        </is>
      </c>
      <c r="D79" s="105" t="inlineStr">
        <is>
          <t>Curadoria documental</t>
        </is>
      </c>
      <c r="E79" s="105" t="inlineStr">
        <is>
          <t>Campo página / cláusula preservado na granularidade de um CNPJ.</t>
        </is>
      </c>
      <c r="F79" s="105" t="inlineStr">
        <is>
          <t>N/D identifica ausência; nenhum valor é imputado como zero.</t>
        </is>
      </c>
    </row>
    <row r="80" ht="33" customHeight="1">
      <c r="A80" s="106" t="inlineStr">
        <is>
          <t>Status da curadoria</t>
        </is>
      </c>
      <c r="B80" s="106" t="inlineStr">
        <is>
          <t>status_curadoria_documental</t>
        </is>
      </c>
      <c r="C80" s="106" t="inlineStr">
        <is>
          <t>Texto</t>
        </is>
      </c>
      <c r="D80" s="106" t="inlineStr">
        <is>
          <t>Curadoria documental</t>
        </is>
      </c>
      <c r="E80" s="106" t="inlineStr">
        <is>
          <t>Campo status da curadoria preservado na granularidade de um CNPJ.</t>
        </is>
      </c>
      <c r="F80" s="106" t="inlineStr">
        <is>
          <t>N/D identifica ausência; nenhum valor é imputado como zero.</t>
        </is>
      </c>
    </row>
    <row r="81" ht="33" customHeight="1">
      <c r="A81" s="105" t="inlineStr">
        <is>
          <t>Fonte documental</t>
        </is>
      </c>
      <c r="B81" s="105" t="inlineStr">
        <is>
          <t>fonte_documental</t>
        </is>
      </c>
      <c r="C81" s="105" t="inlineStr">
        <is>
          <t>Texto</t>
        </is>
      </c>
      <c r="D81" s="105" t="inlineStr">
        <is>
          <t>Curadoria documental</t>
        </is>
      </c>
      <c r="E81" s="105" t="inlineStr">
        <is>
          <t>Referência do regulamento, assembleia ou documento primário.</t>
        </is>
      </c>
      <c r="F81" s="105" t="inlineStr">
        <is>
          <t>N/D identifica ausência; nenhum valor é imputado como zero.</t>
        </is>
      </c>
    </row>
    <row r="82" ht="33" customHeight="1">
      <c r="A82" s="106" t="inlineStr">
        <is>
          <t>Texto do mínimo</t>
        </is>
      </c>
      <c r="B82" s="106" t="inlineStr">
        <is>
          <t>texto_minimo</t>
        </is>
      </c>
      <c r="C82" s="106" t="inlineStr">
        <is>
          <t>Texto</t>
        </is>
      </c>
      <c r="D82" s="106" t="inlineStr">
        <is>
          <t>Curadoria documental</t>
        </is>
      </c>
      <c r="E82" s="106" t="inlineStr">
        <is>
          <t>Campo texto do mínimo preservado na granularidade de um CNPJ.</t>
        </is>
      </c>
      <c r="F82" s="106" t="inlineStr">
        <is>
          <t>N/D identifica ausência; nenhum valor é imputado como zero.</t>
        </is>
      </c>
    </row>
    <row r="83" ht="33" customHeight="1">
      <c r="A83" s="105" t="inlineStr">
        <is>
          <t>Campos não preenchidos</t>
        </is>
      </c>
      <c r="B83" s="105" t="inlineStr">
        <is>
          <t>campos_nao_preenchidos</t>
        </is>
      </c>
      <c r="C83" s="105" t="inlineStr">
        <is>
          <t>Texto</t>
        </is>
      </c>
      <c r="D83" s="105" t="inlineStr">
        <is>
          <t>Normalização do export</t>
        </is>
      </c>
      <c r="E83" s="105" t="inlineStr">
        <is>
          <t>Lista didática dos campos que permanecem ausentes.</t>
        </is>
      </c>
      <c r="F83" s="105" t="inlineStr">
        <is>
          <t>N/D identifica ausência; nenhum valor é imputado como zero.</t>
        </is>
      </c>
    </row>
    <row r="84" ht="33" customHeight="1">
      <c r="A84" s="106" t="inlineStr">
        <is>
          <t>Status do preenchimento</t>
        </is>
      </c>
      <c r="B84" s="106" t="inlineStr">
        <is>
          <t>status_preenchimento</t>
        </is>
      </c>
      <c r="C84" s="106" t="inlineStr">
        <is>
          <t>Texto</t>
        </is>
      </c>
      <c r="D84" s="106" t="inlineStr">
        <is>
          <t>Normalização do export</t>
        </is>
      </c>
      <c r="E84" s="106" t="inlineStr">
        <is>
          <t>Campo status do preenchimento preservado na granularidade de um CNPJ.</t>
        </is>
      </c>
      <c r="F84" s="106" t="inlineStr">
        <is>
          <t>N/D identifica ausência; nenhum valor é imputado como zero.</t>
        </is>
      </c>
    </row>
  </sheetData>
  <mergeCells count="2">
    <mergeCell ref="A2:F2"/>
    <mergeCell ref="A1:F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S108"/>
  <sheetViews>
    <sheetView workbookViewId="0">
      <pane xSplit="4" ySplit="4" topLeftCell="E5" activePane="bottomRight" state="frozen"/>
      <selection activeCell="A1" sqref="A1"/>
    </sheetView>
  </sheetViews>
  <sheetFormatPr baseColWidth="8" defaultRowHeight="15"/>
  <cols>
    <col width="13.75" customWidth="1" min="1" max="1"/>
    <col width="15.63000011444092" customWidth="1" min="2" max="2"/>
    <col width="20.6299991607666" customWidth="1" min="3" max="3"/>
    <col width="41.25" customWidth="1" min="4" max="4"/>
    <col width="32.5" customWidth="1" min="5" max="5"/>
    <col width="18.75" customWidth="1" min="6" max="6"/>
    <col width="26.25" customWidth="1" min="7" max="7"/>
    <col width="26.25" customWidth="1" min="8" max="8"/>
    <col width="27.5" customWidth="1" min="9" max="9"/>
    <col width="41.25" customWidth="1" min="10" max="10"/>
    <col width="18.1299991607666" customWidth="1" min="11" max="11"/>
    <col width="37.5" customWidth="1" min="12" max="12"/>
    <col width="18.75" customWidth="1" min="13" max="13"/>
    <col width="11.88000011444092" customWidth="1" min="14" max="14"/>
    <col width="65" customWidth="1" min="15" max="15"/>
    <col width="21.25" customWidth="1" min="16" max="16"/>
    <col width="40" customWidth="1" min="17" max="17"/>
    <col width="10.63000011444092" customWidth="1" min="18" max="18"/>
    <col width="40" customWidth="1" min="19" max="19"/>
  </cols>
  <sheetData>
    <row r="1" ht="25.5" customHeight="1">
      <c r="A1" s="26" t="inlineStr">
        <is>
          <t>Fontes manuais · transcrição das fotos fornecidas pelo usuário</t>
        </is>
      </c>
    </row>
    <row r="2" ht="22.5" customHeight="1">
      <c r="A2" s="29" t="inlineStr">
        <is>
          <t>* = informação manual separada da evidência documental. Somente status confirmado_legivel é elegível; o overlay preenche lacunas e preserva o valor documental existente.</t>
        </is>
      </c>
    </row>
    <row r="4" ht="25.5" customHeight="1">
      <c r="A4" s="32" t="inlineStr">
        <is>
          <t>Raiz do CNPJ na foto</t>
        </is>
      </c>
      <c r="B4" s="32" t="inlineStr">
        <is>
          <t>CNPJ resolvido</t>
        </is>
      </c>
      <c r="C4" s="32" t="inlineStr">
        <is>
          <t>Status da resolução</t>
        </is>
      </c>
      <c r="D4" s="32" t="inlineStr">
        <is>
          <t>Denominação de referência</t>
        </is>
      </c>
      <c r="E4" s="32" t="inlineStr">
        <is>
          <t>Cedente / Originador literal*</t>
        </is>
      </c>
      <c r="F4" s="32" t="inlineStr">
        <is>
          <t>Papel literal*</t>
        </is>
      </c>
      <c r="G4" s="32" t="inlineStr">
        <is>
          <t>Originador*</t>
        </is>
      </c>
      <c r="H4" s="32" t="inlineStr">
        <is>
          <t>Cedente*</t>
        </is>
      </c>
      <c r="I4" s="32" t="inlineStr">
        <is>
          <t>Sacado / devedor*</t>
        </is>
      </c>
      <c r="J4" s="32" t="inlineStr">
        <is>
          <t>Tipo de recebível*</t>
        </is>
      </c>
      <c r="K4" s="32" t="inlineStr">
        <is>
          <t>Imagem</t>
        </is>
      </c>
      <c r="L4" s="32" t="inlineStr">
        <is>
          <t>Localização na imagem</t>
        </is>
      </c>
      <c r="M4" s="32" t="inlineStr">
        <is>
          <t>Status da transcrição</t>
        </is>
      </c>
      <c r="N4" s="32" t="inlineStr">
        <is>
          <t>Confiança</t>
        </is>
      </c>
      <c r="O4" s="32" t="inlineStr">
        <is>
          <t>Observação</t>
        </is>
      </c>
      <c r="P4" s="32" t="inlineStr">
        <is>
          <t>Coortes encontradas</t>
        </is>
      </c>
      <c r="Q4" s="32" t="inlineStr">
        <is>
          <t>Campos aplicados</t>
        </is>
      </c>
      <c r="R4" s="32" t="inlineStr">
        <is>
          <t>Aplicado?</t>
        </is>
      </c>
      <c r="S4" s="32" t="inlineStr">
        <is>
          <t>Motivo da aplicação</t>
        </is>
      </c>
    </row>
    <row r="5" ht="36" customHeight="1">
      <c r="A5" s="156" t="inlineStr">
        <is>
          <t>42462306</t>
        </is>
      </c>
      <c r="B5" s="157" t="n">
        <v>42462306000100</v>
      </c>
      <c r="C5" s="73" t="inlineStr">
        <is>
          <t>cnpj_informado</t>
        </is>
      </c>
      <c r="D5" s="73" t="inlineStr">
        <is>
          <t>GREEN SOLFACIL II FIDC</t>
        </is>
      </c>
      <c r="E5" s="73" t="inlineStr">
        <is>
          <t>Solfácil</t>
        </is>
      </c>
      <c r="F5" s="73" t="inlineStr">
        <is>
          <t>cedente</t>
        </is>
      </c>
      <c r="G5" s="73" t="inlineStr">
        <is>
          <t>N/D</t>
        </is>
      </c>
      <c r="H5" s="73" t="inlineStr">
        <is>
          <t>Solfácil</t>
        </is>
      </c>
      <c r="I5" s="73" t="inlineStr">
        <is>
          <t>N/D</t>
        </is>
      </c>
      <c r="J5" s="73" t="inlineStr">
        <is>
          <t>créditos originados para securitização posterior em CRIs</t>
        </is>
      </c>
      <c r="K5" s="73" t="inlineStr">
        <is>
          <t>IMG_8704.JPG</t>
        </is>
      </c>
      <c r="L5" s="73" t="inlineStr">
        <is>
          <t>planilha amarela; linha da raiz 42462306</t>
        </is>
      </c>
      <c r="M5" s="73" t="inlineStr">
        <is>
          <t>confirmado_legivel</t>
        </is>
      </c>
      <c r="N5" s="73" t="inlineStr">
        <is>
          <t>alta</t>
        </is>
      </c>
      <c r="O5" s="73" t="inlineStr">
        <is>
          <t>OBS da foto: FIDC warehouse com finalidade de originar créditos para serem securitizados posteriormente em CRIs a mercado; texto final cortado pela foto.</t>
        </is>
      </c>
      <c r="P5" s="73" t="inlineStr">
        <is>
          <t>Carteira 101</t>
        </is>
      </c>
      <c r="Q5" s="73" t="inlineStr">
        <is>
          <t>cedente_originador_literal; papel_literal</t>
        </is>
      </c>
      <c r="R5" s="73" t="b">
        <v>1</v>
      </c>
      <c r="S5" s="73" t="inlineStr">
        <is>
          <t>overlay aplicado somente em lacunas</t>
        </is>
      </c>
    </row>
    <row r="6" ht="36" customHeight="1">
      <c r="A6" s="158" t="inlineStr">
        <is>
          <t>54810968</t>
        </is>
      </c>
      <c r="B6" s="159" t="n">
        <v>54810968000102</v>
      </c>
      <c r="C6" s="74" t="inlineStr">
        <is>
          <t>cnpj_informado</t>
        </is>
      </c>
      <c r="D6" s="74" t="inlineStr">
        <is>
          <t>ANGA FGTS II FUNDO DE INVESTIMENTO EM DIREITOS CR...</t>
        </is>
      </c>
      <c r="E6" s="74" t="inlineStr">
        <is>
          <t>BMG</t>
        </is>
      </c>
      <c r="F6" s="74" t="inlineStr">
        <is>
          <t>cedente</t>
        </is>
      </c>
      <c r="G6" s="74" t="inlineStr">
        <is>
          <t>N/D</t>
        </is>
      </c>
      <c r="H6" s="74" t="inlineStr">
        <is>
          <t>BMG</t>
        </is>
      </c>
      <c r="I6" s="74" t="inlineStr">
        <is>
          <t>N/D</t>
        </is>
      </c>
      <c r="J6" s="74" t="inlineStr">
        <is>
          <t>Crédito FGTS</t>
        </is>
      </c>
      <c r="K6" s="74" t="inlineStr">
        <is>
          <t>IMG_8704.JPG</t>
        </is>
      </c>
      <c r="L6" s="74" t="inlineStr">
        <is>
          <t>planilha amarela; linha da raiz 54810968</t>
        </is>
      </c>
      <c r="M6" s="74" t="inlineStr">
        <is>
          <t>confirmado_legivel</t>
        </is>
      </c>
      <c r="N6" s="74" t="inlineStr">
        <is>
          <t>alta</t>
        </is>
      </c>
      <c r="O6" s="74" t="inlineStr">
        <is>
          <t>Denominação cortada pela largura da coluna na foto.</t>
        </is>
      </c>
      <c r="P6" s="74" t="inlineStr">
        <is>
          <t>Carteira 101</t>
        </is>
      </c>
      <c r="Q6" s="74" t="inlineStr">
        <is>
          <t>cedente_originador_literal; papel_literal</t>
        </is>
      </c>
      <c r="R6" s="74" t="b">
        <v>1</v>
      </c>
      <c r="S6" s="74" t="inlineStr">
        <is>
          <t>overlay aplicado somente em lacunas</t>
        </is>
      </c>
    </row>
    <row r="7" ht="36" customHeight="1">
      <c r="A7" s="160" t="inlineStr">
        <is>
          <t>53270983</t>
        </is>
      </c>
      <c r="B7" s="161" t="n">
        <v>53270983000142</v>
      </c>
      <c r="C7" s="75" t="inlineStr">
        <is>
          <t>cnpj_informado</t>
        </is>
      </c>
      <c r="D7" s="75" t="inlineStr">
        <is>
          <t>ANGA FGTS MAIS AG FIDC RESPONSABILIDADE LIMITADA</t>
        </is>
      </c>
      <c r="E7" s="75" t="inlineStr">
        <is>
          <t>QI Tech</t>
        </is>
      </c>
      <c r="F7" s="75" t="inlineStr">
        <is>
          <t>cedente</t>
        </is>
      </c>
      <c r="G7" s="75" t="inlineStr">
        <is>
          <t>N/D</t>
        </is>
      </c>
      <c r="H7" s="75" t="inlineStr">
        <is>
          <t>QI Tech</t>
        </is>
      </c>
      <c r="I7" s="75" t="inlineStr">
        <is>
          <t>N/D</t>
        </is>
      </c>
      <c r="J7" s="75" t="inlineStr">
        <is>
          <t>N/D</t>
        </is>
      </c>
      <c r="K7" s="75" t="inlineStr">
        <is>
          <t>IMG_8704.JPG</t>
        </is>
      </c>
      <c r="L7" s="75" t="inlineStr">
        <is>
          <t>planilha amarela; linha da raiz 53270983</t>
        </is>
      </c>
      <c r="M7" s="75" t="inlineStr">
        <is>
          <t>confirmado_legivel</t>
        </is>
      </c>
      <c r="N7" s="75" t="inlineStr">
        <is>
          <t>alta</t>
        </is>
      </c>
      <c r="O7" s="75" t="inlineStr">
        <is>
          <t>N/D</t>
        </is>
      </c>
      <c r="P7" s="75" t="inlineStr">
        <is>
          <t>Carteira 101</t>
        </is>
      </c>
      <c r="Q7" s="75" t="inlineStr">
        <is>
          <t>cedente_originador_literal; papel_literal</t>
        </is>
      </c>
      <c r="R7" s="75" t="b">
        <v>1</v>
      </c>
      <c r="S7" s="75" t="inlineStr">
        <is>
          <t>overlay aplicado somente em lacunas</t>
        </is>
      </c>
    </row>
    <row r="8" ht="36" customHeight="1">
      <c r="A8" s="158" t="inlineStr">
        <is>
          <t>52968533</t>
        </is>
      </c>
      <c r="B8" s="159" t="n">
        <v>52968533000165</v>
      </c>
      <c r="C8" s="74" t="inlineStr">
        <is>
          <t>cnpj_informado</t>
        </is>
      </c>
      <c r="D8" s="74" t="inlineStr">
        <is>
          <t>MCPO FUNDO DE INVESTIMENTO EM DIREITOS CREDITORIO</t>
        </is>
      </c>
      <c r="E8" s="74" t="inlineStr">
        <is>
          <t>Maqcampo</t>
        </is>
      </c>
      <c r="F8" s="74" t="inlineStr">
        <is>
          <t>cedente</t>
        </is>
      </c>
      <c r="G8" s="74" t="inlineStr">
        <is>
          <t>N/D</t>
        </is>
      </c>
      <c r="H8" s="74" t="inlineStr">
        <is>
          <t>Maqcampo</t>
        </is>
      </c>
      <c r="I8" s="74" t="inlineStr">
        <is>
          <t>N/D</t>
        </is>
      </c>
      <c r="J8" s="74" t="inlineStr">
        <is>
          <t>N/D</t>
        </is>
      </c>
      <c r="K8" s="74" t="inlineStr">
        <is>
          <t>IMG_8704.JPG</t>
        </is>
      </c>
      <c r="L8" s="74" t="inlineStr">
        <is>
          <t>planilha amarela; linha da raiz 52968533</t>
        </is>
      </c>
      <c r="M8" s="74" t="inlineStr">
        <is>
          <t>confirmado_legivel</t>
        </is>
      </c>
      <c r="N8" s="74" t="inlineStr">
        <is>
          <t>alta</t>
        </is>
      </c>
      <c r="O8" s="74" t="inlineStr">
        <is>
          <t>OBS da foto: atrasos elevados; em discussão de possível solução de parcela dos vencidos.</t>
        </is>
      </c>
      <c r="P8" s="74" t="inlineStr">
        <is>
          <t>Carteira 101</t>
        </is>
      </c>
      <c r="Q8" s="74" t="inlineStr">
        <is>
          <t>cedente_originador_literal; papel_literal</t>
        </is>
      </c>
      <c r="R8" s="74" t="b">
        <v>1</v>
      </c>
      <c r="S8" s="74" t="inlineStr">
        <is>
          <t>overlay aplicado somente em lacunas</t>
        </is>
      </c>
    </row>
    <row r="9" ht="36" customHeight="1">
      <c r="A9" s="160" t="inlineStr">
        <is>
          <t>52100879</t>
        </is>
      </c>
      <c r="B9" s="161" t="n">
        <v>52100879000147</v>
      </c>
      <c r="C9" s="75" t="inlineStr">
        <is>
          <t>cnpj_informado</t>
        </is>
      </c>
      <c r="D9" s="75" t="inlineStr">
        <is>
          <t>SOTREQ FUNDO DE INVESTIMENTO EM DIREITOS CREDITORI...</t>
        </is>
      </c>
      <c r="E9" s="75" t="inlineStr">
        <is>
          <t>Sotreq</t>
        </is>
      </c>
      <c r="F9" s="75" t="inlineStr">
        <is>
          <t>cedente</t>
        </is>
      </c>
      <c r="G9" s="75" t="inlineStr">
        <is>
          <t>N/D</t>
        </is>
      </c>
      <c r="H9" s="75" t="inlineStr">
        <is>
          <t>Sotreq</t>
        </is>
      </c>
      <c r="I9" s="75" t="inlineStr">
        <is>
          <t>N/D</t>
        </is>
      </c>
      <c r="J9" s="75" t="inlineStr">
        <is>
          <t>N/D</t>
        </is>
      </c>
      <c r="K9" s="75" t="inlineStr">
        <is>
          <t>IMG_8704.JPG</t>
        </is>
      </c>
      <c r="L9" s="75" t="inlineStr">
        <is>
          <t>planilha amarela; linha da raiz 52100879</t>
        </is>
      </c>
      <c r="M9" s="75" t="inlineStr">
        <is>
          <t>confirmado_legivel</t>
        </is>
      </c>
      <c r="N9" s="75" t="inlineStr">
        <is>
          <t>alta</t>
        </is>
      </c>
      <c r="O9" s="75" t="inlineStr">
        <is>
          <t>Denominação cortada pela largura da coluna na foto.</t>
        </is>
      </c>
      <c r="P9" s="75" t="inlineStr">
        <is>
          <t>Carteira 101</t>
        </is>
      </c>
      <c r="Q9" s="75" t="inlineStr">
        <is>
          <t>cedente_originador_literal; papel_literal</t>
        </is>
      </c>
      <c r="R9" s="75" t="b">
        <v>1</v>
      </c>
      <c r="S9" s="75" t="inlineStr">
        <is>
          <t>overlay aplicado somente em lacunas</t>
        </is>
      </c>
    </row>
    <row r="10" ht="36" customHeight="1">
      <c r="A10" s="158" t="inlineStr">
        <is>
          <t>53662209</t>
        </is>
      </c>
      <c r="B10" s="159" t="n">
        <v>53662209000187</v>
      </c>
      <c r="C10" s="74" t="inlineStr">
        <is>
          <t>cnpj_informado</t>
        </is>
      </c>
      <c r="D10" s="74" t="inlineStr">
        <is>
          <t>PNEUCASH FUNDO DE INVESTIMENTO EM DIREITOS CREDITO...</t>
        </is>
      </c>
      <c r="E10" s="74" t="inlineStr">
        <is>
          <t>Cantu Store</t>
        </is>
      </c>
      <c r="F10" s="74" t="inlineStr">
        <is>
          <t>cedente</t>
        </is>
      </c>
      <c r="G10" s="74" t="inlineStr">
        <is>
          <t>N/D</t>
        </is>
      </c>
      <c r="H10" s="74" t="inlineStr">
        <is>
          <t>Cantu Store</t>
        </is>
      </c>
      <c r="I10" s="74" t="inlineStr">
        <is>
          <t>N/D</t>
        </is>
      </c>
      <c r="J10" s="74" t="inlineStr">
        <is>
          <t>N/D</t>
        </is>
      </c>
      <c r="K10" s="74" t="inlineStr">
        <is>
          <t>IMG_8704.JPG</t>
        </is>
      </c>
      <c r="L10" s="74" t="inlineStr">
        <is>
          <t>planilha amarela; linha da raiz 53662209</t>
        </is>
      </c>
      <c r="M10" s="74" t="inlineStr">
        <is>
          <t>confirmado_legivel</t>
        </is>
      </c>
      <c r="N10" s="74" t="inlineStr">
        <is>
          <t>alta</t>
        </is>
      </c>
      <c r="O10" s="74" t="inlineStr">
        <is>
          <t>OBS da foto: FIDC pulverizado com 20% de subordinação e baixa inadimplência.</t>
        </is>
      </c>
      <c r="P10" s="74" t="inlineStr">
        <is>
          <t>Carteira 101</t>
        </is>
      </c>
      <c r="Q10" s="74" t="inlineStr">
        <is>
          <t>cedente_originador_literal; papel_literal</t>
        </is>
      </c>
      <c r="R10" s="74" t="b">
        <v>1</v>
      </c>
      <c r="S10" s="74" t="inlineStr">
        <is>
          <t>overlay aplicado somente em lacunas</t>
        </is>
      </c>
    </row>
    <row r="11" ht="36" customHeight="1">
      <c r="A11" s="160" t="inlineStr">
        <is>
          <t>53577135</t>
        </is>
      </c>
      <c r="B11" s="161" t="n">
        <v>53577135000180</v>
      </c>
      <c r="C11" s="75" t="inlineStr">
        <is>
          <t>cnpj_informado</t>
        </is>
      </c>
      <c r="D11" s="75" t="inlineStr">
        <is>
          <t>ANGA FGTS I FUNDO DE INVESTIMENTO EM DIREITOS CR...</t>
        </is>
      </c>
      <c r="E11" s="75" t="inlineStr">
        <is>
          <t>QI Tech</t>
        </is>
      </c>
      <c r="F11" s="75" t="inlineStr">
        <is>
          <t>cedente</t>
        </is>
      </c>
      <c r="G11" s="75" t="inlineStr">
        <is>
          <t>N/D</t>
        </is>
      </c>
      <c r="H11" s="75" t="inlineStr">
        <is>
          <t>QI Tech</t>
        </is>
      </c>
      <c r="I11" s="75" t="inlineStr">
        <is>
          <t>N/D</t>
        </is>
      </c>
      <c r="J11" s="75" t="inlineStr">
        <is>
          <t>Crédito FGTS</t>
        </is>
      </c>
      <c r="K11" s="75" t="inlineStr">
        <is>
          <t>IMG_8704.JPG</t>
        </is>
      </c>
      <c r="L11" s="75" t="inlineStr">
        <is>
          <t>planilha amarela; linha da raiz 53577135</t>
        </is>
      </c>
      <c r="M11" s="75" t="inlineStr">
        <is>
          <t>confirmado_legivel</t>
        </is>
      </c>
      <c r="N11" s="75" t="inlineStr">
        <is>
          <t>alta</t>
        </is>
      </c>
      <c r="O11" s="75" t="inlineStr">
        <is>
          <t>Denominação cortada pela largura da coluna na foto.</t>
        </is>
      </c>
      <c r="P11" s="75" t="inlineStr">
        <is>
          <t>Carteira 101</t>
        </is>
      </c>
      <c r="Q11" s="75" t="inlineStr">
        <is>
          <t>cedente_originador_literal; papel_literal</t>
        </is>
      </c>
      <c r="R11" s="75" t="b">
        <v>1</v>
      </c>
      <c r="S11" s="75" t="inlineStr">
        <is>
          <t>overlay aplicado somente em lacunas</t>
        </is>
      </c>
    </row>
    <row r="12" ht="36" customHeight="1">
      <c r="A12" s="158" t="inlineStr">
        <is>
          <t>62626887</t>
        </is>
      </c>
      <c r="B12" s="159" t="n">
        <v>62626887000185</v>
      </c>
      <c r="C12" s="74" t="inlineStr">
        <is>
          <t>cnpj_informado</t>
        </is>
      </c>
      <c r="D12" s="74" t="inlineStr">
        <is>
          <t>TOP 2025 C FIDC RESP LTDA</t>
        </is>
      </c>
      <c r="E12" s="74" t="inlineStr">
        <is>
          <t>Sumup IP</t>
        </is>
      </c>
      <c r="F12" s="74" t="inlineStr">
        <is>
          <t>cedente</t>
        </is>
      </c>
      <c r="G12" s="74" t="inlineStr">
        <is>
          <t>N/D</t>
        </is>
      </c>
      <c r="H12" s="74" t="inlineStr">
        <is>
          <t>Sumup IP</t>
        </is>
      </c>
      <c r="I12" s="74" t="inlineStr">
        <is>
          <t>N/D</t>
        </is>
      </c>
      <c r="J12" s="74" t="inlineStr">
        <is>
          <t>N/D</t>
        </is>
      </c>
      <c r="K12" s="74" t="inlineStr">
        <is>
          <t>IMG_8704.JPG</t>
        </is>
      </c>
      <c r="L12" s="74" t="inlineStr">
        <is>
          <t>planilha amarela; linha da raiz 62626887</t>
        </is>
      </c>
      <c r="M12" s="74" t="inlineStr">
        <is>
          <t>confirmado_legivel</t>
        </is>
      </c>
      <c r="N12" s="74" t="inlineStr">
        <is>
          <t>alta</t>
        </is>
      </c>
      <c r="O12" s="74" t="inlineStr">
        <is>
          <t>OBS da foto: Risco Banco Emissor Itaú.</t>
        </is>
      </c>
      <c r="P12" s="74" t="inlineStr">
        <is>
          <t>Carteira 101</t>
        </is>
      </c>
      <c r="Q12" s="74" t="inlineStr">
        <is>
          <t>cedente_originador_literal; papel_literal</t>
        </is>
      </c>
      <c r="R12" s="74" t="b">
        <v>1</v>
      </c>
      <c r="S12" s="74" t="inlineStr">
        <is>
          <t>overlay aplicado somente em lacunas</t>
        </is>
      </c>
    </row>
    <row r="13" ht="36" customHeight="1">
      <c r="A13" s="160" t="inlineStr">
        <is>
          <t>50098465</t>
        </is>
      </c>
      <c r="B13" s="161" t="n">
        <v>50098465000103</v>
      </c>
      <c r="C13" s="75" t="inlineStr">
        <is>
          <t>cnpj_informado</t>
        </is>
      </c>
      <c r="D13" s="75" t="inlineStr">
        <is>
          <t>CHEMICAL XII - FUNDO DE INVESTIMENTO EM DIREITOS...</t>
        </is>
      </c>
      <c r="E13" s="75" t="inlineStr">
        <is>
          <t>Braskem</t>
        </is>
      </c>
      <c r="F13" s="75" t="inlineStr">
        <is>
          <t>cedente</t>
        </is>
      </c>
      <c r="G13" s="75" t="inlineStr">
        <is>
          <t>N/D</t>
        </is>
      </c>
      <c r="H13" s="75" t="inlineStr">
        <is>
          <t>Braskem</t>
        </is>
      </c>
      <c r="I13" s="75" t="inlineStr">
        <is>
          <t>N/D</t>
        </is>
      </c>
      <c r="J13" s="75" t="inlineStr">
        <is>
          <t>N/D</t>
        </is>
      </c>
      <c r="K13" s="75" t="inlineStr">
        <is>
          <t>IMG_8704.JPG</t>
        </is>
      </c>
      <c r="L13" s="75" t="inlineStr">
        <is>
          <t>planilha amarela; linha da raiz 50098465</t>
        </is>
      </c>
      <c r="M13" s="75" t="inlineStr">
        <is>
          <t>confirmado_legivel</t>
        </is>
      </c>
      <c r="N13" s="75" t="inlineStr">
        <is>
          <t>alta</t>
        </is>
      </c>
      <c r="O13" s="75" t="inlineStr">
        <is>
          <t>OBS da foto: baixo nível de inadimplência (0% Over90 nos últimos meses). Denominação cortada.</t>
        </is>
      </c>
      <c r="P13" s="75" t="inlineStr">
        <is>
          <t>Carteira 101</t>
        </is>
      </c>
      <c r="Q13" s="75" t="inlineStr">
        <is>
          <t>cedente_originador_literal; papel_literal</t>
        </is>
      </c>
      <c r="R13" s="75" t="b">
        <v>1</v>
      </c>
      <c r="S13" s="75" t="inlineStr">
        <is>
          <t>overlay aplicado somente em lacunas</t>
        </is>
      </c>
    </row>
    <row r="14" ht="36" customHeight="1">
      <c r="A14" s="158" t="inlineStr">
        <is>
          <t>48967719</t>
        </is>
      </c>
      <c r="B14" s="159" t="n">
        <v>48967719000122</v>
      </c>
      <c r="C14" s="74" t="inlineStr">
        <is>
          <t>cnpj_informado</t>
        </is>
      </c>
      <c r="D14" s="74" t="inlineStr">
        <is>
          <t>SOULPAY FIDC</t>
        </is>
      </c>
      <c r="E14" s="74" t="inlineStr">
        <is>
          <t>Soulpay Soluções de Pagamentos</t>
        </is>
      </c>
      <c r="F14" s="74" t="inlineStr">
        <is>
          <t>cedente</t>
        </is>
      </c>
      <c r="G14" s="74" t="inlineStr">
        <is>
          <t>N/D</t>
        </is>
      </c>
      <c r="H14" s="74" t="inlineStr">
        <is>
          <t>Soulpay Soluções de Pagamentos</t>
        </is>
      </c>
      <c r="I14" s="74" t="inlineStr">
        <is>
          <t>N/D</t>
        </is>
      </c>
      <c r="J14" s="74" t="inlineStr">
        <is>
          <t>N/D</t>
        </is>
      </c>
      <c r="K14" s="74" t="inlineStr">
        <is>
          <t>IMG_8704.JPG</t>
        </is>
      </c>
      <c r="L14" s="74" t="inlineStr">
        <is>
          <t>planilha amarela; linha da raiz 48967719</t>
        </is>
      </c>
      <c r="M14" s="74" t="inlineStr">
        <is>
          <t>confirmado_legivel</t>
        </is>
      </c>
      <c r="N14" s="74" t="inlineStr">
        <is>
          <t>alta</t>
        </is>
      </c>
      <c r="O14" s="74" t="inlineStr">
        <is>
          <t>OBS da foto: Risco Rede.</t>
        </is>
      </c>
      <c r="P14" s="74" t="inlineStr">
        <is>
          <t>Carteira 101</t>
        </is>
      </c>
      <c r="Q14" s="74" t="inlineStr">
        <is>
          <t>cedente_originador_literal; papel_literal</t>
        </is>
      </c>
      <c r="R14" s="74" t="b">
        <v>1</v>
      </c>
      <c r="S14" s="74" t="inlineStr">
        <is>
          <t>overlay aplicado somente em lacunas</t>
        </is>
      </c>
    </row>
    <row r="15" ht="36" customHeight="1">
      <c r="A15" s="160" t="inlineStr">
        <is>
          <t>37645417</t>
        </is>
      </c>
      <c r="B15" s="161" t="n">
        <v>37645417000111</v>
      </c>
      <c r="C15" s="75" t="inlineStr">
        <is>
          <t>cnpj_informado</t>
        </is>
      </c>
      <c r="D15" s="75" t="inlineStr">
        <is>
          <t>UBYFOL AGRO FIDC II</t>
        </is>
      </c>
      <c r="E15" s="75" t="inlineStr">
        <is>
          <t>Ubyfol</t>
        </is>
      </c>
      <c r="F15" s="75" t="inlineStr">
        <is>
          <t>cedente</t>
        </is>
      </c>
      <c r="G15" s="75" t="inlineStr">
        <is>
          <t>N/D</t>
        </is>
      </c>
      <c r="H15" s="75" t="inlineStr">
        <is>
          <t>Ubyfol</t>
        </is>
      </c>
      <c r="I15" s="75" t="inlineStr">
        <is>
          <t>N/D</t>
        </is>
      </c>
      <c r="J15" s="75" t="inlineStr">
        <is>
          <t>Insumos Agrícolas - prazo Safra</t>
        </is>
      </c>
      <c r="K15" s="75" t="inlineStr">
        <is>
          <t>IMG_8704.JPG</t>
        </is>
      </c>
      <c r="L15" s="75" t="inlineStr">
        <is>
          <t>planilha amarela; linha da raiz 37645417</t>
        </is>
      </c>
      <c r="M15" s="75" t="inlineStr">
        <is>
          <t>confirmado_legivel</t>
        </is>
      </c>
      <c r="N15" s="75" t="inlineStr">
        <is>
          <t>alta</t>
        </is>
      </c>
      <c r="O15" s="75" t="inlineStr">
        <is>
          <t>N/D</t>
        </is>
      </c>
      <c r="P15" s="75" t="inlineStr">
        <is>
          <t>Carteira 101</t>
        </is>
      </c>
      <c r="Q15" s="75" t="inlineStr">
        <is>
          <t>cedente_originador_literal; papel_literal</t>
        </is>
      </c>
      <c r="R15" s="75" t="b">
        <v>1</v>
      </c>
      <c r="S15" s="75" t="inlineStr">
        <is>
          <t>overlay aplicado somente em lacunas</t>
        </is>
      </c>
    </row>
    <row r="16" ht="36" customHeight="1">
      <c r="A16" s="158" t="inlineStr">
        <is>
          <t>50832746</t>
        </is>
      </c>
      <c r="B16" s="159" t="n">
        <v>50832746000130</v>
      </c>
      <c r="C16" s="74" t="inlineStr">
        <is>
          <t>cnpj_informado</t>
        </is>
      </c>
      <c r="D16" s="74" t="inlineStr">
        <is>
          <t>BOASAFRA FIDC DO AGRONEGOCIO</t>
        </is>
      </c>
      <c r="E16" s="74" t="inlineStr">
        <is>
          <t>Boasafra (ID 5662361)</t>
        </is>
      </c>
      <c r="F16" s="74" t="inlineStr">
        <is>
          <t>cedente</t>
        </is>
      </c>
      <c r="G16" s="74" t="inlineStr">
        <is>
          <t>N/D</t>
        </is>
      </c>
      <c r="H16" s="74" t="inlineStr">
        <is>
          <t>Boasafra (ID 5662361)</t>
        </is>
      </c>
      <c r="I16" s="74" t="inlineStr">
        <is>
          <t>N/D</t>
        </is>
      </c>
      <c r="J16" s="74" t="inlineStr">
        <is>
          <t>Insumos Agrícolas - prazo Safra</t>
        </is>
      </c>
      <c r="K16" s="74" t="inlineStr">
        <is>
          <t>IMG_8704.JPG</t>
        </is>
      </c>
      <c r="L16" s="74" t="inlineStr">
        <is>
          <t>planilha amarela; linha da raiz 50832746</t>
        </is>
      </c>
      <c r="M16" s="74" t="inlineStr">
        <is>
          <t>confirmado_legivel</t>
        </is>
      </c>
      <c r="N16" s="74" t="inlineStr">
        <is>
          <t>alta</t>
        </is>
      </c>
      <c r="O16" s="74" t="inlineStr">
        <is>
          <t>N/D</t>
        </is>
      </c>
      <c r="P16" s="74" t="inlineStr">
        <is>
          <t>Carteira 101</t>
        </is>
      </c>
      <c r="Q16" s="74" t="inlineStr">
        <is>
          <t>cedente_originador_literal; papel_literal</t>
        </is>
      </c>
      <c r="R16" s="74" t="b">
        <v>1</v>
      </c>
      <c r="S16" s="74" t="inlineStr">
        <is>
          <t>overlay aplicado somente em lacunas</t>
        </is>
      </c>
    </row>
    <row r="17" ht="36" customHeight="1">
      <c r="A17" s="160" t="inlineStr">
        <is>
          <t>33076242</t>
        </is>
      </c>
      <c r="B17" s="161" t="n">
        <v>33076242000118</v>
      </c>
      <c r="C17" s="75" t="inlineStr">
        <is>
          <t>cnpj_informado</t>
        </is>
      </c>
      <c r="D17" s="75" t="inlineStr">
        <is>
          <t>FUNDO DE INVESTIMENTO EM DIREITOS CREDITORIOS ALBA</t>
        </is>
      </c>
      <c r="E17" s="75" t="inlineStr">
        <is>
          <t>Albaugh</t>
        </is>
      </c>
      <c r="F17" s="75" t="inlineStr">
        <is>
          <t>cedente</t>
        </is>
      </c>
      <c r="G17" s="75" t="inlineStr">
        <is>
          <t>N/D</t>
        </is>
      </c>
      <c r="H17" s="75" t="inlineStr">
        <is>
          <t>Albaugh</t>
        </is>
      </c>
      <c r="I17" s="75" t="inlineStr">
        <is>
          <t>N/D</t>
        </is>
      </c>
      <c r="J17" s="75" t="inlineStr">
        <is>
          <t>N/D</t>
        </is>
      </c>
      <c r="K17" s="75" t="inlineStr">
        <is>
          <t>IMG_8704.JPG</t>
        </is>
      </c>
      <c r="L17" s="75" t="inlineStr">
        <is>
          <t>planilha amarela; linha da raiz 33076242</t>
        </is>
      </c>
      <c r="M17" s="75" t="inlineStr">
        <is>
          <t>confirmado_legivel</t>
        </is>
      </c>
      <c r="N17" s="75" t="inlineStr">
        <is>
          <t>alta</t>
        </is>
      </c>
      <c r="O17" s="75" t="inlineStr">
        <is>
          <t>OBS legível: evento de avaliação por não pagamento de juros; o identificador de concentração e o restante do texto exigem revisão.</t>
        </is>
      </c>
      <c r="P17" s="75" t="inlineStr">
        <is>
          <t>Carteira 101</t>
        </is>
      </c>
      <c r="Q17" s="75" t="inlineStr">
        <is>
          <t>cedente_originador_literal; papel_literal</t>
        </is>
      </c>
      <c r="R17" s="75" t="b">
        <v>1</v>
      </c>
      <c r="S17" s="75" t="inlineStr">
        <is>
          <t>overlay aplicado somente em lacunas</t>
        </is>
      </c>
    </row>
    <row r="18" ht="36" customHeight="1">
      <c r="A18" s="158" t="inlineStr">
        <is>
          <t>44173467</t>
        </is>
      </c>
      <c r="B18" s="159" t="n">
        <v>44173467000109</v>
      </c>
      <c r="C18" s="74" t="inlineStr">
        <is>
          <t>cnpj_informado</t>
        </is>
      </c>
      <c r="D18" s="74" t="inlineStr">
        <is>
          <t>RECEIVABLES 48 FUNDO DE INVEST INSS MEUTUDO</t>
        </is>
      </c>
      <c r="E18" s="74" t="inlineStr">
        <is>
          <t>Parati</t>
        </is>
      </c>
      <c r="F18" s="74" t="inlineStr">
        <is>
          <t>cedente</t>
        </is>
      </c>
      <c r="G18" s="74" t="inlineStr">
        <is>
          <t>N/D</t>
        </is>
      </c>
      <c r="H18" s="74" t="inlineStr">
        <is>
          <t>Parati</t>
        </is>
      </c>
      <c r="I18" s="74" t="inlineStr">
        <is>
          <t>N/D</t>
        </is>
      </c>
      <c r="J18" s="74" t="inlineStr">
        <is>
          <t>Crédito consignado INSS</t>
        </is>
      </c>
      <c r="K18" s="74" t="inlineStr">
        <is>
          <t>IMG_8704.JPG</t>
        </is>
      </c>
      <c r="L18" s="74" t="inlineStr">
        <is>
          <t>planilha amarela; linha da raiz 44173467</t>
        </is>
      </c>
      <c r="M18" s="74" t="inlineStr">
        <is>
          <t>confirmado_legivel</t>
        </is>
      </c>
      <c r="N18" s="74" t="inlineStr">
        <is>
          <t>alta</t>
        </is>
      </c>
      <c r="O18" s="74" t="inlineStr">
        <is>
          <t>OBS da foto: Rating atual Baa1; se ajustar o rating na base, pode considerar perspectiva estável.</t>
        </is>
      </c>
      <c r="P18" s="74" t="inlineStr">
        <is>
          <t>Carteira 101</t>
        </is>
      </c>
      <c r="Q18" s="74" t="inlineStr">
        <is>
          <t>cedente_originador_literal; papel_literal</t>
        </is>
      </c>
      <c r="R18" s="74" t="b">
        <v>1</v>
      </c>
      <c r="S18" s="74" t="inlineStr">
        <is>
          <t>overlay aplicado somente em lacunas</t>
        </is>
      </c>
    </row>
    <row r="19" ht="36" customHeight="1">
      <c r="A19" s="160" t="inlineStr">
        <is>
          <t>54252144</t>
        </is>
      </c>
      <c r="B19" s="161" t="n">
        <v>54252144000164</v>
      </c>
      <c r="C19" s="75" t="inlineStr">
        <is>
          <t>cnpj_informado</t>
        </is>
      </c>
      <c r="D19" s="75" t="inlineStr">
        <is>
          <t>J17 FGTS FUNDO DE INVESTIMENTO</t>
        </is>
      </c>
      <c r="E19" s="75" t="inlineStr">
        <is>
          <t>J17</t>
        </is>
      </c>
      <c r="F19" s="75" t="inlineStr">
        <is>
          <t>cedente</t>
        </is>
      </c>
      <c r="G19" s="75" t="inlineStr">
        <is>
          <t>N/D</t>
        </is>
      </c>
      <c r="H19" s="75" t="inlineStr">
        <is>
          <t>J17</t>
        </is>
      </c>
      <c r="I19" s="75" t="inlineStr">
        <is>
          <t>N/D</t>
        </is>
      </c>
      <c r="J19" s="75" t="inlineStr">
        <is>
          <t>FGTS Saque-aniversário</t>
        </is>
      </c>
      <c r="K19" s="75" t="inlineStr">
        <is>
          <t>IMG_8704.JPG</t>
        </is>
      </c>
      <c r="L19" s="75" t="inlineStr">
        <is>
          <t>planilha amarela; linha da raiz 54252144</t>
        </is>
      </c>
      <c r="M19" s="75" t="inlineStr">
        <is>
          <t>confirmado_legivel</t>
        </is>
      </c>
      <c r="N19" s="75" t="inlineStr">
        <is>
          <t>alta</t>
        </is>
      </c>
      <c r="O19" s="75" t="inlineStr">
        <is>
          <t>Denominação cortada pela largura da coluna na foto.</t>
        </is>
      </c>
      <c r="P19" s="75" t="inlineStr">
        <is>
          <t>Carteira 101</t>
        </is>
      </c>
      <c r="Q19" s="75" t="inlineStr">
        <is>
          <t>cedente_originador_literal; papel_literal</t>
        </is>
      </c>
      <c r="R19" s="75" t="b">
        <v>1</v>
      </c>
      <c r="S19" s="75" t="inlineStr">
        <is>
          <t>overlay aplicado somente em lacunas</t>
        </is>
      </c>
    </row>
    <row r="20" ht="36" customHeight="1">
      <c r="A20" s="158" t="inlineStr">
        <is>
          <t>48313595</t>
        </is>
      </c>
      <c r="B20" s="159" t="n">
        <v>48313595000161</v>
      </c>
      <c r="C20" s="74" t="inlineStr">
        <is>
          <t>cnpj_informado</t>
        </is>
      </c>
      <c r="D20" s="74" t="inlineStr">
        <is>
          <t>BB2 AGRO BR FUNDO DE INVESTIMENTO EM DIREITOS CRE...</t>
        </is>
      </c>
      <c r="E20" s="74" t="inlineStr">
        <is>
          <t>Multicedentes</t>
        </is>
      </c>
      <c r="F20" s="74" t="inlineStr">
        <is>
          <t>cedente</t>
        </is>
      </c>
      <c r="G20" s="74" t="inlineStr">
        <is>
          <t>N/D</t>
        </is>
      </c>
      <c r="H20" s="74" t="inlineStr">
        <is>
          <t>Multicedentes</t>
        </is>
      </c>
      <c r="I20" s="74" t="inlineStr">
        <is>
          <t>N/D</t>
        </is>
      </c>
      <c r="J20" s="74" t="inlineStr">
        <is>
          <t>N/D</t>
        </is>
      </c>
      <c r="K20" s="74" t="inlineStr">
        <is>
          <t>IMG_8704.JPG</t>
        </is>
      </c>
      <c r="L20" s="74" t="inlineStr">
        <is>
          <t>planilha amarela; linha da raiz 48313595</t>
        </is>
      </c>
      <c r="M20" s="74" t="inlineStr">
        <is>
          <t>confirmado_legivel</t>
        </is>
      </c>
      <c r="N20" s="74" t="inlineStr">
        <is>
          <t>alta</t>
        </is>
      </c>
      <c r="O20" s="74" t="inlineStr">
        <is>
          <t>OBS da foto: Cota Jr 100% consumida; revisão de rating em out/25; fomos 100% resgatados na SR. Denominação cortada.</t>
        </is>
      </c>
      <c r="P20" s="74" t="inlineStr">
        <is>
          <t>Carteira 101</t>
        </is>
      </c>
      <c r="Q20" s="74" t="inlineStr">
        <is>
          <t>cedente_originador_literal; papel_literal</t>
        </is>
      </c>
      <c r="R20" s="74" t="b">
        <v>1</v>
      </c>
      <c r="S20" s="74" t="inlineStr">
        <is>
          <t>overlay aplicado somente em lacunas</t>
        </is>
      </c>
    </row>
    <row r="21" ht="36" customHeight="1">
      <c r="A21" s="160" t="inlineStr">
        <is>
          <t>32526025</t>
        </is>
      </c>
      <c r="B21" s="161" t="n">
        <v>32526025000110</v>
      </c>
      <c r="C21" s="75" t="inlineStr">
        <is>
          <t>cnpj_informado</t>
        </is>
      </c>
      <c r="D21" s="75" t="inlineStr">
        <is>
          <t>COBUCCIO FUNDO I E D C NAO P...</t>
        </is>
      </c>
      <c r="E21" s="75" t="inlineStr">
        <is>
          <t>Brazil Card (cartões) | Bolt (adquirente) | Agil (cred...)</t>
        </is>
      </c>
      <c r="F21" s="75" t="inlineStr">
        <is>
          <t>cedente</t>
        </is>
      </c>
      <c r="G21" s="75" t="inlineStr">
        <is>
          <t>N/D</t>
        </is>
      </c>
      <c r="H21" s="75" t="inlineStr">
        <is>
          <t>Brazil Card (cartões) | Bolt (adquirente) | Agil (cred...)</t>
        </is>
      </c>
      <c r="I21" s="75" t="inlineStr">
        <is>
          <t>N/D</t>
        </is>
      </c>
      <c r="J21" s="75" t="inlineStr">
        <is>
          <t>cartões de crédito e adquirência</t>
        </is>
      </c>
      <c r="K21" s="75" t="inlineStr">
        <is>
          <t>IMG_8704.JPG</t>
        </is>
      </c>
      <c r="L21" s="75" t="inlineStr">
        <is>
          <t>planilha amarela; linha da raiz 32526025</t>
        </is>
      </c>
      <c r="M21" s="75" t="inlineStr">
        <is>
          <t>revisao</t>
        </is>
      </c>
      <c r="N21" s="75" t="inlineStr">
        <is>
          <t>média</t>
        </is>
      </c>
      <c r="O21" s="75" t="inlineStr">
        <is>
          <t>Denominação e literal de cedente cortados. OBS também continua fora da foto; não elegível até revisão.</t>
        </is>
      </c>
      <c r="P21" s="75" t="inlineStr">
        <is>
          <t>N/D</t>
        </is>
      </c>
      <c r="Q21" s="75" t="inlineStr">
        <is>
          <t>N/D</t>
        </is>
      </c>
      <c r="R21" s="75" t="b">
        <v>0</v>
      </c>
      <c r="S21" s="75" t="inlineStr">
        <is>
          <t>status de transcrição não aprovado</t>
        </is>
      </c>
    </row>
    <row r="22" ht="36" customHeight="1">
      <c r="A22" s="158" t="inlineStr">
        <is>
          <t>45523699</t>
        </is>
      </c>
      <c r="B22" s="159" t="n">
        <v>45523699000102</v>
      </c>
      <c r="C22" s="74" t="inlineStr">
        <is>
          <t>cnpj_informado</t>
        </is>
      </c>
      <c r="D22" s="74" t="inlineStr">
        <is>
          <t>VIXTRA FUNDO DE INVE E DC RL</t>
        </is>
      </c>
      <c r="E22" s="74" t="inlineStr">
        <is>
          <t>Vixtra Tecnologia e Serviços Financeiros</t>
        </is>
      </c>
      <c r="F22" s="74" t="inlineStr">
        <is>
          <t>cedente</t>
        </is>
      </c>
      <c r="G22" s="74" t="inlineStr">
        <is>
          <t>N/D</t>
        </is>
      </c>
      <c r="H22" s="74" t="inlineStr">
        <is>
          <t>Vixtra Tecnologia e Serviços Financeiros</t>
        </is>
      </c>
      <c r="I22" s="74" t="inlineStr">
        <is>
          <t>N/D</t>
        </is>
      </c>
      <c r="J22" s="74" t="inlineStr">
        <is>
          <t>FIDC Trading</t>
        </is>
      </c>
      <c r="K22" s="74" t="inlineStr">
        <is>
          <t>IMG_8704.JPG</t>
        </is>
      </c>
      <c r="L22" s="74" t="inlineStr">
        <is>
          <t>planilha amarela; linha da raiz 45523699</t>
        </is>
      </c>
      <c r="M22" s="74" t="inlineStr">
        <is>
          <t>confirmado_legivel</t>
        </is>
      </c>
      <c r="N22" s="74" t="inlineStr">
        <is>
          <t>alta</t>
        </is>
      </c>
      <c r="O22" s="74" t="inlineStr">
        <is>
          <t>N/D</t>
        </is>
      </c>
      <c r="P22" s="74" t="inlineStr">
        <is>
          <t>Carteira 101</t>
        </is>
      </c>
      <c r="Q22" s="74" t="inlineStr">
        <is>
          <t>cedente_originador_literal; papel_literal</t>
        </is>
      </c>
      <c r="R22" s="74" t="b">
        <v>1</v>
      </c>
      <c r="S22" s="74" t="inlineStr">
        <is>
          <t>overlay aplicado somente em lacunas</t>
        </is>
      </c>
    </row>
    <row r="23" ht="36" customHeight="1">
      <c r="A23" s="160" t="inlineStr">
        <is>
          <t>54083697</t>
        </is>
      </c>
      <c r="B23" s="161" t="n">
        <v>54083697000130</v>
      </c>
      <c r="C23" s="75" t="inlineStr">
        <is>
          <t>cnpj_informado</t>
        </is>
      </c>
      <c r="D23" s="75" t="inlineStr">
        <is>
          <t>PERNAMBUCANAS FIDC DE RESPONSABILIDADE LIMITADA</t>
        </is>
      </c>
      <c r="E23" s="75" t="inlineStr">
        <is>
          <t>Pernambucanas</t>
        </is>
      </c>
      <c r="F23" s="75" t="inlineStr">
        <is>
          <t>cedente</t>
        </is>
      </c>
      <c r="G23" s="75" t="inlineStr">
        <is>
          <t>N/D</t>
        </is>
      </c>
      <c r="H23" s="75" t="inlineStr">
        <is>
          <t>Pernambucanas</t>
        </is>
      </c>
      <c r="I23" s="75" t="inlineStr">
        <is>
          <t>N/D</t>
        </is>
      </c>
      <c r="J23" s="75" t="inlineStr">
        <is>
          <t>N/D</t>
        </is>
      </c>
      <c r="K23" s="75" t="inlineStr">
        <is>
          <t>IMG_8704.JPG</t>
        </is>
      </c>
      <c r="L23" s="75" t="inlineStr">
        <is>
          <t>planilha amarela; linha da raiz 54083697</t>
        </is>
      </c>
      <c r="M23" s="75" t="inlineStr">
        <is>
          <t>confirmado_legivel</t>
        </is>
      </c>
      <c r="N23" s="75" t="inlineStr">
        <is>
          <t>alta</t>
        </is>
      </c>
      <c r="O23" s="75" t="inlineStr">
        <is>
          <t>N/D</t>
        </is>
      </c>
      <c r="P23" s="75" t="inlineStr">
        <is>
          <t>Carteira 101</t>
        </is>
      </c>
      <c r="Q23" s="75" t="inlineStr">
        <is>
          <t>cedente_originador_literal; papel_literal</t>
        </is>
      </c>
      <c r="R23" s="75" t="b">
        <v>1</v>
      </c>
      <c r="S23" s="75" t="inlineStr">
        <is>
          <t>overlay aplicado somente em lacunas</t>
        </is>
      </c>
    </row>
    <row r="24" ht="36" customHeight="1">
      <c r="A24" s="158" t="inlineStr">
        <is>
          <t>56936116</t>
        </is>
      </c>
      <c r="B24" s="159" t="n">
        <v>56936116000191</v>
      </c>
      <c r="C24" s="74" t="inlineStr">
        <is>
          <t>cnpj_informado</t>
        </is>
      </c>
      <c r="D24" s="74" t="inlineStr">
        <is>
          <t>FATOR TARKEN FUNDO DE INVESTIMENTO EM DIREITOS CRE...</t>
        </is>
      </c>
      <c r="E24" s="74" t="inlineStr">
        <is>
          <t>Multicedente</t>
        </is>
      </c>
      <c r="F24" s="74" t="inlineStr">
        <is>
          <t>cedente</t>
        </is>
      </c>
      <c r="G24" s="74" t="inlineStr">
        <is>
          <t>N/D</t>
        </is>
      </c>
      <c r="H24" s="74" t="inlineStr">
        <is>
          <t>Multicedente</t>
        </is>
      </c>
      <c r="I24" s="74" t="inlineStr">
        <is>
          <t>N/D</t>
        </is>
      </c>
      <c r="J24" s="74" t="inlineStr">
        <is>
          <t>N/D</t>
        </is>
      </c>
      <c r="K24" s="74" t="inlineStr">
        <is>
          <t>IMG_8704.JPG</t>
        </is>
      </c>
      <c r="L24" s="74" t="inlineStr">
        <is>
          <t>planilha amarela; linha da raiz 56936116</t>
        </is>
      </c>
      <c r="M24" s="74" t="inlineStr">
        <is>
          <t>confirmado_legivel</t>
        </is>
      </c>
      <c r="N24" s="74" t="inlineStr">
        <is>
          <t>alta</t>
        </is>
      </c>
      <c r="O24" s="74" t="inlineStr">
        <is>
          <t>OBS da foto: conta com seguro de crédito. Denominação cortada.</t>
        </is>
      </c>
      <c r="P24" s="74" t="inlineStr">
        <is>
          <t>Carteira 101</t>
        </is>
      </c>
      <c r="Q24" s="74" t="inlineStr">
        <is>
          <t>cedente_originador_literal; papel_literal</t>
        </is>
      </c>
      <c r="R24" s="74" t="b">
        <v>1</v>
      </c>
      <c r="S24" s="74" t="inlineStr">
        <is>
          <t>overlay aplicado somente em lacunas</t>
        </is>
      </c>
    </row>
    <row r="25" ht="36" customHeight="1">
      <c r="A25" s="160" t="inlineStr">
        <is>
          <t>50089559</t>
        </is>
      </c>
      <c r="B25" s="161" t="n">
        <v>50089559000108</v>
      </c>
      <c r="C25" s="75" t="inlineStr">
        <is>
          <t>cnpj_informado</t>
        </is>
      </c>
      <c r="D25" s="75" t="inlineStr">
        <is>
          <t>AGRICONNECTION FIAGRO DIREITOS CREDITORIOS</t>
        </is>
      </c>
      <c r="E25" s="75" t="inlineStr">
        <is>
          <t>Agriconnection</t>
        </is>
      </c>
      <c r="F25" s="75" t="inlineStr">
        <is>
          <t>cedente</t>
        </is>
      </c>
      <c r="G25" s="75" t="inlineStr">
        <is>
          <t>N/D</t>
        </is>
      </c>
      <c r="H25" s="75" t="inlineStr">
        <is>
          <t>Agriconnection</t>
        </is>
      </c>
      <c r="I25" s="75" t="inlineStr">
        <is>
          <t>N/D</t>
        </is>
      </c>
      <c r="J25" s="75" t="inlineStr">
        <is>
          <t>Insumos Agrícolas - prazo Safra</t>
        </is>
      </c>
      <c r="K25" s="75" t="inlineStr">
        <is>
          <t>IMG_8704.JPG</t>
        </is>
      </c>
      <c r="L25" s="75" t="inlineStr">
        <is>
          <t>planilha amarela; linha da raiz 50089559</t>
        </is>
      </c>
      <c r="M25" s="75" t="inlineStr">
        <is>
          <t>confirmado_legivel</t>
        </is>
      </c>
      <c r="N25" s="75" t="inlineStr">
        <is>
          <t>alta</t>
        </is>
      </c>
      <c r="O25" s="75" t="inlineStr">
        <is>
          <t>N/D</t>
        </is>
      </c>
      <c r="P25" s="75" t="inlineStr">
        <is>
          <t>Carteira 101</t>
        </is>
      </c>
      <c r="Q25" s="75" t="inlineStr">
        <is>
          <t>cedente_originador_literal; papel_literal</t>
        </is>
      </c>
      <c r="R25" s="75" t="b">
        <v>1</v>
      </c>
      <c r="S25" s="75" t="inlineStr">
        <is>
          <t>overlay aplicado somente em lacunas</t>
        </is>
      </c>
    </row>
    <row r="26" ht="36" customHeight="1">
      <c r="A26" s="158" t="inlineStr">
        <is>
          <t>57131490</t>
        </is>
      </c>
      <c r="B26" s="159" t="n">
        <v>57131490000182</v>
      </c>
      <c r="C26" s="74" t="inlineStr">
        <is>
          <t>cnpj_informado</t>
        </is>
      </c>
      <c r="D26" s="74" t="inlineStr">
        <is>
          <t>PONTO RURAL FIAGRO FIDC LTDA</t>
        </is>
      </c>
      <c r="E26" s="74" t="inlineStr">
        <is>
          <t>PONTO RURAL</t>
        </is>
      </c>
      <c r="F26" s="74" t="inlineStr">
        <is>
          <t>cedente</t>
        </is>
      </c>
      <c r="G26" s="74" t="inlineStr">
        <is>
          <t>N/D</t>
        </is>
      </c>
      <c r="H26" s="74" t="inlineStr">
        <is>
          <t>PONTO RURAL</t>
        </is>
      </c>
      <c r="I26" s="74" t="inlineStr">
        <is>
          <t>N/D</t>
        </is>
      </c>
      <c r="J26" s="74" t="inlineStr">
        <is>
          <t>Insumos Agrícolas - prazo Safra</t>
        </is>
      </c>
      <c r="K26" s="74" t="inlineStr">
        <is>
          <t>IMG_8704.JPG</t>
        </is>
      </c>
      <c r="L26" s="74" t="inlineStr">
        <is>
          <t>planilha amarela; linha da raiz 57131490</t>
        </is>
      </c>
      <c r="M26" s="74" t="inlineStr">
        <is>
          <t>confirmado_legivel</t>
        </is>
      </c>
      <c r="N26" s="74" t="inlineStr">
        <is>
          <t>alta</t>
        </is>
      </c>
      <c r="O26" s="74" t="inlineStr">
        <is>
          <t>N/D</t>
        </is>
      </c>
      <c r="P26" s="74" t="inlineStr">
        <is>
          <t>Carteira 101</t>
        </is>
      </c>
      <c r="Q26" s="74" t="inlineStr">
        <is>
          <t>cedente_originador_literal; papel_literal</t>
        </is>
      </c>
      <c r="R26" s="74" t="b">
        <v>1</v>
      </c>
      <c r="S26" s="74" t="inlineStr">
        <is>
          <t>overlay aplicado somente em lacunas</t>
        </is>
      </c>
    </row>
    <row r="27" ht="36" customHeight="1">
      <c r="A27" s="160" t="inlineStr">
        <is>
          <t>47151680</t>
        </is>
      </c>
      <c r="B27" s="161" t="n">
        <v>47151680000108</v>
      </c>
      <c r="C27" s="75" t="inlineStr">
        <is>
          <t>cnpj_informado</t>
        </is>
      </c>
      <c r="D27" s="75" t="inlineStr">
        <is>
          <t>FARMTECH IBBA I FUNDO DE INVESTIMENTO EM DIREITOS...</t>
        </is>
      </c>
      <c r="E27" s="75" t="inlineStr">
        <is>
          <t>Multicedentes</t>
        </is>
      </c>
      <c r="F27" s="75" t="inlineStr">
        <is>
          <t>cedente</t>
        </is>
      </c>
      <c r="G27" s="75" t="inlineStr">
        <is>
          <t>N/D</t>
        </is>
      </c>
      <c r="H27" s="75" t="inlineStr">
        <is>
          <t>Multicedentes</t>
        </is>
      </c>
      <c r="I27" s="75" t="inlineStr">
        <is>
          <t>N/D</t>
        </is>
      </c>
      <c r="J27" s="75" t="inlineStr">
        <is>
          <t>N/D</t>
        </is>
      </c>
      <c r="K27" s="75" t="inlineStr">
        <is>
          <t>IMG_8704.JPG</t>
        </is>
      </c>
      <c r="L27" s="75" t="inlineStr">
        <is>
          <t>planilha amarela; linha da raiz 47151680</t>
        </is>
      </c>
      <c r="M27" s="75" t="inlineStr">
        <is>
          <t>confirmado_legivel</t>
        </is>
      </c>
      <c r="N27" s="75" t="inlineStr">
        <is>
          <t>alta</t>
        </is>
      </c>
      <c r="O27" s="75" t="inlineStr">
        <is>
          <t>OBS da foto: Multicedente análise FARM; fomos 100% resgatados em out/25. Denominação cortada.</t>
        </is>
      </c>
      <c r="P27" s="75" t="inlineStr">
        <is>
          <t>Carteira 101</t>
        </is>
      </c>
      <c r="Q27" s="75" t="inlineStr">
        <is>
          <t>cedente_originador_literal; papel_literal</t>
        </is>
      </c>
      <c r="R27" s="75" t="b">
        <v>1</v>
      </c>
      <c r="S27" s="75" t="inlineStr">
        <is>
          <t>overlay aplicado somente em lacunas</t>
        </is>
      </c>
    </row>
    <row r="28" ht="36" customHeight="1">
      <c r="A28" s="158" t="inlineStr">
        <is>
          <t>43309233</t>
        </is>
      </c>
      <c r="B28" s="159" t="n">
        <v>43309233000183</v>
      </c>
      <c r="C28" s="74" t="inlineStr">
        <is>
          <t>cnpj_informado</t>
        </is>
      </c>
      <c r="D28" s="74" t="inlineStr">
        <is>
          <t>FUNDO DE INVESTIMENTO EM DIREITOS CREDITORIOS LIVE</t>
        </is>
      </c>
      <c r="E28" s="74" t="inlineStr">
        <is>
          <t>Adama</t>
        </is>
      </c>
      <c r="F28" s="74" t="inlineStr">
        <is>
          <t>cedente</t>
        </is>
      </c>
      <c r="G28" s="74" t="inlineStr">
        <is>
          <t>N/D</t>
        </is>
      </c>
      <c r="H28" s="74" t="inlineStr">
        <is>
          <t>Adama</t>
        </is>
      </c>
      <c r="I28" s="74" t="inlineStr">
        <is>
          <t>N/D</t>
        </is>
      </c>
      <c r="J28" s="74" t="inlineStr">
        <is>
          <t>Insumos Agrícolas - prazo Safra</t>
        </is>
      </c>
      <c r="K28" s="74" t="inlineStr">
        <is>
          <t>IMG_8704.JPG</t>
        </is>
      </c>
      <c r="L28" s="74" t="inlineStr">
        <is>
          <t>planilha amarela; linha da raiz 43309233</t>
        </is>
      </c>
      <c r="M28" s="74" t="inlineStr">
        <is>
          <t>confirmado_legivel</t>
        </is>
      </c>
      <c r="N28" s="74" t="inlineStr">
        <is>
          <t>alta</t>
        </is>
      </c>
      <c r="O28" s="74" t="inlineStr">
        <is>
          <t>OBS da foto: fomos 100% resgatados em out/25.</t>
        </is>
      </c>
      <c r="P28" s="74" t="inlineStr">
        <is>
          <t>Carteira 101</t>
        </is>
      </c>
      <c r="Q28" s="74" t="inlineStr">
        <is>
          <t>cedente_originador_literal; papel_literal</t>
        </is>
      </c>
      <c r="R28" s="74" t="b">
        <v>1</v>
      </c>
      <c r="S28" s="74" t="inlineStr">
        <is>
          <t>overlay aplicado somente em lacunas</t>
        </is>
      </c>
    </row>
    <row r="29" ht="36" customHeight="1">
      <c r="A29" s="160" t="inlineStr">
        <is>
          <t>43616659</t>
        </is>
      </c>
      <c r="B29" s="161" t="n">
        <v>43616659000180</v>
      </c>
      <c r="C29" s="75" t="inlineStr">
        <is>
          <t>cnpj_informado</t>
        </is>
      </c>
      <c r="D29" s="75" t="inlineStr">
        <is>
          <t>TALO 1 FUNDO DE INVESTIMENTO EM DIREITOS CREDITORI...</t>
        </is>
      </c>
      <c r="E29" s="75" t="inlineStr">
        <is>
          <t>Yara</t>
        </is>
      </c>
      <c r="F29" s="75" t="inlineStr">
        <is>
          <t>cedente</t>
        </is>
      </c>
      <c r="G29" s="75" t="inlineStr">
        <is>
          <t>N/D</t>
        </is>
      </c>
      <c r="H29" s="75" t="inlineStr">
        <is>
          <t>Yara</t>
        </is>
      </c>
      <c r="I29" s="75" t="inlineStr">
        <is>
          <t>N/D</t>
        </is>
      </c>
      <c r="J29" s="75" t="inlineStr">
        <is>
          <t>N/D</t>
        </is>
      </c>
      <c r="K29" s="75" t="inlineStr">
        <is>
          <t>IMG_8704.JPG</t>
        </is>
      </c>
      <c r="L29" s="75" t="inlineStr">
        <is>
          <t>planilha amarela; linha da raiz 43616659</t>
        </is>
      </c>
      <c r="M29" s="75" t="inlineStr">
        <is>
          <t>confirmado_legivel</t>
        </is>
      </c>
      <c r="N29" s="75" t="inlineStr">
        <is>
          <t>alta</t>
        </is>
      </c>
      <c r="O29" s="75" t="inlineStr">
        <is>
          <t>OBS da foto: subordinação mínima próxima ao limiar (atual Baa3). Denominação cortada.</t>
        </is>
      </c>
      <c r="P29" s="75" t="inlineStr">
        <is>
          <t>Carteira 101</t>
        </is>
      </c>
      <c r="Q29" s="75" t="inlineStr">
        <is>
          <t>cedente_originador_literal; papel_literal</t>
        </is>
      </c>
      <c r="R29" s="75" t="b">
        <v>1</v>
      </c>
      <c r="S29" s="75" t="inlineStr">
        <is>
          <t>overlay aplicado somente em lacunas</t>
        </is>
      </c>
    </row>
    <row r="30" ht="36" customHeight="1">
      <c r="A30" s="158" t="inlineStr">
        <is>
          <t>52343195</t>
        </is>
      </c>
      <c r="B30" s="159" t="n">
        <v>52343195000176</v>
      </c>
      <c r="C30" s="74" t="inlineStr">
        <is>
          <t>cnpj_informado</t>
        </is>
      </c>
      <c r="D30" s="74" t="inlineStr">
        <is>
          <t>FARMTECH SYNGENTA FUNDO DE INVESTIMENTO EM DIREITO...</t>
        </is>
      </c>
      <c r="E30" s="74" t="inlineStr">
        <is>
          <t>Multicedentes</t>
        </is>
      </c>
      <c r="F30" s="74" t="inlineStr">
        <is>
          <t>cedente</t>
        </is>
      </c>
      <c r="G30" s="74" t="inlineStr">
        <is>
          <t>N/D</t>
        </is>
      </c>
      <c r="H30" s="74" t="inlineStr">
        <is>
          <t>Multicedentes</t>
        </is>
      </c>
      <c r="I30" s="74" t="inlineStr">
        <is>
          <t>N/D</t>
        </is>
      </c>
      <c r="J30" s="74" t="inlineStr">
        <is>
          <t>N/D</t>
        </is>
      </c>
      <c r="K30" s="74" t="inlineStr">
        <is>
          <t>IMG_8704.JPG</t>
        </is>
      </c>
      <c r="L30" s="74" t="inlineStr">
        <is>
          <t>planilha amarela; linha da raiz 52343195</t>
        </is>
      </c>
      <c r="M30" s="74" t="inlineStr">
        <is>
          <t>confirmado_legivel</t>
        </is>
      </c>
      <c r="N30" s="74" t="inlineStr">
        <is>
          <t>alta</t>
        </is>
      </c>
      <c r="O30" s="74" t="inlineStr">
        <is>
          <t>OBS da foto: Multicedente análise FARM. Denominação cortada.</t>
        </is>
      </c>
      <c r="P30" s="74" t="inlineStr">
        <is>
          <t>Carteira 101</t>
        </is>
      </c>
      <c r="Q30" s="74" t="inlineStr">
        <is>
          <t>cedente_originador_literal; papel_literal</t>
        </is>
      </c>
      <c r="R30" s="74" t="b">
        <v>1</v>
      </c>
      <c r="S30" s="74" t="inlineStr">
        <is>
          <t>overlay aplicado somente em lacunas</t>
        </is>
      </c>
    </row>
    <row r="31" ht="36" customHeight="1">
      <c r="A31" s="160" t="inlineStr">
        <is>
          <t>44574361</t>
        </is>
      </c>
      <c r="B31" s="161" t="n">
        <v>44574361000117</v>
      </c>
      <c r="C31" s="75" t="inlineStr">
        <is>
          <t>cnpj_informado</t>
        </is>
      </c>
      <c r="D31" s="75" t="inlineStr">
        <is>
          <t>FUNDO DE INVESTIMENTO EM DIREITOS CREDITORIOS UPL</t>
        </is>
      </c>
      <c r="E31" s="75" t="inlineStr">
        <is>
          <t>UPL</t>
        </is>
      </c>
      <c r="F31" s="75" t="inlineStr">
        <is>
          <t>cedente</t>
        </is>
      </c>
      <c r="G31" s="75" t="inlineStr">
        <is>
          <t>N/D</t>
        </is>
      </c>
      <c r="H31" s="75" t="inlineStr">
        <is>
          <t>UPL</t>
        </is>
      </c>
      <c r="I31" s="75" t="inlineStr">
        <is>
          <t>N/D</t>
        </is>
      </c>
      <c r="J31" s="75" t="inlineStr">
        <is>
          <t>Insumos Agrícolas - prazo Safra</t>
        </is>
      </c>
      <c r="K31" s="75" t="inlineStr">
        <is>
          <t>IMG_8704.JPG</t>
        </is>
      </c>
      <c r="L31" s="75" t="inlineStr">
        <is>
          <t>planilha amarela; linha da raiz 44574361</t>
        </is>
      </c>
      <c r="M31" s="75" t="inlineStr">
        <is>
          <t>confirmado_legivel</t>
        </is>
      </c>
      <c r="N31" s="75" t="inlineStr">
        <is>
          <t>alta</t>
        </is>
      </c>
      <c r="O31" s="75" t="inlineStr">
        <is>
          <t>N/D</t>
        </is>
      </c>
      <c r="P31" s="75" t="inlineStr">
        <is>
          <t>Carteira 101</t>
        </is>
      </c>
      <c r="Q31" s="75" t="inlineStr">
        <is>
          <t>cedente_originador_literal; papel_literal</t>
        </is>
      </c>
      <c r="R31" s="75" t="b">
        <v>1</v>
      </c>
      <c r="S31" s="75" t="inlineStr">
        <is>
          <t>overlay aplicado somente em lacunas</t>
        </is>
      </c>
    </row>
    <row r="32" ht="36" customHeight="1">
      <c r="A32" s="158" t="inlineStr">
        <is>
          <t>38376526</t>
        </is>
      </c>
      <c r="B32" s="159" t="n">
        <v>38376526000143</v>
      </c>
      <c r="C32" s="74" t="inlineStr">
        <is>
          <t>cnpj_informado</t>
        </is>
      </c>
      <c r="D32" s="74" t="inlineStr">
        <is>
          <t>HOTFUND FIDC</t>
        </is>
      </c>
      <c r="E32" s="74" t="inlineStr">
        <is>
          <t>Hotmart</t>
        </is>
      </c>
      <c r="F32" s="74" t="inlineStr">
        <is>
          <t>cedente</t>
        </is>
      </c>
      <c r="G32" s="74" t="inlineStr">
        <is>
          <t>N/D</t>
        </is>
      </c>
      <c r="H32" s="74" t="inlineStr">
        <is>
          <t>Hotmart</t>
        </is>
      </c>
      <c r="I32" s="74" t="inlineStr">
        <is>
          <t>N/D</t>
        </is>
      </c>
      <c r="J32" s="74" t="inlineStr">
        <is>
          <t>antecipação de parcelas de criadores de conteúdo</t>
        </is>
      </c>
      <c r="K32" s="74" t="inlineStr">
        <is>
          <t>IMG_8705.JPG</t>
        </is>
      </c>
      <c r="L32" s="74" t="inlineStr">
        <is>
          <t>planilha amarela; linha da raiz 38376526</t>
        </is>
      </c>
      <c r="M32" s="74" t="inlineStr">
        <is>
          <t>confirmado_legivel</t>
        </is>
      </c>
      <c r="N32" s="74" t="inlineStr">
        <is>
          <t>média</t>
        </is>
      </c>
      <c r="O32" s="74" t="inlineStr">
        <is>
          <t>OBS parcialmente legível: FIDC antecipa recebíveis de funding para a Hotmart antecipar parcelas aos criadores de conteúdo; final cortado pela foto.</t>
        </is>
      </c>
      <c r="P32" s="74" t="inlineStr">
        <is>
          <t>Carteira 101</t>
        </is>
      </c>
      <c r="Q32" s="74" t="inlineStr">
        <is>
          <t>cedente_originador_literal; papel_literal</t>
        </is>
      </c>
      <c r="R32" s="74" t="b">
        <v>1</v>
      </c>
      <c r="S32" s="74" t="inlineStr">
        <is>
          <t>overlay aplicado somente em lacunas</t>
        </is>
      </c>
    </row>
    <row r="33" ht="36" customHeight="1">
      <c r="A33" s="160" t="inlineStr">
        <is>
          <t>45598747</t>
        </is>
      </c>
      <c r="B33" s="161" t="n">
        <v>45598747000121</v>
      </c>
      <c r="C33" s="75" t="inlineStr">
        <is>
          <t>cnpj_informado</t>
        </is>
      </c>
      <c r="D33" s="75" t="inlineStr">
        <is>
          <t>FIDC SUMIP</t>
        </is>
      </c>
      <c r="E33" s="75" t="inlineStr">
        <is>
          <t>Sumup IP</t>
        </is>
      </c>
      <c r="F33" s="75" t="inlineStr">
        <is>
          <t>cedente</t>
        </is>
      </c>
      <c r="G33" s="75" t="inlineStr">
        <is>
          <t>N/D</t>
        </is>
      </c>
      <c r="H33" s="75" t="inlineStr">
        <is>
          <t>Sumup IP</t>
        </is>
      </c>
      <c r="I33" s="75" t="inlineStr">
        <is>
          <t>N/D</t>
        </is>
      </c>
      <c r="J33" s="75" t="inlineStr">
        <is>
          <t>N/D</t>
        </is>
      </c>
      <c r="K33" s="75" t="inlineStr">
        <is>
          <t>IMG_8705.JPG</t>
        </is>
      </c>
      <c r="L33" s="75" t="inlineStr">
        <is>
          <t>planilha amarela; linha da raiz 45598747</t>
        </is>
      </c>
      <c r="M33" s="75" t="inlineStr">
        <is>
          <t>confirmado_legivel</t>
        </is>
      </c>
      <c r="N33" s="75" t="inlineStr">
        <is>
          <t>alta</t>
        </is>
      </c>
      <c r="O33" s="75" t="inlineStr">
        <is>
          <t>OBS da foto: Risco Banco Emissor Itaú.</t>
        </is>
      </c>
      <c r="P33" s="75" t="inlineStr">
        <is>
          <t>Carteira 101</t>
        </is>
      </c>
      <c r="Q33" s="75" t="inlineStr">
        <is>
          <t>cedente_originador_literal; papel_literal</t>
        </is>
      </c>
      <c r="R33" s="75" t="b">
        <v>1</v>
      </c>
      <c r="S33" s="75" t="inlineStr">
        <is>
          <t>overlay aplicado somente em lacunas</t>
        </is>
      </c>
    </row>
    <row r="34" ht="36" customHeight="1">
      <c r="A34" s="158" t="inlineStr">
        <is>
          <t>41197066</t>
        </is>
      </c>
      <c r="B34" s="159" t="n">
        <v>41197066000109</v>
      </c>
      <c r="C34" s="74" t="inlineStr">
        <is>
          <t>cnpj_informado</t>
        </is>
      </c>
      <c r="D34" s="74" t="inlineStr">
        <is>
          <t>MOVILEPAY CREDITO I FIDC SEGMENTO FINANCEIRO DE RE...</t>
        </is>
      </c>
      <c r="E34" s="74" t="inlineStr">
        <is>
          <t>MovilePay / iFood</t>
        </is>
      </c>
      <c r="F34" s="74" t="inlineStr">
        <is>
          <t>cedente</t>
        </is>
      </c>
      <c r="G34" s="74" t="inlineStr">
        <is>
          <t>N/D</t>
        </is>
      </c>
      <c r="H34" s="74" t="inlineStr">
        <is>
          <t>MovilePay / iFood</t>
        </is>
      </c>
      <c r="I34" s="74" t="inlineStr">
        <is>
          <t>N/D</t>
        </is>
      </c>
      <c r="J34" s="74" t="inlineStr">
        <is>
          <t>CCB PJ - ecossistema iFood</t>
        </is>
      </c>
      <c r="K34" s="74" t="inlineStr">
        <is>
          <t>IMG_8705.JPG</t>
        </is>
      </c>
      <c r="L34" s="74" t="inlineStr">
        <is>
          <t>planilha amarela; linha da raiz 41197066</t>
        </is>
      </c>
      <c r="M34" s="74" t="inlineStr">
        <is>
          <t>confirmado_legivel</t>
        </is>
      </c>
      <c r="N34" s="74" t="inlineStr">
        <is>
          <t>alta</t>
        </is>
      </c>
      <c r="O34" s="74" t="inlineStr">
        <is>
          <t>Denominação cortada pela largura da coluna na foto.</t>
        </is>
      </c>
      <c r="P34" s="74" t="inlineStr">
        <is>
          <t>Carteira 101</t>
        </is>
      </c>
      <c r="Q34" s="74" t="inlineStr">
        <is>
          <t>cedente_originador_literal; papel_literal</t>
        </is>
      </c>
      <c r="R34" s="74" t="b">
        <v>1</v>
      </c>
      <c r="S34" s="74" t="inlineStr">
        <is>
          <t>overlay aplicado somente em lacunas</t>
        </is>
      </c>
    </row>
    <row r="35" ht="36" customHeight="1">
      <c r="A35" s="160" t="inlineStr">
        <is>
          <t>44124617</t>
        </is>
      </c>
      <c r="B35" s="161" t="n">
        <v>44124617000194</v>
      </c>
      <c r="C35" s="75" t="inlineStr">
        <is>
          <t>cnpj_informado</t>
        </is>
      </c>
      <c r="D35" s="75" t="inlineStr">
        <is>
          <t>CLOUDWALK AKIRA II FUNDO DE INVESTIMENTO EM DIREIT...</t>
        </is>
      </c>
      <c r="E35" s="75" t="inlineStr">
        <is>
          <t>Cloudwalk</t>
        </is>
      </c>
      <c r="F35" s="75" t="inlineStr">
        <is>
          <t>cedente</t>
        </is>
      </c>
      <c r="G35" s="75" t="inlineStr">
        <is>
          <t>N/D</t>
        </is>
      </c>
      <c r="H35" s="75" t="inlineStr">
        <is>
          <t>Cloudwalk</t>
        </is>
      </c>
      <c r="I35" s="75" t="inlineStr">
        <is>
          <t>N/D</t>
        </is>
      </c>
      <c r="J35" s="75" t="inlineStr">
        <is>
          <t>N/D</t>
        </is>
      </c>
      <c r="K35" s="75" t="inlineStr">
        <is>
          <t>IMG_8705.JPG</t>
        </is>
      </c>
      <c r="L35" s="75" t="inlineStr">
        <is>
          <t>planilha amarela; linha da raiz 44124617</t>
        </is>
      </c>
      <c r="M35" s="75" t="inlineStr">
        <is>
          <t>confirmado_legivel</t>
        </is>
      </c>
      <c r="N35" s="75" t="inlineStr">
        <is>
          <t>alta</t>
        </is>
      </c>
      <c r="O35" s="75" t="inlineStr">
        <is>
          <t>OBS da foto: Alongamento discutido recentemente (mas com run-off). Denominação cortada.</t>
        </is>
      </c>
      <c r="P35" s="75" t="inlineStr">
        <is>
          <t>Carteira 101</t>
        </is>
      </c>
      <c r="Q35" s="75" t="inlineStr">
        <is>
          <t>cedente_originador_literal; papel_literal</t>
        </is>
      </c>
      <c r="R35" s="75" t="b">
        <v>1</v>
      </c>
      <c r="S35" s="75" t="inlineStr">
        <is>
          <t>overlay aplicado somente em lacunas</t>
        </is>
      </c>
    </row>
    <row r="36" ht="36" customHeight="1">
      <c r="A36" s="158" t="inlineStr">
        <is>
          <t>42085816</t>
        </is>
      </c>
      <c r="B36" s="159" t="n">
        <v>42085816000105</v>
      </c>
      <c r="C36" s="74" t="inlineStr">
        <is>
          <t>cnpj_informado</t>
        </is>
      </c>
      <c r="D36" s="74" t="inlineStr">
        <is>
          <t>CLOUDWALK KICK ASS I FUNDO DE INVESTIMENTO EM DIRE...</t>
        </is>
      </c>
      <c r="E36" s="74" t="inlineStr">
        <is>
          <t>Cloudwalk IP</t>
        </is>
      </c>
      <c r="F36" s="74" t="inlineStr">
        <is>
          <t>cedente</t>
        </is>
      </c>
      <c r="G36" s="74" t="inlineStr">
        <is>
          <t>N/D</t>
        </is>
      </c>
      <c r="H36" s="74" t="inlineStr">
        <is>
          <t>Cloudwalk IP</t>
        </is>
      </c>
      <c r="I36" s="74" t="inlineStr">
        <is>
          <t>N/D</t>
        </is>
      </c>
      <c r="J36" s="74" t="inlineStr">
        <is>
          <t>N/D</t>
        </is>
      </c>
      <c r="K36" s="74" t="inlineStr">
        <is>
          <t>IMG_8705.JPG</t>
        </is>
      </c>
      <c r="L36" s="74" t="inlineStr">
        <is>
          <t>planilha amarela; linha da raiz 42085816</t>
        </is>
      </c>
      <c r="M36" s="74" t="inlineStr">
        <is>
          <t>confirmado_legivel</t>
        </is>
      </c>
      <c r="N36" s="74" t="inlineStr">
        <is>
          <t>alta</t>
        </is>
      </c>
      <c r="O36" s="74" t="inlineStr">
        <is>
          <t>OBS da foto: Risco Banco Emissor Itaú. Denominação cortada.</t>
        </is>
      </c>
      <c r="P36" s="74" t="inlineStr">
        <is>
          <t>Carteira 101</t>
        </is>
      </c>
      <c r="Q36" s="74" t="inlineStr">
        <is>
          <t>cedente_originador_literal; papel_literal</t>
        </is>
      </c>
      <c r="R36" s="74" t="b">
        <v>1</v>
      </c>
      <c r="S36" s="74" t="inlineStr">
        <is>
          <t>overlay aplicado somente em lacunas</t>
        </is>
      </c>
    </row>
    <row r="37" ht="36" customHeight="1">
      <c r="A37" s="160" t="inlineStr">
        <is>
          <t>38385876</t>
        </is>
      </c>
      <c r="B37" s="161" t="n">
        <v>38385876000176</v>
      </c>
      <c r="C37" s="75" t="inlineStr">
        <is>
          <t>cnpj_informado</t>
        </is>
      </c>
      <c r="D37" s="75" t="inlineStr">
        <is>
          <t>ESTRATEGIA EDUCACIONAL FIDC</t>
        </is>
      </c>
      <c r="E37" s="75" t="inlineStr">
        <is>
          <t>Estratégia Concursos</t>
        </is>
      </c>
      <c r="F37" s="75" t="inlineStr">
        <is>
          <t>cedente</t>
        </is>
      </c>
      <c r="G37" s="75" t="inlineStr">
        <is>
          <t>N/D</t>
        </is>
      </c>
      <c r="H37" s="75" t="inlineStr">
        <is>
          <t>Estratégia Concursos</t>
        </is>
      </c>
      <c r="I37" s="75" t="inlineStr">
        <is>
          <t>N/D</t>
        </is>
      </c>
      <c r="J37" s="75" t="inlineStr">
        <is>
          <t>recebíveis de cartão oriundos da venda de planos de cursos preparatórios</t>
        </is>
      </c>
      <c r="K37" s="75" t="inlineStr">
        <is>
          <t>IMG_8705.JPG</t>
        </is>
      </c>
      <c r="L37" s="75" t="inlineStr">
        <is>
          <t>planilha amarela; linha da raiz 38385876</t>
        </is>
      </c>
      <c r="M37" s="75" t="inlineStr">
        <is>
          <t>confirmado_legivel</t>
        </is>
      </c>
      <c r="N37" s="75" t="inlineStr">
        <is>
          <t>alta</t>
        </is>
      </c>
      <c r="O37" s="75" t="inlineStr">
        <is>
          <t>N/D</t>
        </is>
      </c>
      <c r="P37" s="75" t="inlineStr">
        <is>
          <t>Carteira 101</t>
        </is>
      </c>
      <c r="Q37" s="75" t="inlineStr">
        <is>
          <t>cedente_originador_literal; papel_literal</t>
        </is>
      </c>
      <c r="R37" s="75" t="b">
        <v>1</v>
      </c>
      <c r="S37" s="75" t="inlineStr">
        <is>
          <t>overlay aplicado somente em lacunas</t>
        </is>
      </c>
    </row>
    <row r="38" ht="36" customHeight="1">
      <c r="A38" s="158" t="inlineStr">
        <is>
          <t>40919667</t>
        </is>
      </c>
      <c r="B38" s="159" t="n">
        <v>40919667000107</v>
      </c>
      <c r="C38" s="74" t="inlineStr">
        <is>
          <t>cnpj_informado</t>
        </is>
      </c>
      <c r="D38" s="74" t="inlineStr">
        <is>
          <t>RECARGAPAY I FUNDO DE INVESTIMENTO EM DIREITOS CRE...</t>
        </is>
      </c>
      <c r="E38" s="74" t="inlineStr">
        <is>
          <t>RecargaPay</t>
        </is>
      </c>
      <c r="F38" s="74" t="inlineStr">
        <is>
          <t>cedente</t>
        </is>
      </c>
      <c r="G38" s="74" t="inlineStr">
        <is>
          <t>N/D</t>
        </is>
      </c>
      <c r="H38" s="74" t="inlineStr">
        <is>
          <t>RecargaPay</t>
        </is>
      </c>
      <c r="I38" s="74" t="inlineStr">
        <is>
          <t>N/D</t>
        </is>
      </c>
      <c r="J38" s="74" t="inlineStr">
        <is>
          <t>recebíveis de cartão</t>
        </is>
      </c>
      <c r="K38" s="74" t="inlineStr">
        <is>
          <t>IMG_8705.JPG</t>
        </is>
      </c>
      <c r="L38" s="74" t="inlineStr">
        <is>
          <t>planilha amarela; linha da raiz 40919667</t>
        </is>
      </c>
      <c r="M38" s="74" t="inlineStr">
        <is>
          <t>confirmado_legivel</t>
        </is>
      </c>
      <c r="N38" s="74" t="inlineStr">
        <is>
          <t>alta</t>
        </is>
      </c>
      <c r="O38" s="74" t="inlineStr">
        <is>
          <t>OBS da foto: FIDC "Bolso próprio", onde a Recarga fez aportes iniciais e utiliza o veículo para antecipar os recebíveis de cartão. Denominação cortada.</t>
        </is>
      </c>
      <c r="P38" s="74" t="inlineStr">
        <is>
          <t>Carteira 101</t>
        </is>
      </c>
      <c r="Q38" s="74" t="inlineStr">
        <is>
          <t>cedente_originador_literal; papel_literal</t>
        </is>
      </c>
      <c r="R38" s="74" t="b">
        <v>1</v>
      </c>
      <c r="S38" s="74" t="inlineStr">
        <is>
          <t>overlay aplicado somente em lacunas</t>
        </is>
      </c>
    </row>
    <row r="39" ht="36" customHeight="1">
      <c r="A39" s="160" t="inlineStr">
        <is>
          <t>42102603</t>
        </is>
      </c>
      <c r="B39" s="161" t="n">
        <v>42102603000144</v>
      </c>
      <c r="C39" s="75" t="inlineStr">
        <is>
          <t>cnpj_informado</t>
        </is>
      </c>
      <c r="D39" s="75" t="inlineStr">
        <is>
          <t>CLOUDWALK KICK ASS II FUNDO DE INVESTIMENTO EM DIR...</t>
        </is>
      </c>
      <c r="E39" s="75" t="inlineStr">
        <is>
          <t>Cloudwalk</t>
        </is>
      </c>
      <c r="F39" s="75" t="inlineStr">
        <is>
          <t>cedente</t>
        </is>
      </c>
      <c r="G39" s="75" t="inlineStr">
        <is>
          <t>N/D</t>
        </is>
      </c>
      <c r="H39" s="75" t="inlineStr">
        <is>
          <t>Cloudwalk</t>
        </is>
      </c>
      <c r="I39" s="75" t="inlineStr">
        <is>
          <t>N/D</t>
        </is>
      </c>
      <c r="J39" s="75" t="inlineStr">
        <is>
          <t>N/D</t>
        </is>
      </c>
      <c r="K39" s="75" t="inlineStr">
        <is>
          <t>IMG_8705.JPG</t>
        </is>
      </c>
      <c r="L39" s="75" t="inlineStr">
        <is>
          <t>planilha amarela; linha da raiz 42102603</t>
        </is>
      </c>
      <c r="M39" s="75" t="inlineStr">
        <is>
          <t>confirmado_legivel</t>
        </is>
      </c>
      <c r="N39" s="75" t="inlineStr">
        <is>
          <t>alta</t>
        </is>
      </c>
      <c r="O39" s="75" t="inlineStr">
        <is>
          <t>OBS da foto: Alongamento discutido recentemente (mas com run-off). Denominação cortada.</t>
        </is>
      </c>
      <c r="P39" s="75" t="inlineStr">
        <is>
          <t>Carteira 101</t>
        </is>
      </c>
      <c r="Q39" s="75" t="inlineStr">
        <is>
          <t>cedente_originador_literal; papel_literal</t>
        </is>
      </c>
      <c r="R39" s="75" t="b">
        <v>1</v>
      </c>
      <c r="S39" s="75" t="inlineStr">
        <is>
          <t>overlay aplicado somente em lacunas</t>
        </is>
      </c>
    </row>
    <row r="40" ht="36" customHeight="1">
      <c r="A40" s="158" t="inlineStr">
        <is>
          <t>28169275</t>
        </is>
      </c>
      <c r="B40" s="159" t="n">
        <v>28169275000172</v>
      </c>
      <c r="C40" s="74" t="inlineStr">
        <is>
          <t>cnpj_informado</t>
        </is>
      </c>
      <c r="D40" s="74" t="inlineStr">
        <is>
          <t>FUNDO DE INVESTIMENTO EM DIREITOS CREDITORIOS PAGS...</t>
        </is>
      </c>
      <c r="E40" s="74" t="inlineStr">
        <is>
          <t>PagBank (originador) | PagSeguro (cedente)</t>
        </is>
      </c>
      <c r="F40" s="74" t="inlineStr">
        <is>
          <t>originador | cedente</t>
        </is>
      </c>
      <c r="G40" s="74" t="inlineStr">
        <is>
          <t>PagBank</t>
        </is>
      </c>
      <c r="H40" s="74" t="inlineStr">
        <is>
          <t>PagSeguro</t>
        </is>
      </c>
      <c r="I40" s="74" t="inlineStr">
        <is>
          <t>N/D</t>
        </is>
      </c>
      <c r="J40" s="74" t="inlineStr">
        <is>
          <t>recebíveis dos ECs</t>
        </is>
      </c>
      <c r="K40" s="74" t="inlineStr">
        <is>
          <t>IMG_8698.jpg + IMG_8705.JPG</t>
        </is>
      </c>
      <c r="L40" s="74" t="inlineStr">
        <is>
          <t>Top 15 Financeiro; planilha amarela, linha da raiz 28169275</t>
        </is>
      </c>
      <c r="M40" s="74" t="inlineStr">
        <is>
          <t>confirmado_legivel</t>
        </is>
      </c>
      <c r="N40" s="74" t="inlineStr">
        <is>
          <t>alta</t>
        </is>
      </c>
      <c r="O40" s="74" t="inlineStr">
        <is>
          <t>IMG_8698 identifica PagBank como originador; IMG_8705 identifica PagSeguro como cedente e recebíveis dos ECs.</t>
        </is>
      </c>
      <c r="P40" s="74" t="inlineStr">
        <is>
          <t>Carteira 101; Flagships</t>
        </is>
      </c>
      <c r="Q40" s="74" t="inlineStr">
        <is>
          <t>cedente_originador_literal; papel_literal; originador; cedente; tipo_recebivel_literal</t>
        </is>
      </c>
      <c r="R40" s="74" t="b">
        <v>1</v>
      </c>
      <c r="S40" s="74" t="inlineStr">
        <is>
          <t>overlay aplicado somente em lacunas</t>
        </is>
      </c>
    </row>
    <row r="41" ht="36" customHeight="1">
      <c r="A41" s="160" t="inlineStr">
        <is>
          <t>38658727</t>
        </is>
      </c>
      <c r="B41" s="161" t="n">
        <v>38658727000133</v>
      </c>
      <c r="C41" s="75" t="inlineStr">
        <is>
          <t>cnpj_informado</t>
        </is>
      </c>
      <c r="D41" s="75" t="inlineStr">
        <is>
          <t>FIDC FORNEC MADEIRA MADEIRA I</t>
        </is>
      </c>
      <c r="E41" s="75" t="inlineStr">
        <is>
          <t>Fornecedores: Madeira/Madeira</t>
        </is>
      </c>
      <c r="F41" s="75" t="inlineStr">
        <is>
          <t>cedente</t>
        </is>
      </c>
      <c r="G41" s="75" t="inlineStr">
        <is>
          <t>N/D</t>
        </is>
      </c>
      <c r="H41" s="75" t="inlineStr">
        <is>
          <t>Fornecedores: Madeira/Madeira</t>
        </is>
      </c>
      <c r="I41" s="75" t="inlineStr">
        <is>
          <t>Madeira/Madeira</t>
        </is>
      </c>
      <c r="J41" s="75" t="inlineStr">
        <is>
          <t>N/D</t>
        </is>
      </c>
      <c r="K41" s="75" t="inlineStr">
        <is>
          <t>IMG_8705.JPG</t>
        </is>
      </c>
      <c r="L41" s="75" t="inlineStr">
        <is>
          <t>planilha amarela; linha da raiz 38658727</t>
        </is>
      </c>
      <c r="M41" s="75" t="inlineStr">
        <is>
          <t>confirmado_legivel</t>
        </is>
      </c>
      <c r="N41" s="75" t="inlineStr">
        <is>
          <t>alta</t>
        </is>
      </c>
      <c r="O41" s="75" t="inlineStr">
        <is>
          <t>OBS da foto: FIDC Multicedente (Fornecedores) &amp; Monosacado (Madeira/Madeira). O sacado foi desmembrado somente porque a função Monosacado está escrita na fonte.</t>
        </is>
      </c>
      <c r="P41" s="75" t="inlineStr">
        <is>
          <t>Carteira 101</t>
        </is>
      </c>
      <c r="Q41" s="75" t="inlineStr">
        <is>
          <t>cedente_originador_literal; papel_literal</t>
        </is>
      </c>
      <c r="R41" s="75" t="b">
        <v>1</v>
      </c>
      <c r="S41" s="75" t="inlineStr">
        <is>
          <t>overlay aplicado somente em lacunas</t>
        </is>
      </c>
    </row>
    <row r="42" ht="36" customHeight="1">
      <c r="A42" s="158" t="inlineStr">
        <is>
          <t>52271464</t>
        </is>
      </c>
      <c r="B42" s="159" t="n">
        <v>52271464000136</v>
      </c>
      <c r="C42" s="74" t="inlineStr">
        <is>
          <t>cnpj_informado</t>
        </is>
      </c>
      <c r="D42" s="74" t="inlineStr">
        <is>
          <t>KIWIFY FUNDO DE INVESTIMENTO E...</t>
        </is>
      </c>
      <c r="E42" s="74" t="inlineStr">
        <is>
          <t>Infoprodutores, representados pela Kiwify Educa...</t>
        </is>
      </c>
      <c r="F42" s="74" t="inlineStr">
        <is>
          <t>cedente</t>
        </is>
      </c>
      <c r="G42" s="74" t="inlineStr">
        <is>
          <t>N/D</t>
        </is>
      </c>
      <c r="H42" s="74" t="inlineStr">
        <is>
          <t>Infoprodutores, representados pela Kiwify Educa...</t>
        </is>
      </c>
      <c r="I42" s="74" t="inlineStr">
        <is>
          <t>N/D</t>
        </is>
      </c>
      <c r="J42" s="74" t="inlineStr">
        <is>
          <t>REDE / CIELO</t>
        </is>
      </c>
      <c r="K42" s="74" t="inlineStr">
        <is>
          <t>IMG_8705.JPG</t>
        </is>
      </c>
      <c r="L42" s="74" t="inlineStr">
        <is>
          <t>planilha amarela; linha da raiz 52271464</t>
        </is>
      </c>
      <c r="M42" s="74" t="inlineStr">
        <is>
          <t>revisao</t>
        </is>
      </c>
      <c r="N42" s="74" t="inlineStr">
        <is>
          <t>média</t>
        </is>
      </c>
      <c r="O42" s="74" t="inlineStr">
        <is>
          <t>Denominação e literal de cedente cortados; não elegível até revisão.</t>
        </is>
      </c>
      <c r="P42" s="74" t="inlineStr">
        <is>
          <t>N/D</t>
        </is>
      </c>
      <c r="Q42" s="74" t="inlineStr">
        <is>
          <t>N/D</t>
        </is>
      </c>
      <c r="R42" s="74" t="b">
        <v>0</v>
      </c>
      <c r="S42" s="74" t="inlineStr">
        <is>
          <t>status de transcrição não aprovado</t>
        </is>
      </c>
    </row>
    <row r="43" ht="36" customHeight="1">
      <c r="A43" s="160" t="inlineStr">
        <is>
          <t>29226654</t>
        </is>
      </c>
      <c r="B43" s="161" t="n">
        <v>29226654000110</v>
      </c>
      <c r="C43" s="75" t="inlineStr">
        <is>
          <t>cnpj_informado</t>
        </is>
      </c>
      <c r="D43" s="75" t="inlineStr">
        <is>
          <t>INVESTCRED FUNDO DE INVESTIMENTO EM DIREITOS CREDI...</t>
        </is>
      </c>
      <c r="E43" s="75" t="inlineStr">
        <is>
          <t>CredSystem</t>
        </is>
      </c>
      <c r="F43" s="75" t="inlineStr">
        <is>
          <t>cedente</t>
        </is>
      </c>
      <c r="G43" s="75" t="inlineStr">
        <is>
          <t>N/D</t>
        </is>
      </c>
      <c r="H43" s="75" t="inlineStr">
        <is>
          <t>CredSystem</t>
        </is>
      </c>
      <c r="I43" s="75" t="inlineStr">
        <is>
          <t>N/D</t>
        </is>
      </c>
      <c r="J43" s="75" t="inlineStr">
        <is>
          <t>Cartão de Crédito - ecossistema Credsystem</t>
        </is>
      </c>
      <c r="K43" s="75" t="inlineStr">
        <is>
          <t>IMG_8705.JPG</t>
        </is>
      </c>
      <c r="L43" s="75" t="inlineStr">
        <is>
          <t>planilha amarela; linha da raiz 29226654</t>
        </is>
      </c>
      <c r="M43" s="75" t="inlineStr">
        <is>
          <t>confirmado_legivel</t>
        </is>
      </c>
      <c r="N43" s="75" t="inlineStr">
        <is>
          <t>alta</t>
        </is>
      </c>
      <c r="O43" s="75" t="inlineStr">
        <is>
          <t>Denominação cortada pela largura da coluna na foto.</t>
        </is>
      </c>
      <c r="P43" s="75" t="inlineStr">
        <is>
          <t>Carteira 101</t>
        </is>
      </c>
      <c r="Q43" s="75" t="inlineStr">
        <is>
          <t>cedente_originador_literal; papel_literal</t>
        </is>
      </c>
      <c r="R43" s="75" t="b">
        <v>1</v>
      </c>
      <c r="S43" s="75" t="inlineStr">
        <is>
          <t>overlay aplicado somente em lacunas</t>
        </is>
      </c>
    </row>
    <row r="44" ht="36" customHeight="1">
      <c r="A44" s="158" t="inlineStr">
        <is>
          <t>54857414</t>
        </is>
      </c>
      <c r="B44" s="159" t="n">
        <v>54857414000160</v>
      </c>
      <c r="C44" s="74" t="inlineStr">
        <is>
          <t>cnpj_informado</t>
        </is>
      </c>
      <c r="D44" s="74" t="inlineStr">
        <is>
          <t>INDEMERX RAZI CREDITO AGRO FUNDO DE INVESTIMEN...</t>
        </is>
      </c>
      <c r="E44" s="74" t="inlineStr">
        <is>
          <t>Emissão direta de produtor rural</t>
        </is>
      </c>
      <c r="F44" s="74" t="inlineStr">
        <is>
          <t>cedente</t>
        </is>
      </c>
      <c r="G44" s="74" t="inlineStr">
        <is>
          <t>N/D</t>
        </is>
      </c>
      <c r="H44" s="74" t="inlineStr">
        <is>
          <t>Emissão direta de produtor rural</t>
        </is>
      </c>
      <c r="I44" s="74" t="inlineStr">
        <is>
          <t>N/D</t>
        </is>
      </c>
      <c r="J44" s="74" t="inlineStr">
        <is>
          <t>risco produtor rural com passagem SIPAL e Fazendão</t>
        </is>
      </c>
      <c r="K44" s="74" t="inlineStr">
        <is>
          <t>IMG_8705.JPG</t>
        </is>
      </c>
      <c r="L44" s="74" t="inlineStr">
        <is>
          <t>planilha amarela; linha da raiz 54857414</t>
        </is>
      </c>
      <c r="M44" s="74" t="inlineStr">
        <is>
          <t>confirmado_legivel</t>
        </is>
      </c>
      <c r="N44" s="74" t="inlineStr">
        <is>
          <t>média</t>
        </is>
      </c>
      <c r="O44" s="74" t="inlineStr">
        <is>
          <t>Literal preservado da coluna Cedente do Direito Creditório; OBS continua fora da foto. Denominação cortada.</t>
        </is>
      </c>
      <c r="P44" s="74" t="inlineStr">
        <is>
          <t>Carteira 101</t>
        </is>
      </c>
      <c r="Q44" s="74" t="inlineStr">
        <is>
          <t>cedente_originador_literal; papel_literal</t>
        </is>
      </c>
      <c r="R44" s="74" t="b">
        <v>1</v>
      </c>
      <c r="S44" s="74" t="inlineStr">
        <is>
          <t>overlay aplicado somente em lacunas</t>
        </is>
      </c>
    </row>
    <row r="45" ht="36" customHeight="1">
      <c r="A45" s="160" t="inlineStr">
        <is>
          <t>55401645</t>
        </is>
      </c>
      <c r="B45" s="161" t="n">
        <v>55401645000128</v>
      </c>
      <c r="C45" s="75" t="inlineStr">
        <is>
          <t>cnpj_informado</t>
        </is>
      </c>
      <c r="D45" s="75" t="inlineStr">
        <is>
          <t>DUATA FIDC FGTS FUNDO DE INVESTIMENTO EM DIREITOS C...</t>
        </is>
      </c>
      <c r="E45" s="75" t="inlineStr">
        <is>
          <t>QI Tech</t>
        </is>
      </c>
      <c r="F45" s="75" t="inlineStr">
        <is>
          <t>cedente</t>
        </is>
      </c>
      <c r="G45" s="75" t="inlineStr">
        <is>
          <t>N/D</t>
        </is>
      </c>
      <c r="H45" s="75" t="inlineStr">
        <is>
          <t>QI Tech</t>
        </is>
      </c>
      <c r="I45" s="75" t="inlineStr">
        <is>
          <t>N/D</t>
        </is>
      </c>
      <c r="J45" s="75" t="inlineStr">
        <is>
          <t>Crédito FGTS</t>
        </is>
      </c>
      <c r="K45" s="75" t="inlineStr">
        <is>
          <t>IMG_8705.JPG</t>
        </is>
      </c>
      <c r="L45" s="75" t="inlineStr">
        <is>
          <t>planilha amarela; linha da raiz 55401645</t>
        </is>
      </c>
      <c r="M45" s="75" t="inlineStr">
        <is>
          <t>confirmado_legivel</t>
        </is>
      </c>
      <c r="N45" s="75" t="inlineStr">
        <is>
          <t>alta</t>
        </is>
      </c>
      <c r="O45" s="75" t="inlineStr">
        <is>
          <t>Denominação cortada pela largura da coluna na foto.</t>
        </is>
      </c>
      <c r="P45" s="75" t="inlineStr">
        <is>
          <t>Carteira 101</t>
        </is>
      </c>
      <c r="Q45" s="75" t="inlineStr">
        <is>
          <t>cedente_originador_literal; papel_literal</t>
        </is>
      </c>
      <c r="R45" s="75" t="b">
        <v>1</v>
      </c>
      <c r="S45" s="75" t="inlineStr">
        <is>
          <t>overlay aplicado somente em lacunas</t>
        </is>
      </c>
    </row>
    <row r="46" ht="36" customHeight="1">
      <c r="A46" s="158" t="inlineStr">
        <is>
          <t>44272584</t>
        </is>
      </c>
      <c r="B46" s="159" t="n">
        <v>44272584000120</v>
      </c>
      <c r="C46" s="74" t="inlineStr">
        <is>
          <t>cnpj_informado</t>
        </is>
      </c>
      <c r="D46" s="74" t="inlineStr">
        <is>
          <t>LAVORO AGRO FIDC DAS CADEIAS PRODUTIVAS AGROINDUST...</t>
        </is>
      </c>
      <c r="E46" s="74" t="inlineStr">
        <is>
          <t>Lavoro</t>
        </is>
      </c>
      <c r="F46" s="74" t="inlineStr">
        <is>
          <t>cedente</t>
        </is>
      </c>
      <c r="G46" s="74" t="inlineStr">
        <is>
          <t>N/D</t>
        </is>
      </c>
      <c r="H46" s="74" t="inlineStr">
        <is>
          <t>Lavoro</t>
        </is>
      </c>
      <c r="I46" s="74" t="inlineStr">
        <is>
          <t>N/D</t>
        </is>
      </c>
      <c r="J46" s="74" t="inlineStr">
        <is>
          <t>N/D</t>
        </is>
      </c>
      <c r="K46" s="74" t="inlineStr">
        <is>
          <t>IMG_8705.JPG</t>
        </is>
      </c>
      <c r="L46" s="74" t="inlineStr">
        <is>
          <t>planilha amarela; linha da raiz 44272584</t>
        </is>
      </c>
      <c r="M46" s="74" t="inlineStr">
        <is>
          <t>confirmado_legivel</t>
        </is>
      </c>
      <c r="N46" s="74" t="inlineStr">
        <is>
          <t>alta</t>
        </is>
      </c>
      <c r="O46" s="74" t="inlineStr">
        <is>
          <t>OBS da foto: Realizamos ajuste tempestivo para Ba1 - carteira vence em 30/04 - acompanhamento mensal. Denominação cortada.</t>
        </is>
      </c>
      <c r="P46" s="74" t="inlineStr">
        <is>
          <t>Carteira 101</t>
        </is>
      </c>
      <c r="Q46" s="74" t="inlineStr">
        <is>
          <t>cedente_originador_literal; papel_literal</t>
        </is>
      </c>
      <c r="R46" s="74" t="b">
        <v>1</v>
      </c>
      <c r="S46" s="74" t="inlineStr">
        <is>
          <t>overlay aplicado somente em lacunas</t>
        </is>
      </c>
    </row>
    <row r="47" ht="36" customHeight="1">
      <c r="A47" s="160" t="inlineStr">
        <is>
          <t>62838025</t>
        </is>
      </c>
      <c r="B47" s="161" t="n">
        <v>62838025000116</v>
      </c>
      <c r="C47" s="75" t="inlineStr">
        <is>
          <t>cnpj_informado</t>
        </is>
      </c>
      <c r="D47" s="75" t="inlineStr">
        <is>
          <t>TOP 2025 J FIDC RESP LTDA</t>
        </is>
      </c>
      <c r="E47" s="75" t="inlineStr">
        <is>
          <t>Pague Veloz / Serasa</t>
        </is>
      </c>
      <c r="F47" s="75" t="inlineStr">
        <is>
          <t>cedente</t>
        </is>
      </c>
      <c r="G47" s="75" t="inlineStr">
        <is>
          <t>N/D</t>
        </is>
      </c>
      <c r="H47" s="75" t="inlineStr">
        <is>
          <t>Pague Veloz / Serasa</t>
        </is>
      </c>
      <c r="I47" s="75" t="inlineStr">
        <is>
          <t>N/D</t>
        </is>
      </c>
      <c r="J47" s="75" t="inlineStr">
        <is>
          <t>recebíveis de Rede, GetNet, Cielo e Pag</t>
        </is>
      </c>
      <c r="K47" s="75" t="inlineStr">
        <is>
          <t>IMG_8705.JPG</t>
        </is>
      </c>
      <c r="L47" s="75" t="inlineStr">
        <is>
          <t>planilha amarela; linha da raiz 62838025</t>
        </is>
      </c>
      <c r="M47" s="75" t="inlineStr">
        <is>
          <t>confirmado_legivel</t>
        </is>
      </c>
      <c r="N47" s="75" t="inlineStr">
        <is>
          <t>alta</t>
        </is>
      </c>
      <c r="O47" s="75" t="inlineStr">
        <is>
          <t>N/D</t>
        </is>
      </c>
      <c r="P47" s="75" t="inlineStr">
        <is>
          <t>Carteira 101</t>
        </is>
      </c>
      <c r="Q47" s="75" t="inlineStr">
        <is>
          <t>cedente_originador_literal; papel_literal</t>
        </is>
      </c>
      <c r="R47" s="75" t="b">
        <v>1</v>
      </c>
      <c r="S47" s="75" t="inlineStr">
        <is>
          <t>overlay aplicado somente em lacunas</t>
        </is>
      </c>
    </row>
    <row r="48" ht="36" customHeight="1">
      <c r="A48" s="158" t="inlineStr">
        <is>
          <t>47280025</t>
        </is>
      </c>
      <c r="B48" s="159" t="n">
        <v>47280025000150</v>
      </c>
      <c r="C48" s="74" t="inlineStr">
        <is>
          <t>cnpj_informado</t>
        </is>
      </c>
      <c r="D48" s="74" t="inlineStr">
        <is>
          <t>FUNDO DE INVESTIMENTO EM DIREITOS CREDITORIOS ALBA</t>
        </is>
      </c>
      <c r="E48" s="74" t="inlineStr">
        <is>
          <t>Albaugh</t>
        </is>
      </c>
      <c r="F48" s="74" t="inlineStr">
        <is>
          <t>cedente</t>
        </is>
      </c>
      <c r="G48" s="74" t="inlineStr">
        <is>
          <t>N/D</t>
        </is>
      </c>
      <c r="H48" s="74" t="inlineStr">
        <is>
          <t>Albaugh</t>
        </is>
      </c>
      <c r="I48" s="74" t="inlineStr">
        <is>
          <t>N/D</t>
        </is>
      </c>
      <c r="J48" s="74" t="inlineStr">
        <is>
          <t>N/D</t>
        </is>
      </c>
      <c r="K48" s="74" t="inlineStr">
        <is>
          <t>IMG_8705.JPG</t>
        </is>
      </c>
      <c r="L48" s="74" t="inlineStr">
        <is>
          <t>planilha amarela; linha da raiz 47280025</t>
        </is>
      </c>
      <c r="M48" s="74" t="inlineStr">
        <is>
          <t>confirmado_legivel</t>
        </is>
      </c>
      <c r="N48" s="74" t="inlineStr">
        <is>
          <t>alta</t>
        </is>
      </c>
      <c r="O48" s="74" t="inlineStr">
        <is>
          <t>OBS da foto: fundo continua sofrendo com inadimplência da carteira antiga.</t>
        </is>
      </c>
      <c r="P48" s="74" t="inlineStr">
        <is>
          <t>Carteira 101</t>
        </is>
      </c>
      <c r="Q48" s="74" t="inlineStr">
        <is>
          <t>cedente_originador_literal; papel_literal</t>
        </is>
      </c>
      <c r="R48" s="74" t="b">
        <v>1</v>
      </c>
      <c r="S48" s="74" t="inlineStr">
        <is>
          <t>overlay aplicado somente em lacunas</t>
        </is>
      </c>
    </row>
    <row r="49" ht="36" customHeight="1">
      <c r="A49" s="160" t="inlineStr">
        <is>
          <t>57270666</t>
        </is>
      </c>
      <c r="B49" s="161" t="n">
        <v>57270666000187</v>
      </c>
      <c r="C49" s="75" t="inlineStr">
        <is>
          <t>cnpj_informado</t>
        </is>
      </c>
      <c r="D49" s="75" t="inlineStr">
        <is>
          <t>MOBILITAS FIDC - RL</t>
        </is>
      </c>
      <c r="E49" s="75" t="inlineStr">
        <is>
          <t>N/D</t>
        </is>
      </c>
      <c r="F49" s="75" t="inlineStr">
        <is>
          <t>N/D</t>
        </is>
      </c>
      <c r="G49" s="75" t="inlineStr">
        <is>
          <t>N/D</t>
        </is>
      </c>
      <c r="H49" s="75" t="inlineStr">
        <is>
          <t>N/D</t>
        </is>
      </c>
      <c r="I49" s="75" t="inlineStr">
        <is>
          <t>N/D</t>
        </is>
      </c>
      <c r="J49" s="75" t="inlineStr">
        <is>
          <t>Direitos Creditórios performados; REDE como adquirente</t>
        </is>
      </c>
      <c r="K49" s="75" t="inlineStr">
        <is>
          <t>IMG_8705.JPG</t>
        </is>
      </c>
      <c r="L49" s="75" t="inlineStr">
        <is>
          <t>planilha amarela; linha da raiz 57270666</t>
        </is>
      </c>
      <c r="M49" s="75" t="inlineStr">
        <is>
          <t>confirmado_legivel</t>
        </is>
      </c>
      <c r="N49" s="75" t="inlineStr">
        <is>
          <t>alta</t>
        </is>
      </c>
      <c r="O49" s="75" t="inlineStr">
        <is>
          <t>Campo Cedente do Direito Creditório vazio na foto.</t>
        </is>
      </c>
      <c r="P49" s="75" t="inlineStr">
        <is>
          <t>Carteira 101</t>
        </is>
      </c>
      <c r="Q49" s="75" t="inlineStr">
        <is>
          <t>N/D</t>
        </is>
      </c>
      <c r="R49" s="75" t="b">
        <v>0</v>
      </c>
      <c r="S49" s="75" t="inlineStr">
        <is>
          <t>campos ausentes no overlay ou já preenchidos documentalmente</t>
        </is>
      </c>
    </row>
    <row r="50" ht="36" customHeight="1">
      <c r="A50" s="158" t="inlineStr">
        <is>
          <t>58288437</t>
        </is>
      </c>
      <c r="B50" s="159" t="n">
        <v>58288437000152</v>
      </c>
      <c r="C50" s="74" t="inlineStr">
        <is>
          <t>cnpj_informado</t>
        </is>
      </c>
      <c r="D50" s="74" t="inlineStr">
        <is>
          <t>ALTOMAX FIDC SEG RECEB COM LTDA</t>
        </is>
      </c>
      <c r="E50" s="74" t="inlineStr">
        <is>
          <t>Cias do Grupo Altomax no Brasil (Altomax Com...)</t>
        </is>
      </c>
      <c r="F50" s="74" t="inlineStr">
        <is>
          <t>cedente</t>
        </is>
      </c>
      <c r="G50" s="74" t="inlineStr">
        <is>
          <t>N/D</t>
        </is>
      </c>
      <c r="H50" s="74" t="inlineStr">
        <is>
          <t>Cias do Grupo Altomax no Brasil (Altomax Com...)</t>
        </is>
      </c>
      <c r="I50" s="74" t="inlineStr">
        <is>
          <t>N/D</t>
        </is>
      </c>
      <c r="J50" s="74" t="inlineStr">
        <is>
          <t>duplicatas</t>
        </is>
      </c>
      <c r="K50" s="74" t="inlineStr">
        <is>
          <t>IMG_8705.JPG</t>
        </is>
      </c>
      <c r="L50" s="74" t="inlineStr">
        <is>
          <t>planilha amarela; linha da raiz 58288437</t>
        </is>
      </c>
      <c r="M50" s="74" t="inlineStr">
        <is>
          <t>revisao</t>
        </is>
      </c>
      <c r="N50" s="74" t="inlineStr">
        <is>
          <t>média</t>
        </is>
      </c>
      <c r="O50" s="74" t="inlineStr">
        <is>
          <t>Literal de cedente e OBS cortados; não elegível até revisão.</t>
        </is>
      </c>
      <c r="P50" s="74" t="inlineStr">
        <is>
          <t>N/D</t>
        </is>
      </c>
      <c r="Q50" s="74" t="inlineStr">
        <is>
          <t>N/D</t>
        </is>
      </c>
      <c r="R50" s="74" t="b">
        <v>0</v>
      </c>
      <c r="S50" s="74" t="inlineStr">
        <is>
          <t>status de transcrição não aprovado</t>
        </is>
      </c>
    </row>
    <row r="51" ht="36" customHeight="1">
      <c r="A51" s="160" t="inlineStr">
        <is>
          <t>55476342</t>
        </is>
      </c>
      <c r="B51" s="161" t="n">
        <v>55476342000174</v>
      </c>
      <c r="C51" s="75" t="inlineStr">
        <is>
          <t>cnpj_informado</t>
        </is>
      </c>
      <c r="D51" s="75" t="inlineStr">
        <is>
          <t>LAVORO AGRO II FUNDO DE INVESTIMENTO EM DIREITOS C...</t>
        </is>
      </c>
      <c r="E51" s="75" t="inlineStr">
        <is>
          <t>Lavoro</t>
        </is>
      </c>
      <c r="F51" s="75" t="inlineStr">
        <is>
          <t>cedente</t>
        </is>
      </c>
      <c r="G51" s="75" t="inlineStr">
        <is>
          <t>N/D</t>
        </is>
      </c>
      <c r="H51" s="75" t="inlineStr">
        <is>
          <t>Lavoro</t>
        </is>
      </c>
      <c r="I51" s="75" t="inlineStr">
        <is>
          <t>N/D</t>
        </is>
      </c>
      <c r="J51" s="75" t="inlineStr">
        <is>
          <t>N/D</t>
        </is>
      </c>
      <c r="K51" s="75" t="inlineStr">
        <is>
          <t>IMG_8705.JPG</t>
        </is>
      </c>
      <c r="L51" s="75" t="inlineStr">
        <is>
          <t>planilha amarela; linha da raiz 55476342</t>
        </is>
      </c>
      <c r="M51" s="75" t="inlineStr">
        <is>
          <t>confirmado_legivel</t>
        </is>
      </c>
      <c r="N51" s="75" t="inlineStr">
        <is>
          <t>alta</t>
        </is>
      </c>
      <c r="O51" s="75" t="inlineStr">
        <is>
          <t>OBS da foto: em discussão para possível migração do FIDC para risco bilateral. Denominação cortada.</t>
        </is>
      </c>
      <c r="P51" s="75" t="inlineStr">
        <is>
          <t>Carteira 101</t>
        </is>
      </c>
      <c r="Q51" s="75" t="inlineStr">
        <is>
          <t>cedente_originador_literal; papel_literal</t>
        </is>
      </c>
      <c r="R51" s="75" t="b">
        <v>1</v>
      </c>
      <c r="S51" s="75" t="inlineStr">
        <is>
          <t>overlay aplicado somente em lacunas</t>
        </is>
      </c>
    </row>
    <row r="52" ht="36" customHeight="1">
      <c r="A52" s="158" t="inlineStr">
        <is>
          <t>63679792</t>
        </is>
      </c>
      <c r="B52" s="159" t="n">
        <v>63679792000192</v>
      </c>
      <c r="C52" s="74" t="inlineStr">
        <is>
          <t>cnpj_informado</t>
        </is>
      </c>
      <c r="D52" s="74" t="inlineStr">
        <is>
          <t>BLUE HEALTH FIDC RECEBI LTDA</t>
        </is>
      </c>
      <c r="E52" s="74" t="inlineStr">
        <is>
          <t>Empresas do Conglomerado Blue Health</t>
        </is>
      </c>
      <c r="F52" s="74" t="inlineStr">
        <is>
          <t>cedente</t>
        </is>
      </c>
      <c r="G52" s="74" t="inlineStr">
        <is>
          <t>N/D</t>
        </is>
      </c>
      <c r="H52" s="74" t="inlineStr">
        <is>
          <t>Empresas do Conglomerado Blue Health</t>
        </is>
      </c>
      <c r="I52" s="74" t="inlineStr">
        <is>
          <t>N/D</t>
        </is>
      </c>
      <c r="J52" s="74" t="inlineStr">
        <is>
          <t>recebíveis de contrato de locação de equipamentos hospitalares</t>
        </is>
      </c>
      <c r="K52" s="74" t="inlineStr">
        <is>
          <t>IMG_8705.JPG</t>
        </is>
      </c>
      <c r="L52" s="74" t="inlineStr">
        <is>
          <t>planilha amarela; linha da raiz 63679792</t>
        </is>
      </c>
      <c r="M52" s="74" t="inlineStr">
        <is>
          <t>confirmado_legivel</t>
        </is>
      </c>
      <c r="N52" s="74" t="inlineStr">
        <is>
          <t>média</t>
        </is>
      </c>
      <c r="O52" s="74" t="inlineStr">
        <is>
          <t>OBS continua fora da foto depois da descrição legível.</t>
        </is>
      </c>
      <c r="P52" s="74" t="inlineStr">
        <is>
          <t>Carteira 101</t>
        </is>
      </c>
      <c r="Q52" s="74" t="inlineStr">
        <is>
          <t>cedente_originador_literal; papel_literal</t>
        </is>
      </c>
      <c r="R52" s="74" t="b">
        <v>1</v>
      </c>
      <c r="S52" s="74" t="inlineStr">
        <is>
          <t>overlay aplicado somente em lacunas</t>
        </is>
      </c>
    </row>
    <row r="53" ht="36" customHeight="1">
      <c r="A53" s="160" t="inlineStr">
        <is>
          <t>42154687</t>
        </is>
      </c>
      <c r="B53" s="161" t="n">
        <v>42154687000160</v>
      </c>
      <c r="C53" s="75" t="inlineStr">
        <is>
          <t>cnpj_informado</t>
        </is>
      </c>
      <c r="D53" s="75" t="inlineStr">
        <is>
          <t>MULTIPLIKE PLUS FUNDO I D CRED...</t>
        </is>
      </c>
      <c r="E53" s="75" t="inlineStr">
        <is>
          <t>Multicedentes &amp; Multisacados</t>
        </is>
      </c>
      <c r="F53" s="75" t="inlineStr">
        <is>
          <t>cedente</t>
        </is>
      </c>
      <c r="G53" s="75" t="inlineStr">
        <is>
          <t>N/D</t>
        </is>
      </c>
      <c r="H53" s="75" t="inlineStr">
        <is>
          <t>Multicedentes &amp; Multisacados</t>
        </is>
      </c>
      <c r="I53" s="75" t="inlineStr">
        <is>
          <t>N/D</t>
        </is>
      </c>
      <c r="J53" s="75" t="inlineStr">
        <is>
          <t>FIDC MultiCedente / Multisacado</t>
        </is>
      </c>
      <c r="K53" s="75" t="inlineStr">
        <is>
          <t>IMG_8705.JPG</t>
        </is>
      </c>
      <c r="L53" s="75" t="inlineStr">
        <is>
          <t>planilha amarela; linha da raiz 42154687</t>
        </is>
      </c>
      <c r="M53" s="75" t="inlineStr">
        <is>
          <t>confirmado_legivel</t>
        </is>
      </c>
      <c r="N53" s="75" t="inlineStr">
        <is>
          <t>alta</t>
        </is>
      </c>
      <c r="O53" s="75" t="inlineStr">
        <is>
          <t>Denominação cortada pela largura da coluna na foto.</t>
        </is>
      </c>
      <c r="P53" s="75" t="inlineStr">
        <is>
          <t>Carteira 101</t>
        </is>
      </c>
      <c r="Q53" s="75" t="inlineStr">
        <is>
          <t>cedente_originador_literal; papel_literal</t>
        </is>
      </c>
      <c r="R53" s="75" t="b">
        <v>1</v>
      </c>
      <c r="S53" s="75" t="inlineStr">
        <is>
          <t>overlay aplicado somente em lacunas</t>
        </is>
      </c>
    </row>
    <row r="54" ht="36" customHeight="1">
      <c r="A54" s="158" t="inlineStr">
        <is>
          <t>48946335</t>
        </is>
      </c>
      <c r="B54" s="159" t="n">
        <v>48946335000123</v>
      </c>
      <c r="C54" s="74" t="inlineStr">
        <is>
          <t>cnpj_informado</t>
        </is>
      </c>
      <c r="D54" s="74" t="inlineStr">
        <is>
          <t>NAGRO OIKOS FIAGRO FUNDO DE INVESTIMENTO EM DIREI...</t>
        </is>
      </c>
      <c r="E54" s="74" t="inlineStr">
        <is>
          <t>Multicedentes</t>
        </is>
      </c>
      <c r="F54" s="74" t="inlineStr">
        <is>
          <t>cedente</t>
        </is>
      </c>
      <c r="G54" s="74" t="inlineStr">
        <is>
          <t>N/D</t>
        </is>
      </c>
      <c r="H54" s="74" t="inlineStr">
        <is>
          <t>Multicedentes</t>
        </is>
      </c>
      <c r="I54" s="74" t="inlineStr">
        <is>
          <t>N/D</t>
        </is>
      </c>
      <c r="J54" s="74" t="inlineStr">
        <is>
          <t>N/D</t>
        </is>
      </c>
      <c r="K54" s="74" t="inlineStr">
        <is>
          <t>IMG_8705.JPG</t>
        </is>
      </c>
      <c r="L54" s="74" t="inlineStr">
        <is>
          <t>planilha amarela; linha da raiz 48946335</t>
        </is>
      </c>
      <c r="M54" s="74" t="inlineStr">
        <is>
          <t>confirmado_legivel</t>
        </is>
      </c>
      <c r="N54" s="74" t="inlineStr">
        <is>
          <t>alta</t>
        </is>
      </c>
      <c r="O54" s="74" t="inlineStr">
        <is>
          <t>OBS da foto: análise NAGRO. Denominação cortada.</t>
        </is>
      </c>
      <c r="P54" s="74" t="inlineStr">
        <is>
          <t>Carteira 101</t>
        </is>
      </c>
      <c r="Q54" s="74" t="inlineStr">
        <is>
          <t>cedente_originador_literal; papel_literal</t>
        </is>
      </c>
      <c r="R54" s="74" t="b">
        <v>1</v>
      </c>
      <c r="S54" s="74" t="inlineStr">
        <is>
          <t>overlay aplicado somente em lacunas</t>
        </is>
      </c>
    </row>
    <row r="55" ht="36" customHeight="1">
      <c r="A55" s="160" t="inlineStr">
        <is>
          <t>55374251</t>
        </is>
      </c>
      <c r="B55" s="161" t="n">
        <v>55374251000128</v>
      </c>
      <c r="C55" s="75" t="inlineStr">
        <is>
          <t>cnpj_informado</t>
        </is>
      </c>
      <c r="D55" s="75" t="inlineStr">
        <is>
          <t>FUNDO DE INVESTIMENTO EM DIREITOS CREDITORIOS BLUE</t>
        </is>
      </c>
      <c r="E55" s="75" t="inlineStr">
        <is>
          <t>Azul</t>
        </is>
      </c>
      <c r="F55" s="75" t="inlineStr">
        <is>
          <t>cedente</t>
        </is>
      </c>
      <c r="G55" s="75" t="inlineStr">
        <is>
          <t>N/D</t>
        </is>
      </c>
      <c r="H55" s="75" t="inlineStr">
        <is>
          <t>Azul</t>
        </is>
      </c>
      <c r="I55" s="75" t="inlineStr">
        <is>
          <t>N/D</t>
        </is>
      </c>
      <c r="J55" s="75" t="inlineStr">
        <is>
          <t>Debênture</t>
        </is>
      </c>
      <c r="K55" s="75" t="inlineStr">
        <is>
          <t>IMG_8705.JPG</t>
        </is>
      </c>
      <c r="L55" s="75" t="inlineStr">
        <is>
          <t>planilha amarela; linha da raiz 55374251</t>
        </is>
      </c>
      <c r="M55" s="75" t="inlineStr">
        <is>
          <t>confirmado_legivel</t>
        </is>
      </c>
      <c r="N55" s="75" t="inlineStr">
        <is>
          <t>alta</t>
        </is>
      </c>
      <c r="O55" s="75" t="inlineStr">
        <is>
          <t>OBS da foto: Book Special Sits; risco de repagamento Azul com 40% de subordinação.</t>
        </is>
      </c>
      <c r="P55" s="75" t="inlineStr">
        <is>
          <t>Carteira 101</t>
        </is>
      </c>
      <c r="Q55" s="75" t="inlineStr">
        <is>
          <t>cedente_originador_literal; papel_literal</t>
        </is>
      </c>
      <c r="R55" s="75" t="b">
        <v>1</v>
      </c>
      <c r="S55" s="75" t="inlineStr">
        <is>
          <t>overlay aplicado somente em lacunas</t>
        </is>
      </c>
    </row>
    <row r="56" ht="36" customHeight="1">
      <c r="A56" s="158" t="inlineStr">
        <is>
          <t>35868110</t>
        </is>
      </c>
      <c r="B56" s="159" t="n">
        <v>35868110000154</v>
      </c>
      <c r="C56" s="74" t="inlineStr">
        <is>
          <t>cnpj_informado</t>
        </is>
      </c>
      <c r="D56" s="74" t="inlineStr">
        <is>
          <t>FUNDO DE INVESTIMENTO EM DIREITOS CREDITORIOS BV -</t>
        </is>
      </c>
      <c r="E56" s="74" t="inlineStr">
        <is>
          <t>Banco Votorantim</t>
        </is>
      </c>
      <c r="F56" s="74" t="inlineStr">
        <is>
          <t>cedente</t>
        </is>
      </c>
      <c r="G56" s="74" t="inlineStr">
        <is>
          <t>N/D</t>
        </is>
      </c>
      <c r="H56" s="74" t="inlineStr">
        <is>
          <t>Banco Votorantim</t>
        </is>
      </c>
      <c r="I56" s="74" t="inlineStr">
        <is>
          <t>N/D</t>
        </is>
      </c>
      <c r="J56" s="74" t="inlineStr">
        <is>
          <t>Carteira Veículos com coobrigação BV</t>
        </is>
      </c>
      <c r="K56" s="74" t="inlineStr">
        <is>
          <t>IMG_8705.JPG</t>
        </is>
      </c>
      <c r="L56" s="74" t="inlineStr">
        <is>
          <t>planilha amarela; linha da raiz 35868110</t>
        </is>
      </c>
      <c r="M56" s="74" t="inlineStr">
        <is>
          <t>confirmado_legivel</t>
        </is>
      </c>
      <c r="N56" s="74" t="inlineStr">
        <is>
          <t>alta</t>
        </is>
      </c>
      <c r="O56" s="74" t="inlineStr">
        <is>
          <t>N/D</t>
        </is>
      </c>
      <c r="P56" s="74" t="inlineStr">
        <is>
          <t>Carteira 101</t>
        </is>
      </c>
      <c r="Q56" s="74" t="inlineStr">
        <is>
          <t>cedente_originador_literal; papel_literal</t>
        </is>
      </c>
      <c r="R56" s="74" t="b">
        <v>1</v>
      </c>
      <c r="S56" s="74" t="inlineStr">
        <is>
          <t>overlay aplicado somente em lacunas</t>
        </is>
      </c>
    </row>
    <row r="57" ht="36" customHeight="1">
      <c r="A57" s="160" t="inlineStr">
        <is>
          <t>48953864</t>
        </is>
      </c>
      <c r="B57" s="161" t="n">
        <v>48953864000154</v>
      </c>
      <c r="C57" s="75" t="inlineStr">
        <is>
          <t>cnpj_informado</t>
        </is>
      </c>
      <c r="D57" s="75" t="inlineStr">
        <is>
          <t>FUNDO INVESTIMENTO E D C A II</t>
        </is>
      </c>
      <c r="E57" s="75" t="inlineStr">
        <is>
          <t>Asaas IP</t>
        </is>
      </c>
      <c r="F57" s="75" t="inlineStr">
        <is>
          <t>cedente</t>
        </is>
      </c>
      <c r="G57" s="75" t="inlineStr">
        <is>
          <t>N/D</t>
        </is>
      </c>
      <c r="H57" s="75" t="inlineStr">
        <is>
          <t>Asaas IP</t>
        </is>
      </c>
      <c r="I57" s="75" t="inlineStr">
        <is>
          <t>N/D</t>
        </is>
      </c>
      <c r="J57" s="75" t="inlineStr">
        <is>
          <t>80% Redecard e 20% Adyen</t>
        </is>
      </c>
      <c r="K57" s="75" t="inlineStr">
        <is>
          <t>IMG_8705.JPG</t>
        </is>
      </c>
      <c r="L57" s="75" t="inlineStr">
        <is>
          <t>planilha amarela; linha da raiz 48953864</t>
        </is>
      </c>
      <c r="M57" s="75" t="inlineStr">
        <is>
          <t>confirmado_legivel</t>
        </is>
      </c>
      <c r="N57" s="75" t="inlineStr">
        <is>
          <t>alta</t>
        </is>
      </c>
      <c r="O57" s="75" t="inlineStr">
        <is>
          <t>N/D</t>
        </is>
      </c>
      <c r="P57" s="75" t="inlineStr">
        <is>
          <t>Carteira 101</t>
        </is>
      </c>
      <c r="Q57" s="75" t="inlineStr">
        <is>
          <t>cedente_originador_literal; papel_literal</t>
        </is>
      </c>
      <c r="R57" s="75" t="b">
        <v>1</v>
      </c>
      <c r="S57" s="75" t="inlineStr">
        <is>
          <t>overlay aplicado somente em lacunas</t>
        </is>
      </c>
    </row>
    <row r="58" ht="36" customHeight="1">
      <c r="A58" s="158" t="inlineStr">
        <is>
          <t>50536324</t>
        </is>
      </c>
      <c r="B58" s="159" t="n">
        <v>50536324000117</v>
      </c>
      <c r="C58" s="74" t="inlineStr">
        <is>
          <t>cnpj_informado</t>
        </is>
      </c>
      <c r="D58" s="74" t="inlineStr">
        <is>
          <t>MAQNELSON FUNDO DE INVESTIMENTO EM DIREITOS CREDIT...</t>
        </is>
      </c>
      <c r="E58" s="74" t="inlineStr">
        <is>
          <t>Maqnelson</t>
        </is>
      </c>
      <c r="F58" s="74" t="inlineStr">
        <is>
          <t>cedente</t>
        </is>
      </c>
      <c r="G58" s="74" t="inlineStr">
        <is>
          <t>N/D</t>
        </is>
      </c>
      <c r="H58" s="74" t="inlineStr">
        <is>
          <t>Maqnelson</t>
        </is>
      </c>
      <c r="I58" s="74" t="inlineStr">
        <is>
          <t>N/D</t>
        </is>
      </c>
      <c r="J58" s="74" t="inlineStr">
        <is>
          <t>máquinas agrícolas</t>
        </is>
      </c>
      <c r="K58" s="74" t="inlineStr">
        <is>
          <t>IMG_8706.JPG</t>
        </is>
      </c>
      <c r="L58" s="74" t="inlineStr">
        <is>
          <t>planilha amarela; linha da raiz 50536324</t>
        </is>
      </c>
      <c r="M58" s="74" t="inlineStr">
        <is>
          <t>confirmado_legivel</t>
        </is>
      </c>
      <c r="N58" s="74" t="inlineStr">
        <is>
          <t>média</t>
        </is>
      </c>
      <c r="O58" s="74" t="inlineStr">
        <is>
          <t>OBS legível: houve desenquadramento da subordinação e haverá amortização de parcela da cota para reenquadramento; final cortado. Denominação cortada.</t>
        </is>
      </c>
      <c r="P58" s="74" t="inlineStr">
        <is>
          <t>Carteira 101</t>
        </is>
      </c>
      <c r="Q58" s="74" t="inlineStr">
        <is>
          <t>cedente_originador_literal; papel_literal</t>
        </is>
      </c>
      <c r="R58" s="74" t="b">
        <v>1</v>
      </c>
      <c r="S58" s="74" t="inlineStr">
        <is>
          <t>overlay aplicado somente em lacunas</t>
        </is>
      </c>
    </row>
    <row r="59" ht="36" customHeight="1">
      <c r="A59" s="160" t="inlineStr">
        <is>
          <t>57816252</t>
        </is>
      </c>
      <c r="B59" s="161" t="n">
        <v>57816252000100</v>
      </c>
      <c r="C59" s="75" t="inlineStr">
        <is>
          <t>cnpj_informado</t>
        </is>
      </c>
      <c r="D59" s="75" t="inlineStr">
        <is>
          <t>NATURA PAY FUNDO DE INVESTIMENTO EM DIREITOS CREDI...</t>
        </is>
      </c>
      <c r="E59" s="75" t="inlineStr">
        <is>
          <t>Natura &amp;CO Pay Sociedade de Crédito Direto S.A.</t>
        </is>
      </c>
      <c r="F59" s="75" t="inlineStr">
        <is>
          <t>cedente</t>
        </is>
      </c>
      <c r="G59" s="75" t="inlineStr">
        <is>
          <t>N/D</t>
        </is>
      </c>
      <c r="H59" s="75" t="inlineStr">
        <is>
          <t>Natura &amp;CO Pay Sociedade de Crédito Direto S.A.</t>
        </is>
      </c>
      <c r="I59" s="75" t="inlineStr">
        <is>
          <t>N/D</t>
        </is>
      </c>
      <c r="J59" s="75" t="inlineStr">
        <is>
          <t>Duplicatas de venda de produtos a prazo para Consultoras Natura; em geral parcelado 3x sem juros</t>
        </is>
      </c>
      <c r="K59" s="75" t="inlineStr">
        <is>
          <t>IMG_8706.JPG</t>
        </is>
      </c>
      <c r="L59" s="75" t="inlineStr">
        <is>
          <t>planilha amarela; linha da raiz 57816252</t>
        </is>
      </c>
      <c r="M59" s="75" t="inlineStr">
        <is>
          <t>confirmado_legivel</t>
        </is>
      </c>
      <c r="N59" s="75" t="inlineStr">
        <is>
          <t>alta</t>
        </is>
      </c>
      <c r="O59" s="75" t="inlineStr">
        <is>
          <t>Coluna adicional da foto: Duplicatas. Denominação cortada.</t>
        </is>
      </c>
      <c r="P59" s="75" t="inlineStr">
        <is>
          <t>Carteira 101</t>
        </is>
      </c>
      <c r="Q59" s="75" t="inlineStr">
        <is>
          <t>cedente_originador_literal; papel_literal</t>
        </is>
      </c>
      <c r="R59" s="75" t="b">
        <v>1</v>
      </c>
      <c r="S59" s="75" t="inlineStr">
        <is>
          <t>overlay aplicado somente em lacunas</t>
        </is>
      </c>
    </row>
    <row r="60" ht="36" customHeight="1">
      <c r="A60" s="158" t="inlineStr">
        <is>
          <t>50473039</t>
        </is>
      </c>
      <c r="B60" s="159" t="n">
        <v>50473039000102</v>
      </c>
      <c r="C60" s="74" t="inlineStr">
        <is>
          <t>cnpj_informado</t>
        </is>
      </c>
      <c r="D60" s="74" t="inlineStr">
        <is>
          <t>SELLER FUNDO DE INVESTIMENTO EM DIREITOS CREDITRI...</t>
        </is>
      </c>
      <c r="E60" s="74" t="inlineStr">
        <is>
          <t>Mercado Pago (originador) | Mercado Livre (cedente)</t>
        </is>
      </c>
      <c r="F60" s="74" t="inlineStr">
        <is>
          <t>originador | cedente</t>
        </is>
      </c>
      <c r="G60" s="74" t="inlineStr">
        <is>
          <t>Mercado Pago</t>
        </is>
      </c>
      <c r="H60" s="74" t="inlineStr">
        <is>
          <t>Mercado Livre</t>
        </is>
      </c>
      <c r="I60" s="74" t="inlineStr">
        <is>
          <t>N/D</t>
        </is>
      </c>
      <c r="J60" s="74" t="inlineStr">
        <is>
          <t>recebíveis com risco Grupo Mercado Livre</t>
        </is>
      </c>
      <c r="K60" s="74" t="inlineStr">
        <is>
          <t>IMG_8698.jpg + IMG_8706.JPG</t>
        </is>
      </c>
      <c r="L60" s="74" t="inlineStr">
        <is>
          <t>Top 15 Financeiro; planilha amarela, linha da raiz 50473039</t>
        </is>
      </c>
      <c r="M60" s="74" t="inlineStr">
        <is>
          <t>confirmado_legivel</t>
        </is>
      </c>
      <c r="N60" s="74" t="inlineStr">
        <is>
          <t>alta</t>
        </is>
      </c>
      <c r="O60" s="74" t="inlineStr">
        <is>
          <t>Os rótulos manuais são complementares; a entidade documental e o papel legal prevalecem no export.</t>
        </is>
      </c>
      <c r="P60" s="74" t="inlineStr">
        <is>
          <t>Carteira 101; Flagships</t>
        </is>
      </c>
      <c r="Q60" s="74" t="inlineStr">
        <is>
          <t>cedente_originador_literal; papel_literal; originador; cedente; tipo_recebivel_literal</t>
        </is>
      </c>
      <c r="R60" s="74" t="b">
        <v>1</v>
      </c>
      <c r="S60" s="74" t="inlineStr">
        <is>
          <t>overlay aplicado somente em lacunas</t>
        </is>
      </c>
    </row>
    <row r="61" ht="36" customHeight="1">
      <c r="A61" s="160" t="inlineStr">
        <is>
          <t>62588266</t>
        </is>
      </c>
      <c r="B61" s="161" t="n">
        <v>62588266000154</v>
      </c>
      <c r="C61" s="75" t="inlineStr">
        <is>
          <t>cnpj_informado</t>
        </is>
      </c>
      <c r="D61" s="75" t="inlineStr">
        <is>
          <t>VTK FIDC RESP LIMIT</t>
        </is>
      </c>
      <c r="E61" s="75" t="inlineStr">
        <is>
          <t>Facta</t>
        </is>
      </c>
      <c r="F61" s="75" t="inlineStr">
        <is>
          <t>cedente</t>
        </is>
      </c>
      <c r="G61" s="75" t="inlineStr">
        <is>
          <t>N/D</t>
        </is>
      </c>
      <c r="H61" s="75" t="inlineStr">
        <is>
          <t>Facta</t>
        </is>
      </c>
      <c r="I61" s="75" t="inlineStr">
        <is>
          <t>N/D</t>
        </is>
      </c>
      <c r="J61" s="75" t="inlineStr">
        <is>
          <t>Crédito INSS</t>
        </is>
      </c>
      <c r="K61" s="75" t="inlineStr">
        <is>
          <t>IMG_8706.JPG</t>
        </is>
      </c>
      <c r="L61" s="75" t="inlineStr">
        <is>
          <t>planilha amarela; linha da raiz 62588266</t>
        </is>
      </c>
      <c r="M61" s="75" t="inlineStr">
        <is>
          <t>confirmado_legivel</t>
        </is>
      </c>
      <c r="N61" s="75" t="inlineStr">
        <is>
          <t>alta</t>
        </is>
      </c>
      <c r="O61" s="75" t="inlineStr">
        <is>
          <t>N/D</t>
        </is>
      </c>
      <c r="P61" s="75" t="inlineStr">
        <is>
          <t>Carteira 101</t>
        </is>
      </c>
      <c r="Q61" s="75" t="inlineStr">
        <is>
          <t>cedente_originador_literal; papel_literal</t>
        </is>
      </c>
      <c r="R61" s="75" t="b">
        <v>1</v>
      </c>
      <c r="S61" s="75" t="inlineStr">
        <is>
          <t>overlay aplicado somente em lacunas</t>
        </is>
      </c>
    </row>
    <row r="62" ht="36" customHeight="1">
      <c r="A62" s="158" t="inlineStr">
        <is>
          <t>50988212</t>
        </is>
      </c>
      <c r="B62" s="159" t="n">
        <v>50988212000105</v>
      </c>
      <c r="C62" s="74" t="inlineStr">
        <is>
          <t>cnpj_informado</t>
        </is>
      </c>
      <c r="D62" s="74" t="inlineStr">
        <is>
          <t>CARTAO DE COMPRA SUPPLIER FUNDO DE INVESTIMENTO EM...</t>
        </is>
      </c>
      <c r="E62" s="74" t="inlineStr">
        <is>
          <t>Supplier</t>
        </is>
      </c>
      <c r="F62" s="74" t="inlineStr">
        <is>
          <t>cedente</t>
        </is>
      </c>
      <c r="G62" s="74" t="inlineStr">
        <is>
          <t>N/D</t>
        </is>
      </c>
      <c r="H62" s="74" t="inlineStr">
        <is>
          <t>Supplier</t>
        </is>
      </c>
      <c r="I62" s="74" t="inlineStr">
        <is>
          <t>N/D</t>
        </is>
      </c>
      <c r="J62" s="74" t="inlineStr">
        <is>
          <t>Crédito Curto Prazo com o segurado; Crédito PME</t>
        </is>
      </c>
      <c r="K62" s="74" t="inlineStr">
        <is>
          <t>IMG_8706.JPG</t>
        </is>
      </c>
      <c r="L62" s="74" t="inlineStr">
        <is>
          <t>planilha amarela; linha da raiz 50988212</t>
        </is>
      </c>
      <c r="M62" s="74" t="inlineStr">
        <is>
          <t>confirmado_legivel</t>
        </is>
      </c>
      <c r="N62" s="74" t="inlineStr">
        <is>
          <t>alta</t>
        </is>
      </c>
      <c r="O62" s="74" t="inlineStr">
        <is>
          <t>Denominação cortada pela largura da coluna na foto.</t>
        </is>
      </c>
      <c r="P62" s="74" t="inlineStr">
        <is>
          <t>Carteira 101</t>
        </is>
      </c>
      <c r="Q62" s="74" t="inlineStr">
        <is>
          <t>cedente_originador_literal; papel_literal</t>
        </is>
      </c>
      <c r="R62" s="74" t="b">
        <v>1</v>
      </c>
      <c r="S62" s="74" t="inlineStr">
        <is>
          <t>overlay aplicado somente em lacunas</t>
        </is>
      </c>
    </row>
    <row r="63" ht="36" customHeight="1">
      <c r="A63" s="160" t="inlineStr">
        <is>
          <t>58476088</t>
        </is>
      </c>
      <c r="B63" s="161" t="n">
        <v>58476088000100</v>
      </c>
      <c r="C63" s="75" t="inlineStr">
        <is>
          <t>cnpj_informado</t>
        </is>
      </c>
      <c r="D63" s="75" t="inlineStr">
        <is>
          <t>CONSORCIO DALTEZ</t>
        </is>
      </c>
      <c r="E63" s="75" t="inlineStr">
        <is>
          <t>Saga Brasil</t>
        </is>
      </c>
      <c r="F63" s="75" t="inlineStr">
        <is>
          <t>cedente</t>
        </is>
      </c>
      <c r="G63" s="75" t="inlineStr">
        <is>
          <t>N/D</t>
        </is>
      </c>
      <c r="H63" s="75" t="inlineStr">
        <is>
          <t>Saga Brasil</t>
        </is>
      </c>
      <c r="I63" s="75" t="inlineStr">
        <is>
          <t>N/D</t>
        </is>
      </c>
      <c r="J63" s="75" t="inlineStr">
        <is>
          <t>notas comerciais para substituição parcial de Floor Plan</t>
        </is>
      </c>
      <c r="K63" s="75" t="inlineStr">
        <is>
          <t>IMG_8706.JPG</t>
        </is>
      </c>
      <c r="L63" s="75" t="inlineStr">
        <is>
          <t>planilha amarela; linha da raiz 58476088</t>
        </is>
      </c>
      <c r="M63" s="75" t="inlineStr">
        <is>
          <t>confirmado_legivel</t>
        </is>
      </c>
      <c r="N63" s="75" t="inlineStr">
        <is>
          <t>média</t>
        </is>
      </c>
      <c r="O63" s="75" t="inlineStr">
        <is>
          <t>OBS continua fora da foto após a descrição legível.</t>
        </is>
      </c>
      <c r="P63" s="75" t="inlineStr">
        <is>
          <t>Carteira 101</t>
        </is>
      </c>
      <c r="Q63" s="75" t="inlineStr">
        <is>
          <t>cedente_originador_literal; papel_literal</t>
        </is>
      </c>
      <c r="R63" s="75" t="b">
        <v>1</v>
      </c>
      <c r="S63" s="75" t="inlineStr">
        <is>
          <t>overlay aplicado somente em lacunas</t>
        </is>
      </c>
    </row>
    <row r="64" ht="36" customHeight="1">
      <c r="A64" s="158" t="inlineStr">
        <is>
          <t>58349979</t>
        </is>
      </c>
      <c r="B64" s="159" t="n">
        <v>58349979000198</v>
      </c>
      <c r="C64" s="74" t="inlineStr">
        <is>
          <t>cnpj_informado</t>
        </is>
      </c>
      <c r="D64" s="74" t="inlineStr">
        <is>
          <t>VOLKSWAGEN TERA FIDC SEGMENTO RECEBIVEIS COMERCIAI...</t>
        </is>
      </c>
      <c r="E64" s="74" t="inlineStr">
        <is>
          <t>Volkswagen do Brasil S.A.</t>
        </is>
      </c>
      <c r="F64" s="74" t="inlineStr">
        <is>
          <t>cedente</t>
        </is>
      </c>
      <c r="G64" s="74" t="inlineStr">
        <is>
          <t>N/D</t>
        </is>
      </c>
      <c r="H64" s="74" t="inlineStr">
        <is>
          <t>Volkswagen do Brasil S.A.</t>
        </is>
      </c>
      <c r="I64" s="74" t="inlineStr">
        <is>
          <t>N/D</t>
        </is>
      </c>
      <c r="J64" s="74" t="inlineStr">
        <is>
          <t>Direitos creditórios</t>
        </is>
      </c>
      <c r="K64" s="74" t="inlineStr">
        <is>
          <t>IMG_8706.JPG</t>
        </is>
      </c>
      <c r="L64" s="74" t="inlineStr">
        <is>
          <t>planilha amarela; linha da raiz 58349979</t>
        </is>
      </c>
      <c r="M64" s="74" t="inlineStr">
        <is>
          <t>confirmado_legivel</t>
        </is>
      </c>
      <c r="N64" s="74" t="inlineStr">
        <is>
          <t>alta</t>
        </is>
      </c>
      <c r="O64" s="74" t="inlineStr">
        <is>
          <t>OBS da foto: concentração grande com LM e Unidas, ambas com tendência de rating estável. Denominação cortada.</t>
        </is>
      </c>
      <c r="P64" s="74" t="inlineStr">
        <is>
          <t>Carteira 101</t>
        </is>
      </c>
      <c r="Q64" s="74" t="inlineStr">
        <is>
          <t>cedente_originador_literal; papel_literal</t>
        </is>
      </c>
      <c r="R64" s="74" t="b">
        <v>1</v>
      </c>
      <c r="S64" s="74" t="inlineStr">
        <is>
          <t>overlay aplicado somente em lacunas</t>
        </is>
      </c>
    </row>
    <row r="65" ht="36" customHeight="1">
      <c r="A65" s="160" t="inlineStr">
        <is>
          <t>54559035</t>
        </is>
      </c>
      <c r="B65" s="161" t="n">
        <v>54559035000194</v>
      </c>
      <c r="C65" s="75" t="inlineStr">
        <is>
          <t>cnpj_informado</t>
        </is>
      </c>
      <c r="D65" s="75" t="inlineStr">
        <is>
          <t>FUNDO DE INVESTIMENTO EM DIREITOS CREDITORIOS RESP</t>
        </is>
      </c>
      <c r="E65" s="75" t="inlineStr">
        <is>
          <t>Banco IBM</t>
        </is>
      </c>
      <c r="F65" s="75" t="inlineStr">
        <is>
          <t>cedente</t>
        </is>
      </c>
      <c r="G65" s="75" t="inlineStr">
        <is>
          <t>N/D</t>
        </is>
      </c>
      <c r="H65" s="75" t="inlineStr">
        <is>
          <t>Banco IBM</t>
        </is>
      </c>
      <c r="I65" s="75" t="inlineStr">
        <is>
          <t>N/D</t>
        </is>
      </c>
      <c r="J65" s="75" t="inlineStr">
        <is>
          <t>N/D</t>
        </is>
      </c>
      <c r="K65" s="75" t="inlineStr">
        <is>
          <t>IMG_8706.JPG</t>
        </is>
      </c>
      <c r="L65" s="75" t="inlineStr">
        <is>
          <t>planilha amarela; linha da raiz 54559035</t>
        </is>
      </c>
      <c r="M65" s="75" t="inlineStr">
        <is>
          <t>confirmado_legivel</t>
        </is>
      </c>
      <c r="N65" s="75" t="inlineStr">
        <is>
          <t>alta</t>
        </is>
      </c>
      <c r="O65" s="75" t="inlineStr">
        <is>
          <t>N/D</t>
        </is>
      </c>
      <c r="P65" s="75" t="inlineStr">
        <is>
          <t>Carteira 101</t>
        </is>
      </c>
      <c r="Q65" s="75" t="inlineStr">
        <is>
          <t>cedente_originador_literal; papel_literal</t>
        </is>
      </c>
      <c r="R65" s="75" t="b">
        <v>1</v>
      </c>
      <c r="S65" s="75" t="inlineStr">
        <is>
          <t>overlay aplicado somente em lacunas</t>
        </is>
      </c>
    </row>
    <row r="66" ht="36" customHeight="1">
      <c r="A66" s="158" t="inlineStr">
        <is>
          <t>55070804</t>
        </is>
      </c>
      <c r="B66" s="159" t="n">
        <v>55070804000159</v>
      </c>
      <c r="C66" s="74" t="inlineStr">
        <is>
          <t>cnpj_informado</t>
        </is>
      </c>
      <c r="D66" s="74" t="inlineStr">
        <is>
          <t>ESTRATEGIA VINCULADA II FUNDO DE INVESTIMENTO EM D...</t>
        </is>
      </c>
      <c r="E66" s="74" t="inlineStr">
        <is>
          <t>Banco IBM</t>
        </is>
      </c>
      <c r="F66" s="74" t="inlineStr">
        <is>
          <t>cedente</t>
        </is>
      </c>
      <c r="G66" s="74" t="inlineStr">
        <is>
          <t>N/D</t>
        </is>
      </c>
      <c r="H66" s="74" t="inlineStr">
        <is>
          <t>Banco IBM</t>
        </is>
      </c>
      <c r="I66" s="74" t="inlineStr">
        <is>
          <t>N/D</t>
        </is>
      </c>
      <c r="J66" s="74" t="inlineStr">
        <is>
          <t>N/D</t>
        </is>
      </c>
      <c r="K66" s="74" t="inlineStr">
        <is>
          <t>IMG_8706.JPG</t>
        </is>
      </c>
      <c r="L66" s="74" t="inlineStr">
        <is>
          <t>planilha amarela; linha da raiz 55070804</t>
        </is>
      </c>
      <c r="M66" s="74" t="inlineStr">
        <is>
          <t>confirmado_legivel</t>
        </is>
      </c>
      <c r="N66" s="74" t="inlineStr">
        <is>
          <t>alta</t>
        </is>
      </c>
      <c r="O66" s="74" t="inlineStr">
        <is>
          <t>Denominação cortada pela largura da coluna na foto.</t>
        </is>
      </c>
      <c r="P66" s="74" t="inlineStr">
        <is>
          <t>Carteira 101</t>
        </is>
      </c>
      <c r="Q66" s="74" t="inlineStr">
        <is>
          <t>cedente_originador_literal; papel_literal</t>
        </is>
      </c>
      <c r="R66" s="74" t="b">
        <v>1</v>
      </c>
      <c r="S66" s="74" t="inlineStr">
        <is>
          <t>overlay aplicado somente em lacunas</t>
        </is>
      </c>
    </row>
    <row r="67" ht="36" customHeight="1">
      <c r="A67" s="160" t="inlineStr">
        <is>
          <t>43866348</t>
        </is>
      </c>
      <c r="B67" s="161" t="n">
        <v>43866348000179</v>
      </c>
      <c r="C67" s="75" t="inlineStr">
        <is>
          <t>cnpj_informado</t>
        </is>
      </c>
      <c r="D67" s="75" t="inlineStr">
        <is>
          <t>FUNDO DE INVESTIMENTO EM DIREITOS CREDITORIOS OPEA</t>
        </is>
      </c>
      <c r="E67" s="75" t="inlineStr">
        <is>
          <t>SUMITOMO</t>
        </is>
      </c>
      <c r="F67" s="75" t="inlineStr">
        <is>
          <t>cedente</t>
        </is>
      </c>
      <c r="G67" s="75" t="inlineStr">
        <is>
          <t>N/D</t>
        </is>
      </c>
      <c r="H67" s="75" t="inlineStr">
        <is>
          <t>SUMITOMO</t>
        </is>
      </c>
      <c r="I67" s="75" t="inlineStr">
        <is>
          <t>N/D</t>
        </is>
      </c>
      <c r="J67" s="75" t="inlineStr">
        <is>
          <t>financiamento de revendas e produtores</t>
        </is>
      </c>
      <c r="K67" s="75" t="inlineStr">
        <is>
          <t>IMG_8706.JPG</t>
        </is>
      </c>
      <c r="L67" s="75" t="inlineStr">
        <is>
          <t>planilha amarela; linha da raiz 43866348</t>
        </is>
      </c>
      <c r="M67" s="75" t="inlineStr">
        <is>
          <t>confirmado_legivel</t>
        </is>
      </c>
      <c r="N67" s="75" t="inlineStr">
        <is>
          <t>alta</t>
        </is>
      </c>
      <c r="O67" s="75" t="inlineStr">
        <is>
          <t>OBS literal: FIDC Sumitomo. Financia revendas e produtores.</t>
        </is>
      </c>
      <c r="P67" s="75" t="inlineStr">
        <is>
          <t>Carteira 101</t>
        </is>
      </c>
      <c r="Q67" s="75" t="inlineStr">
        <is>
          <t>cedente_originador_literal; papel_literal</t>
        </is>
      </c>
      <c r="R67" s="75" t="b">
        <v>1</v>
      </c>
      <c r="S67" s="75" t="inlineStr">
        <is>
          <t>overlay aplicado somente em lacunas</t>
        </is>
      </c>
    </row>
    <row r="68" ht="36" customHeight="1">
      <c r="A68" s="158" t="inlineStr">
        <is>
          <t>47936340</t>
        </is>
      </c>
      <c r="B68" s="159" t="n">
        <v>47936340000192</v>
      </c>
      <c r="C68" s="74" t="inlineStr">
        <is>
          <t>cnpj_informado</t>
        </is>
      </c>
      <c r="D68" s="74" t="inlineStr">
        <is>
          <t>FUNDO DE INVESTIMENTO EM DIREITOS CREDITORIOS OPEA</t>
        </is>
      </c>
      <c r="E68" s="74" t="inlineStr">
        <is>
          <t>BASF</t>
        </is>
      </c>
      <c r="F68" s="74" t="inlineStr">
        <is>
          <t>cedente</t>
        </is>
      </c>
      <c r="G68" s="74" t="inlineStr">
        <is>
          <t>N/D</t>
        </is>
      </c>
      <c r="H68" s="74" t="inlineStr">
        <is>
          <t>BASF</t>
        </is>
      </c>
      <c r="I68" s="74" t="inlineStr">
        <is>
          <t>N/D</t>
        </is>
      </c>
      <c r="J68" s="74" t="inlineStr">
        <is>
          <t>Insumos Agrícolas - prazo Safra</t>
        </is>
      </c>
      <c r="K68" s="74" t="inlineStr">
        <is>
          <t>IMG_8706.JPG</t>
        </is>
      </c>
      <c r="L68" s="74" t="inlineStr">
        <is>
          <t>planilha amarela; linha da raiz 47936340</t>
        </is>
      </c>
      <c r="M68" s="74" t="inlineStr">
        <is>
          <t>confirmado_legivel</t>
        </is>
      </c>
      <c r="N68" s="74" t="inlineStr">
        <is>
          <t>alta</t>
        </is>
      </c>
      <c r="O68" s="74" t="inlineStr">
        <is>
          <t>N/D</t>
        </is>
      </c>
      <c r="P68" s="74" t="inlineStr">
        <is>
          <t>Carteira 101</t>
        </is>
      </c>
      <c r="Q68" s="74" t="inlineStr">
        <is>
          <t>cedente_originador_literal; papel_literal</t>
        </is>
      </c>
      <c r="R68" s="74" t="b">
        <v>1</v>
      </c>
      <c r="S68" s="74" t="inlineStr">
        <is>
          <t>overlay aplicado somente em lacunas</t>
        </is>
      </c>
    </row>
    <row r="69" ht="36" customHeight="1">
      <c r="A69" s="160" t="inlineStr">
        <is>
          <t>58291962</t>
        </is>
      </c>
      <c r="B69" s="161" t="n">
        <v>58291962000127</v>
      </c>
      <c r="C69" s="75" t="inlineStr">
        <is>
          <t>cnpj_informado</t>
        </is>
      </c>
      <c r="D69" s="75" t="inlineStr">
        <is>
          <t>HELM FUNDO I E D C RESPONS</t>
        </is>
      </c>
      <c r="E69" s="75" t="inlineStr">
        <is>
          <t>Helm</t>
        </is>
      </c>
      <c r="F69" s="75" t="inlineStr">
        <is>
          <t>cedente</t>
        </is>
      </c>
      <c r="G69" s="75" t="inlineStr">
        <is>
          <t>N/D</t>
        </is>
      </c>
      <c r="H69" s="75" t="inlineStr">
        <is>
          <t>Helm</t>
        </is>
      </c>
      <c r="I69" s="75" t="inlineStr">
        <is>
          <t>N/D</t>
        </is>
      </c>
      <c r="J69" s="75" t="inlineStr">
        <is>
          <t>Insumos Agrícolas - prazo Safra</t>
        </is>
      </c>
      <c r="K69" s="75" t="inlineStr">
        <is>
          <t>IMG_8706.JPG</t>
        </is>
      </c>
      <c r="L69" s="75" t="inlineStr">
        <is>
          <t>planilha amarela; linha da raiz 58291962</t>
        </is>
      </c>
      <c r="M69" s="75" t="inlineStr">
        <is>
          <t>confirmado_legivel</t>
        </is>
      </c>
      <c r="N69" s="75" t="inlineStr">
        <is>
          <t>alta</t>
        </is>
      </c>
      <c r="O69" s="75" t="inlineStr">
        <is>
          <t>N/D</t>
        </is>
      </c>
      <c r="P69" s="75" t="inlineStr">
        <is>
          <t>Carteira 101</t>
        </is>
      </c>
      <c r="Q69" s="75" t="inlineStr">
        <is>
          <t>cedente_originador_literal; papel_literal</t>
        </is>
      </c>
      <c r="R69" s="75" t="b">
        <v>1</v>
      </c>
      <c r="S69" s="75" t="inlineStr">
        <is>
          <t>overlay aplicado somente em lacunas</t>
        </is>
      </c>
    </row>
    <row r="70" ht="36" customHeight="1">
      <c r="A70" s="158" t="inlineStr">
        <is>
          <t>57259989</t>
        </is>
      </c>
      <c r="B70" s="159" t="n">
        <v>57259989000170</v>
      </c>
      <c r="C70" s="74" t="inlineStr">
        <is>
          <t>cnpj_informado</t>
        </is>
      </c>
      <c r="D70" s="74" t="inlineStr">
        <is>
          <t>TRES TENTOS FUNDO DE INVESTIMENTO EM DIREITOS CRE...</t>
        </is>
      </c>
      <c r="E70" s="74" t="inlineStr">
        <is>
          <t>Tres Tentos</t>
        </is>
      </c>
      <c r="F70" s="74" t="inlineStr">
        <is>
          <t>cedente</t>
        </is>
      </c>
      <c r="G70" s="74" t="inlineStr">
        <is>
          <t>N/D</t>
        </is>
      </c>
      <c r="H70" s="74" t="inlineStr">
        <is>
          <t>Tres Tentos</t>
        </is>
      </c>
      <c r="I70" s="74" t="inlineStr">
        <is>
          <t>N/D</t>
        </is>
      </c>
      <c r="J70" s="74" t="inlineStr">
        <is>
          <t>Insumos Agrícolas - prazo Safra</t>
        </is>
      </c>
      <c r="K70" s="74" t="inlineStr">
        <is>
          <t>IMG_8706.JPG</t>
        </is>
      </c>
      <c r="L70" s="74" t="inlineStr">
        <is>
          <t>planilha amarela; linha da raiz 57259989</t>
        </is>
      </c>
      <c r="M70" s="74" t="inlineStr">
        <is>
          <t>confirmado_legivel</t>
        </is>
      </c>
      <c r="N70" s="74" t="inlineStr">
        <is>
          <t>alta</t>
        </is>
      </c>
      <c r="O70" s="74" t="inlineStr">
        <is>
          <t>Denominação cortada pela largura da coluna na foto.</t>
        </is>
      </c>
      <c r="P70" s="74" t="inlineStr">
        <is>
          <t>Carteira 101</t>
        </is>
      </c>
      <c r="Q70" s="74" t="inlineStr">
        <is>
          <t>cedente_originador_literal; papel_literal</t>
        </is>
      </c>
      <c r="R70" s="74" t="b">
        <v>1</v>
      </c>
      <c r="S70" s="74" t="inlineStr">
        <is>
          <t>overlay aplicado somente em lacunas</t>
        </is>
      </c>
    </row>
    <row r="71" ht="36" customHeight="1">
      <c r="A71" s="160" t="inlineStr">
        <is>
          <t>58171340</t>
        </is>
      </c>
      <c r="B71" s="161" t="n">
        <v>58171340000165</v>
      </c>
      <c r="C71" s="75" t="inlineStr">
        <is>
          <t>cnpj_informado</t>
        </is>
      </c>
      <c r="D71" s="75" t="inlineStr">
        <is>
          <t>FRIMESA FUNDO DE INVESTIMENTO EM DIREITOS CREDITOR...</t>
        </is>
      </c>
      <c r="E71" s="75" t="inlineStr">
        <is>
          <t>Frimesa</t>
        </is>
      </c>
      <c r="F71" s="75" t="inlineStr">
        <is>
          <t>cedente</t>
        </is>
      </c>
      <c r="G71" s="75" t="inlineStr">
        <is>
          <t>N/D</t>
        </is>
      </c>
      <c r="H71" s="75" t="inlineStr">
        <is>
          <t>Frimesa</t>
        </is>
      </c>
      <c r="I71" s="75" t="inlineStr">
        <is>
          <t>N/D</t>
        </is>
      </c>
      <c r="J71" s="75" t="inlineStr">
        <is>
          <t>recebíveis supermercados</t>
        </is>
      </c>
      <c r="K71" s="75" t="inlineStr">
        <is>
          <t>IMG_8706.JPG</t>
        </is>
      </c>
      <c r="L71" s="75" t="inlineStr">
        <is>
          <t>planilha amarela; linha da raiz 58171340</t>
        </is>
      </c>
      <c r="M71" s="75" t="inlineStr">
        <is>
          <t>confirmado_legivel</t>
        </is>
      </c>
      <c r="N71" s="75" t="inlineStr">
        <is>
          <t>alta</t>
        </is>
      </c>
      <c r="O71" s="75" t="inlineStr">
        <is>
          <t>Denominação cortada pela largura da coluna na foto.</t>
        </is>
      </c>
      <c r="P71" s="75" t="inlineStr">
        <is>
          <t>Carteira 101</t>
        </is>
      </c>
      <c r="Q71" s="75" t="inlineStr">
        <is>
          <t>cedente_originador_literal; papel_literal</t>
        </is>
      </c>
      <c r="R71" s="75" t="b">
        <v>1</v>
      </c>
      <c r="S71" s="75" t="inlineStr">
        <is>
          <t>overlay aplicado somente em lacunas</t>
        </is>
      </c>
    </row>
    <row r="72" ht="36" customHeight="1">
      <c r="A72" s="158" t="inlineStr">
        <is>
          <t>51554551</t>
        </is>
      </c>
      <c r="B72" s="159" t="n">
        <v>51554551000138</v>
      </c>
      <c r="C72" s="74" t="inlineStr">
        <is>
          <t>cnpj_informado</t>
        </is>
      </c>
      <c r="D72" s="74" t="inlineStr">
        <is>
          <t>CLASSE UNICA DO FIDC CREDITO NITRO AGRO - RESPONSA...</t>
        </is>
      </c>
      <c r="E72" s="74" t="inlineStr">
        <is>
          <t>Nitroquímica</t>
        </is>
      </c>
      <c r="F72" s="74" t="inlineStr">
        <is>
          <t>cedente</t>
        </is>
      </c>
      <c r="G72" s="74" t="inlineStr">
        <is>
          <t>N/D</t>
        </is>
      </c>
      <c r="H72" s="74" t="inlineStr">
        <is>
          <t>Nitroquímica</t>
        </is>
      </c>
      <c r="I72" s="74" t="inlineStr">
        <is>
          <t>N/D</t>
        </is>
      </c>
      <c r="J72" s="74" t="inlineStr">
        <is>
          <t>Insumos Agrícolas - prazo Safra</t>
        </is>
      </c>
      <c r="K72" s="74" t="inlineStr">
        <is>
          <t>IMG_8706.JPG</t>
        </is>
      </c>
      <c r="L72" s="74" t="inlineStr">
        <is>
          <t>planilha amarela; linha da raiz 51554551</t>
        </is>
      </c>
      <c r="M72" s="74" t="inlineStr">
        <is>
          <t>confirmado_legivel</t>
        </is>
      </c>
      <c r="N72" s="74" t="inlineStr">
        <is>
          <t>alta</t>
        </is>
      </c>
      <c r="O72" s="74" t="inlineStr">
        <is>
          <t>Denominação cortada pela largura da coluna na foto.</t>
        </is>
      </c>
      <c r="P72" s="74" t="inlineStr">
        <is>
          <t>Carteira 101</t>
        </is>
      </c>
      <c r="Q72" s="74" t="inlineStr">
        <is>
          <t>cedente_originador_literal; papel_literal</t>
        </is>
      </c>
      <c r="R72" s="74" t="b">
        <v>1</v>
      </c>
      <c r="S72" s="74" t="inlineStr">
        <is>
          <t>overlay aplicado somente em lacunas</t>
        </is>
      </c>
    </row>
    <row r="73" ht="36" customHeight="1">
      <c r="A73" s="160" t="inlineStr">
        <is>
          <t>57752597</t>
        </is>
      </c>
      <c r="B73" s="161" t="n">
        <v>57752597000148</v>
      </c>
      <c r="C73" s="75" t="inlineStr">
        <is>
          <t>cnpj_informado</t>
        </is>
      </c>
      <c r="D73" s="75" t="inlineStr">
        <is>
          <t>AGROMERCANTIL CREDITO AGRO FUNDO DE INVESTIMENTO EM DIREITOS CREDITORI...</t>
        </is>
      </c>
      <c r="E73" s="75" t="inlineStr">
        <is>
          <t>AGROMERCANTIL</t>
        </is>
      </c>
      <c r="F73" s="75" t="inlineStr">
        <is>
          <t>cedente</t>
        </is>
      </c>
      <c r="G73" s="75" t="inlineStr">
        <is>
          <t>N/D</t>
        </is>
      </c>
      <c r="H73" s="75" t="inlineStr">
        <is>
          <t>AGROMERCANTIL</t>
        </is>
      </c>
      <c r="I73" s="75" t="inlineStr">
        <is>
          <t>N/D</t>
        </is>
      </c>
      <c r="J73" s="75" t="inlineStr">
        <is>
          <t>Comercializadora de grãos</t>
        </is>
      </c>
      <c r="K73" s="75" t="inlineStr">
        <is>
          <t>IMG_8706.JPG</t>
        </is>
      </c>
      <c r="L73" s="75" t="inlineStr">
        <is>
          <t>planilha amarela; linha da raiz 57752597</t>
        </is>
      </c>
      <c r="M73" s="75" t="inlineStr">
        <is>
          <t>confirmado_legivel</t>
        </is>
      </c>
      <c r="N73" s="75" t="inlineStr">
        <is>
          <t>alta</t>
        </is>
      </c>
      <c r="O73" s="75" t="inlineStr">
        <is>
          <t>Denominação cortada pela largura da coluna na foto.</t>
        </is>
      </c>
      <c r="P73" s="75" t="inlineStr">
        <is>
          <t>Carteira 101</t>
        </is>
      </c>
      <c r="Q73" s="75" t="inlineStr">
        <is>
          <t>cedente_originador_literal; papel_literal</t>
        </is>
      </c>
      <c r="R73" s="75" t="b">
        <v>1</v>
      </c>
      <c r="S73" s="75" t="inlineStr">
        <is>
          <t>overlay aplicado somente em lacunas</t>
        </is>
      </c>
    </row>
    <row r="74" ht="36" customHeight="1">
      <c r="A74" s="158" t="inlineStr">
        <is>
          <t>47425750</t>
        </is>
      </c>
      <c r="B74" s="159" t="n">
        <v>47425750000179</v>
      </c>
      <c r="C74" s="74" t="inlineStr">
        <is>
          <t>cnpj_informado</t>
        </is>
      </c>
      <c r="D74" s="74" t="inlineStr">
        <is>
          <t>FIDC CROPFIELD CEREALIS</t>
        </is>
      </c>
      <c r="E74" s="74" t="inlineStr">
        <is>
          <t>CROPFIELD DO BRASIL INDÚSTRIA DE INSUM...</t>
        </is>
      </c>
      <c r="F74" s="74" t="inlineStr">
        <is>
          <t>cedente</t>
        </is>
      </c>
      <c r="G74" s="74" t="inlineStr">
        <is>
          <t>N/D</t>
        </is>
      </c>
      <c r="H74" s="74" t="inlineStr">
        <is>
          <t>CROPFIELD DO BRASIL INDÚSTRIA DE INSUM...</t>
        </is>
      </c>
      <c r="I74" s="74" t="inlineStr">
        <is>
          <t>N/D</t>
        </is>
      </c>
      <c r="J74" s="74" t="inlineStr">
        <is>
          <t>Insumos Agrícolas - prazo Safra; possui não performados</t>
        </is>
      </c>
      <c r="K74" s="74" t="inlineStr">
        <is>
          <t>IMG_8706.JPG</t>
        </is>
      </c>
      <c r="L74" s="74" t="inlineStr">
        <is>
          <t>planilha amarela; linha da raiz 47425750</t>
        </is>
      </c>
      <c r="M74" s="74" t="inlineStr">
        <is>
          <t>revisao</t>
        </is>
      </c>
      <c r="N74" s="74" t="inlineStr">
        <is>
          <t>média</t>
        </is>
      </c>
      <c r="O74" s="74" t="inlineStr">
        <is>
          <t>Literal de cedente cortado; não elegível até revisão.</t>
        </is>
      </c>
      <c r="P74" s="74" t="inlineStr">
        <is>
          <t>N/D</t>
        </is>
      </c>
      <c r="Q74" s="74" t="inlineStr">
        <is>
          <t>N/D</t>
        </is>
      </c>
      <c r="R74" s="74" t="b">
        <v>0</v>
      </c>
      <c r="S74" s="74" t="inlineStr">
        <is>
          <t>status de transcrição não aprovado</t>
        </is>
      </c>
    </row>
    <row r="75" ht="36" customHeight="1">
      <c r="A75" s="160" t="inlineStr">
        <is>
          <t>37035970</t>
        </is>
      </c>
      <c r="B75" s="161" t="n">
        <v>37035970000132</v>
      </c>
      <c r="C75" s="75" t="inlineStr">
        <is>
          <t>cnpj_informado</t>
        </is>
      </c>
      <c r="D75" s="75" t="inlineStr">
        <is>
          <t>CD BANCK FIDC</t>
        </is>
      </c>
      <c r="E75" s="75" t="inlineStr">
        <is>
          <t>CHD'S</t>
        </is>
      </c>
      <c r="F75" s="75" t="inlineStr">
        <is>
          <t>cedente</t>
        </is>
      </c>
      <c r="G75" s="75" t="inlineStr">
        <is>
          <t>N/D</t>
        </is>
      </c>
      <c r="H75" s="75" t="inlineStr">
        <is>
          <t>CHD'S</t>
        </is>
      </c>
      <c r="I75" s="75" t="inlineStr">
        <is>
          <t>N/D</t>
        </is>
      </c>
      <c r="J75" s="75" t="inlineStr">
        <is>
          <t>Insumos Agrícolas - prazo Safra; possui não performados</t>
        </is>
      </c>
      <c r="K75" s="75" t="inlineStr">
        <is>
          <t>IMG_8706.JPG</t>
        </is>
      </c>
      <c r="L75" s="75" t="inlineStr">
        <is>
          <t>planilha amarela; linha da raiz 37035970</t>
        </is>
      </c>
      <c r="M75" s="75" t="inlineStr">
        <is>
          <t>confirmado_legivel</t>
        </is>
      </c>
      <c r="N75" s="75" t="inlineStr">
        <is>
          <t>alta</t>
        </is>
      </c>
      <c r="O75" s="75" t="inlineStr">
        <is>
          <t>N/D</t>
        </is>
      </c>
      <c r="P75" s="75" t="inlineStr">
        <is>
          <t>Carteira 101</t>
        </is>
      </c>
      <c r="Q75" s="75" t="inlineStr">
        <is>
          <t>cedente_originador_literal; papel_literal</t>
        </is>
      </c>
      <c r="R75" s="75" t="b">
        <v>1</v>
      </c>
      <c r="S75" s="75" t="inlineStr">
        <is>
          <t>overlay aplicado somente em lacunas</t>
        </is>
      </c>
    </row>
    <row r="76" ht="36" customHeight="1">
      <c r="A76" s="158" t="inlineStr">
        <is>
          <t>17468142</t>
        </is>
      </c>
      <c r="B76" s="159" t="n">
        <v>17468142000180</v>
      </c>
      <c r="C76" s="74" t="inlineStr">
        <is>
          <t>cnpj_informado</t>
        </is>
      </c>
      <c r="D76" s="74" t="inlineStr">
        <is>
          <t>VALOREM FIDC MULTISSETORIAL</t>
        </is>
      </c>
      <c r="E76" s="74" t="inlineStr">
        <is>
          <t>Multicedentes &amp; Multisacados</t>
        </is>
      </c>
      <c r="F76" s="74" t="inlineStr">
        <is>
          <t>cedente</t>
        </is>
      </c>
      <c r="G76" s="74" t="inlineStr">
        <is>
          <t>N/D</t>
        </is>
      </c>
      <c r="H76" s="74" t="inlineStr">
        <is>
          <t>Multicedentes &amp; Multisacados</t>
        </is>
      </c>
      <c r="I76" s="74" t="inlineStr">
        <is>
          <t>N/D</t>
        </is>
      </c>
      <c r="J76" s="74" t="inlineStr">
        <is>
          <t>FIDC MultiCedente / Multisacado</t>
        </is>
      </c>
      <c r="K76" s="74" t="inlineStr">
        <is>
          <t>IMG_8706.JPG</t>
        </is>
      </c>
      <c r="L76" s="74" t="inlineStr">
        <is>
          <t>planilha amarela; linha da raiz 17468142</t>
        </is>
      </c>
      <c r="M76" s="74" t="inlineStr">
        <is>
          <t>confirmado_legivel</t>
        </is>
      </c>
      <c r="N76" s="74" t="inlineStr">
        <is>
          <t>alta</t>
        </is>
      </c>
      <c r="O76" s="74" t="inlineStr">
        <is>
          <t>N/D</t>
        </is>
      </c>
      <c r="P76" s="74" t="inlineStr">
        <is>
          <t>Carteira 101</t>
        </is>
      </c>
      <c r="Q76" s="74" t="inlineStr">
        <is>
          <t>cedente_originador_literal; papel_literal</t>
        </is>
      </c>
      <c r="R76" s="74" t="b">
        <v>1</v>
      </c>
      <c r="S76" s="74" t="inlineStr">
        <is>
          <t>overlay aplicado somente em lacunas</t>
        </is>
      </c>
    </row>
    <row r="77" ht="36" customHeight="1">
      <c r="A77" s="160" t="inlineStr">
        <is>
          <t>31739396</t>
        </is>
      </c>
      <c r="B77" s="161" t="n">
        <v>31739396000117</v>
      </c>
      <c r="C77" s="75" t="inlineStr">
        <is>
          <t>cnpj_informado</t>
        </is>
      </c>
      <c r="D77" s="75" t="inlineStr">
        <is>
          <t>FIDC LF III</t>
        </is>
      </c>
      <c r="E77" s="75" t="inlineStr">
        <is>
          <t>Listo IP</t>
        </is>
      </c>
      <c r="F77" s="75" t="inlineStr">
        <is>
          <t>cedente</t>
        </is>
      </c>
      <c r="G77" s="75" t="inlineStr">
        <is>
          <t>N/D</t>
        </is>
      </c>
      <c r="H77" s="75" t="inlineStr">
        <is>
          <t>Listo IP</t>
        </is>
      </c>
      <c r="I77" s="75" t="inlineStr">
        <is>
          <t>N/D</t>
        </is>
      </c>
      <c r="J77" s="75" t="inlineStr">
        <is>
          <t>Risco Bancos Emissores Diversos</t>
        </is>
      </c>
      <c r="K77" s="75" t="inlineStr">
        <is>
          <t>IMG_8706.JPG</t>
        </is>
      </c>
      <c r="L77" s="75" t="inlineStr">
        <is>
          <t>planilha amarela; linha da raiz 31739396</t>
        </is>
      </c>
      <c r="M77" s="75" t="inlineStr">
        <is>
          <t>confirmado_legivel</t>
        </is>
      </c>
      <c r="N77" s="75" t="inlineStr">
        <is>
          <t>alta</t>
        </is>
      </c>
      <c r="O77" s="75" t="inlineStr">
        <is>
          <t>OBS da foto: lista de concentração pré-aprovada.</t>
        </is>
      </c>
      <c r="P77" s="75" t="inlineStr">
        <is>
          <t>Carteira 101</t>
        </is>
      </c>
      <c r="Q77" s="75" t="inlineStr">
        <is>
          <t>cedente_originador_literal; papel_literal</t>
        </is>
      </c>
      <c r="R77" s="75" t="b">
        <v>1</v>
      </c>
      <c r="S77" s="75" t="inlineStr">
        <is>
          <t>overlay aplicado somente em lacunas</t>
        </is>
      </c>
    </row>
    <row r="78" ht="36" customHeight="1">
      <c r="A78" s="158" t="inlineStr">
        <is>
          <t>26749095</t>
        </is>
      </c>
      <c r="B78" s="159" t="n">
        <v>26749095000134</v>
      </c>
      <c r="C78" s="74" t="inlineStr">
        <is>
          <t>cnpj_informado</t>
        </is>
      </c>
      <c r="D78" s="74" t="inlineStr">
        <is>
          <t>CREDITO UNIVERSITARIO II FUNDO DE INVESTIMENTO EM...</t>
        </is>
      </c>
      <c r="E78" s="74" t="inlineStr">
        <is>
          <t>Pravaler</t>
        </is>
      </c>
      <c r="F78" s="74" t="inlineStr">
        <is>
          <t>cedente</t>
        </is>
      </c>
      <c r="G78" s="74" t="inlineStr">
        <is>
          <t>N/D</t>
        </is>
      </c>
      <c r="H78" s="74" t="inlineStr">
        <is>
          <t>Pravaler</t>
        </is>
      </c>
      <c r="I78" s="74" t="inlineStr">
        <is>
          <t>N/D</t>
        </is>
      </c>
      <c r="J78" s="74" t="inlineStr">
        <is>
          <t>Crédito Estudantil</t>
        </is>
      </c>
      <c r="K78" s="74" t="inlineStr">
        <is>
          <t>IMG_8706.JPG</t>
        </is>
      </c>
      <c r="L78" s="74" t="inlineStr">
        <is>
          <t>planilha amarela; linha da raiz 26749095</t>
        </is>
      </c>
      <c r="M78" s="74" t="inlineStr">
        <is>
          <t>confirmado_legivel</t>
        </is>
      </c>
      <c r="N78" s="74" t="inlineStr">
        <is>
          <t>alta</t>
        </is>
      </c>
      <c r="O78" s="74" t="inlineStr">
        <is>
          <t>Denominação cortada pela largura da coluna na foto.</t>
        </is>
      </c>
      <c r="P78" s="74" t="inlineStr">
        <is>
          <t>Carteira 101</t>
        </is>
      </c>
      <c r="Q78" s="74" t="inlineStr">
        <is>
          <t>cedente_originador_literal; papel_literal</t>
        </is>
      </c>
      <c r="R78" s="74" t="b">
        <v>1</v>
      </c>
      <c r="S78" s="74" t="inlineStr">
        <is>
          <t>overlay aplicado somente em lacunas</t>
        </is>
      </c>
    </row>
    <row r="79" ht="36" customHeight="1">
      <c r="A79" s="160" t="inlineStr">
        <is>
          <t>62393829</t>
        </is>
      </c>
      <c r="B79" s="161" t="n">
        <v>62393829000159</v>
      </c>
      <c r="C79" s="75" t="inlineStr">
        <is>
          <t>cnpj_informado</t>
        </is>
      </c>
      <c r="D79" s="75" t="inlineStr">
        <is>
          <t>TOP 2025 V FIDC RESP LIMITADA</t>
        </is>
      </c>
      <c r="E79" s="75" t="inlineStr">
        <is>
          <t>Multicedente</t>
        </is>
      </c>
      <c r="F79" s="75" t="inlineStr">
        <is>
          <t>cedente</t>
        </is>
      </c>
      <c r="G79" s="75" t="inlineStr">
        <is>
          <t>N/D</t>
        </is>
      </c>
      <c r="H79" s="75" t="inlineStr">
        <is>
          <t>Multicedente</t>
        </is>
      </c>
      <c r="I79" s="75" t="inlineStr">
        <is>
          <t>BRF</t>
        </is>
      </c>
      <c r="J79" s="75" t="inlineStr">
        <is>
          <t>Risco Sacado BRF</t>
        </is>
      </c>
      <c r="K79" s="75" t="inlineStr">
        <is>
          <t>IMG_8706.JPG</t>
        </is>
      </c>
      <c r="L79" s="75" t="inlineStr">
        <is>
          <t>planilha amarela; linha da raiz 62393829</t>
        </is>
      </c>
      <c r="M79" s="75" t="inlineStr">
        <is>
          <t>confirmado_legivel</t>
        </is>
      </c>
      <c r="N79" s="75" t="inlineStr">
        <is>
          <t>alta</t>
        </is>
      </c>
      <c r="O79" s="75" t="inlineStr">
        <is>
          <t>BRF foi desmembrado somente porque a fonte escreve literalmente Risco Sacado BRF.</t>
        </is>
      </c>
      <c r="P79" s="75" t="inlineStr">
        <is>
          <t>Carteira 101</t>
        </is>
      </c>
      <c r="Q79" s="75" t="inlineStr">
        <is>
          <t>cedente_originador_literal; papel_literal</t>
        </is>
      </c>
      <c r="R79" s="75" t="b">
        <v>1</v>
      </c>
      <c r="S79" s="75" t="inlineStr">
        <is>
          <t>overlay aplicado somente em lacunas</t>
        </is>
      </c>
    </row>
    <row r="80" ht="36" customHeight="1">
      <c r="A80" s="158" t="inlineStr">
        <is>
          <t>47640584</t>
        </is>
      </c>
      <c r="B80" s="159" t="n">
        <v>47640584000123</v>
      </c>
      <c r="C80" s="74" t="inlineStr">
        <is>
          <t>cnpj_informado</t>
        </is>
      </c>
      <c r="D80" s="74" t="inlineStr">
        <is>
          <t>SOL AGORA GREEN ESG FIDC IS SEGMENTO FINANCEIRO DE...</t>
        </is>
      </c>
      <c r="E80" s="74" t="inlineStr">
        <is>
          <t>BMP</t>
        </is>
      </c>
      <c r="F80" s="74" t="inlineStr">
        <is>
          <t>cedente</t>
        </is>
      </c>
      <c r="G80" s="74" t="inlineStr">
        <is>
          <t>Sol Agora</t>
        </is>
      </c>
      <c r="H80" s="74" t="inlineStr">
        <is>
          <t>BMP</t>
        </is>
      </c>
      <c r="I80" s="74" t="inlineStr">
        <is>
          <t>N/D</t>
        </is>
      </c>
      <c r="J80" s="74" t="inlineStr">
        <is>
          <t>Recebíveis: CCBs</t>
        </is>
      </c>
      <c r="K80" s="74" t="inlineStr">
        <is>
          <t>IMG_8706.JPG</t>
        </is>
      </c>
      <c r="L80" s="74" t="inlineStr">
        <is>
          <t>planilha amarela; linha da raiz 47640584</t>
        </is>
      </c>
      <c r="M80" s="74" t="inlineStr">
        <is>
          <t>confirmado_legivel</t>
        </is>
      </c>
      <c r="N80" s="74" t="inlineStr">
        <is>
          <t>alta</t>
        </is>
      </c>
      <c r="O80" s="74" t="inlineStr">
        <is>
          <t>OBS da foto: a Sol Agora é o originador, mas o cedente das CCBs é o BMP (true sale). Os papéis foram desmembrados somente porque estão escritos literalmente na fonte. Denominação cortada.</t>
        </is>
      </c>
      <c r="P80" s="74" t="inlineStr">
        <is>
          <t>Carteira 101</t>
        </is>
      </c>
      <c r="Q80" s="74" t="inlineStr">
        <is>
          <t>cedente_originador_literal; papel_literal</t>
        </is>
      </c>
      <c r="R80" s="74" t="b">
        <v>1</v>
      </c>
      <c r="S80" s="74" t="inlineStr">
        <is>
          <t>overlay aplicado somente em lacunas</t>
        </is>
      </c>
    </row>
    <row r="81" ht="36" customHeight="1">
      <c r="A81" s="160" t="inlineStr">
        <is>
          <t>57028406</t>
        </is>
      </c>
      <c r="B81" s="161" t="n">
        <v>57028406000108</v>
      </c>
      <c r="C81" s="75" t="inlineStr">
        <is>
          <t>cnpj_informado</t>
        </is>
      </c>
      <c r="D81" s="75" t="inlineStr">
        <is>
          <t>IS GREEN SOLFACIL VI FIDC RL</t>
        </is>
      </c>
      <c r="E81" s="75" t="inlineStr">
        <is>
          <t>Solfácil SCD</t>
        </is>
      </c>
      <c r="F81" s="75" t="inlineStr">
        <is>
          <t>cedente</t>
        </is>
      </c>
      <c r="G81" s="75" t="inlineStr">
        <is>
          <t>N/D</t>
        </is>
      </c>
      <c r="H81" s="75" t="inlineStr">
        <is>
          <t>Solfácil SCD</t>
        </is>
      </c>
      <c r="I81" s="75" t="inlineStr">
        <is>
          <t>N/D</t>
        </is>
      </c>
      <c r="J81" s="75" t="inlineStr">
        <is>
          <t>Direitos Creditórios performados oriundos de financiamento de instalação de placas solares</t>
        </is>
      </c>
      <c r="K81" s="75" t="inlineStr">
        <is>
          <t>IMG_8706.JPG</t>
        </is>
      </c>
      <c r="L81" s="75" t="inlineStr">
        <is>
          <t>planilha amarela; linha da raiz 57028406</t>
        </is>
      </c>
      <c r="M81" s="75" t="inlineStr">
        <is>
          <t>confirmado_legivel</t>
        </is>
      </c>
      <c r="N81" s="75" t="inlineStr">
        <is>
          <t>alta</t>
        </is>
      </c>
      <c r="O81" s="75" t="inlineStr">
        <is>
          <t>FIDC pulverizado para aquisição dos direitos creditórios descritos.</t>
        </is>
      </c>
      <c r="P81" s="75" t="inlineStr">
        <is>
          <t>Carteira 101</t>
        </is>
      </c>
      <c r="Q81" s="75" t="inlineStr">
        <is>
          <t>cedente_originador_literal; papel_literal</t>
        </is>
      </c>
      <c r="R81" s="75" t="b">
        <v>1</v>
      </c>
      <c r="S81" s="75" t="inlineStr">
        <is>
          <t>overlay aplicado somente em lacunas</t>
        </is>
      </c>
    </row>
    <row r="82" ht="36" customHeight="1">
      <c r="A82" s="158" t="inlineStr">
        <is>
          <t>31570767</t>
        </is>
      </c>
      <c r="B82" s="159" t="n">
        <v>31570767000180</v>
      </c>
      <c r="C82" s="74" t="inlineStr">
        <is>
          <t>cnpj_informado</t>
        </is>
      </c>
      <c r="D82" s="74" t="inlineStr">
        <is>
          <t>FUNDO DE INVESTIMENTO EM DIREI...</t>
        </is>
      </c>
      <c r="E82" s="74" t="inlineStr">
        <is>
          <t>Trademaster</t>
        </is>
      </c>
      <c r="F82" s="74" t="inlineStr">
        <is>
          <t>cedente</t>
        </is>
      </c>
      <c r="G82" s="74" t="inlineStr">
        <is>
          <t>N/D</t>
        </is>
      </c>
      <c r="H82" s="74" t="inlineStr">
        <is>
          <t>Trademaster</t>
        </is>
      </c>
      <c r="I82" s="74" t="inlineStr">
        <is>
          <t>N/D</t>
        </is>
      </c>
      <c r="J82" s="74" t="inlineStr">
        <is>
          <t>N/D</t>
        </is>
      </c>
      <c r="K82" s="74" t="inlineStr">
        <is>
          <t>IMG_8706.JPG</t>
        </is>
      </c>
      <c r="L82" s="74" t="inlineStr">
        <is>
          <t>planilha amarela; linha da raiz 31570767</t>
        </is>
      </c>
      <c r="M82" s="74" t="inlineStr">
        <is>
          <t>confirmado_legivel</t>
        </is>
      </c>
      <c r="N82" s="74" t="inlineStr">
        <is>
          <t>alta</t>
        </is>
      </c>
      <c r="O82" s="74" t="inlineStr">
        <is>
          <t>Denominação cortada pela largura da coluna na foto.</t>
        </is>
      </c>
      <c r="P82" s="74" t="inlineStr">
        <is>
          <t>Carteira 101</t>
        </is>
      </c>
      <c r="Q82" s="74" t="inlineStr">
        <is>
          <t>cedente_originador_literal; papel_literal</t>
        </is>
      </c>
      <c r="R82" s="74" t="b">
        <v>1</v>
      </c>
      <c r="S82" s="74" t="inlineStr">
        <is>
          <t>overlay aplicado somente em lacunas</t>
        </is>
      </c>
    </row>
    <row r="83" ht="36" customHeight="1">
      <c r="A83" s="160" t="inlineStr">
        <is>
          <t>54464892</t>
        </is>
      </c>
      <c r="B83" s="161" t="n">
        <v>54464892000100</v>
      </c>
      <c r="C83" s="75" t="inlineStr">
        <is>
          <t>cnpj_informado</t>
        </is>
      </c>
      <c r="D83" s="75" t="inlineStr">
        <is>
          <t>FUNDO I E D C M F RECEB...</t>
        </is>
      </c>
      <c r="E83" s="75" t="inlineStr">
        <is>
          <t>75% Parati / 25% QI Tech</t>
        </is>
      </c>
      <c r="F83" s="75" t="inlineStr">
        <is>
          <t>cedente</t>
        </is>
      </c>
      <c r="G83" s="75" t="inlineStr">
        <is>
          <t>N/D</t>
        </is>
      </c>
      <c r="H83" s="75" t="inlineStr">
        <is>
          <t>75% Parati / 25% QI Tech</t>
        </is>
      </c>
      <c r="I83" s="75" t="inlineStr">
        <is>
          <t>N/D</t>
        </is>
      </c>
      <c r="J83" s="75" t="inlineStr">
        <is>
          <t>N/D</t>
        </is>
      </c>
      <c r="K83" s="75" t="inlineStr">
        <is>
          <t>IMG_8707.jpg</t>
        </is>
      </c>
      <c r="L83" s="75" t="inlineStr">
        <is>
          <t>planilha amarela; linha da raiz 54464892</t>
        </is>
      </c>
      <c r="M83" s="75" t="inlineStr">
        <is>
          <t>confirmado_legivel</t>
        </is>
      </c>
      <c r="N83" s="75" t="inlineStr">
        <is>
          <t>média</t>
        </is>
      </c>
      <c r="O83" s="75" t="inlineStr">
        <is>
          <t>OBS da foto: Rating atual Ba1; se ajustar o rating na base, pode considerar perspectiva estável. Denominação cortada.</t>
        </is>
      </c>
      <c r="P83" s="75" t="inlineStr">
        <is>
          <t>Carteira 101; Flagships</t>
        </is>
      </c>
      <c r="Q83" s="75" t="inlineStr">
        <is>
          <t>cedente_originador_literal; papel_literal; cedente</t>
        </is>
      </c>
      <c r="R83" s="75" t="b">
        <v>1</v>
      </c>
      <c r="S83" s="75" t="inlineStr">
        <is>
          <t>overlay aplicado somente em lacunas</t>
        </is>
      </c>
    </row>
    <row r="84" ht="36" customHeight="1">
      <c r="A84" s="158" t="inlineStr">
        <is>
          <t>11468186</t>
        </is>
      </c>
      <c r="B84" s="159" t="n">
        <v>11468186000124</v>
      </c>
      <c r="C84" s="74" t="inlineStr">
        <is>
          <t>cnpj_informado</t>
        </is>
      </c>
      <c r="D84" s="74" t="inlineStr">
        <is>
          <t>ATLANTA FIDC NAO PADRONIZADO</t>
        </is>
      </c>
      <c r="E84" s="74" t="inlineStr">
        <is>
          <t>Multicedentes e Multisacados</t>
        </is>
      </c>
      <c r="F84" s="74" t="inlineStr">
        <is>
          <t>cedente</t>
        </is>
      </c>
      <c r="G84" s="74" t="inlineStr">
        <is>
          <t>N/D</t>
        </is>
      </c>
      <c r="H84" s="74" t="inlineStr">
        <is>
          <t>Multicedentes e Multisacados</t>
        </is>
      </c>
      <c r="I84" s="74" t="inlineStr">
        <is>
          <t>N/D</t>
        </is>
      </c>
      <c r="J84" s="74" t="inlineStr">
        <is>
          <t>FIDC Multicedentes &amp; Multisacados</t>
        </is>
      </c>
      <c r="K84" s="74" t="inlineStr">
        <is>
          <t>IMG_8707.jpg</t>
        </is>
      </c>
      <c r="L84" s="74" t="inlineStr">
        <is>
          <t>planilha amarela; linha da raiz 11468186</t>
        </is>
      </c>
      <c r="M84" s="74" t="inlineStr">
        <is>
          <t>confirmado_legivel</t>
        </is>
      </c>
      <c r="N84" s="74" t="inlineStr">
        <is>
          <t>alta</t>
        </is>
      </c>
      <c r="O84" s="74" t="inlineStr">
        <is>
          <t>N/D</t>
        </is>
      </c>
      <c r="P84" s="74" t="inlineStr">
        <is>
          <t>Carteira 101</t>
        </is>
      </c>
      <c r="Q84" s="74" t="inlineStr">
        <is>
          <t>cedente_originador_literal; papel_literal</t>
        </is>
      </c>
      <c r="R84" s="74" t="b">
        <v>1</v>
      </c>
      <c r="S84" s="74" t="inlineStr">
        <is>
          <t>overlay aplicado somente em lacunas</t>
        </is>
      </c>
    </row>
    <row r="85" ht="36" customHeight="1">
      <c r="A85" s="160" t="inlineStr">
        <is>
          <t>43193260</t>
        </is>
      </c>
      <c r="B85" s="161" t="n">
        <v>43193260000133</v>
      </c>
      <c r="C85" s="75" t="inlineStr">
        <is>
          <t>cnpj_informado</t>
        </is>
      </c>
      <c r="D85" s="75" t="inlineStr">
        <is>
          <t>RESIDENCE CLUB FIDC</t>
        </is>
      </c>
      <c r="E85" s="75" t="inlineStr">
        <is>
          <t>VCI</t>
        </is>
      </c>
      <c r="F85" s="75" t="inlineStr">
        <is>
          <t>cedente</t>
        </is>
      </c>
      <c r="G85" s="75" t="inlineStr">
        <is>
          <t>N/D</t>
        </is>
      </c>
      <c r="H85" s="75" t="inlineStr">
        <is>
          <t>VCI</t>
        </is>
      </c>
      <c r="I85" s="75" t="inlineStr">
        <is>
          <t>N/D</t>
        </is>
      </c>
      <c r="J85" s="75" t="inlineStr">
        <is>
          <t>N/D</t>
        </is>
      </c>
      <c r="K85" s="75" t="inlineStr">
        <is>
          <t>IMG_8707.jpg</t>
        </is>
      </c>
      <c r="L85" s="75" t="inlineStr">
        <is>
          <t>planilha amarela; linha da raiz 43193260</t>
        </is>
      </c>
      <c r="M85" s="75" t="inlineStr">
        <is>
          <t>confirmado_legivel</t>
        </is>
      </c>
      <c r="N85" s="75" t="inlineStr">
        <is>
          <t>alta</t>
        </is>
      </c>
      <c r="O85" s="75" t="inlineStr">
        <is>
          <t>OBS aparece apenas como FIDC de receb... e foi excluída da transcrição estruturada.</t>
        </is>
      </c>
      <c r="P85" s="75" t="inlineStr">
        <is>
          <t>Carteira 101</t>
        </is>
      </c>
      <c r="Q85" s="75" t="inlineStr">
        <is>
          <t>cedente_originador_literal; papel_literal</t>
        </is>
      </c>
      <c r="R85" s="75" t="b">
        <v>1</v>
      </c>
      <c r="S85" s="75" t="inlineStr">
        <is>
          <t>overlay aplicado somente em lacunas</t>
        </is>
      </c>
    </row>
    <row r="86" ht="36" customHeight="1">
      <c r="A86" s="158" t="inlineStr">
        <is>
          <t>58152340</t>
        </is>
      </c>
      <c r="B86" s="159" t="n">
        <v>58152340000118</v>
      </c>
      <c r="C86" s="74" t="inlineStr">
        <is>
          <t>cnpj_informado</t>
        </is>
      </c>
      <c r="D86" s="74" t="inlineStr">
        <is>
          <t>MONEE II FUNDO DE INVESTIMENTO</t>
        </is>
      </c>
      <c r="E86" s="74" t="inlineStr">
        <is>
          <t>SHPP IP</t>
        </is>
      </c>
      <c r="F86" s="74" t="inlineStr">
        <is>
          <t>cedente</t>
        </is>
      </c>
      <c r="G86" s="74" t="inlineStr">
        <is>
          <t>N/D</t>
        </is>
      </c>
      <c r="H86" s="74" t="inlineStr">
        <is>
          <t>SHPP IP</t>
        </is>
      </c>
      <c r="I86" s="74" t="inlineStr">
        <is>
          <t>N/D</t>
        </is>
      </c>
      <c r="J86" s="74" t="inlineStr">
        <is>
          <t>N/D</t>
        </is>
      </c>
      <c r="K86" s="74" t="inlineStr">
        <is>
          <t>IMG_8707.jpg</t>
        </is>
      </c>
      <c r="L86" s="74" t="inlineStr">
        <is>
          <t>planilha amarela; linha da raiz 58152340</t>
        </is>
      </c>
      <c r="M86" s="74" t="inlineStr">
        <is>
          <t>confirmado_legivel</t>
        </is>
      </c>
      <c r="N86" s="74" t="inlineStr">
        <is>
          <t>alta</t>
        </is>
      </c>
      <c r="O86" s="74" t="inlineStr">
        <is>
          <t>Denominação cortada pela largura da coluna na foto.</t>
        </is>
      </c>
      <c r="P86" s="74" t="inlineStr">
        <is>
          <t>Carteira 101</t>
        </is>
      </c>
      <c r="Q86" s="74" t="inlineStr">
        <is>
          <t>cedente_originador_literal; papel_literal</t>
        </is>
      </c>
      <c r="R86" s="74" t="b">
        <v>1</v>
      </c>
      <c r="S86" s="74" t="inlineStr">
        <is>
          <t>overlay aplicado somente em lacunas</t>
        </is>
      </c>
    </row>
    <row r="87" ht="36" customHeight="1">
      <c r="A87" s="160" t="inlineStr">
        <is>
          <t>52340225</t>
        </is>
      </c>
      <c r="B87" s="161" t="n">
        <v>52340225000190</v>
      </c>
      <c r="C87" s="75" t="inlineStr">
        <is>
          <t>cnpj_informado</t>
        </is>
      </c>
      <c r="D87" s="75" t="inlineStr">
        <is>
          <t>INOVA CREDTECH III FUNDO DE IN...</t>
        </is>
      </c>
      <c r="E87" s="75" t="inlineStr">
        <is>
          <t>Cash[U/O?]</t>
        </is>
      </c>
      <c r="F87" s="75" t="inlineStr">
        <is>
          <t>cedente</t>
        </is>
      </c>
      <c r="G87" s="75" t="inlineStr">
        <is>
          <t>N/D</t>
        </is>
      </c>
      <c r="H87" s="75" t="inlineStr">
        <is>
          <t>Cash[U/O?]</t>
        </is>
      </c>
      <c r="I87" s="75" t="inlineStr">
        <is>
          <t>N/D</t>
        </is>
      </c>
      <c r="J87" s="75" t="inlineStr">
        <is>
          <t>Duplicatas + CCBs; FIDC Buy Now Pay Later</t>
        </is>
      </c>
      <c r="K87" s="75" t="inlineStr">
        <is>
          <t>IMG_8707.jpg</t>
        </is>
      </c>
      <c r="L87" s="75" t="inlineStr">
        <is>
          <t>planilha amarela; linha da raiz 52340225</t>
        </is>
      </c>
      <c r="M87" s="75" t="inlineStr">
        <is>
          <t>revisao</t>
        </is>
      </c>
      <c r="N87" s="75" t="inlineStr">
        <is>
          <t>baixa</t>
        </is>
      </c>
      <c r="O87" s="75" t="inlineStr">
        <is>
          <t>Cedente contém caractere incerto e denominação cortada; não elegível até revisão.</t>
        </is>
      </c>
      <c r="P87" s="75" t="inlineStr">
        <is>
          <t>N/D</t>
        </is>
      </c>
      <c r="Q87" s="75" t="inlineStr">
        <is>
          <t>N/D</t>
        </is>
      </c>
      <c r="R87" s="75" t="b">
        <v>0</v>
      </c>
      <c r="S87" s="75" t="inlineStr">
        <is>
          <t>status de transcrição não aprovado</t>
        </is>
      </c>
    </row>
    <row r="88" ht="36" customHeight="1">
      <c r="A88" s="158" t="inlineStr">
        <is>
          <t>37294759</t>
        </is>
      </c>
      <c r="B88" s="159" t="n">
        <v>37294759000134</v>
      </c>
      <c r="C88" s="74" t="inlineStr">
        <is>
          <t>cnpj_informado</t>
        </is>
      </c>
      <c r="D88" s="74" t="inlineStr">
        <is>
          <t>FUNDO I E D C GALLERIA</t>
        </is>
      </c>
      <c r="E88" s="74" t="inlineStr">
        <is>
          <t>Galleria SCD</t>
        </is>
      </c>
      <c r="F88" s="74" t="inlineStr">
        <is>
          <t>cedente</t>
        </is>
      </c>
      <c r="G88" s="74" t="inlineStr">
        <is>
          <t>N/D</t>
        </is>
      </c>
      <c r="H88" s="74" t="inlineStr">
        <is>
          <t>Galleria SCD</t>
        </is>
      </c>
      <c r="I88" s="74" t="inlineStr">
        <is>
          <t>N/D</t>
        </is>
      </c>
      <c r="J88" s="74" t="inlineStr">
        <is>
          <t>CCBs com AF de Imóvel oriundos de empréstimo PF e PJs</t>
        </is>
      </c>
      <c r="K88" s="74" t="inlineStr">
        <is>
          <t>IMG_8707.jpg</t>
        </is>
      </c>
      <c r="L88" s="74" t="inlineStr">
        <is>
          <t>planilha amarela; linha da raiz 37294759</t>
        </is>
      </c>
      <c r="M88" s="74" t="inlineStr">
        <is>
          <t>confirmado_legivel</t>
        </is>
      </c>
      <c r="N88" s="74" t="inlineStr">
        <is>
          <t>alta</t>
        </is>
      </c>
      <c r="O88" s="74" t="inlineStr">
        <is>
          <t>N/D</t>
        </is>
      </c>
      <c r="P88" s="74" t="inlineStr">
        <is>
          <t>Carteira 101</t>
        </is>
      </c>
      <c r="Q88" s="74" t="inlineStr">
        <is>
          <t>cedente_originador_literal; papel_literal</t>
        </is>
      </c>
      <c r="R88" s="74" t="b">
        <v>1</v>
      </c>
      <c r="S88" s="74" t="inlineStr">
        <is>
          <t>overlay aplicado somente em lacunas</t>
        </is>
      </c>
    </row>
    <row r="89" ht="36" customHeight="1">
      <c r="A89" s="160" t="inlineStr">
        <is>
          <t>42085830</t>
        </is>
      </c>
      <c r="B89" s="161" t="n">
        <v>42085830000109</v>
      </c>
      <c r="C89" s="75" t="inlineStr">
        <is>
          <t>cnpj_informado</t>
        </is>
      </c>
      <c r="D89" s="75" t="inlineStr">
        <is>
          <t>CLOUDWALK AKIRA I FUNDO DE INVESTIMENTO EM DIREITO...</t>
        </is>
      </c>
      <c r="E89" s="75" t="inlineStr">
        <is>
          <t>Cloudwalk IP</t>
        </is>
      </c>
      <c r="F89" s="75" t="inlineStr">
        <is>
          <t>cedente</t>
        </is>
      </c>
      <c r="G89" s="75" t="inlineStr">
        <is>
          <t>N/D</t>
        </is>
      </c>
      <c r="H89" s="75" t="inlineStr">
        <is>
          <t>Cloudwalk IP</t>
        </is>
      </c>
      <c r="I89" s="75" t="inlineStr">
        <is>
          <t>N/D</t>
        </is>
      </c>
      <c r="J89" s="75" t="inlineStr">
        <is>
          <t>N/D</t>
        </is>
      </c>
      <c r="K89" s="75" t="inlineStr">
        <is>
          <t>IMG_8707.jpg</t>
        </is>
      </c>
      <c r="L89" s="75" t="inlineStr">
        <is>
          <t>planilha amarela; linha da raiz 42085830</t>
        </is>
      </c>
      <c r="M89" s="75" t="inlineStr">
        <is>
          <t>confirmado_legivel</t>
        </is>
      </c>
      <c r="N89" s="75" t="inlineStr">
        <is>
          <t>alta</t>
        </is>
      </c>
      <c r="O89" s="75" t="inlineStr">
        <is>
          <t>OBS da foto: Risco Banco Emissor Itaú. Denominação cortada.</t>
        </is>
      </c>
      <c r="P89" s="75" t="inlineStr">
        <is>
          <t>Carteira 101</t>
        </is>
      </c>
      <c r="Q89" s="75" t="inlineStr">
        <is>
          <t>cedente_originador_literal; papel_literal</t>
        </is>
      </c>
      <c r="R89" s="75" t="b">
        <v>1</v>
      </c>
      <c r="S89" s="75" t="inlineStr">
        <is>
          <t>overlay aplicado somente em lacunas</t>
        </is>
      </c>
    </row>
    <row r="90" ht="36" customHeight="1">
      <c r="A90" s="158" t="inlineStr">
        <is>
          <t>61288838</t>
        </is>
      </c>
      <c r="B90" s="159" t="n">
        <v>61288838000117</v>
      </c>
      <c r="C90" s="74" t="inlineStr">
        <is>
          <t>cnpj_informado</t>
        </is>
      </c>
      <c r="D90" s="74" t="inlineStr">
        <is>
          <t>FIDC MOVILE II</t>
        </is>
      </c>
      <c r="E90" s="74" t="inlineStr">
        <is>
          <t>MovilePay / iFood</t>
        </is>
      </c>
      <c r="F90" s="74" t="inlineStr">
        <is>
          <t>cedente</t>
        </is>
      </c>
      <c r="G90" s="74" t="inlineStr">
        <is>
          <t>N/D</t>
        </is>
      </c>
      <c r="H90" s="74" t="inlineStr">
        <is>
          <t>MovilePay / iFood</t>
        </is>
      </c>
      <c r="I90" s="74" t="inlineStr">
        <is>
          <t>N/D</t>
        </is>
      </c>
      <c r="J90" s="74" t="inlineStr">
        <is>
          <t>CCB PJ - ecossistema iFood; Crédito PME</t>
        </is>
      </c>
      <c r="K90" s="74" t="inlineStr">
        <is>
          <t>IMG_8707.jpg</t>
        </is>
      </c>
      <c r="L90" s="74" t="inlineStr">
        <is>
          <t>planilha amarela; linha da raiz 61288838</t>
        </is>
      </c>
      <c r="M90" s="74" t="inlineStr">
        <is>
          <t>confirmado_legivel</t>
        </is>
      </c>
      <c r="N90" s="74" t="inlineStr">
        <is>
          <t>alta</t>
        </is>
      </c>
      <c r="O90" s="74" t="inlineStr">
        <is>
          <t>N/D</t>
        </is>
      </c>
      <c r="P90" s="74" t="inlineStr">
        <is>
          <t>Carteira 101</t>
        </is>
      </c>
      <c r="Q90" s="74" t="inlineStr">
        <is>
          <t>cedente_originador_literal; papel_literal</t>
        </is>
      </c>
      <c r="R90" s="74" t="b">
        <v>1</v>
      </c>
      <c r="S90" s="74" t="inlineStr">
        <is>
          <t>overlay aplicado somente em lacunas</t>
        </is>
      </c>
    </row>
    <row r="91" ht="36" customHeight="1">
      <c r="A91" s="160" t="inlineStr">
        <is>
          <t>30035329</t>
        </is>
      </c>
      <c r="B91" s="161" t="n">
        <v>30035329000159</v>
      </c>
      <c r="C91" s="75" t="inlineStr">
        <is>
          <t>cnpj_informado</t>
        </is>
      </c>
      <c r="D91" s="75" t="inlineStr">
        <is>
          <t>VAINVEST II FIDC MULTISETORIA...</t>
        </is>
      </c>
      <c r="E91" s="75" t="inlineStr">
        <is>
          <t>BMP (Bancarizador)</t>
        </is>
      </c>
      <c r="F91" s="75" t="inlineStr">
        <is>
          <t>cedente</t>
        </is>
      </c>
      <c r="G91" s="75" t="inlineStr">
        <is>
          <t>N/D</t>
        </is>
      </c>
      <c r="H91" s="75" t="inlineStr">
        <is>
          <t>BMP (Bancarizador)</t>
        </is>
      </c>
      <c r="I91" s="75" t="inlineStr">
        <is>
          <t>N/D</t>
        </is>
      </c>
      <c r="J91" s="75" t="inlineStr">
        <is>
          <t>N/D</t>
        </is>
      </c>
      <c r="K91" s="75" t="inlineStr">
        <is>
          <t>IMG_8707.jpg</t>
        </is>
      </c>
      <c r="L91" s="75" t="inlineStr">
        <is>
          <t>planilha amarela; linha da raiz 30035329</t>
        </is>
      </c>
      <c r="M91" s="75" t="inlineStr">
        <is>
          <t>confirmado_legivel</t>
        </is>
      </c>
      <c r="N91" s="75" t="inlineStr">
        <is>
          <t>média</t>
        </is>
      </c>
      <c r="O91" s="75" t="inlineStr">
        <is>
          <t>OBS parcialmente legível: Via Invest (Gestorada grupo faz co-gestão). Denominação cortada.</t>
        </is>
      </c>
      <c r="P91" s="75" t="inlineStr">
        <is>
          <t>Carteira 101</t>
        </is>
      </c>
      <c r="Q91" s="75" t="inlineStr">
        <is>
          <t>cedente_originador_literal; papel_literal</t>
        </is>
      </c>
      <c r="R91" s="75" t="b">
        <v>1</v>
      </c>
      <c r="S91" s="75" t="inlineStr">
        <is>
          <t>overlay aplicado somente em lacunas</t>
        </is>
      </c>
    </row>
    <row r="92" ht="36" customHeight="1">
      <c r="A92" s="158" t="inlineStr">
        <is>
          <t>63066147</t>
        </is>
      </c>
      <c r="B92" s="159" t="n">
        <v>63066147000102</v>
      </c>
      <c r="C92" s="74" t="inlineStr">
        <is>
          <t>cnpj_informado</t>
        </is>
      </c>
      <c r="D92" s="74" t="inlineStr">
        <is>
          <t>FUNDO DE INVESTIMENTO EM DIREI...</t>
        </is>
      </c>
      <c r="E92" s="74" t="inlineStr">
        <is>
          <t>Supersim</t>
        </is>
      </c>
      <c r="F92" s="74" t="inlineStr">
        <is>
          <t>cedente</t>
        </is>
      </c>
      <c r="G92" s="74" t="inlineStr">
        <is>
          <t>N/D</t>
        </is>
      </c>
      <c r="H92" s="74" t="inlineStr">
        <is>
          <t>Supersim</t>
        </is>
      </c>
      <c r="I92" s="74" t="inlineStr">
        <is>
          <t>N/D</t>
        </is>
      </c>
      <c r="J92" s="74" t="inlineStr">
        <is>
          <t>N/D</t>
        </is>
      </c>
      <c r="K92" s="74" t="inlineStr">
        <is>
          <t>IMG_8707.jpg</t>
        </is>
      </c>
      <c r="L92" s="74" t="inlineStr">
        <is>
          <t>planilha amarela; linha da raiz 63066147</t>
        </is>
      </c>
      <c r="M92" s="74" t="inlineStr">
        <is>
          <t>confirmado_legivel</t>
        </is>
      </c>
      <c r="N92" s="74" t="inlineStr">
        <is>
          <t>alta</t>
        </is>
      </c>
      <c r="O92" s="74" t="inlineStr">
        <is>
          <t>Denominação cortada pela largura da coluna na foto.</t>
        </is>
      </c>
      <c r="P92" s="74" t="inlineStr">
        <is>
          <t>Carteira 101</t>
        </is>
      </c>
      <c r="Q92" s="74" t="inlineStr">
        <is>
          <t>cedente_originador_literal; papel_literal</t>
        </is>
      </c>
      <c r="R92" s="74" t="b">
        <v>1</v>
      </c>
      <c r="S92" s="74" t="inlineStr">
        <is>
          <t>overlay aplicado somente em lacunas</t>
        </is>
      </c>
    </row>
    <row r="93" ht="36" customHeight="1">
      <c r="A93" s="160" t="inlineStr">
        <is>
          <t>65836995</t>
        </is>
      </c>
      <c r="B93" s="161" t="n">
        <v>65836995000170</v>
      </c>
      <c r="C93" s="75" t="inlineStr">
        <is>
          <t>cnpj_informado</t>
        </is>
      </c>
      <c r="D93" s="75" t="inlineStr">
        <is>
          <t>DAYCOVAL D410 FUNDO DE INV EM DIREITOS CREDITORIOS</t>
        </is>
      </c>
      <c r="E93" s="75" t="inlineStr">
        <is>
          <t>Cantu Store</t>
        </is>
      </c>
      <c r="F93" s="75" t="inlineStr">
        <is>
          <t>cedente</t>
        </is>
      </c>
      <c r="G93" s="75" t="inlineStr">
        <is>
          <t>N/D</t>
        </is>
      </c>
      <c r="H93" s="75" t="inlineStr">
        <is>
          <t>Cantu Store</t>
        </is>
      </c>
      <c r="I93" s="75" t="inlineStr">
        <is>
          <t>N/D</t>
        </is>
      </c>
      <c r="J93" s="75" t="inlineStr">
        <is>
          <t>N/D</t>
        </is>
      </c>
      <c r="K93" s="75" t="inlineStr">
        <is>
          <t>IMG_8707.jpg</t>
        </is>
      </c>
      <c r="L93" s="75" t="inlineStr">
        <is>
          <t>planilha amarela; linha da raiz 65836995</t>
        </is>
      </c>
      <c r="M93" s="75" t="inlineStr">
        <is>
          <t>confirmado_legivel</t>
        </is>
      </c>
      <c r="N93" s="75" t="inlineStr">
        <is>
          <t>alta</t>
        </is>
      </c>
      <c r="O93" s="75" t="inlineStr">
        <is>
          <t>N/D</t>
        </is>
      </c>
      <c r="P93" s="75" t="inlineStr">
        <is>
          <t>Carteira 101</t>
        </is>
      </c>
      <c r="Q93" s="75" t="inlineStr">
        <is>
          <t>cedente_originador_literal; papel_literal</t>
        </is>
      </c>
      <c r="R93" s="75" t="b">
        <v>1</v>
      </c>
      <c r="S93" s="75" t="inlineStr">
        <is>
          <t>overlay aplicado somente em lacunas</t>
        </is>
      </c>
    </row>
    <row r="94" ht="36" customHeight="1">
      <c r="A94" s="158" t="inlineStr">
        <is>
          <t>44124465</t>
        </is>
      </c>
      <c r="B94" s="159" t="n">
        <v>44124465000120</v>
      </c>
      <c r="C94" s="74" t="inlineStr">
        <is>
          <t>cnpj_informado</t>
        </is>
      </c>
      <c r="D94" s="74" t="inlineStr">
        <is>
          <t>TIAO21 FUNDO I E D CREDITORIOS</t>
        </is>
      </c>
      <c r="E94" s="74" t="inlineStr">
        <is>
          <t>Ação</t>
        </is>
      </c>
      <c r="F94" s="74" t="inlineStr">
        <is>
          <t>cedente</t>
        </is>
      </c>
      <c r="G94" s="74" t="inlineStr">
        <is>
          <t>N/D</t>
        </is>
      </c>
      <c r="H94" s="74" t="inlineStr">
        <is>
          <t>Ação</t>
        </is>
      </c>
      <c r="I94" s="74" t="inlineStr">
        <is>
          <t>N/D</t>
        </is>
      </c>
      <c r="J94" s="74" t="inlineStr">
        <is>
          <t>Risco Bancos Emissores Diversos</t>
        </is>
      </c>
      <c r="K94" s="74" t="inlineStr">
        <is>
          <t>IMG_8705.JPG</t>
        </is>
      </c>
      <c r="L94" s="74" t="inlineStr">
        <is>
          <t>planilha amarela; linha da raiz 44124465</t>
        </is>
      </c>
      <c r="M94" s="74" t="inlineStr">
        <is>
          <t>confirmado_legivel</t>
        </is>
      </c>
      <c r="N94" s="74" t="inlineStr">
        <is>
          <t>alta</t>
        </is>
      </c>
      <c r="O94" s="74" t="inlineStr">
        <is>
          <t>OBS da foto: lista de concentração pré-aprovada.</t>
        </is>
      </c>
      <c r="P94" s="74" t="inlineStr">
        <is>
          <t>Carteira 101</t>
        </is>
      </c>
      <c r="Q94" s="74" t="inlineStr">
        <is>
          <t>cedente_originador_literal; papel_literal</t>
        </is>
      </c>
      <c r="R94" s="74" t="b">
        <v>1</v>
      </c>
      <c r="S94" s="74" t="inlineStr">
        <is>
          <t>overlay aplicado somente em lacunas</t>
        </is>
      </c>
    </row>
    <row r="95" ht="36" customHeight="1">
      <c r="A95" s="160" t="inlineStr">
        <is>
          <t>63622842</t>
        </is>
      </c>
      <c r="B95" s="161" t="n">
        <v>63622842000103</v>
      </c>
      <c r="C95" s="75" t="inlineStr">
        <is>
          <t>cnpj_informado</t>
        </is>
      </c>
      <c r="D95" s="75" t="inlineStr">
        <is>
          <t>DESBRAVA UNO ART ESP FIDC RL</t>
        </is>
      </c>
      <c r="E95" s="75" t="inlineStr">
        <is>
          <t>Empresas grupo Dass</t>
        </is>
      </c>
      <c r="F95" s="75" t="inlineStr">
        <is>
          <t>cedente</t>
        </is>
      </c>
      <c r="G95" s="75" t="inlineStr">
        <is>
          <t>N/D</t>
        </is>
      </c>
      <c r="H95" s="75" t="inlineStr">
        <is>
          <t>Empresas grupo Dass</t>
        </is>
      </c>
      <c r="I95" s="75" t="inlineStr">
        <is>
          <t>N/D</t>
        </is>
      </c>
      <c r="J95" s="75" t="inlineStr">
        <is>
          <t>N/D</t>
        </is>
      </c>
      <c r="K95" s="75" t="inlineStr">
        <is>
          <t>IMG_8705.JPG</t>
        </is>
      </c>
      <c r="L95" s="75" t="inlineStr">
        <is>
          <t>planilha amarela; linha da raiz 63622842</t>
        </is>
      </c>
      <c r="M95" s="75" t="inlineStr">
        <is>
          <t>confirmado_legivel</t>
        </is>
      </c>
      <c r="N95" s="75" t="inlineStr">
        <is>
          <t>alta</t>
        </is>
      </c>
      <c r="O95" s="75" t="inlineStr">
        <is>
          <t>OBS da foto: FIDC 12431, risco Dass (não são recebíveis de clientes).</t>
        </is>
      </c>
      <c r="P95" s="75" t="inlineStr">
        <is>
          <t>Carteira 101</t>
        </is>
      </c>
      <c r="Q95" s="75" t="inlineStr">
        <is>
          <t>cedente_originador_literal; papel_literal</t>
        </is>
      </c>
      <c r="R95" s="75" t="b">
        <v>1</v>
      </c>
      <c r="S95" s="75" t="inlineStr">
        <is>
          <t>overlay aplicado somente em lacunas</t>
        </is>
      </c>
    </row>
    <row r="96" ht="36" customHeight="1">
      <c r="A96" s="158" t="inlineStr">
        <is>
          <t>26287464</t>
        </is>
      </c>
      <c r="B96" s="159" t="n">
        <v>26287464000114</v>
      </c>
      <c r="C96" s="74" t="inlineStr">
        <is>
          <t>cnpj_informado</t>
        </is>
      </c>
      <c r="D96" s="74" t="inlineStr">
        <is>
          <t>TAPSO</t>
        </is>
      </c>
      <c r="E96" s="74" t="inlineStr">
        <is>
          <t>Stone</t>
        </is>
      </c>
      <c r="F96" s="74" t="inlineStr">
        <is>
          <t>originador</t>
        </is>
      </c>
      <c r="G96" s="74" t="inlineStr">
        <is>
          <t>Stone</t>
        </is>
      </c>
      <c r="H96" s="74" t="inlineStr">
        <is>
          <t>N/D</t>
        </is>
      </c>
      <c r="I96" s="74" t="inlineStr">
        <is>
          <t>N/D</t>
        </is>
      </c>
      <c r="J96" s="74" t="inlineStr">
        <is>
          <t>N/D</t>
        </is>
      </c>
      <c r="K96" s="74" t="inlineStr">
        <is>
          <t>IMG_8698.jpg</t>
        </is>
      </c>
      <c r="L96" s="74" t="inlineStr">
        <is>
          <t>Top 15 Financeiro; linha 1</t>
        </is>
      </c>
      <c r="M96" s="74" t="inlineStr">
        <is>
          <t>confirmado_legivel</t>
        </is>
      </c>
      <c r="N96" s="74" t="inlineStr">
        <is>
          <t>alta</t>
        </is>
      </c>
      <c r="O96" s="74" t="inlineStr">
        <is>
          <t>Originador transcrito da coluna da foto; complemento manual marcado com asterisco no slide.</t>
        </is>
      </c>
      <c r="P96" s="74" t="inlineStr">
        <is>
          <t>Flagships</t>
        </is>
      </c>
      <c r="Q96" s="74" t="inlineStr">
        <is>
          <t>cedente_originador_literal; papel_literal; originador</t>
        </is>
      </c>
      <c r="R96" s="74" t="b">
        <v>1</v>
      </c>
      <c r="S96" s="74" t="inlineStr">
        <is>
          <t>overlay aplicado somente em lacunas</t>
        </is>
      </c>
    </row>
    <row r="97" ht="36" customHeight="1">
      <c r="A97" s="160" t="inlineStr">
        <is>
          <t>62393679</t>
        </is>
      </c>
      <c r="B97" s="161" t="n">
        <v>62393679000183</v>
      </c>
      <c r="C97" s="75" t="inlineStr">
        <is>
          <t>cnpj_informado</t>
        </is>
      </c>
      <c r="D97" s="75" t="inlineStr">
        <is>
          <t>CLOUDWALK BELA SEGMENTO MEIOS</t>
        </is>
      </c>
      <c r="E97" s="75" t="inlineStr">
        <is>
          <t>Cloudwalk</t>
        </is>
      </c>
      <c r="F97" s="75" t="inlineStr">
        <is>
          <t>originador</t>
        </is>
      </c>
      <c r="G97" s="75" t="inlineStr">
        <is>
          <t>Cloudwalk</t>
        </is>
      </c>
      <c r="H97" s="75" t="inlineStr">
        <is>
          <t>N/D</t>
        </is>
      </c>
      <c r="I97" s="75" t="inlineStr">
        <is>
          <t>N/D</t>
        </is>
      </c>
      <c r="J97" s="75" t="inlineStr">
        <is>
          <t>N/D</t>
        </is>
      </c>
      <c r="K97" s="75" t="inlineStr">
        <is>
          <t>IMG_8698.jpg</t>
        </is>
      </c>
      <c r="L97" s="75" t="inlineStr">
        <is>
          <t>Top 15 Financeiro; linha 2</t>
        </is>
      </c>
      <c r="M97" s="75" t="inlineStr">
        <is>
          <t>confirmado_legivel</t>
        </is>
      </c>
      <c r="N97" s="75" t="inlineStr">
        <is>
          <t>alta</t>
        </is>
      </c>
      <c r="O97" s="75" t="inlineStr">
        <is>
          <t>Originador transcrito da coluna da foto; complemento manual marcado com asterisco no slide.</t>
        </is>
      </c>
      <c r="P97" s="75" t="inlineStr">
        <is>
          <t>Flagships</t>
        </is>
      </c>
      <c r="Q97" s="75" t="inlineStr">
        <is>
          <t>cedente_originador_literal; papel_literal; originador</t>
        </is>
      </c>
      <c r="R97" s="75" t="b">
        <v>1</v>
      </c>
      <c r="S97" s="75" t="inlineStr">
        <is>
          <t>overlay aplicado somente em lacunas</t>
        </is>
      </c>
    </row>
    <row r="98" ht="36" customHeight="1">
      <c r="A98" s="158" t="inlineStr">
        <is>
          <t>63953619</t>
        </is>
      </c>
      <c r="B98" s="159" t="n">
        <v>63953619000130</v>
      </c>
      <c r="C98" s="74" t="inlineStr">
        <is>
          <t>cnpj_informado</t>
        </is>
      </c>
      <c r="D98" s="74" t="inlineStr">
        <is>
          <t>MEU TUDO CONSIGNADO PRIVADO MATO GROSSO</t>
        </is>
      </c>
      <c r="E98" s="74" t="inlineStr">
        <is>
          <t>MeuTudo</t>
        </is>
      </c>
      <c r="F98" s="74" t="inlineStr">
        <is>
          <t>originador</t>
        </is>
      </c>
      <c r="G98" s="74" t="inlineStr">
        <is>
          <t>MeuTudo</t>
        </is>
      </c>
      <c r="H98" s="74" t="inlineStr">
        <is>
          <t>N/D</t>
        </is>
      </c>
      <c r="I98" s="74" t="inlineStr">
        <is>
          <t>N/D</t>
        </is>
      </c>
      <c r="J98" s="74" t="inlineStr">
        <is>
          <t>N/D</t>
        </is>
      </c>
      <c r="K98" s="74" t="inlineStr">
        <is>
          <t>IMG_8698.jpg</t>
        </is>
      </c>
      <c r="L98" s="74" t="inlineStr">
        <is>
          <t>Top 15 Financeiro; linha 3</t>
        </is>
      </c>
      <c r="M98" s="74" t="inlineStr">
        <is>
          <t>confirmado_legivel</t>
        </is>
      </c>
      <c r="N98" s="74" t="inlineStr">
        <is>
          <t>alta</t>
        </is>
      </c>
      <c r="O98" s="74" t="inlineStr">
        <is>
          <t>A foto informa o originador comercial; o cedente documental Parati permanece em campo separado.</t>
        </is>
      </c>
      <c r="P98" s="74" t="inlineStr">
        <is>
          <t>N/D</t>
        </is>
      </c>
      <c r="Q98" s="74" t="inlineStr">
        <is>
          <t>N/D</t>
        </is>
      </c>
      <c r="R98" s="74" t="b">
        <v>0</v>
      </c>
      <c r="S98" s="74" t="inlineStr">
        <is>
          <t>CNPJ fora das duas coortes</t>
        </is>
      </c>
    </row>
    <row r="99" ht="36" customHeight="1">
      <c r="A99" s="160" t="inlineStr">
        <is>
          <t>52242420</t>
        </is>
      </c>
      <c r="B99" s="161" t="n">
        <v>52242420000188</v>
      </c>
      <c r="C99" s="75" t="inlineStr">
        <is>
          <t>cnpj_informado</t>
        </is>
      </c>
      <c r="D99" s="75" t="inlineStr">
        <is>
          <t>BTG PACTUAL CONSIGNADOS II</t>
        </is>
      </c>
      <c r="E99" s="75" t="inlineStr">
        <is>
          <t>Banco Pan</t>
        </is>
      </c>
      <c r="F99" s="75" t="inlineStr">
        <is>
          <t>originador</t>
        </is>
      </c>
      <c r="G99" s="75" t="inlineStr">
        <is>
          <t>Banco Pan</t>
        </is>
      </c>
      <c r="H99" s="75" t="inlineStr">
        <is>
          <t>N/D</t>
        </is>
      </c>
      <c r="I99" s="75" t="inlineStr">
        <is>
          <t>N/D</t>
        </is>
      </c>
      <c r="J99" s="75" t="inlineStr">
        <is>
          <t>N/D</t>
        </is>
      </c>
      <c r="K99" s="75" t="inlineStr">
        <is>
          <t>IMG_8698.jpg</t>
        </is>
      </c>
      <c r="L99" s="75" t="inlineStr">
        <is>
          <t>Top 15 Financeiro; linha 4</t>
        </is>
      </c>
      <c r="M99" s="75" t="inlineStr">
        <is>
          <t>confirmado_legivel</t>
        </is>
      </c>
      <c r="N99" s="75" t="inlineStr">
        <is>
          <t>alta</t>
        </is>
      </c>
      <c r="O99" s="75" t="inlineStr">
        <is>
          <t>Originador transcrito da coluna da foto; complemento manual marcado com asterisco no slide.</t>
        </is>
      </c>
      <c r="P99" s="75" t="inlineStr">
        <is>
          <t>N/D</t>
        </is>
      </c>
      <c r="Q99" s="75" t="inlineStr">
        <is>
          <t>N/D</t>
        </is>
      </c>
      <c r="R99" s="75" t="b">
        <v>0</v>
      </c>
      <c r="S99" s="75" t="inlineStr">
        <is>
          <t>CNPJ fora das duas coortes</t>
        </is>
      </c>
    </row>
    <row r="100" ht="36" customHeight="1">
      <c r="A100" s="158" t="inlineStr">
        <is>
          <t>26286939</t>
        </is>
      </c>
      <c r="B100" s="159" t="n">
        <v>26286939000158</v>
      </c>
      <c r="C100" s="74" t="inlineStr">
        <is>
          <t>cnpj_informado</t>
        </is>
      </c>
      <c r="D100" s="74" t="inlineStr">
        <is>
          <t>CIELO</t>
        </is>
      </c>
      <c r="E100" s="74" t="inlineStr">
        <is>
          <t>Cielo</t>
        </is>
      </c>
      <c r="F100" s="74" t="inlineStr">
        <is>
          <t>originador</t>
        </is>
      </c>
      <c r="G100" s="74" t="inlineStr">
        <is>
          <t>Cielo</t>
        </is>
      </c>
      <c r="H100" s="74" t="inlineStr">
        <is>
          <t>N/D</t>
        </is>
      </c>
      <c r="I100" s="74" t="inlineStr">
        <is>
          <t>N/D</t>
        </is>
      </c>
      <c r="J100" s="74" t="inlineStr">
        <is>
          <t>N/D</t>
        </is>
      </c>
      <c r="K100" s="74" t="inlineStr">
        <is>
          <t>IMG_8698.jpg</t>
        </is>
      </c>
      <c r="L100" s="74" t="inlineStr">
        <is>
          <t>Top 15 Financeiro; linha 5</t>
        </is>
      </c>
      <c r="M100" s="74" t="inlineStr">
        <is>
          <t>confirmado_legivel</t>
        </is>
      </c>
      <c r="N100" s="74" t="inlineStr">
        <is>
          <t>alta</t>
        </is>
      </c>
      <c r="O100" s="74" t="inlineStr">
        <is>
          <t>A foto classifica Cielo como originador; eventual papel documental distinto prevalece.</t>
        </is>
      </c>
      <c r="P100" s="74" t="inlineStr">
        <is>
          <t>Flagships</t>
        </is>
      </c>
      <c r="Q100" s="74" t="inlineStr">
        <is>
          <t>cedente_originador_literal; papel_literal; originador</t>
        </is>
      </c>
      <c r="R100" s="74" t="b">
        <v>1</v>
      </c>
      <c r="S100" s="74" t="inlineStr">
        <is>
          <t>overlay aplicado somente em lacunas</t>
        </is>
      </c>
    </row>
    <row r="101" ht="36" customHeight="1">
      <c r="A101" s="160" t="inlineStr">
        <is>
          <t>50906397</t>
        </is>
      </c>
      <c r="B101" s="161" t="n">
        <v>50906397000153</v>
      </c>
      <c r="C101" s="75" t="inlineStr">
        <is>
          <t>cnpj_informado</t>
        </is>
      </c>
      <c r="D101" s="75" t="inlineStr">
        <is>
          <t>BTG PACTUAL CONSIGNADOS</t>
        </is>
      </c>
      <c r="E101" s="75" t="inlineStr">
        <is>
          <t>Banco Pan</t>
        </is>
      </c>
      <c r="F101" s="75" t="inlineStr">
        <is>
          <t>originador</t>
        </is>
      </c>
      <c r="G101" s="75" t="inlineStr">
        <is>
          <t>Banco Pan</t>
        </is>
      </c>
      <c r="H101" s="75" t="inlineStr">
        <is>
          <t>N/D</t>
        </is>
      </c>
      <c r="I101" s="75" t="inlineStr">
        <is>
          <t>N/D</t>
        </is>
      </c>
      <c r="J101" s="75" t="inlineStr">
        <is>
          <t>N/D</t>
        </is>
      </c>
      <c r="K101" s="75" t="inlineStr">
        <is>
          <t>IMG_8698.jpg</t>
        </is>
      </c>
      <c r="L101" s="75" t="inlineStr">
        <is>
          <t>Top 15 Financeiro; linha 7</t>
        </is>
      </c>
      <c r="M101" s="75" t="inlineStr">
        <is>
          <t>confirmado_legivel</t>
        </is>
      </c>
      <c r="N101" s="75" t="inlineStr">
        <is>
          <t>alta</t>
        </is>
      </c>
      <c r="O101" s="75" t="inlineStr">
        <is>
          <t>Originador transcrito da coluna da foto; complemento manual marcado com asterisco no slide.</t>
        </is>
      </c>
      <c r="P101" s="75" t="inlineStr">
        <is>
          <t>N/D</t>
        </is>
      </c>
      <c r="Q101" s="75" t="inlineStr">
        <is>
          <t>N/D</t>
        </is>
      </c>
      <c r="R101" s="75" t="b">
        <v>0</v>
      </c>
      <c r="S101" s="75" t="inlineStr">
        <is>
          <t>CNPJ fora das duas coortes</t>
        </is>
      </c>
    </row>
    <row r="102" ht="36" customHeight="1">
      <c r="A102" s="158" t="inlineStr">
        <is>
          <t>42922136</t>
        </is>
      </c>
      <c r="B102" s="159" t="n">
        <v>42922136000107</v>
      </c>
      <c r="C102" s="74" t="inlineStr">
        <is>
          <t>cnpj_informado</t>
        </is>
      </c>
      <c r="D102" s="74" t="inlineStr">
        <is>
          <t>MONEE I</t>
        </is>
      </c>
      <c r="E102" s="74" t="inlineStr">
        <is>
          <t>Shopee</t>
        </is>
      </c>
      <c r="F102" s="74" t="inlineStr">
        <is>
          <t>originador</t>
        </is>
      </c>
      <c r="G102" s="74" t="inlineStr">
        <is>
          <t>Shopee</t>
        </is>
      </c>
      <c r="H102" s="74" t="inlineStr">
        <is>
          <t>N/D</t>
        </is>
      </c>
      <c r="I102" s="74" t="inlineStr">
        <is>
          <t>N/D</t>
        </is>
      </c>
      <c r="J102" s="74" t="inlineStr">
        <is>
          <t>N/D</t>
        </is>
      </c>
      <c r="K102" s="74" t="inlineStr">
        <is>
          <t>IMG_8698.jpg</t>
        </is>
      </c>
      <c r="L102" s="74" t="inlineStr">
        <is>
          <t>Top 15 Financeiro; linha 8</t>
        </is>
      </c>
      <c r="M102" s="74" t="inlineStr">
        <is>
          <t>confirmado_legivel</t>
        </is>
      </c>
      <c r="N102" s="74" t="inlineStr">
        <is>
          <t>alta</t>
        </is>
      </c>
      <c r="O102" s="74" t="inlineStr">
        <is>
          <t>Rótulo comercial da foto; a entidade legal documental SHPP Brasil IP prevalece.</t>
        </is>
      </c>
      <c r="P102" s="74" t="inlineStr">
        <is>
          <t>N/D</t>
        </is>
      </c>
      <c r="Q102" s="74" t="inlineStr">
        <is>
          <t>N/D</t>
        </is>
      </c>
      <c r="R102" s="74" t="b">
        <v>0</v>
      </c>
      <c r="S102" s="74" t="inlineStr">
        <is>
          <t>CNPJ fora das duas coortes</t>
        </is>
      </c>
    </row>
    <row r="103" ht="36" customHeight="1">
      <c r="A103" s="160" t="inlineStr">
        <is>
          <t>32527650</t>
        </is>
      </c>
      <c r="B103" s="161" t="n">
        <v>32527650000186</v>
      </c>
      <c r="C103" s="75" t="inlineStr">
        <is>
          <t>cnpj_informado</t>
        </is>
      </c>
      <c r="D103" s="75" t="inlineStr">
        <is>
          <t>PICPAY I</t>
        </is>
      </c>
      <c r="E103" s="75" t="inlineStr">
        <is>
          <t>PicPay</t>
        </is>
      </c>
      <c r="F103" s="75" t="inlineStr">
        <is>
          <t>originador</t>
        </is>
      </c>
      <c r="G103" s="75" t="inlineStr">
        <is>
          <t>PicPay</t>
        </is>
      </c>
      <c r="H103" s="75" t="inlineStr">
        <is>
          <t>N/D</t>
        </is>
      </c>
      <c r="I103" s="75" t="inlineStr">
        <is>
          <t>N/D</t>
        </is>
      </c>
      <c r="J103" s="75" t="inlineStr">
        <is>
          <t>N/D</t>
        </is>
      </c>
      <c r="K103" s="75" t="inlineStr">
        <is>
          <t>IMG_8698.jpg</t>
        </is>
      </c>
      <c r="L103" s="75" t="inlineStr">
        <is>
          <t>Top 15 Financeiro; linha 9</t>
        </is>
      </c>
      <c r="M103" s="75" t="inlineStr">
        <is>
          <t>confirmado_legivel</t>
        </is>
      </c>
      <c r="N103" s="75" t="inlineStr">
        <is>
          <t>alta</t>
        </is>
      </c>
      <c r="O103" s="75" t="inlineStr">
        <is>
          <t>Originador transcrito da coluna da foto; complemento manual marcado com asterisco no slide.</t>
        </is>
      </c>
      <c r="P103" s="75" t="inlineStr">
        <is>
          <t>N/D</t>
        </is>
      </c>
      <c r="Q103" s="75" t="inlineStr">
        <is>
          <t>N/D</t>
        </is>
      </c>
      <c r="R103" s="75" t="b">
        <v>0</v>
      </c>
      <c r="S103" s="75" t="inlineStr">
        <is>
          <t>CNPJ fora das duas coortes</t>
        </is>
      </c>
    </row>
    <row r="104" ht="36" customHeight="1">
      <c r="A104" s="158" t="inlineStr">
        <is>
          <t>61285603</t>
        </is>
      </c>
      <c r="B104" s="159" t="n">
        <v>61285603000171</v>
      </c>
      <c r="C104" s="74" t="inlineStr">
        <is>
          <t>cnpj_informado</t>
        </is>
      </c>
      <c r="D104" s="74" t="inlineStr">
        <is>
          <t>MAROBA FUNDO DE INVESTIMENTO</t>
        </is>
      </c>
      <c r="E104" s="74" t="inlineStr">
        <is>
          <t>Itaú BBA</t>
        </is>
      </c>
      <c r="F104" s="74" t="inlineStr">
        <is>
          <t>originador</t>
        </is>
      </c>
      <c r="G104" s="74" t="inlineStr">
        <is>
          <t>Itaú BBA</t>
        </is>
      </c>
      <c r="H104" s="74" t="inlineStr">
        <is>
          <t>N/D</t>
        </is>
      </c>
      <c r="I104" s="74" t="inlineStr">
        <is>
          <t>N/D</t>
        </is>
      </c>
      <c r="J104" s="74" t="inlineStr">
        <is>
          <t>N/D</t>
        </is>
      </c>
      <c r="K104" s="74" t="inlineStr">
        <is>
          <t>IMG_8698.jpg</t>
        </is>
      </c>
      <c r="L104" s="74" t="inlineStr">
        <is>
          <t>Top 15 Financeiro; linha 10</t>
        </is>
      </c>
      <c r="M104" s="74" t="inlineStr">
        <is>
          <t>confirmado_legivel</t>
        </is>
      </c>
      <c r="N104" s="74" t="inlineStr">
        <is>
          <t>alta</t>
        </is>
      </c>
      <c r="O104" s="74" t="inlineStr">
        <is>
          <t>Originador transcrito da coluna da foto; complemento manual marcado com asterisco no slide.</t>
        </is>
      </c>
      <c r="P104" s="74" t="inlineStr">
        <is>
          <t>N/D</t>
        </is>
      </c>
      <c r="Q104" s="74" t="inlineStr">
        <is>
          <t>N/D</t>
        </is>
      </c>
      <c r="R104" s="74" t="b">
        <v>0</v>
      </c>
      <c r="S104" s="74" t="inlineStr">
        <is>
          <t>CNPJ fora das duas coortes</t>
        </is>
      </c>
    </row>
    <row r="105" ht="36" customHeight="1">
      <c r="A105" s="160" t="inlineStr">
        <is>
          <t>21126275</t>
        </is>
      </c>
      <c r="B105" s="161" t="n">
        <v>21126275000146</v>
      </c>
      <c r="C105" s="75" t="inlineStr">
        <is>
          <t>cnpj_informado</t>
        </is>
      </c>
      <c r="D105" s="75" t="inlineStr">
        <is>
          <t>VENDA DE VEICULOS</t>
        </is>
      </c>
      <c r="E105" s="75" t="inlineStr">
        <is>
          <t>Nissan, Renault e Geely (RCI)</t>
        </is>
      </c>
      <c r="F105" s="75" t="inlineStr">
        <is>
          <t>originador</t>
        </is>
      </c>
      <c r="G105" s="75" t="inlineStr">
        <is>
          <t>Nissan, Renault e Geely (RCI)</t>
        </is>
      </c>
      <c r="H105" s="75" t="inlineStr">
        <is>
          <t>N/D</t>
        </is>
      </c>
      <c r="I105" s="75" t="inlineStr">
        <is>
          <t>N/D</t>
        </is>
      </c>
      <c r="J105" s="75" t="inlineStr">
        <is>
          <t>N/D</t>
        </is>
      </c>
      <c r="K105" s="75" t="inlineStr">
        <is>
          <t>IMG_8698.jpg</t>
        </is>
      </c>
      <c r="L105" s="75" t="inlineStr">
        <is>
          <t>Top 15 Financeiro; linha 11</t>
        </is>
      </c>
      <c r="M105" s="75" t="inlineStr">
        <is>
          <t>confirmado_legivel</t>
        </is>
      </c>
      <c r="N105" s="75" t="inlineStr">
        <is>
          <t>alta</t>
        </is>
      </c>
      <c r="O105" s="75" t="inlineStr">
        <is>
          <t>Nissan e Renault também constam documentalmente como cedentes; Geely permanece apoiada somente pela foto.</t>
        </is>
      </c>
      <c r="P105" s="75" t="inlineStr">
        <is>
          <t>N/D</t>
        </is>
      </c>
      <c r="Q105" s="75" t="inlineStr">
        <is>
          <t>N/D</t>
        </is>
      </c>
      <c r="R105" s="75" t="b">
        <v>0</v>
      </c>
      <c r="S105" s="75" t="inlineStr">
        <is>
          <t>CNPJ fora das duas coortes</t>
        </is>
      </c>
    </row>
    <row r="106" ht="36" customHeight="1">
      <c r="A106" s="158" t="inlineStr">
        <is>
          <t>54979779</t>
        </is>
      </c>
      <c r="B106" s="159" t="n">
        <v>54979779000168</v>
      </c>
      <c r="C106" s="74" t="inlineStr">
        <is>
          <t>cnpj_informado</t>
        </is>
      </c>
      <c r="D106" s="74" t="inlineStr">
        <is>
          <t>FIDC ACR BEM BANCOS EMISSORES</t>
        </is>
      </c>
      <c r="E106" s="74" t="inlineStr">
        <is>
          <t>Stone</t>
        </is>
      </c>
      <c r="F106" s="74" t="inlineStr">
        <is>
          <t>originador</t>
        </is>
      </c>
      <c r="G106" s="74" t="inlineStr">
        <is>
          <t>Stone</t>
        </is>
      </c>
      <c r="H106" s="74" t="inlineStr">
        <is>
          <t>N/D</t>
        </is>
      </c>
      <c r="I106" s="74" t="inlineStr">
        <is>
          <t>N/D</t>
        </is>
      </c>
      <c r="J106" s="74" t="inlineStr">
        <is>
          <t>N/D</t>
        </is>
      </c>
      <c r="K106" s="74" t="inlineStr">
        <is>
          <t>IMG_8698.jpg</t>
        </is>
      </c>
      <c r="L106" s="74" t="inlineStr">
        <is>
          <t>Top 15 Financeiro; linha 12</t>
        </is>
      </c>
      <c r="M106" s="74" t="inlineStr">
        <is>
          <t>confirmado_legivel</t>
        </is>
      </c>
      <c r="N106" s="74" t="inlineStr">
        <is>
          <t>alta</t>
        </is>
      </c>
      <c r="O106" s="74" t="inlineStr">
        <is>
          <t>Originador transcrito da coluna da foto; complemento manual marcado com asterisco no slide.</t>
        </is>
      </c>
      <c r="P106" s="74" t="inlineStr">
        <is>
          <t>Flagships</t>
        </is>
      </c>
      <c r="Q106" s="74" t="inlineStr">
        <is>
          <t>cedente_originador_literal; papel_literal; originador</t>
        </is>
      </c>
      <c r="R106" s="74" t="b">
        <v>1</v>
      </c>
      <c r="S106" s="74" t="inlineStr">
        <is>
          <t>overlay aplicado somente em lacunas</t>
        </is>
      </c>
    </row>
    <row r="107" ht="36" customHeight="1">
      <c r="A107" s="160" t="inlineStr">
        <is>
          <t>12817329</t>
        </is>
      </c>
      <c r="B107" s="161" t="n">
        <v>12817329000129</v>
      </c>
      <c r="C107" s="75" t="inlineStr">
        <is>
          <t>cnpj_informado</t>
        </is>
      </c>
      <c r="D107" s="75" t="inlineStr">
        <is>
          <t>HAVAN SEGMENTO ECONOMICO</t>
        </is>
      </c>
      <c r="E107" s="75" t="inlineStr">
        <is>
          <t>Havan</t>
        </is>
      </c>
      <c r="F107" s="75" t="inlineStr">
        <is>
          <t>originador</t>
        </is>
      </c>
      <c r="G107" s="75" t="inlineStr">
        <is>
          <t>Havan</t>
        </is>
      </c>
      <c r="H107" s="75" t="inlineStr">
        <is>
          <t>N/D</t>
        </is>
      </c>
      <c r="I107" s="75" t="inlineStr">
        <is>
          <t>N/D</t>
        </is>
      </c>
      <c r="J107" s="75" t="inlineStr">
        <is>
          <t>N/D</t>
        </is>
      </c>
      <c r="K107" s="75" t="inlineStr">
        <is>
          <t>IMG_8698.jpg</t>
        </is>
      </c>
      <c r="L107" s="75" t="inlineStr">
        <is>
          <t>Top 15 Financeiro; linha 13</t>
        </is>
      </c>
      <c r="M107" s="75" t="inlineStr">
        <is>
          <t>confirmado_legivel</t>
        </is>
      </c>
      <c r="N107" s="75" t="inlineStr">
        <is>
          <t>alta</t>
        </is>
      </c>
      <c r="O107" s="75" t="inlineStr">
        <is>
          <t>Havan S.A. também consta documentalmente como cedente; os papéis permanecem separados.</t>
        </is>
      </c>
      <c r="P107" s="75" t="inlineStr">
        <is>
          <t>N/D</t>
        </is>
      </c>
      <c r="Q107" s="75" t="inlineStr">
        <is>
          <t>N/D</t>
        </is>
      </c>
      <c r="R107" s="75" t="b">
        <v>0</v>
      </c>
      <c r="S107" s="75" t="inlineStr">
        <is>
          <t>CNPJ fora das duas coortes</t>
        </is>
      </c>
    </row>
    <row r="108" ht="36" customHeight="1">
      <c r="A108" s="158" t="inlineStr">
        <is>
          <t>60356171</t>
        </is>
      </c>
      <c r="B108" s="159" t="n">
        <v>60356171000180</v>
      </c>
      <c r="C108" s="74" t="inlineStr">
        <is>
          <t>cnpj_informado</t>
        </is>
      </c>
      <c r="D108" s="74" t="inlineStr">
        <is>
          <t>CLOUDWALK PI SEGMENTO MEIOS</t>
        </is>
      </c>
      <c r="E108" s="74" t="inlineStr">
        <is>
          <t>Cloudwalk</t>
        </is>
      </c>
      <c r="F108" s="74" t="inlineStr">
        <is>
          <t>originador</t>
        </is>
      </c>
      <c r="G108" s="74" t="inlineStr">
        <is>
          <t>Cloudwalk</t>
        </is>
      </c>
      <c r="H108" s="74" t="inlineStr">
        <is>
          <t>N/D</t>
        </is>
      </c>
      <c r="I108" s="74" t="inlineStr">
        <is>
          <t>N/D</t>
        </is>
      </c>
      <c r="J108" s="74" t="inlineStr">
        <is>
          <t>N/D</t>
        </is>
      </c>
      <c r="K108" s="74" t="inlineStr">
        <is>
          <t>IMG_8698.jpg</t>
        </is>
      </c>
      <c r="L108" s="74" t="inlineStr">
        <is>
          <t>Top 15 Financeiro; linha 15</t>
        </is>
      </c>
      <c r="M108" s="74" t="inlineStr">
        <is>
          <t>confirmado_legivel</t>
        </is>
      </c>
      <c r="N108" s="74" t="inlineStr">
        <is>
          <t>alta</t>
        </is>
      </c>
      <c r="O108" s="74" t="inlineStr">
        <is>
          <t>O documento já identifica Cloudwalk IP como originador/cedente; a foto funciona como complemento manual.</t>
        </is>
      </c>
      <c r="P108" s="74" t="inlineStr">
        <is>
          <t>Flagships</t>
        </is>
      </c>
      <c r="Q108" s="74" t="inlineStr">
        <is>
          <t>cedente_originador_literal; papel_literal; originador</t>
        </is>
      </c>
      <c r="R108" s="74" t="b">
        <v>1</v>
      </c>
      <c r="S108" s="74" t="inlineStr">
        <is>
          <t>overlay aplicado somente em lacunas</t>
        </is>
      </c>
    </row>
  </sheetData>
  <mergeCells count="2">
    <mergeCell ref="A2:S2"/>
    <mergeCell ref="A1:S1"/>
  </mergeCells>
  <conditionalFormatting sqref="M5:M108">
    <cfRule type="containsText" priority="1" operator="containsText" dxfId="2" text="confirmado_legivel"/>
    <cfRule type="containsText" priority="2" operator="containsText" dxfId="1" text="revisao"/>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22"/>
  <sheetViews>
    <sheetView workbookViewId="0">
      <pane xSplit="3" ySplit="4" topLeftCell="D5" activePane="bottomRight" state="frozen"/>
      <selection activeCell="A1" sqref="A1"/>
    </sheetView>
  </sheetViews>
  <sheetFormatPr baseColWidth="8" defaultRowHeight="15"/>
  <cols>
    <col width="15.63000011444092" customWidth="1" min="1" max="1"/>
    <col width="18.1299991607666" customWidth="1" min="2" max="2"/>
    <col width="28.75" customWidth="1" min="3" max="3"/>
    <col width="22.5" customWidth="1" min="4" max="4"/>
    <col width="19.3799991607666" customWidth="1" min="5" max="5"/>
    <col width="23.75" customWidth="1" min="6" max="6"/>
    <col width="11.88000011444092" customWidth="1" min="7" max="7"/>
    <col width="16.8799991607666" customWidth="1" min="8" max="8"/>
    <col width="17.5" customWidth="1" min="9" max="9"/>
    <col width="18.75" customWidth="1" min="10" max="10"/>
    <col width="15.63000011444092" customWidth="1" min="11" max="11"/>
    <col width="10" customWidth="1" min="12" max="12"/>
    <col width="21.25" customWidth="1" min="13" max="13"/>
    <col width="17.5" customWidth="1" min="14" max="14"/>
    <col width="48.75" customWidth="1" min="15" max="15"/>
    <col width="48.75" customWidth="1" min="16" max="16"/>
    <col width="77.5" customWidth="1" min="17" max="17"/>
  </cols>
  <sheetData>
    <row r="1" ht="25.5" customHeight="1">
      <c r="A1" s="26" t="inlineStr">
        <is>
          <t>Preços por cota · VNU, emissão, subscrição ou integralização</t>
        </is>
      </c>
    </row>
    <row r="2" ht="33" customHeight="1">
      <c r="A2" s="29" t="inlineStr">
        <is>
          <t>Uma linha por CNPJ e classe/série documentada. Quantidade, remuneração, taxa e spread não compõem o campo de preço; o trecho-fonte permanece integral. * identifica leitura excepcional.</t>
        </is>
      </c>
    </row>
    <row r="4" ht="25.5" customHeight="1">
      <c r="A4" s="32" t="inlineStr">
        <is>
          <t>CNPJ</t>
        </is>
      </c>
      <c r="B4" s="32" t="inlineStr">
        <is>
          <t>CNPJ formatado</t>
        </is>
      </c>
      <c r="C4" s="32" t="inlineStr">
        <is>
          <t>Classe / série</t>
        </is>
      </c>
      <c r="D4" s="32" t="inlineStr">
        <is>
          <t>Preço unitário · leitura</t>
        </is>
      </c>
      <c r="E4" s="32" t="inlineStr">
        <is>
          <t>Preço unitário · R$</t>
        </is>
      </c>
      <c r="F4" s="32" t="inlineStr">
        <is>
          <t>Natureza</t>
        </is>
      </c>
      <c r="G4" s="32" t="inlineStr">
        <is>
          <t>Exceção*</t>
        </is>
      </c>
      <c r="H4" s="32" t="inlineStr">
        <is>
          <t>Tipo de fonte</t>
        </is>
      </c>
      <c r="I4" s="32" t="inlineStr">
        <is>
          <t>Documento</t>
        </is>
      </c>
      <c r="J4" s="32" t="inlineStr">
        <is>
          <t>Classe documental</t>
        </is>
      </c>
      <c r="K4" s="32" t="inlineStr">
        <is>
          <t>Data do documento</t>
        </is>
      </c>
      <c r="L4" s="32" t="inlineStr">
        <is>
          <t>Página</t>
        </is>
      </c>
      <c r="M4" s="32" t="inlineStr">
        <is>
          <t>Status</t>
        </is>
      </c>
      <c r="N4" s="32" t="inlineStr">
        <is>
          <t>Aprovado para export?</t>
        </is>
      </c>
      <c r="O4" s="32" t="inlineStr">
        <is>
          <t>Caminho da fonte</t>
        </is>
      </c>
      <c r="P4" s="32" t="inlineStr">
        <is>
          <t>Link da fonte</t>
        </is>
      </c>
      <c r="Q4" s="32" t="inlineStr">
        <is>
          <t>Trecho documental</t>
        </is>
      </c>
    </row>
    <row r="5" ht="40.5" customHeight="1">
      <c r="A5" s="134" t="n">
        <v>11468186000124</v>
      </c>
      <c r="B5" s="73" t="inlineStr">
        <is>
          <t>11.468.186/0001-24</t>
        </is>
      </c>
      <c r="C5" s="73" t="inlineStr">
        <is>
          <t>Cotas Seniores</t>
        </is>
      </c>
      <c r="D5" s="73" t="inlineStr">
        <is>
          <t>R$ 1.000.000,00</t>
        </is>
      </c>
      <c r="E5" s="135" t="n">
        <v>1000000</v>
      </c>
      <c r="F5" s="73" t="inlineStr">
        <is>
          <t>preço/valor unitário de emissão</t>
        </is>
      </c>
      <c r="G5" s="73" t="b">
        <v>0</v>
      </c>
      <c r="H5" s="73" t="inlineStr">
        <is>
          <t>regulamento</t>
        </is>
      </c>
      <c r="I5" s="73" t="n">
        <v>1130308</v>
      </c>
      <c r="J5" s="73" t="inlineStr">
        <is>
          <t>Regulamento</t>
        </is>
      </c>
      <c r="K5" s="73" t="inlineStr">
        <is>
          <t>06/03/2026</t>
        </is>
      </c>
      <c r="L5" s="73" t="n">
        <v>78</v>
      </c>
      <c r="M5" s="73" t="inlineStr">
        <is>
          <t>encontrado_explicito</t>
        </is>
      </c>
      <c r="N5" s="73" t="b">
        <v>1</v>
      </c>
      <c r="O5" s="73" t="inlineStr">
        <is>
          <t>.cache/carteira_101_document_scan/11468186000124/1130308.json.gz</t>
        </is>
      </c>
      <c r="P5" s="73" t="inlineStr">
        <is>
          <t>https://fnet.bmfbovespa.com.br/fnet/publico/downloadDocumento?id=1130308</t>
        </is>
      </c>
      <c r="Q5" s="73" t="inlineStr">
        <is>
          <t>]ª ([ -]) Série de Cotas Seniores (“[ -] Série Senior”); b) Forma de colocação: [-]; c) Quantidade de Cotas Seniores: [-] ([-]) cotas; d) Data de Emissão: será a data da primeira integralização de Cotas; e) Valor Unitário de Emissão: R$ 1.000.000,00 (Um milhão de reais) para a primeira integralização de Cotas. A partir de então o valor da Cota será calculado todo dia útil, nos termos do Regulamento. A data da aplicação e o valor da cota serão o do dia da efetiva</t>
        </is>
      </c>
    </row>
    <row r="6" ht="40.5" customHeight="1">
      <c r="A6" s="138" t="n">
        <v>11468186000124</v>
      </c>
      <c r="B6" s="74" t="inlineStr">
        <is>
          <t>11.468.186/0001-24</t>
        </is>
      </c>
      <c r="C6" s="74" t="inlineStr">
        <is>
          <t>N/D</t>
        </is>
      </c>
      <c r="D6" s="74" t="inlineStr">
        <is>
          <t>R$ 1.000.000,00</t>
        </is>
      </c>
      <c r="E6" s="139" t="n">
        <v>1000000</v>
      </c>
      <c r="F6" s="74" t="inlineStr">
        <is>
          <t>preço/valor unitário de emissão</t>
        </is>
      </c>
      <c r="G6" s="74" t="b">
        <v>1</v>
      </c>
      <c r="H6" s="74" t="inlineStr">
        <is>
          <t>emissao</t>
        </is>
      </c>
      <c r="I6" s="74" t="n">
        <v>1120717</v>
      </c>
      <c r="J6" s="74" t="inlineStr">
        <is>
          <t>Atos de Deliberação do Administrador Instrumento Particular de Emissão de Cotas</t>
        </is>
      </c>
      <c r="K6" s="74" t="inlineStr">
        <is>
          <t>20/02/2026</t>
        </is>
      </c>
      <c r="L6" s="74" t="n">
        <v>2</v>
      </c>
      <c r="M6" s="74" t="inlineStr">
        <is>
          <t>encontrado_explicito</t>
        </is>
      </c>
      <c r="N6" s="74" t="b">
        <v>1</v>
      </c>
      <c r="O6" s="74" t="inlineStr">
        <is>
          <t>.cache/carteira_101_document_scan/11468186000124/1120717.json.gz</t>
        </is>
      </c>
      <c r="P6" s="74" t="inlineStr">
        <is>
          <t>https://fnet.bmfbovespa.com.br/fnet/publico/downloadDocumento?id=1120717</t>
        </is>
      </c>
      <c r="Q6" s="74" t="inlineStr">
        <is>
          <t>es características: a) Forma de Colocação: via Instrução CVM nº 160 – art 26, inciso VII, alínea “a”. b) Publico Alvo da Oferta: Profissional. c) Data de Emissão: será a data da primeira integralização; d) Valor unitário de emissão: R$ 1.000.000,00 (um milhão de reais), para a primeira emissão de Cotas. A partir de então o valor da Cota será calculado todo dia útil, nos termos do Regulamento. A data da aplicação e o valor da Cota serão o do dia da efetiva dispo</t>
        </is>
      </c>
    </row>
    <row r="7" ht="40.5" customHeight="1">
      <c r="A7" s="142" t="n">
        <v>11468186000124</v>
      </c>
      <c r="B7" s="75" t="inlineStr">
        <is>
          <t>11.468.186/0001-24</t>
        </is>
      </c>
      <c r="C7" s="75" t="inlineStr">
        <is>
          <t>Série de Cotas Seniores</t>
        </is>
      </c>
      <c r="D7" s="75" t="inlineStr">
        <is>
          <t>R$ 1.000,00</t>
        </is>
      </c>
      <c r="E7" s="143" t="n">
        <v>1000</v>
      </c>
      <c r="F7" s="75" t="inlineStr">
        <is>
          <t>preço/valor unitário de emissão</t>
        </is>
      </c>
      <c r="G7" s="75" t="b">
        <v>0</v>
      </c>
      <c r="H7" s="75" t="inlineStr">
        <is>
          <t>assembleia</t>
        </is>
      </c>
      <c r="I7" s="75" t="n">
        <v>1179390</v>
      </c>
      <c r="J7" s="75" t="inlineStr">
        <is>
          <t>Assembleia AGE Ata da Assembleia</t>
        </is>
      </c>
      <c r="K7" s="75" t="inlineStr">
        <is>
          <t>23/04/2026 13:00</t>
        </is>
      </c>
      <c r="L7" s="75" t="n">
        <v>3</v>
      </c>
      <c r="M7" s="75" t="inlineStr">
        <is>
          <t>encontrado_explicito</t>
        </is>
      </c>
      <c r="N7" s="75" t="b">
        <v>1</v>
      </c>
      <c r="O7" s="75" t="inlineStr">
        <is>
          <t>.cache/carteira_101_document_scan/11468186000124/1179390.json.gz</t>
        </is>
      </c>
      <c r="P7" s="75" t="inlineStr">
        <is>
          <t>https://fnet.bmfbovespa.com.br/fnet/publico/downloadDocumento?id=1179390</t>
        </is>
      </c>
      <c r="Q7" s="75" t="inlineStr">
        <is>
          <t>c) Quantidade de Cotas Seniores: 110.000 (cento e dez mil cotas); d) Data de Emissão: será a data da primeira integralização de Cotas da 1ª (Primeira) Emissão da 13ª(Décima Terceira) Série de Cotas Seniores; e) Valor Unitário de Emissão: R$ 1.000,00 (um mil reais) para a primeira integralização de Cotas. A partir de então o valor da Cota será calculado todo dia útil, nos termos do Regulamento. A data da aplicação e o valor da cota serão o do dia da efetiva dispon</t>
        </is>
      </c>
    </row>
    <row r="8" ht="40.5" customHeight="1">
      <c r="A8" s="138" t="n">
        <v>17468142000180</v>
      </c>
      <c r="B8" s="74" t="inlineStr">
        <is>
          <t>17.468.142/0001-80</t>
        </is>
      </c>
      <c r="C8" s="74" t="inlineStr">
        <is>
          <t>Cotas Subordinadas Mezanino</t>
        </is>
      </c>
      <c r="D8" s="74" t="inlineStr">
        <is>
          <t>R$100.000,00</t>
        </is>
      </c>
      <c r="E8" s="139" t="n">
        <v>100000</v>
      </c>
      <c r="F8" s="74" t="inlineStr">
        <is>
          <t>preço/valor unitário de emissão</t>
        </is>
      </c>
      <c r="G8" s="74" t="b">
        <v>0</v>
      </c>
      <c r="H8" s="74" t="inlineStr">
        <is>
          <t>regulamento</t>
        </is>
      </c>
      <c r="I8" s="74" t="n">
        <v>1271235</v>
      </c>
      <c r="J8" s="74" t="inlineStr">
        <is>
          <t>Regulamento</t>
        </is>
      </c>
      <c r="K8" s="74" t="inlineStr">
        <is>
          <t>30/07/2026</t>
        </is>
      </c>
      <c r="L8" s="74" t="n">
        <v>82</v>
      </c>
      <c r="M8" s="74" t="inlineStr">
        <is>
          <t>encontrado_explicito</t>
        </is>
      </c>
      <c r="N8" s="74" t="b">
        <v>1</v>
      </c>
      <c r="O8" s="74" t="inlineStr">
        <is>
          <t>.cache/carteira_101_document_scan/17468142000180/1271235.json.gz</t>
        </is>
      </c>
      <c r="P8" s="74" t="inlineStr">
        <is>
          <t>https://fnet.bmfbovespa.com.br/fnet/publico/downloadDocumento?id=1271235</t>
        </is>
      </c>
      <c r="Q8" s="74" t="inlineStr">
        <is>
          <t>as Cotas de uma mesma subclasse terão iguais prioridades de amortização, resgate e distribuição dos rendimentos da carteira da Classe, bem como direitos de voto, observado o disposto neste Anexo Descritivo. 7.1. O valor unitário de emissão em cada primeira emissão de cada Subclasse ou série de Cotas será de R$100.000,00 (cem mil reais) (“Valor Unitário de Emissão”). 7.2. Todas as Cotas serão escriturais e serão mantidas em conta de depósito em nome dos Cotistas pelo Custodiante, na qualidade de instituição responsável pela escritur</t>
        </is>
      </c>
    </row>
    <row r="9" ht="40.5" customHeight="1">
      <c r="A9" s="142" t="n">
        <v>18185812000114</v>
      </c>
      <c r="B9" s="75" t="inlineStr">
        <is>
          <t>18.185.812/0001-14</t>
        </is>
      </c>
      <c r="C9" s="75" t="inlineStr">
        <is>
          <t>Cotas Seniores</t>
        </is>
      </c>
      <c r="D9" s="75" t="inlineStr">
        <is>
          <t>R$ 1.000,00</t>
        </is>
      </c>
      <c r="E9" s="143" t="n">
        <v>1000</v>
      </c>
      <c r="F9" s="75" t="inlineStr">
        <is>
          <t>preço/valor unitário de emissão</t>
        </is>
      </c>
      <c r="G9" s="75" t="b">
        <v>0</v>
      </c>
      <c r="H9" s="75" t="inlineStr">
        <is>
          <t>regulamento</t>
        </is>
      </c>
      <c r="I9" s="75" t="n">
        <v>1011996</v>
      </c>
      <c r="J9" s="75" t="inlineStr">
        <is>
          <t>regulamento</t>
        </is>
      </c>
      <c r="K9" s="75" t="inlineStr">
        <is>
          <t>2025-10-13</t>
        </is>
      </c>
      <c r="L9" s="75" t="n">
        <v>45</v>
      </c>
      <c r="M9" s="75" t="inlineStr">
        <is>
          <t>encontrado_explicito</t>
        </is>
      </c>
      <c r="N9" s="75" t="b">
        <v>1</v>
      </c>
      <c r="O9" s="75" t="inlineStr">
        <is>
          <t>data/raw/18185812000114/1011996_regulamento_regulamento_1011996_2025-10-13.pdf</t>
        </is>
      </c>
      <c r="P9" s="75" t="inlineStr">
        <is>
          <t>https://fnet.bmfbovespa.com.br/fnet/publico/downloadDocumento?id=1011996</t>
        </is>
      </c>
      <c r="Q9" s="75" t="inlineStr">
        <is>
          <t>da subclasse de Cotas Subordinadas Mezanino; c) somente poderão ser resgatadas após o resgate integral das Cotas Seniores, observadas as exceções descritas no Regulamento, caso a Relação Mínima seja atendida; d) valor unitário de emissão de R$ 1.000,00 (um mil reais) na 1ª data de integralização de Cotas Subordinadas Mezanino da mesma subclasse, sendo as Cotas Subordinadas Mezanino emitidas posteriormente terão seu valor unitário de emissão calculado com base na al</t>
        </is>
      </c>
    </row>
    <row r="10" ht="40.5" customHeight="1">
      <c r="A10" s="138" t="n">
        <v>18185812000114</v>
      </c>
      <c r="B10" s="74" t="inlineStr">
        <is>
          <t>18.185.812/0001-14</t>
        </is>
      </c>
      <c r="C10" s="74" t="inlineStr">
        <is>
          <t>Cotas Subordinadas</t>
        </is>
      </c>
      <c r="D10" s="74" t="inlineStr">
        <is>
          <t>R$ 1.000,00</t>
        </is>
      </c>
      <c r="E10" s="139" t="n">
        <v>1000</v>
      </c>
      <c r="F10" s="74" t="inlineStr">
        <is>
          <t>preço/valor unitário de emissão</t>
        </is>
      </c>
      <c r="G10" s="74" t="b">
        <v>0</v>
      </c>
      <c r="H10" s="74" t="inlineStr">
        <is>
          <t>regulamento</t>
        </is>
      </c>
      <c r="I10" s="74" t="n">
        <v>1011996</v>
      </c>
      <c r="J10" s="74" t="inlineStr">
        <is>
          <t>regulamento</t>
        </is>
      </c>
      <c r="K10" s="74" t="inlineStr">
        <is>
          <t>2025-10-13</t>
        </is>
      </c>
      <c r="L10" s="74" t="n">
        <v>44</v>
      </c>
      <c r="M10" s="74" t="inlineStr">
        <is>
          <t>encontrado_explicito</t>
        </is>
      </c>
      <c r="N10" s="74" t="b">
        <v>1</v>
      </c>
      <c r="O10" s="74" t="inlineStr">
        <is>
          <t>data/raw/18185812000114/1011996_regulamento_regulamento_1011996_2025-10-13.pdf</t>
        </is>
      </c>
      <c r="P10" s="74" t="inlineStr">
        <is>
          <t>https://fnet.bmfbovespa.com.br/fnet/publico/downloadDocumento?id=1011996</t>
        </is>
      </c>
      <c r="Q10" s="74" t="inlineStr">
        <is>
          <t>As Cotas Seniores têm as seguintes características, vantagens, direitos e obrigações comuns: a) prioridade de amortização e/ou resgate em relação às Cotas Subordinadas, observado o disposto neste Regulamento; b) valor unitário de emissão de R$ 1.000,00 (um mil reais), na primeira data de integralização de cada Série; c) valor unitário calculado todo dia útil, para efeito de definição de seu valor de integralização, amortização ou resgate, observados os critério</t>
        </is>
      </c>
    </row>
    <row r="11" ht="40.5" customHeight="1">
      <c r="A11" s="142" t="n">
        <v>18185812000114</v>
      </c>
      <c r="B11" s="75" t="inlineStr">
        <is>
          <t>18.185.812/0001-14</t>
        </is>
      </c>
      <c r="C11" s="75" t="inlineStr">
        <is>
          <t>Cotas Subordinadas Mezanino</t>
        </is>
      </c>
      <c r="D11" s="75" t="inlineStr">
        <is>
          <t>R$ 1.000,00</t>
        </is>
      </c>
      <c r="E11" s="143" t="n">
        <v>1000</v>
      </c>
      <c r="F11" s="75" t="inlineStr">
        <is>
          <t>preço/valor unitário de emissão</t>
        </is>
      </c>
      <c r="G11" s="75" t="b">
        <v>0</v>
      </c>
      <c r="H11" s="75" t="inlineStr">
        <is>
          <t>regulamento</t>
        </is>
      </c>
      <c r="I11" s="75" t="n">
        <v>1011996</v>
      </c>
      <c r="J11" s="75" t="inlineStr">
        <is>
          <t>regulamento</t>
        </is>
      </c>
      <c r="K11" s="75" t="inlineStr">
        <is>
          <t>2025-10-13</t>
        </is>
      </c>
      <c r="L11" s="75" t="n">
        <v>45</v>
      </c>
      <c r="M11" s="75" t="inlineStr">
        <is>
          <t>encontrado_explicito</t>
        </is>
      </c>
      <c r="N11" s="75" t="b">
        <v>1</v>
      </c>
      <c r="O11" s="75" t="inlineStr">
        <is>
          <t>data/raw/18185812000114/1011996_regulamento_regulamento_1011996_2025-10-13.pdf</t>
        </is>
      </c>
      <c r="P11" s="75" t="inlineStr">
        <is>
          <t>https://fnet.bmfbovespa.com.br/fnet/publico/downloadDocumento?id=1011996</t>
        </is>
      </c>
      <c r="Q11" s="75" t="inlineStr">
        <is>
          <t>pós o resgate integral das Cotas Seniores e das Cotas Subordinadas Mezanino, observadas as exceções descritas no Regulamento, caso a Relação Mínima seja atendida, admitindo -se o resgate em Direitos de Crédito; c) valor unitário de emissão de R$ 1.000,00 (um mil reais) na 1ª data de emissão de Cotas Subordinadas Junior, sendo as Cotas Subordinadas Junior emitidas posteriormente terão seu valor unitário de emissão calculado com base na alínea “d” abaixo; d) valor uni</t>
        </is>
      </c>
    </row>
    <row r="12" ht="40.5" customHeight="1">
      <c r="A12" s="138" t="n">
        <v>18185812000114</v>
      </c>
      <c r="B12" s="74" t="inlineStr">
        <is>
          <t>18.185.812/0001-14</t>
        </is>
      </c>
      <c r="C12" s="74" t="inlineStr">
        <is>
          <t>N/D</t>
        </is>
      </c>
      <c r="D12" s="74" t="inlineStr">
        <is>
          <t>R$ 1.000,00</t>
        </is>
      </c>
      <c r="E12" s="139" t="n">
        <v>1000</v>
      </c>
      <c r="F12" s="74" t="inlineStr">
        <is>
          <t>preço/valor unitário de emissão</t>
        </is>
      </c>
      <c r="G12" s="74" t="b">
        <v>1</v>
      </c>
      <c r="H12" s="74" t="inlineStr">
        <is>
          <t>assembleia</t>
        </is>
      </c>
      <c r="I12" s="74" t="n">
        <v>1179105</v>
      </c>
      <c r="J12" s="74" t="inlineStr">
        <is>
          <t>assembleia</t>
        </is>
      </c>
      <c r="K12" s="74" t="inlineStr">
        <is>
          <t>2026-04-27</t>
        </is>
      </c>
      <c r="L12" s="74" t="n">
        <v>3</v>
      </c>
      <c r="M12" s="74" t="inlineStr">
        <is>
          <t>encontrado_explicito</t>
        </is>
      </c>
      <c r="N12" s="74" t="b">
        <v>1</v>
      </c>
      <c r="O12" s="74" t="inlineStr">
        <is>
          <t>data/raw/18185812000114/1179105_assembleia_assembleia_1179105_2026-04-27.pdf</t>
        </is>
      </c>
      <c r="P12" s="74" t="inlineStr">
        <is>
          <t>https://fnet.bmfbovespa.com.br/fnet/publico/downloadDocumento?id=1179105</t>
        </is>
      </c>
      <c r="Q12" s="74" t="inlineStr">
        <is>
          <t>ico-alvo da Oferta: Investidores Profissionais, conforme o Art. 11 da Resolução CVM n° 30, de 11 de maio de 2021 (“Resolução CVM nº 30”); c) Data de Emissão: Será a data da integralização da 6ª Série Mezanino; d) Valor unitário de emissão: R$ 1.000,00 (um mil reais), para a primeira emissão de Cotas. A partir de então o valor da Cota será calculado todo dia útil, nos termos do Regulamento. A data da aplicação e o valor da Cota serão o do dia da efetiva disponibilid</t>
        </is>
      </c>
    </row>
    <row r="13" ht="40.5" customHeight="1">
      <c r="A13" s="142" t="n">
        <v>18185812000114</v>
      </c>
      <c r="B13" s="75" t="inlineStr">
        <is>
          <t>18.185.812/0001-14</t>
        </is>
      </c>
      <c r="C13" s="75" t="inlineStr">
        <is>
          <t>Série de Cotas Subordinadas Mezanino</t>
        </is>
      </c>
      <c r="D13" s="75" t="inlineStr">
        <is>
          <t>R$ 1.000,00</t>
        </is>
      </c>
      <c r="E13" s="143" t="n">
        <v>1000</v>
      </c>
      <c r="F13" s="75" t="inlineStr">
        <is>
          <t>preço/valor unitário de emissão</t>
        </is>
      </c>
      <c r="G13" s="75" t="b">
        <v>0</v>
      </c>
      <c r="H13" s="75" t="inlineStr">
        <is>
          <t>assembleia</t>
        </is>
      </c>
      <c r="I13" s="75" t="n">
        <v>1179105</v>
      </c>
      <c r="J13" s="75" t="inlineStr">
        <is>
          <t>assembleia</t>
        </is>
      </c>
      <c r="K13" s="75" t="inlineStr">
        <is>
          <t>2026-04-27</t>
        </is>
      </c>
      <c r="L13" s="75" t="n">
        <v>4</v>
      </c>
      <c r="M13" s="75" t="inlineStr">
        <is>
          <t>encontrado_explicito</t>
        </is>
      </c>
      <c r="N13" s="75" t="b">
        <v>1</v>
      </c>
      <c r="O13" s="75" t="inlineStr">
        <is>
          <t>data/raw/18185812000114/1179105_assembleia_assembleia_1179105_2026-04-27.pdf</t>
        </is>
      </c>
      <c r="P13" s="75" t="inlineStr">
        <is>
          <t>https://fnet.bmfbovespa.com.br/fnet/publico/downloadDocumento?id=1179105</t>
        </is>
      </c>
      <c r="Q13" s="75" t="inlineStr">
        <is>
          <t>ico-alvo da Oferta: Investidores Profissionais, conforme o Art. 11 da Resolução CVM n° 30, de 11 de maio de 2021 (“Resolução CVM nº 30”); p) Data de Emissão: Será a data da integralização da 6ª Série Mezanino; q) Valor unitário de emissão: R$ 1.000,00 (um mil reais), para a primeira emissão de Cotas. A partir de então o valor da Cota será calculado todo dia útil, nos termos do Regulamento. A data da aplicação e o valor da Cota serão o do dia da efetiva disponibilid</t>
        </is>
      </c>
    </row>
    <row r="14" ht="40.5" customHeight="1">
      <c r="A14" s="138" t="n">
        <v>26749095000134</v>
      </c>
      <c r="B14" s="74" t="inlineStr">
        <is>
          <t>26.749.095/0001-34</t>
        </is>
      </c>
      <c r="C14" s="74" t="inlineStr">
        <is>
          <t>N/D</t>
        </is>
      </c>
      <c r="D14" s="74" t="inlineStr">
        <is>
          <t>R$1.000,00</t>
        </is>
      </c>
      <c r="E14" s="139" t="n">
        <v>1000</v>
      </c>
      <c r="F14" s="74" t="inlineStr">
        <is>
          <t>preço/valor unitário de emissão</t>
        </is>
      </c>
      <c r="G14" s="74" t="b">
        <v>1</v>
      </c>
      <c r="H14" s="74" t="inlineStr">
        <is>
          <t>regulamento</t>
        </is>
      </c>
      <c r="I14" s="74" t="n">
        <v>1061833</v>
      </c>
      <c r="J14" s="74" t="inlineStr">
        <is>
          <t>regulamento</t>
        </is>
      </c>
      <c r="K14" s="74" t="inlineStr">
        <is>
          <t>2025-11-19</t>
        </is>
      </c>
      <c r="L14" s="74" t="n">
        <v>70</v>
      </c>
      <c r="M14" s="74" t="inlineStr">
        <is>
          <t>encontrado_explicito</t>
        </is>
      </c>
      <c r="N14" s="74" t="b">
        <v>1</v>
      </c>
      <c r="O14" s="74" t="inlineStr">
        <is>
          <t>data/raw/26749095000134/1061833_regulamento_regulamento_1061833_2025-11-19.pdf</t>
        </is>
      </c>
      <c r="P14" s="74" t="inlineStr">
        <is>
          <t>https://fnet.bmfbovespa.com.br/fnet/publico/downloadDocumento?id=1061833</t>
        </is>
      </c>
      <c r="Q14" s="74" t="inlineStr">
        <is>
          <t>nto ao Custodiante. A qualidade de Cotista caracteriza- se pela abertura de conta de depósitos em seu nome. 6.1.3 Somente Investidores Autorizados poderão adquirir as Cotas da Classe Única. 6.1.4 As Cotas terão Valor Unitário de Emissão de R$1.000,00 (mil reais). 6.2 Subclasses de Cotas 6.2.1 As Cotas da Classe Única serão divididas em Cotas Seniores e Cotas Subordinadas. 6.2.2 As Cotas Seniores poderão ser divididas em séries com valores e prazos difere</t>
        </is>
      </c>
    </row>
    <row r="15" ht="40.5" customHeight="1">
      <c r="A15" s="142" t="n">
        <v>26749095000134</v>
      </c>
      <c r="B15" s="75" t="inlineStr">
        <is>
          <t>26.749.095/0001-34</t>
        </is>
      </c>
      <c r="C15" s="75" t="inlineStr">
        <is>
          <t>Cotas Seniores</t>
        </is>
      </c>
      <c r="D15" s="75" t="inlineStr">
        <is>
          <t>R$ 1.000,00</t>
        </is>
      </c>
      <c r="E15" s="143" t="n">
        <v>1000</v>
      </c>
      <c r="F15" s="75" t="inlineStr">
        <is>
          <t>valor nominal unitário (VNU)</t>
        </is>
      </c>
      <c r="G15" s="75" t="b">
        <v>0</v>
      </c>
      <c r="H15" s="75" t="inlineStr">
        <is>
          <t>emissao</t>
        </is>
      </c>
      <c r="I15" s="75" t="n">
        <v>974567</v>
      </c>
      <c r="J15" s="75" t="inlineStr">
        <is>
          <t>emissao</t>
        </is>
      </c>
      <c r="K15" s="75" t="inlineStr">
        <is>
          <t>2025-08-18</t>
        </is>
      </c>
      <c r="L15" s="75" t="n">
        <v>2</v>
      </c>
      <c r="M15" s="75" t="inlineStr">
        <is>
          <t>encontrado_explicito</t>
        </is>
      </c>
      <c r="N15" s="75" t="b">
        <v>1</v>
      </c>
      <c r="O15" s="75" t="inlineStr">
        <is>
          <t>data/raw/26749095000134/974567_emissao_emissao_974567_2025-08-18.pdf</t>
        </is>
      </c>
      <c r="P15" s="75" t="inlineStr">
        <is>
          <t>https://fnet.bmfbovespa.com.br/fnet/publico/downloadDocumento?id=974567</t>
        </is>
      </c>
      <c r="Q15" s="75" t="inlineStr">
        <is>
          <t>2.500 (duas mil e quinhentas) cotas subordinadas mezanino B da 3ª emissão (“Cotas Mezanino B da 3ª Emissão” e, em conjunto com as Cotas Seniores da 13ª Série e com as Cotas Mezanino A da 9ª Emissão, as “Cotas”), com valor nominal unitário de emissão de R$ 1.000,00 (mil reais), perfazendo o montante total de R$ 2.500.000,00 (dois milhões e quinhentos mil reais), nas respectivas datas de emissão, totalizando a Oferta o montante de: R$ 75.000.000,00 (setenta e cinco milhões de</t>
        </is>
      </c>
    </row>
    <row r="16" ht="40.5" customHeight="1">
      <c r="A16" s="138" t="n">
        <v>26749095000134</v>
      </c>
      <c r="B16" s="74" t="inlineStr">
        <is>
          <t>26.749.095/0001-34</t>
        </is>
      </c>
      <c r="C16" s="74" t="inlineStr">
        <is>
          <t>Cotas Seniores</t>
        </is>
      </c>
      <c r="D16" s="74" t="inlineStr">
        <is>
          <t>R$1</t>
        </is>
      </c>
      <c r="E16" s="139" t="n">
        <v>1</v>
      </c>
      <c r="F16" s="74" t="inlineStr">
        <is>
          <t>valor nominal unitário (VNU)</t>
        </is>
      </c>
      <c r="G16" s="74" t="b">
        <v>0</v>
      </c>
      <c r="H16" s="74" t="inlineStr">
        <is>
          <t>emissao</t>
        </is>
      </c>
      <c r="I16" s="74" t="n">
        <v>974567</v>
      </c>
      <c r="J16" s="74" t="inlineStr">
        <is>
          <t>emissao</t>
        </is>
      </c>
      <c r="K16" s="74" t="inlineStr">
        <is>
          <t>2025-08-18</t>
        </is>
      </c>
      <c r="L16" s="74" t="n">
        <v>2</v>
      </c>
      <c r="M16" s="74" t="inlineStr">
        <is>
          <t>encontrado_explicito</t>
        </is>
      </c>
      <c r="N16" s="74" t="b">
        <v>1</v>
      </c>
      <c r="O16" s="74" t="inlineStr">
        <is>
          <t>data/raw/26749095000134/974567_emissao_emissao_974567_2025-08-18.pdf</t>
        </is>
      </c>
      <c r="P16" s="74" t="inlineStr">
        <is>
          <t>https://fnet.bmfbovespa.com.br/fnet/publico/downloadDocumento?id=974567</t>
        </is>
      </c>
      <c r="Q16" s="74" t="inlineStr">
        <is>
          <t>stimento em Direitos Creditórios – Responsabilidade Limitada (“Classe” e “Oferta”, respectivamente), sendo: (i) 62.500 (sessenta e duas mil e quinhentas) cotas seniores da 13ª série (“Cotas Seniores da 13ª Série”) com valor nominal unitário de emissão de R$1 .000,00 ( mil reais), perfazendo o montante total de R$ 62.500.000,00 (sessenta e dois milhões e quinhentos mil reais) ; (ii) 10.000 (dez mil) cotas subordinadas mezanino A da 9ª Emissão (“Cotas Mezanino A da 9ª Emis</t>
        </is>
      </c>
    </row>
    <row r="17" ht="40.5" customHeight="1">
      <c r="A17" s="142" t="n">
        <v>26749095000134</v>
      </c>
      <c r="B17" s="75" t="inlineStr">
        <is>
          <t>26.749.095/0001-34</t>
        </is>
      </c>
      <c r="C17" s="75" t="inlineStr">
        <is>
          <t>Cotas Subordinadas Mezanino</t>
        </is>
      </c>
      <c r="D17" s="75" t="inlineStr">
        <is>
          <t>R$ 1.000,00</t>
        </is>
      </c>
      <c r="E17" s="143" t="n">
        <v>1000</v>
      </c>
      <c r="F17" s="75" t="inlineStr">
        <is>
          <t>valor nominal unitário (VNU)</t>
        </is>
      </c>
      <c r="G17" s="75" t="b">
        <v>0</v>
      </c>
      <c r="H17" s="75" t="inlineStr">
        <is>
          <t>emissao</t>
        </is>
      </c>
      <c r="I17" s="75" t="n">
        <v>1261461</v>
      </c>
      <c r="J17" s="75" t="inlineStr">
        <is>
          <t>Oferta Pública de Distribuição de Cotas Anúncio de Início</t>
        </is>
      </c>
      <c r="K17" s="75" t="inlineStr">
        <is>
          <t>21/07/2026</t>
        </is>
      </c>
      <c r="L17" s="75" t="n">
        <v>2</v>
      </c>
      <c r="M17" s="75" t="inlineStr">
        <is>
          <t>encontrado_explicito</t>
        </is>
      </c>
      <c r="N17" s="75" t="b">
        <v>1</v>
      </c>
      <c r="O17" s="75" t="inlineStr">
        <is>
          <t>.cache/carteira_101_document_scan/26749095000134/1261461.json.gz</t>
        </is>
      </c>
      <c r="P17" s="75" t="inlineStr">
        <is>
          <t>https://fnet.bmfbovespa.com.br/fnet/publico/downloadDocumento?id=1261461</t>
        </is>
      </c>
      <c r="Q17" s="75" t="inlineStr">
        <is>
          <t>Subordinadas Mezanino A da 10ª Emissão, as “Cotas”) de emissão d a Classe Única de Cotas do Pravaler Crédito Universitário II Fundo de Investimento em Direitos Creditórios – Responsabilidade Limitada (“Classe”), com valor nominal unitário de emissão de R$ 1.000,00 ( mil reais), perfazendo o montante total de até R$ 12.000.000,00 (doze milhões de reais) (“Oferta”). Será admitida a distribuição parcial das Cotas Subordinadas Mezanino A da 10ª Emissão e das Cotas Subordinadas M</t>
        </is>
      </c>
    </row>
    <row r="18" ht="40.5" customHeight="1">
      <c r="A18" s="138" t="n">
        <v>28169275000172</v>
      </c>
      <c r="B18" s="74" t="inlineStr">
        <is>
          <t>28.169.275/0001-72</t>
        </is>
      </c>
      <c r="C18" s="74" t="inlineStr">
        <is>
          <t>Cotas Seniores</t>
        </is>
      </c>
      <c r="D18" s="74" t="inlineStr">
        <is>
          <t>R$ 1.000,00</t>
        </is>
      </c>
      <c r="E18" s="139" t="n">
        <v>1000</v>
      </c>
      <c r="F18" s="74" t="inlineStr">
        <is>
          <t>valor nominal unitário (VNU)</t>
        </is>
      </c>
      <c r="G18" s="74" t="b">
        <v>0</v>
      </c>
      <c r="H18" s="74" t="inlineStr">
        <is>
          <t>regulamento</t>
        </is>
      </c>
      <c r="I18" s="74" t="n">
        <v>1149521</v>
      </c>
      <c r="J18" s="74" t="inlineStr">
        <is>
          <t>regulamento</t>
        </is>
      </c>
      <c r="K18" s="74" t="inlineStr">
        <is>
          <t>2026-03-25</t>
        </is>
      </c>
      <c r="L18" s="74" t="n">
        <v>64</v>
      </c>
      <c r="M18" s="74" t="inlineStr">
        <is>
          <t>encontrado_explicito</t>
        </is>
      </c>
      <c r="N18" s="74" t="b">
        <v>1</v>
      </c>
      <c r="O18" s="74" t="inlineStr">
        <is>
          <t>data/raw/28169275000172/1149521_regulamento_regulamento_1149521_2026-03-25.pdf</t>
        </is>
      </c>
      <c r="P18" s="74" t="inlineStr">
        <is>
          <t>https://fnet.bmfbovespa.com.br/fnet/publico/downloadDocumento?id=1149521</t>
        </is>
      </c>
      <c r="Q18" s="74" t="inlineStr">
        <is>
          <t>ASSE ÚNICA DE INVESTIMENTO EM DIREITOS CREDITÓRIOS - RESPONSABILIDADE LIMITADA ª SÉRIE DA SUBCLASSE SÊNIOR DE INVESTIMENTO (a) Montante da ª Série de Cotas Seniores (b) Quantidade de Cotas Seniores da ª Série (c) Valor Nominal Unitário: R$ 1.000,00 (mil reais); (d) Data de Integralização (e) Data de Resgate de Cotas Seniores (i.e., a data na qual ocorrerá a amortização do valor total remanescente das Cotas Seniores) (f) Benchmark Alvo (g) Data de Pagamento de</t>
        </is>
      </c>
    </row>
    <row r="19" ht="40.5" customHeight="1">
      <c r="A19" s="142" t="n">
        <v>28169275000172</v>
      </c>
      <c r="B19" s="75" t="inlineStr">
        <is>
          <t>28.169.275/0001-72</t>
        </is>
      </c>
      <c r="C19" s="75" t="inlineStr">
        <is>
          <t>Cotas Subordinadas</t>
        </is>
      </c>
      <c r="D19" s="75" t="inlineStr">
        <is>
          <t>R$ 1.000,00</t>
        </is>
      </c>
      <c r="E19" s="143" t="n">
        <v>1000</v>
      </c>
      <c r="F19" s="75" t="inlineStr">
        <is>
          <t>valor nominal unitário (VNU)</t>
        </is>
      </c>
      <c r="G19" s="75" t="b">
        <v>0</v>
      </c>
      <c r="H19" s="75" t="inlineStr">
        <is>
          <t>regulamento</t>
        </is>
      </c>
      <c r="I19" s="75" t="n">
        <v>1149521</v>
      </c>
      <c r="J19" s="75" t="inlineStr">
        <is>
          <t>regulamento</t>
        </is>
      </c>
      <c r="K19" s="75" t="inlineStr">
        <is>
          <t>2026-03-25</t>
        </is>
      </c>
      <c r="L19" s="75" t="n">
        <v>70</v>
      </c>
      <c r="M19" s="75" t="inlineStr">
        <is>
          <t>encontrado_explicito</t>
        </is>
      </c>
      <c r="N19" s="75" t="b">
        <v>1</v>
      </c>
      <c r="O19" s="75" t="inlineStr">
        <is>
          <t>data/raw/28169275000172/1149521_regulamento_regulamento_1149521_2026-03-25.pdf</t>
        </is>
      </c>
      <c r="P19" s="75" t="inlineStr">
        <is>
          <t>https://fnet.bmfbovespa.com.br/fnet/publico/downloadDocumento?id=1149521</t>
        </is>
      </c>
      <c r="Q19" s="75" t="inlineStr">
        <is>
          <t>SSE ÚNICA DE INVESTIMENTO EM DIREITOS CREDITÓRIOS - RESPONSABILIDADE LIMITADA []ª EMISSÃO DA SUBCLASSE SUBORDINADA VIGÊNCIA: 25/3/2026 (a) Montante de Cotas Subordinadas (b) Quantidade de Cotas Subordinadas (c) Valor Nominal Unitário: R$ 1.000,00 (mil reais); (d) Data de Integralização: data da [primeira] integralização das Cotas Subordinadas; (e) Data de Resgate de Cotas Subordinadas (i.e., a data na qual ocorrerá a amortização do valor total remanescente das</t>
        </is>
      </c>
    </row>
    <row r="20" ht="40.5" customHeight="1">
      <c r="A20" s="138" t="n">
        <v>28169275000172</v>
      </c>
      <c r="B20" s="74" t="inlineStr">
        <is>
          <t>28.169.275/0001-72</t>
        </is>
      </c>
      <c r="C20" s="74" t="inlineStr">
        <is>
          <t>N/D</t>
        </is>
      </c>
      <c r="D20" s="74" t="inlineStr">
        <is>
          <t>R$ 1.000,00</t>
        </is>
      </c>
      <c r="E20" s="139" t="n">
        <v>1000</v>
      </c>
      <c r="F20" s="74" t="inlineStr">
        <is>
          <t>valor nominal unitário (VNU)</t>
        </is>
      </c>
      <c r="G20" s="74" t="b">
        <v>1</v>
      </c>
      <c r="H20" s="74" t="inlineStr">
        <is>
          <t>regulamento</t>
        </is>
      </c>
      <c r="I20" s="74" t="n">
        <v>1149521</v>
      </c>
      <c r="J20" s="74" t="inlineStr">
        <is>
          <t>regulamento</t>
        </is>
      </c>
      <c r="K20" s="74" t="inlineStr">
        <is>
          <t>2026-03-25</t>
        </is>
      </c>
      <c r="L20" s="74" t="n">
        <v>67</v>
      </c>
      <c r="M20" s="74" t="inlineStr">
        <is>
          <t>encontrado_explicito</t>
        </is>
      </c>
      <c r="N20" s="74" t="b">
        <v>1</v>
      </c>
      <c r="O20" s="74" t="inlineStr">
        <is>
          <t>data/raw/28169275000172/1149521_regulamento_regulamento_1149521_2026-03-25.pdf</t>
        </is>
      </c>
      <c r="P20" s="74" t="inlineStr">
        <is>
          <t>https://fnet.bmfbovespa.com.br/fnet/publico/downloadDocumento?id=1149521</t>
        </is>
      </c>
      <c r="Q20" s="74" t="inlineStr">
        <is>
          <t>DE INVESTIMENTO EM DIREITOS CREDITÓRIOS - RESPONSABILIDADE LIMITADA 1ª SÉRIE DA SUBCLASSE MEZANINO VIGÊNCIA: 25/3/2026 (a) Montante da 1ª Série de Cotas Mezanino (b) Quantidade de Cotas Mezanino da 1ª Série (c) Valor Nominal Unitário: R$ 1.000,00 (mil reais); (d) Data de Integralização: data da [primeira] integralização das 1ª Série de Cotas Mezanino; (e) Data de Resgate de Cotas Mezanino (i.e., a data na qual ocorrerá a amortização do valor total remanescent</t>
        </is>
      </c>
    </row>
    <row r="21" ht="40.5" customHeight="1">
      <c r="A21" s="142" t="n">
        <v>28169275000172</v>
      </c>
      <c r="B21" s="75" t="inlineStr">
        <is>
          <t>28.169.275/0001-72</t>
        </is>
      </c>
      <c r="C21" s="75" t="inlineStr">
        <is>
          <t>cotas seniores</t>
        </is>
      </c>
      <c r="D21" s="75" t="inlineStr">
        <is>
          <t>R$ 1.000,00</t>
        </is>
      </c>
      <c r="E21" s="143" t="n">
        <v>1000</v>
      </c>
      <c r="F21" s="75" t="inlineStr">
        <is>
          <t>preço/valor unitário de emissão</t>
        </is>
      </c>
      <c r="G21" s="75" t="b">
        <v>0</v>
      </c>
      <c r="H21" s="75" t="inlineStr">
        <is>
          <t>emissao</t>
        </is>
      </c>
      <c r="I21" s="75" t="n">
        <v>1148251</v>
      </c>
      <c r="J21" s="75" t="inlineStr">
        <is>
          <t>emissao</t>
        </is>
      </c>
      <c r="K21" s="75" t="inlineStr">
        <is>
          <t>2026-03-30</t>
        </is>
      </c>
      <c r="L21" s="75" t="n">
        <v>2</v>
      </c>
      <c r="M21" s="75" t="inlineStr">
        <is>
          <t>encontrado_explicito</t>
        </is>
      </c>
      <c r="N21" s="75" t="b">
        <v>1</v>
      </c>
      <c r="O21" s="75" t="inlineStr">
        <is>
          <t>data/raw/28169275000172/1148251_emissao_emissao_1148251_2026-03-30.pdf</t>
        </is>
      </c>
      <c r="P21" s="75" t="inlineStr">
        <is>
          <t>https://fnet.bmfbovespa.com.br/fnet/publico/downloadDocumento?id=1148251</t>
        </is>
      </c>
      <c r="Q21" s="75" t="inlineStr">
        <is>
          <t>série de emissão do FUNDO DE INVESTIMENTO EM DIREITOS CREDITÓRIOS PAGSEGURO I – RESPONSABILIDADE LIMITADA ("Fundo"), compreendendo 1.000.000 (um milhão) JUR_SP - 57172301v3 - 5574021.570066 cotas seniores, com valor unitário de emissão equivalente a R$ 1.000,00 (mil reais) ("Cotas Seniores" e “ Valor Unitário de Emissão”, respectivamente), no montante total de R$ 1.000.000.000,00 (um bilhão de reais ), sendo todas nominativas e escriturais , destinadas exclusivamente a i nv</t>
        </is>
      </c>
    </row>
    <row r="22" ht="40.5" customHeight="1">
      <c r="A22" s="138" t="n">
        <v>29226654000110</v>
      </c>
      <c r="B22" s="74" t="inlineStr">
        <is>
          <t>29.226.654/0001-10</t>
        </is>
      </c>
      <c r="C22" s="74" t="inlineStr">
        <is>
          <t>N/D</t>
        </is>
      </c>
      <c r="D22" s="74" t="inlineStr">
        <is>
          <t>R$ 1.000,00</t>
        </is>
      </c>
      <c r="E22" s="139" t="n">
        <v>1000</v>
      </c>
      <c r="F22" s="74" t="inlineStr">
        <is>
          <t>valor nominal unitário (VNU)</t>
        </is>
      </c>
      <c r="G22" s="74" t="b">
        <v>1</v>
      </c>
      <c r="H22" s="74" t="inlineStr">
        <is>
          <t>emissao</t>
        </is>
      </c>
      <c r="I22" s="74" t="n">
        <v>1023320</v>
      </c>
      <c r="J22" s="74" t="inlineStr">
        <is>
          <t>emissao</t>
        </is>
      </c>
      <c r="K22" s="74" t="inlineStr">
        <is>
          <t>2025-10-28</t>
        </is>
      </c>
      <c r="L22" s="74" t="n">
        <v>1</v>
      </c>
      <c r="M22" s="74" t="inlineStr">
        <is>
          <t>encontrado_explicito</t>
        </is>
      </c>
      <c r="N22" s="74" t="b">
        <v>1</v>
      </c>
      <c r="O22" s="74" t="inlineStr">
        <is>
          <t>data/raw/29226654000110/1023320_emissao_emissao_1023320_2025-10-28.pdf</t>
        </is>
      </c>
      <c r="P22" s="74" t="inlineStr">
        <is>
          <t>https://fnet.bmfbovespa.com.br/fnet/publico/downloadDocumento?id=1023320</t>
        </is>
      </c>
      <c r="Q22" s="74" t="inlineStr">
        <is>
          <t>nho de 2021, com sede na cidade de São Paulo, Estado de São Paulo, na Rua Fidêncio Ramos, nº 223, 7º andar, conj. 74, Vila Olímpia, CEP 04.551-010, inscrita no CNPJ sob o nº 40.297.139/0001- 63 (“Gestora”), todas com valor nominal unitário de R$ 1.000,00 (mil reais), perfazendo o montante de (“Oferta”): R$ 90.000.000,00 (noventa milhões de reais) A Oferta não contará com a possibilidade de emissão de lote adicional de Cotas Seniores, conforme faculta o Artigo 50</t>
        </is>
      </c>
    </row>
    <row r="23" ht="40.5" customHeight="1">
      <c r="A23" s="142" t="n">
        <v>29226654000110</v>
      </c>
      <c r="B23" s="75" t="inlineStr">
        <is>
          <t>29.226.654/0001-10</t>
        </is>
      </c>
      <c r="C23" s="75" t="inlineStr">
        <is>
          <t>Cotas Seniores</t>
        </is>
      </c>
      <c r="D23" s="75" t="inlineStr">
        <is>
          <t>R$ 1.000,00</t>
        </is>
      </c>
      <c r="E23" s="143" t="n">
        <v>1000</v>
      </c>
      <c r="F23" s="75" t="inlineStr">
        <is>
          <t>valor nominal unitário (VNU)</t>
        </is>
      </c>
      <c r="G23" s="75" t="b">
        <v>0</v>
      </c>
      <c r="H23" s="75" t="inlineStr">
        <is>
          <t>assembleia</t>
        </is>
      </c>
      <c r="I23" s="75" t="n">
        <v>1023848</v>
      </c>
      <c r="J23" s="75" t="inlineStr">
        <is>
          <t>assembleia</t>
        </is>
      </c>
      <c r="K23" s="75" t="inlineStr">
        <is>
          <t>2025-10-28</t>
        </is>
      </c>
      <c r="L23" s="75" t="n">
        <v>7</v>
      </c>
      <c r="M23" s="75" t="inlineStr">
        <is>
          <t>encontrado_explicito</t>
        </is>
      </c>
      <c r="N23" s="75" t="b">
        <v>1</v>
      </c>
      <c r="O23" s="75" t="inlineStr">
        <is>
          <t>data/raw/29226654000110/1023848_assembleia_assembleia_1023848_2025-10-28.pdf</t>
        </is>
      </c>
      <c r="P23" s="75" t="inlineStr">
        <is>
          <t>https://fnet.bmfbovespa.com.br/fnet/publico/downloadDocumento?id=1023848</t>
        </is>
      </c>
      <c r="Q23" s="75" t="inlineStr">
        <is>
          <t>e da 2ª Série de Cotas Seniores: R$ 150.000.000,00 (cento e cinquenta milhões de reais); b) Quantidade de Cotas Seniores da 2ª Série: 150.000 (cento e cinquenta mil); c) Montante Mínimo para Colocação: n/a; d) Valor Nominal Unitário/Preço de Emissão: R$ 1.000,00 (mil reais); e) Volume Mínimo de Colocação: n/a; f) Preço de Subscrição: R$ 1.000,00 (mil reais) na Data de Emissão (conforme definida abaixo). Caso as Cotas Seniores da 2ª Série sejam subscritas e integralizadas</t>
        </is>
      </c>
    </row>
    <row r="24" ht="40.5" customHeight="1">
      <c r="A24" s="138" t="n">
        <v>30035329000159</v>
      </c>
      <c r="B24" s="74" t="inlineStr">
        <is>
          <t>30.035.329/0001-59</t>
        </is>
      </c>
      <c r="C24" s="74" t="inlineStr">
        <is>
          <t>Cotas Seniores</t>
        </is>
      </c>
      <c r="D24" s="74" t="inlineStr">
        <is>
          <t>R$ 1.000,00</t>
        </is>
      </c>
      <c r="E24" s="139" t="n">
        <v>1000</v>
      </c>
      <c r="F24" s="74" t="inlineStr">
        <is>
          <t>valor nominal unitário (VNU)</t>
        </is>
      </c>
      <c r="G24" s="74" t="b">
        <v>0</v>
      </c>
      <c r="H24" s="74" t="inlineStr">
        <is>
          <t>emissao</t>
        </is>
      </c>
      <c r="I24" s="74" t="n">
        <v>1003989</v>
      </c>
      <c r="J24" s="74" t="inlineStr">
        <is>
          <t>Oferta Pública de Distribuição de Cotas Anúncio de Encerramento</t>
        </is>
      </c>
      <c r="K24" s="74" t="inlineStr">
        <is>
          <t>30/09/2025</t>
        </is>
      </c>
      <c r="L24" s="74" t="n">
        <v>2</v>
      </c>
      <c r="M24" s="74" t="inlineStr">
        <is>
          <t>encontrado_explicito</t>
        </is>
      </c>
      <c r="N24" s="74" t="b">
        <v>1</v>
      </c>
      <c r="O24" s="74" t="inlineStr">
        <is>
          <t>.cache/carteira_101_document_scan/30035329000159/1003989.json.gz</t>
        </is>
      </c>
      <c r="P24" s="74" t="inlineStr">
        <is>
          <t>https://fnet.bmfbovespa.com.br/fnet/publico/downloadDocumento?id=1003989</t>
        </is>
      </c>
      <c r="Q24" s="74" t="inlineStr">
        <is>
          <t>u “ Fundo”, respectivamente), todas escriturais, com as seguintes características, sob o regime de garantia firme de colocação (“Oferta”): Valor Total das Cotas Seniores: R$ 100.000.000,00 (cem milhões de reais) Valor Nominal Unitário: R$ 1.000,00 (mil reais) Quantidade de Cotas Seniores: 100.000 (cem mil) Exceto quando especificamente definidos neste Anúncio de Encerramento, os termos aqui utilizados iniciados em letra maiúscula terão o significado a eles</t>
        </is>
      </c>
    </row>
    <row r="25" ht="40.5" customHeight="1">
      <c r="A25" s="142" t="n">
        <v>31739396000117</v>
      </c>
      <c r="B25" s="75" t="inlineStr">
        <is>
          <t>31.739.396/0001-17</t>
        </is>
      </c>
      <c r="C25" s="75" t="inlineStr">
        <is>
          <t>Cotas Seniores</t>
        </is>
      </c>
      <c r="D25" s="75" t="inlineStr">
        <is>
          <t>R$1.000,00</t>
        </is>
      </c>
      <c r="E25" s="143" t="n">
        <v>1000</v>
      </c>
      <c r="F25" s="75" t="inlineStr">
        <is>
          <t>valor nominal unitário (VNU)</t>
        </is>
      </c>
      <c r="G25" s="75" t="b">
        <v>0</v>
      </c>
      <c r="H25" s="75" t="inlineStr">
        <is>
          <t>emissao</t>
        </is>
      </c>
      <c r="I25" s="75" t="n">
        <v>1088682</v>
      </c>
      <c r="J25" s="75" t="inlineStr">
        <is>
          <t>Oferta Pública de Distribuição de Cotas Anúncio de Encerramento</t>
        </is>
      </c>
      <c r="K25" s="75" t="inlineStr">
        <is>
          <t>20/01/2026</t>
        </is>
      </c>
      <c r="L25" s="75" t="n">
        <v>2</v>
      </c>
      <c r="M25" s="75" t="inlineStr">
        <is>
          <t>encontrado_explicito</t>
        </is>
      </c>
      <c r="N25" s="75" t="b">
        <v>1</v>
      </c>
      <c r="O25" s="75" t="inlineStr">
        <is>
          <t>.cache/carteira_101_document_scan/31739396000117/1088682.json.gz</t>
        </is>
      </c>
      <c r="P25" s="75" t="inlineStr">
        <is>
          <t>https://fnet.bmfbovespa.com.br/fnet/publico/downloadDocumento?id=1088682</t>
        </is>
      </c>
      <c r="Q25" s="75" t="inlineStr">
        <is>
          <t>) Cotas Seniores e a totalidade de Cotas Mezanino B e Cotas Mezanino C, com as seguintes características (“Oferta”): Valor Total das Cotas Seniores: R$ 525.000.000,00 (quinhentos e vinte e cinco milhões de reais Valor Nominal Unitário: R$1.000,00 (mil reais) Quantidade de Cotas Seniores: 525.000 (quinhentas e vinte e cinco mil) Valor Total das Cotas Mezanino B: R$ 50.000.000,00 (cinquenta milhões de reais) Valor Nominal Unitário: R$1.000,00 (mil reais)</t>
        </is>
      </c>
    </row>
    <row r="26" ht="40.5" customHeight="1">
      <c r="A26" s="138" t="n">
        <v>32526025000110</v>
      </c>
      <c r="B26" s="74" t="inlineStr">
        <is>
          <t>32.526.025/0001-10</t>
        </is>
      </c>
      <c r="C26" s="74" t="inlineStr">
        <is>
          <t>8ª Série de Cotas Seniores</t>
        </is>
      </c>
      <c r="D26" s="74" t="inlineStr">
        <is>
          <t>R$1.000,00</t>
        </is>
      </c>
      <c r="E26" s="139" t="n">
        <v>1000</v>
      </c>
      <c r="F26" s="74" t="inlineStr">
        <is>
          <t>valor nominal unitário (VNU)</t>
        </is>
      </c>
      <c r="G26" s="74" t="b">
        <v>0</v>
      </c>
      <c r="H26" s="74" t="inlineStr">
        <is>
          <t>emissao</t>
        </is>
      </c>
      <c r="I26" s="74" t="n">
        <v>1134299</v>
      </c>
      <c r="J26" s="74" t="inlineStr">
        <is>
          <t>Oferta Pública de Distribuição de Cotas Anúncio de Início</t>
        </is>
      </c>
      <c r="K26" s="74" t="inlineStr">
        <is>
          <t>12/03/2026</t>
        </is>
      </c>
      <c r="L26" s="74" t="n">
        <v>4</v>
      </c>
      <c r="M26" s="74" t="inlineStr">
        <is>
          <t>encontrado_explicito</t>
        </is>
      </c>
      <c r="N26" s="74" t="b">
        <v>1</v>
      </c>
      <c r="O26" s="74" t="inlineStr">
        <is>
          <t>.cache/carteira_101_document_scan/32526025000110/1134299.json.gz</t>
        </is>
      </c>
      <c r="P26" s="74" t="inlineStr">
        <is>
          <t>https://fnet.bmfbovespa.com.br/fnet/publico/downloadDocumento?id=1134299</t>
        </is>
      </c>
      <c r="Q26" s="74" t="inlineStr">
        <is>
          <t>istradora (“Contrato de Distribuição”). VALOR TOTAL DE EMISSÃO SENIOR O valor total da 8ª Série de Cotas Seniores será de até R$100.000.000,00 ( cem milhões de reais) na data de emissão (“Data de Emissão ”), com valor nominal unitário de R$1.000,00 (mil reais) na Data de Emissão (“Valor Total da Emissão”). II. CARACTERÍSTICAS DO VALOR MOBILIÁRIO QUANTIDADE DE COTAS Serão emitidas até 100.000 (cem mil) Cotas da 8ª Série de Cotas Seniores da Classe (“Cotas S</t>
        </is>
      </c>
    </row>
    <row r="27" ht="40.5" customHeight="1">
      <c r="A27" s="142" t="n">
        <v>32526025000110</v>
      </c>
      <c r="B27" s="75" t="inlineStr">
        <is>
          <t>32.526.025/0001-10</t>
        </is>
      </c>
      <c r="C27" s="75" t="inlineStr">
        <is>
          <t>Cotas Seniores</t>
        </is>
      </c>
      <c r="D27" s="75" t="inlineStr">
        <is>
          <t>R$1.000,00</t>
        </is>
      </c>
      <c r="E27" s="143" t="n">
        <v>1000</v>
      </c>
      <c r="F27" s="75" t="inlineStr">
        <is>
          <t>valor nominal unitário (VNU)</t>
        </is>
      </c>
      <c r="G27" s="75" t="b">
        <v>0</v>
      </c>
      <c r="H27" s="75" t="inlineStr">
        <is>
          <t>emissao</t>
        </is>
      </c>
      <c r="I27" s="75" t="n">
        <v>1134299</v>
      </c>
      <c r="J27" s="75" t="inlineStr">
        <is>
          <t>Oferta Pública de Distribuição de Cotas Anúncio de Início</t>
        </is>
      </c>
      <c r="K27" s="75" t="inlineStr">
        <is>
          <t>12/03/2026</t>
        </is>
      </c>
      <c r="L27" s="75" t="n">
        <v>4</v>
      </c>
      <c r="M27" s="75" t="inlineStr">
        <is>
          <t>encontrado_explicito</t>
        </is>
      </c>
      <c r="N27" s="75" t="b">
        <v>1</v>
      </c>
      <c r="O27" s="75" t="inlineStr">
        <is>
          <t>.cache/carteira_101_document_scan/32526025000110/1134299.json.gz</t>
        </is>
      </c>
      <c r="P27" s="75" t="inlineStr">
        <is>
          <t>https://fnet.bmfbovespa.com.br/fnet/publico/downloadDocumento?id=1134299</t>
        </is>
      </c>
      <c r="Q27" s="75" t="inlineStr">
        <is>
          <t>les subscrito, dessa forma, os cotistas não respondem por eventual patrimônio líquido negativo, sem prejuízo da responsabilidade do prestador de serviço pelos prejuízos que causar quando proceder com dolo ou má-fé. VALOR NOMINAL UNITÁRIO R$1.000,00 (um mil reais), na Data de Emissão. DATA DE EMISSÃO Significa a primeira data de subscrição das Cotas Seniores. PRAZO DO FUNDO E DA CLASSE E DATA DE AMORTIZAÇÃO O Fundo e a Classe terão prazo de duração indeterminad</t>
        </is>
      </c>
    </row>
    <row r="28" ht="40.5" customHeight="1">
      <c r="A28" s="138" t="n">
        <v>37294759000134</v>
      </c>
      <c r="B28" s="74" t="inlineStr">
        <is>
          <t>37.294.759/0001-34</t>
        </is>
      </c>
      <c r="C28" s="74" t="inlineStr">
        <is>
          <t>Cotas Seniores</t>
        </is>
      </c>
      <c r="D28" s="74" t="inlineStr">
        <is>
          <t>R$ 1,00</t>
        </is>
      </c>
      <c r="E28" s="139" t="n">
        <v>1</v>
      </c>
      <c r="F28" s="74" t="inlineStr">
        <is>
          <t>preço/valor unitário de emissão</t>
        </is>
      </c>
      <c r="G28" s="74" t="b">
        <v>0</v>
      </c>
      <c r="H28" s="74" t="inlineStr">
        <is>
          <t>emissao</t>
        </is>
      </c>
      <c r="I28" s="74" t="n">
        <v>1245765</v>
      </c>
      <c r="J28" s="74" t="inlineStr">
        <is>
          <t>Oferta Pública de Distribuição de Cotas Anúncio de Início</t>
        </is>
      </c>
      <c r="K28" s="74" t="inlineStr">
        <is>
          <t>06/07/2026</t>
        </is>
      </c>
      <c r="L28" s="74" t="n">
        <v>1</v>
      </c>
      <c r="M28" s="74" t="inlineStr">
        <is>
          <t>encontrado_explicito</t>
        </is>
      </c>
      <c r="N28" s="74" t="b">
        <v>1</v>
      </c>
      <c r="O28" s="74" t="inlineStr">
        <is>
          <t>.cache/carteira_101_document_scan/37294759000134/1245765.json.gz</t>
        </is>
      </c>
      <c r="P28" s="74" t="inlineStr">
        <is>
          <t>https://fnet.bmfbovespa.com.br/fnet/publico/downloadDocumento?id=1245765</t>
        </is>
      </c>
      <c r="Q28" s="74" t="inlineStr">
        <is>
          <t>êm a público comunicar o início da distribuição pública de até 7.000.000 (sete milhões) de Cotas Seniores da 9ª Série, no montante R$ 7.000.000,00 (sete milhões de reais) (“ Cotas Seniores da 9ª Série ”) do Fundo, com valor unitário de emissão de R$ 1,00 (um real) na presente data, a ser atualizado conforme o Valor Unitário de Emissão na data de integralização das Cotas Seniores da 9ª Série (“Oferta”). Será admitida a distribuição parcial, observado que, nesse caso, a</t>
        </is>
      </c>
    </row>
    <row r="29" ht="40.5" customHeight="1">
      <c r="A29" s="142" t="n">
        <v>37294759000134</v>
      </c>
      <c r="B29" s="75" t="inlineStr">
        <is>
          <t>37.294.759/0001-34</t>
        </is>
      </c>
      <c r="C29" s="75" t="inlineStr">
        <is>
          <t>Cotas Subordinadas Mezanino</t>
        </is>
      </c>
      <c r="D29" s="75" t="inlineStr">
        <is>
          <t>R$ 1,00</t>
        </is>
      </c>
      <c r="E29" s="143" t="n">
        <v>1</v>
      </c>
      <c r="F29" s="75" t="inlineStr">
        <is>
          <t>preço/valor unitário de emissão</t>
        </is>
      </c>
      <c r="G29" s="75" t="b">
        <v>0</v>
      </c>
      <c r="H29" s="75" t="inlineStr">
        <is>
          <t>emissao</t>
        </is>
      </c>
      <c r="I29" s="75" t="n">
        <v>1243617</v>
      </c>
      <c r="J29" s="75" t="inlineStr">
        <is>
          <t>Oferta Pública de Distribuição de Cotas Anúncio de Encerramento</t>
        </is>
      </c>
      <c r="K29" s="75" t="inlineStr">
        <is>
          <t>10/07/2026</t>
        </is>
      </c>
      <c r="L29" s="75" t="n">
        <v>1</v>
      </c>
      <c r="M29" s="75" t="inlineStr">
        <is>
          <t>encontrado_explicito</t>
        </is>
      </c>
      <c r="N29" s="75" t="b">
        <v>1</v>
      </c>
      <c r="O29" s="75" t="inlineStr">
        <is>
          <t>.cache/carteira_101_document_scan/37294759000134/1243617.json.gz</t>
        </is>
      </c>
      <c r="P29" s="75" t="inlineStr">
        <is>
          <t>https://fnet.bmfbovespa.com.br/fnet/publico/downloadDocumento?id=1243617</t>
        </is>
      </c>
      <c r="Q29" s="75" t="inlineStr">
        <is>
          <t>automático, nos termos da Resolução CVM 160 (“Oferta”), de: (i) 40.000.000 (quarenta milhões) de cotas da 1ª (primeira) Emissão de Cotas Subordinadas Mezanino da Série C (“Cotas Subordinadas Mezanino C”) do Fundo, com valor unitário de emissão de R$ 1,00 (um real) na presente data, totalizando a distribuição pública o montante total de R$ 40.000.000,00 (quarenta milhões reais), a ser atualizado conforme o Valor Unitário de Emissão na data de integralização das Cotas</t>
        </is>
      </c>
    </row>
    <row r="30" ht="40.5" customHeight="1">
      <c r="A30" s="138" t="n">
        <v>37294759000134</v>
      </c>
      <c r="B30" s="74" t="inlineStr">
        <is>
          <t>37.294.759/0001-34</t>
        </is>
      </c>
      <c r="C30" s="74" t="inlineStr">
        <is>
          <t>Cotas Seniores</t>
        </is>
      </c>
      <c r="D30" s="74" t="inlineStr">
        <is>
          <t>R$ 0,990987</t>
        </is>
      </c>
      <c r="E30" s="139" t="n">
        <v>0.990987</v>
      </c>
      <c r="F30" s="74" t="inlineStr">
        <is>
          <t>preço/valor unitário de emissão</t>
        </is>
      </c>
      <c r="G30" s="74" t="b">
        <v>0</v>
      </c>
      <c r="H30" s="74" t="inlineStr">
        <is>
          <t>assembleia</t>
        </is>
      </c>
      <c r="I30" s="74" t="n">
        <v>1064531</v>
      </c>
      <c r="J30" s="74" t="inlineStr">
        <is>
          <t>Assembleia AGE Carta Consulta</t>
        </is>
      </c>
      <c r="K30" s="74" t="inlineStr">
        <is>
          <t>15/12/2025 18:00</t>
        </is>
      </c>
      <c r="L30" s="74" t="n">
        <v>9</v>
      </c>
      <c r="M30" s="74" t="inlineStr">
        <is>
          <t>encontrado_explicito</t>
        </is>
      </c>
      <c r="N30" s="74" t="b">
        <v>1</v>
      </c>
      <c r="O30" s="74" t="inlineStr">
        <is>
          <t>.cache/carteira_101_document_scan/37294759000134/1064531.json.gz</t>
        </is>
      </c>
      <c r="P30" s="74" t="inlineStr">
        <is>
          <t>https://fnet.bmfbovespa.com.br/fnet/publico/downloadDocumento?id=1064531</t>
        </is>
      </c>
      <c r="Q30" s="74" t="inlineStr">
        <is>
          <t>a”), do qual este Suplemento é parte integrante. Montante das Cotas Seniores: R$ 5.999.999,96 (cinco milhões e novecentos e noventa e nove mil e novecentos e noventa e nove reais e noventa e seis centavos), conforme o Valor Unitário de Emissão de R$ 0,99098713 (noventa e nove centavos) na presente data, a ser atualizado conforme o Valor Unitário de Emissão na data de integralização das Cotas Seniores da 3ª Série. Quantidade de Cotas Seniores: 6.054.569 (seis milhões e cin</t>
        </is>
      </c>
    </row>
    <row r="31" ht="40.5" customHeight="1">
      <c r="A31" s="142" t="n">
        <v>38376526000143</v>
      </c>
      <c r="B31" s="75" t="inlineStr">
        <is>
          <t>38.376.526/0001-43</t>
        </is>
      </c>
      <c r="C31" s="75" t="inlineStr">
        <is>
          <t>Cotas Subordinadas Júnior</t>
        </is>
      </c>
      <c r="D31" s="75" t="inlineStr">
        <is>
          <t>R$ 1.000,00</t>
        </is>
      </c>
      <c r="E31" s="143" t="n">
        <v>1000</v>
      </c>
      <c r="F31" s="75" t="inlineStr">
        <is>
          <t>valor nominal unitário (VNU)</t>
        </is>
      </c>
      <c r="G31" s="75" t="b">
        <v>0</v>
      </c>
      <c r="H31" s="75" t="inlineStr">
        <is>
          <t>regulamento</t>
        </is>
      </c>
      <c r="I31" s="75" t="n">
        <v>948252</v>
      </c>
      <c r="J31" s="75" t="inlineStr">
        <is>
          <t>Regulamento</t>
        </is>
      </c>
      <c r="K31" s="75" t="inlineStr">
        <is>
          <t>02/07/2025</t>
        </is>
      </c>
      <c r="L31" s="75" t="n">
        <v>39</v>
      </c>
      <c r="M31" s="75" t="inlineStr">
        <is>
          <t>encontrado_explicito</t>
        </is>
      </c>
      <c r="N31" s="75" t="b">
        <v>1</v>
      </c>
      <c r="O31" s="75" t="inlineStr">
        <is>
          <t>.cache/carteira_101_document_scan/38376526000143/948252.json.gz</t>
        </is>
      </c>
      <c r="P31" s="75" t="inlineStr">
        <is>
          <t>https://fnet.bmfbovespa.com.br/fnet/publico/downloadDocumento?id=948252</t>
        </is>
      </c>
      <c r="Q31" s="75" t="inlineStr">
        <is>
          <t>unitário de R$ 1.000,00 (mil reais), totalizando até R$ 300.000.000,00 (trezentos milhões de reais) de Cotas Seniores na respectiva data de emissão; e (ii) até 300.000 (trezentas mil) Cotas Subordinadas Júnior com valor nominal unitário de R$ 1.000,00 (mil reais), totalizando até R$ 300.000.000,00 (trezentos milhões de reais) de Cotas Subordinadas Júnior na respectiva data de emissão. 9.7. Nos termos do respectivo Apêndice, cada nova Série de Cotas Seniores ou</t>
        </is>
      </c>
    </row>
    <row r="32" ht="40.5" customHeight="1">
      <c r="A32" s="138" t="n">
        <v>38376526000143</v>
      </c>
      <c r="B32" s="74" t="inlineStr">
        <is>
          <t>38.376.526/0001-43</t>
        </is>
      </c>
      <c r="C32" s="74" t="inlineStr">
        <is>
          <t>Cotas Seniores</t>
        </is>
      </c>
      <c r="D32" s="74" t="inlineStr">
        <is>
          <t>R$ 1.000,00</t>
        </is>
      </c>
      <c r="E32" s="139" t="n">
        <v>1000</v>
      </c>
      <c r="F32" s="74" t="inlineStr">
        <is>
          <t>valor nominal unitário (VNU)</t>
        </is>
      </c>
      <c r="G32" s="74" t="b">
        <v>0</v>
      </c>
      <c r="H32" s="74" t="inlineStr">
        <is>
          <t>regulamento</t>
        </is>
      </c>
      <c r="I32" s="74" t="n">
        <v>787850</v>
      </c>
      <c r="J32" s="74" t="inlineStr">
        <is>
          <t>Regulamento</t>
        </is>
      </c>
      <c r="K32" s="74" t="inlineStr">
        <is>
          <t>22/11/2024</t>
        </is>
      </c>
      <c r="L32" s="74" t="n">
        <v>27</v>
      </c>
      <c r="M32" s="74" t="inlineStr">
        <is>
          <t>encontrado_explicito</t>
        </is>
      </c>
      <c r="N32" s="74" t="b">
        <v>1</v>
      </c>
      <c r="O32" s="74" t="inlineStr">
        <is>
          <t>.cache/carteira_101_document_scan/38376526000143/787850.json.gz</t>
        </is>
      </c>
      <c r="P32" s="74" t="inlineStr">
        <is>
          <t>https://fnet.bmfbovespa.com.br/fnet/publico/downloadDocumento?id=787850</t>
        </is>
      </c>
      <c r="Q32" s="74" t="inlineStr">
        <is>
          <t>ovação de Assembleia Especial. 6.6. Primeira Emissão: A primeira Emissão de Cotas será constituída de: Docusign Envelope ID: 09E7412E-D8FF-4722-A5EA-3F5E936F2178 (i) até 300.000 (trezentas mil) Cotas Seniores com valor nominal unitário de R$ 1.000,00 (mil reais), totalizando até R$ 300.000.000,00 (trezentos milhões de reais) de Cotas Seniores na respectiva data de emissão; e (ii) até 300.000 (trezentas mil) Cotas Subordinadas com valor nominal unitário de R$ 1.0</t>
        </is>
      </c>
    </row>
    <row r="33" ht="40.5" customHeight="1">
      <c r="A33" s="142" t="n">
        <v>38376526000143</v>
      </c>
      <c r="B33" s="75" t="inlineStr">
        <is>
          <t>38.376.526/0001-43</t>
        </is>
      </c>
      <c r="C33" s="75" t="inlineStr">
        <is>
          <t>Cotas Subordinadas</t>
        </is>
      </c>
      <c r="D33" s="75" t="inlineStr">
        <is>
          <t>R$ 1.000,00</t>
        </is>
      </c>
      <c r="E33" s="143" t="n">
        <v>1000</v>
      </c>
      <c r="F33" s="75" t="inlineStr">
        <is>
          <t>valor nominal unitário (VNU)</t>
        </is>
      </c>
      <c r="G33" s="75" t="b">
        <v>0</v>
      </c>
      <c r="H33" s="75" t="inlineStr">
        <is>
          <t>regulamento</t>
        </is>
      </c>
      <c r="I33" s="75" t="n">
        <v>787850</v>
      </c>
      <c r="J33" s="75" t="inlineStr">
        <is>
          <t>Regulamento</t>
        </is>
      </c>
      <c r="K33" s="75" t="inlineStr">
        <is>
          <t>22/11/2024</t>
        </is>
      </c>
      <c r="L33" s="75" t="n">
        <v>27</v>
      </c>
      <c r="M33" s="75" t="inlineStr">
        <is>
          <t>encontrado_explicito</t>
        </is>
      </c>
      <c r="N33" s="75" t="b">
        <v>1</v>
      </c>
      <c r="O33" s="75" t="inlineStr">
        <is>
          <t>.cache/carteira_101_document_scan/38376526000143/787850.json.gz</t>
        </is>
      </c>
      <c r="P33" s="75" t="inlineStr">
        <is>
          <t>https://fnet.bmfbovespa.com.br/fnet/publico/downloadDocumento?id=787850</t>
        </is>
      </c>
      <c r="Q33" s="75" t="inlineStr">
        <is>
          <t>r nominal unitário de R$ 1.000,00 (mil reais), totalizando até R$ 300.000.000,00 (trezentos milhões de reais) de Cotas Seniores na respectiva data de emissão; e (ii) até 300.000 (trezentas mil) Cotas Subordinadas com valor nominal unitário de R$ 1.000,00 (mil reais), totalizando até R$ 300.000.000,00 (trezentos milhões de reais) de Cotas Subordinadas na respectiva data de emissão. 6.6.1. As Cotas Seniores emitidas no âmbito da Primeira Emissão serão objeto de Ofert</t>
        </is>
      </c>
    </row>
    <row r="34" ht="40.5" customHeight="1">
      <c r="A34" s="138" t="n">
        <v>38376526000143</v>
      </c>
      <c r="B34" s="74" t="inlineStr">
        <is>
          <t>38.376.526/0001-43</t>
        </is>
      </c>
      <c r="C34" s="74" t="inlineStr">
        <is>
          <t>Cotas Seniores</t>
        </is>
      </c>
      <c r="D34" s="74" t="inlineStr">
        <is>
          <t>R$1</t>
        </is>
      </c>
      <c r="E34" s="139" t="n">
        <v>1</v>
      </c>
      <c r="F34" s="74" t="inlineStr">
        <is>
          <t>valor nominal unitário (VNU)</t>
        </is>
      </c>
      <c r="G34" s="74" t="b">
        <v>0</v>
      </c>
      <c r="H34" s="74" t="inlineStr">
        <is>
          <t>emissao</t>
        </is>
      </c>
      <c r="I34" s="74" t="n">
        <v>628890</v>
      </c>
      <c r="J34" s="74" t="inlineStr">
        <is>
          <t>Oferta Pública de Distribuição de Cotas Anúncio de Início</t>
        </is>
      </c>
      <c r="K34" s="74" t="inlineStr">
        <is>
          <t>27/03/2024</t>
        </is>
      </c>
      <c r="L34" s="74" t="n">
        <v>1</v>
      </c>
      <c r="M34" s="74" t="inlineStr">
        <is>
          <t>encontrado_explicito</t>
        </is>
      </c>
      <c r="N34" s="74" t="b">
        <v>1</v>
      </c>
      <c r="O34" s="74" t="inlineStr">
        <is>
          <t>.cache/carteira_101_document_scan/38376526000143/628890.json.gz</t>
        </is>
      </c>
      <c r="P34" s="74" t="inlineStr">
        <is>
          <t>https://fnet.bmfbovespa.com.br/fnet/publico/downloadDocumento?id=628890</t>
        </is>
      </c>
      <c r="Q34" s="74" t="inlineStr">
        <is>
          <t>ária, registrada automaticamente perante a CVM, nos termos do artigo 26, inciso VII, alínea “a”, da Resolução CVM nº 160 (“Oferta”), de 100.000 (cem mil) cotas seniores da 2ª série (“Cotas Seniores da 2ª Série”), com valor nominal unitário de emissão de R$1 .000,00 (mil reais), perfazendo o montante total de R$100.000.000,00 (cem milhões de reais). As Cotas serão distribuídas pelo Coordenador Líder e serão destinadas exclusivamente a investidores profissionais, assim</t>
        </is>
      </c>
    </row>
    <row r="35" ht="40.5" customHeight="1">
      <c r="A35" s="142" t="n">
        <v>38385876000176</v>
      </c>
      <c r="B35" s="75" t="inlineStr">
        <is>
          <t>38.385.876/0001-76</t>
        </is>
      </c>
      <c r="C35" s="75" t="inlineStr">
        <is>
          <t>N/D</t>
        </is>
      </c>
      <c r="D35" s="75" t="inlineStr">
        <is>
          <t>R$1.000,00</t>
        </is>
      </c>
      <c r="E35" s="143" t="n">
        <v>1000</v>
      </c>
      <c r="F35" s="75" t="inlineStr">
        <is>
          <t>preço/valor unitário de emissão</t>
        </is>
      </c>
      <c r="G35" s="75" t="b">
        <v>1</v>
      </c>
      <c r="H35" s="75" t="inlineStr">
        <is>
          <t>regulamento</t>
        </is>
      </c>
      <c r="I35" s="75" t="n">
        <v>719764</v>
      </c>
      <c r="J35" s="75" t="inlineStr">
        <is>
          <t>Regulamento</t>
        </is>
      </c>
      <c r="K35" s="75" t="inlineStr">
        <is>
          <t>14/08/2024</t>
        </is>
      </c>
      <c r="L35" s="75" t="n">
        <v>29</v>
      </c>
      <c r="M35" s="75" t="inlineStr">
        <is>
          <t>encontrado_explicito</t>
        </is>
      </c>
      <c r="N35" s="75" t="b">
        <v>1</v>
      </c>
      <c r="O35" s="75" t="inlineStr">
        <is>
          <t>.cache/carteira_101_document_scan/38385876000176/719764.json.gz</t>
        </is>
      </c>
      <c r="P35" s="75" t="inlineStr">
        <is>
          <t>https://fnet.bmfbovespa.com.br/fnet/publico/downloadDocumento?id=719764</t>
        </is>
      </c>
      <c r="Q35" s="75" t="inlineStr">
        <is>
          <t>quer outras taxas, tais como Taxa de Performance, de Ingresso e/ou de Saída. Docusign Envelope ID: 696F075B-AFF4-4D79-9FDA-B37BCA7A1C1F 6. AS COTAS DA CLASSE 6.1. As Cotas, independentemente da Subclasse, terão Valor Unitário de Emissão de R$1.000,00 (mil reais), na respectiva 1ª Data de Integralização da respectiva Série ou Subclasse de Cotas. 6.2. É admitida a subscrição por um mesmo investidor de todas as Cotas emitidas. Não haverá, portanto, critérios de di</t>
        </is>
      </c>
    </row>
    <row r="36" ht="40.5" customHeight="1">
      <c r="A36" s="138" t="n">
        <v>38385876000176</v>
      </c>
      <c r="B36" s="74" t="inlineStr">
        <is>
          <t>38.385.876/0001-76</t>
        </is>
      </c>
      <c r="C36" s="74" t="inlineStr">
        <is>
          <t>Cotas Subordinadas Júnior</t>
        </is>
      </c>
      <c r="D36" s="74" t="inlineStr">
        <is>
          <t>R$1.000,00</t>
        </is>
      </c>
      <c r="E36" s="139" t="n">
        <v>1000</v>
      </c>
      <c r="F36" s="74" t="inlineStr">
        <is>
          <t>valor nominal unitário (VNU)</t>
        </is>
      </c>
      <c r="G36" s="74" t="b">
        <v>0</v>
      </c>
      <c r="H36" s="74" t="inlineStr">
        <is>
          <t>emissao</t>
        </is>
      </c>
      <c r="I36" s="74" t="n">
        <v>224338</v>
      </c>
      <c r="J36" s="74" t="inlineStr">
        <is>
          <t>Atos de Deliberação do Administrador Instrumento Particular de Emissão de Cotas</t>
        </is>
      </c>
      <c r="K36" s="74" t="inlineStr">
        <is>
          <t>14/10/2021</t>
        </is>
      </c>
      <c r="L36" s="74" t="n">
        <v>1</v>
      </c>
      <c r="M36" s="74" t="inlineStr">
        <is>
          <t>encontrado_explicito</t>
        </is>
      </c>
      <c r="N36" s="74" t="b">
        <v>1</v>
      </c>
      <c r="O36" s="74" t="inlineStr">
        <is>
          <t>.cache/carteira_101_document_scan/38385876000176/224338.json.gz</t>
        </is>
      </c>
      <c r="P36" s="74" t="inlineStr">
        <is>
          <t>https://fnet.bmfbovespa.com.br/fnet/publico/downloadDocumento?id=224338</t>
        </is>
      </c>
      <c r="Q36" s="74" t="inlineStr">
        <is>
          <t>reais), cujos direitos e características estão previstos no corpo do Regulamento e no respectivo suplemento e (c) 6.600 (seis mil e seiscentas ) cotas da classe subordinada júnior (“Cotas Subordinadas Júnior”), com valor nominal unitário de R$1.000,00 (mil reais), cujos direitos e características estão previstos no corpo do Regulamento do Fundo e no respectivo suplemento, exclusivamente para (i) alterar o regime de colocação das Cotas Subordinadas Mezanino; e (ii</t>
        </is>
      </c>
    </row>
    <row r="37" ht="40.5" customHeight="1">
      <c r="A37" s="142" t="n">
        <v>38385876000176</v>
      </c>
      <c r="B37" s="75" t="inlineStr">
        <is>
          <t>38.385.876/0001-76</t>
        </is>
      </c>
      <c r="C37" s="75" t="inlineStr">
        <is>
          <t>Cotas Subordinadas Mezanino</t>
        </is>
      </c>
      <c r="D37" s="75" t="inlineStr">
        <is>
          <t>R$ 1.000,00</t>
        </is>
      </c>
      <c r="E37" s="143" t="n">
        <v>1000</v>
      </c>
      <c r="F37" s="75" t="inlineStr">
        <is>
          <t>valor nominal unitário (VNU)</t>
        </is>
      </c>
      <c r="G37" s="75" t="b">
        <v>0</v>
      </c>
      <c r="H37" s="75" t="inlineStr">
        <is>
          <t>emissao</t>
        </is>
      </c>
      <c r="I37" s="75" t="n">
        <v>224338</v>
      </c>
      <c r="J37" s="75" t="inlineStr">
        <is>
          <t>Atos de Deliberação do Administrador Instrumento Particular de Emissão de Cotas</t>
        </is>
      </c>
      <c r="K37" s="75" t="inlineStr">
        <is>
          <t>14/10/2021</t>
        </is>
      </c>
      <c r="L37" s="75" t="n">
        <v>1</v>
      </c>
      <c r="M37" s="75" t="inlineStr">
        <is>
          <t>encontrado_explicito</t>
        </is>
      </c>
      <c r="N37" s="75" t="b">
        <v>1</v>
      </c>
      <c r="O37" s="75" t="inlineStr">
        <is>
          <t>.cache/carteira_101_document_scan/38385876000176/224338.json.gz</t>
        </is>
      </c>
      <c r="P37" s="75" t="inlineStr">
        <is>
          <t>https://fnet.bmfbovespa.com.br/fnet/publico/downloadDocumento?id=224338</t>
        </is>
      </c>
      <c r="Q37" s="75" t="inlineStr">
        <is>
          <t>ísticas estão previstos no corpo do regulamento do Fundo (“ Regulamento”) e no respectivo suplemento; (b) 13.200 (treze mil e duzentas ) cotas subordinadas mezanino da classe A (“Cotas Subordinadas Mezanino”), com valor nominal unitário de R$ 1.000,00 (mil reais), cujos direitos e características estão previstos no corpo do Regulamento e no respectivo suplemento e (c) 6.600 (seis mil e seiscentas ) cotas da classe subordinada júnior (“Cotas Subordinadas Júnior”)</t>
        </is>
      </c>
    </row>
    <row r="38" ht="40.5" customHeight="1">
      <c r="A38" s="138" t="n">
        <v>38385876000176</v>
      </c>
      <c r="B38" s="74" t="inlineStr">
        <is>
          <t>38.385.876/0001-76</t>
        </is>
      </c>
      <c r="C38" s="74" t="inlineStr">
        <is>
          <t>N/D</t>
        </is>
      </c>
      <c r="D38" s="74" t="inlineStr">
        <is>
          <t>R$ 1.000,00</t>
        </is>
      </c>
      <c r="E38" s="139" t="n">
        <v>1000</v>
      </c>
      <c r="F38" s="74" t="inlineStr">
        <is>
          <t>valor nominal unitário (VNU)</t>
        </is>
      </c>
      <c r="G38" s="74" t="b">
        <v>1</v>
      </c>
      <c r="H38" s="74" t="inlineStr">
        <is>
          <t>emissao</t>
        </is>
      </c>
      <c r="I38" s="74" t="n">
        <v>224338</v>
      </c>
      <c r="J38" s="74" t="inlineStr">
        <is>
          <t>Atos de Deliberação do Administrador Instrumento Particular de Emissão de Cotas</t>
        </is>
      </c>
      <c r="K38" s="74" t="inlineStr">
        <is>
          <t>14/10/2021</t>
        </is>
      </c>
      <c r="L38" s="74" t="n">
        <v>1</v>
      </c>
      <c r="M38" s="74" t="inlineStr">
        <is>
          <t>encontrado_explicito</t>
        </is>
      </c>
      <c r="N38" s="74" t="b">
        <v>1</v>
      </c>
      <c r="O38" s="74" t="inlineStr">
        <is>
          <t>.cache/carteira_101_document_scan/38385876000176/224338.json.gz</t>
        </is>
      </c>
      <c r="P38" s="74" t="inlineStr">
        <is>
          <t>https://fnet.bmfbovespa.com.br/fnet/publico/downloadDocumento?id=224338</t>
        </is>
      </c>
      <c r="Q38" s="74" t="inlineStr">
        <is>
          <t>38.385.876/0001-76 (“Fundo”), resolve: 1. Rerratificar a aprovação d a 1ª (primeira) emissão de cotas do Fundo, composta por (a) 46.200 (quarenta e seis mil e duzentas) cotas da classe sênior (“Cotas Sêniores”), com valor nominal unitário de R$ 1.000,00 (mil reais), cujos direitos e características estão previstos no corpo do regulamento do Fundo (“ Regulamento”) e no respectivo suplemento; (b) 13.200 (treze mil e duzentas ) cotas subordinadas mezanino da classe A</t>
        </is>
      </c>
    </row>
    <row r="39" ht="40.5" customHeight="1">
      <c r="A39" s="142" t="n">
        <v>38658727000133</v>
      </c>
      <c r="B39" s="75" t="inlineStr">
        <is>
          <t>38.658.727/0001-33</t>
        </is>
      </c>
      <c r="C39" s="75" t="inlineStr">
        <is>
          <t>Cotas Seniores</t>
        </is>
      </c>
      <c r="D39" s="75" t="inlineStr">
        <is>
          <t>R$ 1.000,00</t>
        </is>
      </c>
      <c r="E39" s="143" t="n">
        <v>1000</v>
      </c>
      <c r="F39" s="75" t="inlineStr">
        <is>
          <t>preço/valor unitário de emissão</t>
        </is>
      </c>
      <c r="G39" s="75" t="b">
        <v>0</v>
      </c>
      <c r="H39" s="75" t="inlineStr">
        <is>
          <t>regulamento</t>
        </is>
      </c>
      <c r="I39" s="75" t="n">
        <v>691063</v>
      </c>
      <c r="J39" s="75" t="inlineStr">
        <is>
          <t>regulamento</t>
        </is>
      </c>
      <c r="K39" s="75" t="inlineStr">
        <is>
          <t>2024-06-13</t>
        </is>
      </c>
      <c r="L39" s="75" t="n">
        <v>15</v>
      </c>
      <c r="M39" s="75" t="inlineStr">
        <is>
          <t>encontrado_explicito</t>
        </is>
      </c>
      <c r="N39" s="75" t="b">
        <v>1</v>
      </c>
      <c r="O39" s="75" t="inlineStr">
        <is>
          <t>data/raw/38658727000133/691063_regulamento_regulamento_691063_2024-06-13.pdf</t>
        </is>
      </c>
      <c r="P39" s="75" t="inlineStr">
        <is>
          <t>https://fnet.bmfbovespa.com.br/fnet/publico/downloadDocumento?id=691063</t>
        </is>
      </c>
      <c r="Q39" s="75" t="inlineStr">
        <is>
          <t>tegral das Cotas Seniores do Fundo, considerando ainda o pagamento das despesas e da recomposição do Fundo de Despesas, nos termos da ordem de alocação de recursos, constante da Cláusula 14.5 deste Regulamento. “Valor Unitário de Emissão” Significa o valor de R$ 1.000,00 (mil reais) por Cota. CAPÍTULO II – DENOMINAÇÃO, FORMA E PRAZO DE DURAÇÃO DO FUNDO 2.1. O Fundo, denominado FUNDO DE INVESTIMENTO EM DIREITOS CREDITÓRIOS FORNECEDORES MADEIRAMADEIRA I , é constituído sob a for</t>
        </is>
      </c>
    </row>
    <row r="40" ht="40.5" customHeight="1">
      <c r="A40" s="138" t="n">
        <v>38658727000133</v>
      </c>
      <c r="B40" s="74" t="inlineStr">
        <is>
          <t>38.658.727/0001-33</t>
        </is>
      </c>
      <c r="C40" s="74" t="inlineStr">
        <is>
          <t>Cotas Seniores</t>
        </is>
      </c>
      <c r="D40" s="74" t="inlineStr">
        <is>
          <t>R$ 1.000,00</t>
        </is>
      </c>
      <c r="E40" s="139" t="n">
        <v>1000</v>
      </c>
      <c r="F40" s="74" t="inlineStr">
        <is>
          <t>valor nominal unitário (VNU)</t>
        </is>
      </c>
      <c r="G40" s="74" t="b">
        <v>0</v>
      </c>
      <c r="H40" s="74" t="inlineStr">
        <is>
          <t>emissao</t>
        </is>
      </c>
      <c r="I40" s="74" t="n">
        <v>1223025</v>
      </c>
      <c r="J40" s="74" t="inlineStr">
        <is>
          <t>Oferta Pública de Distribuição de Cotas Anúncio de Início</t>
        </is>
      </c>
      <c r="K40" s="74" t="inlineStr">
        <is>
          <t>16/06/2026</t>
        </is>
      </c>
      <c r="L40" s="74" t="n">
        <v>2</v>
      </c>
      <c r="M40" s="74" t="inlineStr">
        <is>
          <t>encontrado_explicito</t>
        </is>
      </c>
      <c r="N40" s="74" t="b">
        <v>1</v>
      </c>
      <c r="O40" s="74" t="inlineStr">
        <is>
          <t>.cache/carteira_101_document_scan/38658727000133/1223025.json.gz</t>
        </is>
      </c>
      <c r="P40" s="74" t="inlineStr">
        <is>
          <t>https://fnet.bmfbovespa.com.br/fnet/publico/downloadDocumento?id=1223025</t>
        </is>
      </c>
      <c r="Q40" s="74" t="inlineStr">
        <is>
          <t>do”, respectivamente), todas escriturais, com as seguintes características, sob o regime de garantia firme de colocação (“Oferta”): Valor Total das Cotas Seniores: R$ 40.000.000,00 (quarenta milhões de reais) Valor Nominal Unitário: R$ 1.000,00 (mil reais) Quantidade de Cotas Seniores: 40.000 (quarenta mil) Encontra-se abaixo o cronograma estimado para as principais etapas da Oferta: Ordem dos Eventos Eventos Data Prevista (1) 1 Protocolo do Pedi</t>
        </is>
      </c>
    </row>
    <row r="41" ht="40.5" customHeight="1">
      <c r="A41" s="142" t="n">
        <v>40919667000107</v>
      </c>
      <c r="B41" s="75" t="inlineStr">
        <is>
          <t>40.919.667/0001-07</t>
        </is>
      </c>
      <c r="C41" s="75" t="inlineStr">
        <is>
          <t>Cotas Seniores</t>
        </is>
      </c>
      <c r="D41" s="75" t="inlineStr">
        <is>
          <t>R$1.000,00</t>
        </is>
      </c>
      <c r="E41" s="143" t="n">
        <v>1000</v>
      </c>
      <c r="F41" s="75" t="inlineStr">
        <is>
          <t>valor nominal unitário (VNU)</t>
        </is>
      </c>
      <c r="G41" s="75" t="b">
        <v>0</v>
      </c>
      <c r="H41" s="75" t="inlineStr">
        <is>
          <t>emissao</t>
        </is>
      </c>
      <c r="I41" s="75" t="n">
        <v>574657</v>
      </c>
      <c r="J41" s="75" t="inlineStr">
        <is>
          <t>Oferta Pública de Distribuição de Cotas Anúncio de Início</t>
        </is>
      </c>
      <c r="K41" s="75" t="inlineStr">
        <is>
          <t>22/12/2023</t>
        </is>
      </c>
      <c r="L41" s="75" t="n">
        <v>2</v>
      </c>
      <c r="M41" s="75" t="inlineStr">
        <is>
          <t>encontrado_explicito</t>
        </is>
      </c>
      <c r="N41" s="75" t="b">
        <v>1</v>
      </c>
      <c r="O41" s="75" t="inlineStr">
        <is>
          <t>.cache/carteira_101_document_scan/40919667000107/574657.json.gz</t>
        </is>
      </c>
      <c r="P41" s="75" t="inlineStr">
        <is>
          <t>https://fnet.bmfbovespa.com.br/fnet/publico/downloadDocumento?id=574657</t>
        </is>
      </c>
      <c r="Q41" s="75" t="inlineStr">
        <is>
          <t>ação (“Oferta”): FOI DISPENSADA DIVULGAÇÃO DE UM PROSPECTO E DE LÂMINA PARA A REALIZAÇÃO DESTA OFERTA Corporativo | Interno Valor Total das Cotas Seniores: R$10.000.000,00 (dez milhões de reais) Valor Nominal Unitário na data de integralização: R$1.000,00 (mil reais) Quantidade de Cotas Seniores: 10.000 (dez mil) Encontra-se abaixo o cronograma estimado para as principais etapas da Oferta: Ordem dos Eventos Eventos Data Prevista (1) 1 Protocolo do Pedido de Reg</t>
        </is>
      </c>
    </row>
    <row r="42" ht="40.5" customHeight="1">
      <c r="A42" s="138" t="n">
        <v>42085816000105</v>
      </c>
      <c r="B42" s="74" t="inlineStr">
        <is>
          <t>42.085.816/0001-05</t>
        </is>
      </c>
      <c r="C42" s="74" t="inlineStr">
        <is>
          <t>Cotas Subordinadas</t>
        </is>
      </c>
      <c r="D42" s="74" t="inlineStr">
        <is>
          <t>R$ 1.000,00</t>
        </is>
      </c>
      <c r="E42" s="139" t="n">
        <v>1000</v>
      </c>
      <c r="F42" s="74" t="inlineStr">
        <is>
          <t>valor nominal unitário (VNU)</t>
        </is>
      </c>
      <c r="G42" s="74" t="b">
        <v>0</v>
      </c>
      <c r="H42" s="74" t="inlineStr">
        <is>
          <t>assembleia</t>
        </is>
      </c>
      <c r="I42" s="74" t="n">
        <v>211003</v>
      </c>
      <c r="J42" s="74" t="inlineStr">
        <is>
          <t>assembleia</t>
        </is>
      </c>
      <c r="K42" s="74" t="inlineStr">
        <is>
          <t>2021-09-01</t>
        </is>
      </c>
      <c r="L42" s="74" t="n">
        <v>3</v>
      </c>
      <c r="M42" s="74" t="inlineStr">
        <is>
          <t>encontrado_explicito</t>
        </is>
      </c>
      <c r="N42" s="74" t="b">
        <v>1</v>
      </c>
      <c r="O42" s="74" t="inlineStr">
        <is>
          <t>data/raw/42085816000105/211003_assembleia_assembleia_211003_2021-09-01.pdf</t>
        </is>
      </c>
      <c r="P42" s="74" t="inlineStr">
        <is>
          <t>https://fnet.bmfbovespa.com.br/fnet/publico/downloadDocumento?id=211003</t>
        </is>
      </c>
      <c r="Q42" s="74" t="inlineStr">
        <is>
          <t>gulamento”), terá as seguintes características: (i) Montante de Cotas Subordinadas: R$ 5.600.000,00 (cinco milhões e seiscentos mil reais); (ii) Quantidade de Cotas Subordinadas: 5.600 (cinco mil e seiscentas); (iii) Valor Nominal Unitário: R$ 1.000,00 (um mil) na Data de Emissão (conforme definido abaixo); (iv) Forma de Integralização: conforme chamadas de capital feitas pela Administradora, em moeda corrente nacional; (v) Preço de Integralização: Valor Nominal U</t>
        </is>
      </c>
    </row>
    <row r="43" ht="40.5" customHeight="1">
      <c r="A43" s="142" t="n">
        <v>42085830000109</v>
      </c>
      <c r="B43" s="75" t="inlineStr">
        <is>
          <t>42.085.830/0001-09</t>
        </is>
      </c>
      <c r="C43" s="75" t="inlineStr">
        <is>
          <t>Cotas Seniores</t>
        </is>
      </c>
      <c r="D43" s="75" t="inlineStr">
        <is>
          <t>R$1.000</t>
        </is>
      </c>
      <c r="E43" s="143" t="n">
        <v>1000</v>
      </c>
      <c r="F43" s="75" t="inlineStr">
        <is>
          <t>valor nominal unitário (VNU)</t>
        </is>
      </c>
      <c r="G43" s="75" t="b">
        <v>0</v>
      </c>
      <c r="H43" s="75" t="inlineStr">
        <is>
          <t>regulamento</t>
        </is>
      </c>
      <c r="I43" s="75" t="n">
        <v>966441</v>
      </c>
      <c r="J43" s="75" t="inlineStr">
        <is>
          <t>regulamento</t>
        </is>
      </c>
      <c r="K43" s="75" t="inlineStr">
        <is>
          <t>2025-07-24</t>
        </is>
      </c>
      <c r="L43" s="75" t="n">
        <v>114</v>
      </c>
      <c r="M43" s="75" t="inlineStr">
        <is>
          <t>encontrado_explicito</t>
        </is>
      </c>
      <c r="N43" s="75" t="b">
        <v>1</v>
      </c>
      <c r="O43" s="75" t="inlineStr">
        <is>
          <t>data/raw/42085830000109/966441_regulamento_regulamento_966441_2025-07-24.pdf</t>
        </is>
      </c>
      <c r="P43" s="75" t="inlineStr">
        <is>
          <t>https://fnet.bmfbovespa.com.br/fnet/publico/downloadDocumento?id=966441</t>
        </is>
      </c>
      <c r="Q43" s="75" t="inlineStr">
        <is>
          <t>amento”), terá as seguintes características: (i) Montante da 1ª Série de Cotas Seniores: R$500.000.000,00 (quinhentos milhões de reais); (ii) Quantidade de Cotas Seniores da 1ª Série: 500.000 (quinhentas mil); (iii) Valor Nominal Unitário: R$1.000 (mil) na Data de Emissão (conforme definida abaixo); (iv) Forma de Integralização: conforme chamadas de capital feitas pela Administradora; (v) Preço de Integralização: Valor Nominal Unitário, acrescido do Benchmark</t>
        </is>
      </c>
    </row>
    <row r="44" ht="40.5" customHeight="1">
      <c r="A44" s="138" t="n">
        <v>42085830000109</v>
      </c>
      <c r="B44" s="74" t="inlineStr">
        <is>
          <t>42.085.830/0001-09</t>
        </is>
      </c>
      <c r="C44" s="74" t="inlineStr">
        <is>
          <t>Cotas Subordinadas</t>
        </is>
      </c>
      <c r="D44" s="74" t="inlineStr">
        <is>
          <t>R$1.000</t>
        </is>
      </c>
      <c r="E44" s="139" t="n">
        <v>1000</v>
      </c>
      <c r="F44" s="74" t="inlineStr">
        <is>
          <t>valor nominal unitário (VNU)</t>
        </is>
      </c>
      <c r="G44" s="74" t="b">
        <v>0</v>
      </c>
      <c r="H44" s="74" t="inlineStr">
        <is>
          <t>regulamento</t>
        </is>
      </c>
      <c r="I44" s="74" t="n">
        <v>966441</v>
      </c>
      <c r="J44" s="74" t="inlineStr">
        <is>
          <t>regulamento</t>
        </is>
      </c>
      <c r="K44" s="74" t="inlineStr">
        <is>
          <t>2025-07-24</t>
        </is>
      </c>
      <c r="L44" s="74" t="n">
        <v>116</v>
      </c>
      <c r="M44" s="74" t="inlineStr">
        <is>
          <t>encontrado_explicito</t>
        </is>
      </c>
      <c r="N44" s="74" t="b">
        <v>1</v>
      </c>
      <c r="O44" s="74" t="inlineStr">
        <is>
          <t>data/raw/42085830000109/966441_regulamento_regulamento_966441_2025-07-24.pdf</t>
        </is>
      </c>
      <c r="P44" s="74" t="inlineStr">
        <is>
          <t>https://fnet.bmfbovespa.com.br/fnet/publico/downloadDocumento?id=966441</t>
        </is>
      </c>
      <c r="Q44" s="74" t="inlineStr">
        <is>
          <t>ntes características: (i) Montante de Cotas Subordinadas: R$15.470.000,00 (quinze milhões, quatrocentos e setenta mil reais); (ii) Quantidade de Cotas Subordinadas: 15.470 (quinze mil, quatrocentas e setenta); (iii) Valor Nominal Unitário: R$1.000 (mil) na Data de Emissão (conforme definida abaixo); (iv) Forma de Integralização: conforme chamadas de capital feitas pela Administradora, em moeda corrente nacional; (v) Preço de Integralização: Valor Nominal Unit</t>
        </is>
      </c>
    </row>
    <row r="45" ht="40.5" customHeight="1">
      <c r="A45" s="142" t="n">
        <v>42102603000144</v>
      </c>
      <c r="B45" s="75" t="inlineStr">
        <is>
          <t>42.102.603/0001-44</t>
        </is>
      </c>
      <c r="C45" s="75" t="inlineStr">
        <is>
          <t>Cotas Seniores</t>
        </is>
      </c>
      <c r="D45" s="75" t="inlineStr">
        <is>
          <t>R$1.000</t>
        </is>
      </c>
      <c r="E45" s="143" t="n">
        <v>1000</v>
      </c>
      <c r="F45" s="75" t="inlineStr">
        <is>
          <t>valor nominal unitário (VNU)</t>
        </is>
      </c>
      <c r="G45" s="75" t="b">
        <v>0</v>
      </c>
      <c r="H45" s="75" t="inlineStr">
        <is>
          <t>regulamento</t>
        </is>
      </c>
      <c r="I45" s="75" t="n">
        <v>259049</v>
      </c>
      <c r="J45" s="75" t="inlineStr">
        <is>
          <t>regulamento</t>
        </is>
      </c>
      <c r="K45" s="75" t="inlineStr">
        <is>
          <t>2022-01-21</t>
        </is>
      </c>
      <c r="L45" s="75" t="n">
        <v>3</v>
      </c>
      <c r="M45" s="75" t="inlineStr">
        <is>
          <t>encontrado_explicito</t>
        </is>
      </c>
      <c r="N45" s="75" t="b">
        <v>1</v>
      </c>
      <c r="O45" s="75" t="inlineStr">
        <is>
          <t>data/raw/42102603000144/259049_regulamento_regulamento_259049_2022-01-21.pdf</t>
        </is>
      </c>
      <c r="P45" s="75" t="inlineStr">
        <is>
          <t>https://fnet.bmfbovespa.com.br/fnet/publico/downloadDocumento?id=259049</t>
        </is>
      </c>
      <c r="Q45" s="75" t="inlineStr">
        <is>
          <t>características: (i) Montante da 1ª Série de Cotas Seniores: R$1.500.000.000,00 (um bilhão e quinhentos milhões de reais); (ii) Quantidade de Cotas Seniores da 1ª Série: 1.500.000 (um milhão e quinhentas mil); (iii) Valor Nominal Unitário: R$1.000 (mil) na Data de Emissão (conforme definida abaixo); (iv) Forma de Integralização: conforme chamadas de capital feitas pela Administradora; (v) Preço de Integralização: Valor Nominal Unitário, acrescido do Benchmark,</t>
        </is>
      </c>
    </row>
    <row r="46" ht="40.5" customHeight="1">
      <c r="A46" s="138" t="n">
        <v>42102603000144</v>
      </c>
      <c r="B46" s="74" t="inlineStr">
        <is>
          <t>42.102.603/0001-44</t>
        </is>
      </c>
      <c r="C46" s="74" t="inlineStr">
        <is>
          <t>Cotas Seniores</t>
        </is>
      </c>
      <c r="D46" s="74" t="inlineStr">
        <is>
          <t>R$1.000,00</t>
        </is>
      </c>
      <c r="E46" s="139" t="n">
        <v>1000</v>
      </c>
      <c r="F46" s="74" t="inlineStr">
        <is>
          <t>valor nominal unitário (VNU)</t>
        </is>
      </c>
      <c r="G46" s="74" t="b">
        <v>0</v>
      </c>
      <c r="H46" s="74" t="inlineStr">
        <is>
          <t>regulamento</t>
        </is>
      </c>
      <c r="I46" s="74" t="n">
        <v>733239</v>
      </c>
      <c r="J46" s="74" t="inlineStr">
        <is>
          <t>regulamento</t>
        </is>
      </c>
      <c r="K46" s="74" t="inlineStr">
        <is>
          <t>2024-09-05</t>
        </is>
      </c>
      <c r="L46" s="74" t="n">
        <v>113</v>
      </c>
      <c r="M46" s="74" t="inlineStr">
        <is>
          <t>encontrado_explicito</t>
        </is>
      </c>
      <c r="N46" s="74" t="b">
        <v>1</v>
      </c>
      <c r="O46" s="74" t="inlineStr">
        <is>
          <t>data/raw/42102603000144/733239_regulamento_regulamento_733239_2024-09-05.pdf</t>
        </is>
      </c>
      <c r="P46" s="74" t="inlineStr">
        <is>
          <t>https://fnet.bmfbovespa.com.br/fnet/publico/downloadDocumento?id=733239</t>
        </is>
      </c>
      <c r="Q46" s="74" t="inlineStr">
        <is>
          <t>tes características: (i) Montante da 1ª Série de Cotas Seniores: R$950.000.000,00 (novecentos e cinquenta milhões de reais); (ii) Quantidade de Cotas Seniores da 1ª Série: 950.000 (novecentos e cinquenta mil); (iii) Valor Nominal Unitário: R$1.000,00 (mil) na Data de Emissão (conforme definida abaixo); (iv) Forma de Integralização: conforme chamadas de capital feitas pela Administradora; (v) Preço de Integralização: Valor Nominal Unitário, acrescido do Benchmark</t>
        </is>
      </c>
    </row>
    <row r="47" ht="40.5" customHeight="1">
      <c r="A47" s="142" t="n">
        <v>42102603000144</v>
      </c>
      <c r="B47" s="75" t="inlineStr">
        <is>
          <t>42.102.603/0001-44</t>
        </is>
      </c>
      <c r="C47" s="75" t="inlineStr">
        <is>
          <t>Cotas Subordinadas</t>
        </is>
      </c>
      <c r="D47" s="75" t="inlineStr">
        <is>
          <t>R$1.000,00</t>
        </is>
      </c>
      <c r="E47" s="143" t="n">
        <v>1000</v>
      </c>
      <c r="F47" s="75" t="inlineStr">
        <is>
          <t>valor nominal unitário (VNU)</t>
        </is>
      </c>
      <c r="G47" s="75" t="b">
        <v>0</v>
      </c>
      <c r="H47" s="75" t="inlineStr">
        <is>
          <t>regulamento</t>
        </is>
      </c>
      <c r="I47" s="75" t="n">
        <v>733239</v>
      </c>
      <c r="J47" s="75" t="inlineStr">
        <is>
          <t>regulamento</t>
        </is>
      </c>
      <c r="K47" s="75" t="inlineStr">
        <is>
          <t>2024-09-05</t>
        </is>
      </c>
      <c r="L47" s="75" t="n">
        <v>115</v>
      </c>
      <c r="M47" s="75" t="inlineStr">
        <is>
          <t>encontrado_explicito</t>
        </is>
      </c>
      <c r="N47" s="75" t="b">
        <v>1</v>
      </c>
      <c r="O47" s="75" t="inlineStr">
        <is>
          <t>data/raw/42102603000144/733239_regulamento_regulamento_733239_2024-09-05.pdf</t>
        </is>
      </c>
      <c r="P47" s="75" t="inlineStr">
        <is>
          <t>https://fnet.bmfbovespa.com.br/fnet/publico/downloadDocumento?id=733239</t>
        </is>
      </c>
      <c r="Q47" s="75" t="inlineStr">
        <is>
          <t>ento do Fundo (“ Regulamento”), terá as seguintes características: (xiv) Montante de Cotas Subordinadas: R$18.000.000,00 (dezoito milhões de reais); (xv) Quantidade de Cotas Subordinadas: 18.000 (dezoito mil); (xvi) Valor Nominal Unitário: R$1.000,00 (mil) na Data de Emissão (conforme definida abaixo); (xvii) Forma de Integralização: conforme chamadas de capital feitas pela Administradora; (xviii) Preço de Integralização: Valor Nominal Unitário, atualizado de fo</t>
        </is>
      </c>
    </row>
    <row r="48" ht="40.5" customHeight="1">
      <c r="A48" s="138" t="n">
        <v>42154687000160</v>
      </c>
      <c r="B48" s="74" t="inlineStr">
        <is>
          <t>42.154.687/0001-60</t>
        </is>
      </c>
      <c r="C48" s="74" t="inlineStr">
        <is>
          <t>Cotas Subordinadas</t>
        </is>
      </c>
      <c r="D48" s="74" t="inlineStr">
        <is>
          <t>R$ 1.000,00</t>
        </is>
      </c>
      <c r="E48" s="139" t="n">
        <v>1000</v>
      </c>
      <c r="F48" s="74" t="inlineStr">
        <is>
          <t>preço/valor unitário de emissão</t>
        </is>
      </c>
      <c r="G48" s="74" t="b">
        <v>0</v>
      </c>
      <c r="H48" s="74" t="inlineStr">
        <is>
          <t>regulamento</t>
        </is>
      </c>
      <c r="I48" s="74" t="n">
        <v>1140137</v>
      </c>
      <c r="J48" s="74" t="inlineStr">
        <is>
          <t>regulamento</t>
        </is>
      </c>
      <c r="K48" s="74" t="inlineStr">
        <is>
          <t>2026-03-18</t>
        </is>
      </c>
      <c r="L48" s="74" t="n">
        <v>52</v>
      </c>
      <c r="M48" s="74" t="inlineStr">
        <is>
          <t>encontrado_explicito</t>
        </is>
      </c>
      <c r="N48" s="74" t="b">
        <v>1</v>
      </c>
      <c r="O48" s="74" t="inlineStr">
        <is>
          <t>data/raw/42154687000160/1140137_regulamento_regulamento_1140137_2026-03-18.pdf</t>
        </is>
      </c>
      <c r="P48" s="74" t="inlineStr">
        <is>
          <t>https://fnet.bmfbovespa.com.br/fnet/publico/downloadDocumento?id=1140137</t>
        </is>
      </c>
      <c r="Q48" s="74" t="inlineStr">
        <is>
          <t>gens, direitos e obrigações comuns: (i) não se subordinam às Cotas Subordinadas para efeito de amortização, resgate e distribuição dos rendimentos da carteira da Classe, nos termos do presente Regulamento; (ii) valor unitário de emissão, na Data de Integralização Inicial de cada série de R$ 1.000,00 (mil reais); (iii) valor unitário das Cotas Seniores de cada série calculado todo Dia Útil, para efeito de definição de seu valor de integralização ou resgate, observados os critérios definidos nos itens 8.29 a 8.3</t>
        </is>
      </c>
    </row>
    <row r="49" ht="40.5" customHeight="1">
      <c r="A49" s="142" t="n">
        <v>42154687000160</v>
      </c>
      <c r="B49" s="75" t="inlineStr">
        <is>
          <t>42.154.687/0001-60</t>
        </is>
      </c>
      <c r="C49" s="75" t="inlineStr">
        <is>
          <t>Cotas Subordinadas Júnior</t>
        </is>
      </c>
      <c r="D49" s="75" t="inlineStr">
        <is>
          <t>R$ 1.000,00</t>
        </is>
      </c>
      <c r="E49" s="143" t="n">
        <v>1000</v>
      </c>
      <c r="F49" s="75" t="inlineStr">
        <is>
          <t>preço/valor unitário de emissão</t>
        </is>
      </c>
      <c r="G49" s="75" t="b">
        <v>0</v>
      </c>
      <c r="H49" s="75" t="inlineStr">
        <is>
          <t>regulamento</t>
        </is>
      </c>
      <c r="I49" s="75" t="n">
        <v>1140137</v>
      </c>
      <c r="J49" s="75" t="inlineStr">
        <is>
          <t>regulamento</t>
        </is>
      </c>
      <c r="K49" s="75" t="inlineStr">
        <is>
          <t>2026-03-18</t>
        </is>
      </c>
      <c r="L49" s="75" t="n">
        <v>53</v>
      </c>
      <c r="M49" s="75" t="inlineStr">
        <is>
          <t>encontrado_explicito</t>
        </is>
      </c>
      <c r="N49" s="75" t="b">
        <v>1</v>
      </c>
      <c r="O49" s="75" t="inlineStr">
        <is>
          <t>data/raw/42154687000160/1140137_regulamento_regulamento_1140137_2026-03-18.pdf</t>
        </is>
      </c>
      <c r="P49" s="75" t="inlineStr">
        <is>
          <t>https://fnet.bmfbovespa.com.br/fnet/publico/downloadDocumento?id=1140137</t>
        </is>
      </c>
      <c r="Q49" s="75" t="inlineStr">
        <is>
          <t>(i) subordinam-se às Cotas Seniores para efeito de amortização, resgate e distribuição de rendimentos da carteira da Classe, mas que, para os mesmos efeitos, não se subordinam às Cotas Subordinadas Júnior; (ii) valor unitário de emissão na primeira data de integralização de cada Subclasse de R$ 1.000,00 (mil reais); (iii) valor unitário das Cotas Subordinadas Mezanino de cada Subclasse calculado todo Dia Útil, para efeito de definição de seu valor de integralização ou resgate, observados os critérios definidos nos</t>
        </is>
      </c>
    </row>
    <row r="50" ht="40.5" customHeight="1">
      <c r="A50" s="138" t="n">
        <v>42154687000160</v>
      </c>
      <c r="B50" s="74" t="inlineStr">
        <is>
          <t>42.154.687/0001-60</t>
        </is>
      </c>
      <c r="C50" s="74" t="inlineStr">
        <is>
          <t>Cotas Subordinadas Mezanino</t>
        </is>
      </c>
      <c r="D50" s="74" t="inlineStr">
        <is>
          <t>R$ 1.000,00</t>
        </is>
      </c>
      <c r="E50" s="139" t="n">
        <v>1000</v>
      </c>
      <c r="F50" s="74" t="inlineStr">
        <is>
          <t>preço/valor unitário de emissão</t>
        </is>
      </c>
      <c r="G50" s="74" t="b">
        <v>0</v>
      </c>
      <c r="H50" s="74" t="inlineStr">
        <is>
          <t>regulamento</t>
        </is>
      </c>
      <c r="I50" s="74" t="n">
        <v>1140137</v>
      </c>
      <c r="J50" s="74" t="inlineStr">
        <is>
          <t>regulamento</t>
        </is>
      </c>
      <c r="K50" s="74" t="inlineStr">
        <is>
          <t>2026-03-18</t>
        </is>
      </c>
      <c r="L50" s="74" t="n">
        <v>54</v>
      </c>
      <c r="M50" s="74" t="inlineStr">
        <is>
          <t>encontrado_explicito</t>
        </is>
      </c>
      <c r="N50" s="74" t="b">
        <v>1</v>
      </c>
      <c r="O50" s="74" t="inlineStr">
        <is>
          <t>data/raw/42154687000160/1140137_regulamento_regulamento_1140137_2026-03-18.pdf</t>
        </is>
      </c>
      <c r="P50" s="74" t="inlineStr">
        <is>
          <t>https://fnet.bmfbovespa.com.br/fnet/publico/downloadDocumento?id=1140137</t>
        </is>
      </c>
      <c r="Q50" s="74" t="inlineStr">
        <is>
          <t>direitos e obrigações comuns: (i) subordinam-se às Cotas Seniores e às Cotas Subordinadas Mezanino para efeito de amortização, resgate e distribuição dos rendimentos da carteira da Classe; Página 54 de 100 (ii) valor unitário de emissão na primeira data de integralização de R$ 1.000,00 (mil reais); (iii) valor unitário calculado todo Dia Útil, para efeito de definição de seu valor de integralização ou resgate, observados os critérios definidos nos itens 8.29 a 8.32 deste Anexo Descritivo; e (</t>
        </is>
      </c>
    </row>
    <row r="51" ht="40.5" customHeight="1">
      <c r="A51" s="142" t="n">
        <v>42154687000160</v>
      </c>
      <c r="B51" s="75" t="inlineStr">
        <is>
          <t>42.154.687/0001-60</t>
        </is>
      </c>
      <c r="C51" s="75" t="inlineStr">
        <is>
          <t>N/D</t>
        </is>
      </c>
      <c r="D51" s="75" t="inlineStr">
        <is>
          <t>R$ 1.000,00</t>
        </is>
      </c>
      <c r="E51" s="143" t="n">
        <v>1000</v>
      </c>
      <c r="F51" s="75" t="inlineStr">
        <is>
          <t>preço/valor unitário de emissão</t>
        </is>
      </c>
      <c r="G51" s="75" t="b">
        <v>1</v>
      </c>
      <c r="H51" s="75" t="inlineStr">
        <is>
          <t>emissao</t>
        </is>
      </c>
      <c r="I51" s="75" t="n">
        <v>1237430</v>
      </c>
      <c r="J51" s="75" t="inlineStr">
        <is>
          <t>Atos de Deliberação do Administrador Instrumento Particular de Emissão de Cotas</t>
        </is>
      </c>
      <c r="K51" s="75" t="inlineStr">
        <is>
          <t>30/06/2026</t>
        </is>
      </c>
      <c r="L51" s="75" t="n">
        <v>4</v>
      </c>
      <c r="M51" s="75" t="inlineStr">
        <is>
          <t>encontrado_explicito</t>
        </is>
      </c>
      <c r="N51" s="75" t="b">
        <v>1</v>
      </c>
      <c r="O51" s="75" t="inlineStr">
        <is>
          <t>.cache/carteira_101_document_scan/42154687000160/1237430.json.gz</t>
        </is>
      </c>
      <c r="P51" s="75" t="inlineStr">
        <is>
          <t>https://fnet.bmfbovespa.com.br/fnet/publico/downloadDocumento?id=1237430</t>
        </is>
      </c>
      <c r="Q51" s="75" t="inlineStr">
        <is>
          <t>locação: via Instrução Normativa CVM 160, artigo 8° e inciso II°; o) Público-alvo da Oferta: destinada exclusivamente a investidores profissionais; p) Data de Emissão: será a data da primeira integralização; q) Valor unitário de emissão: R$ 1.000,00 (um mil reais), para a primeira emissão de Cotas. A partir de então o valor da Cota será calculado todo dia útil, nos termos do Regulamento. A data da aplicação e o valor da Cota serão o do dia da efetiva disponibilid</t>
        </is>
      </c>
    </row>
    <row r="52" ht="40.5" customHeight="1">
      <c r="A52" s="138" t="n">
        <v>42154687000160</v>
      </c>
      <c r="B52" s="74" t="inlineStr">
        <is>
          <t>42.154.687/0001-60</t>
        </is>
      </c>
      <c r="C52" s="74" t="inlineStr">
        <is>
          <t>Série de Cotas Subordinadas Mezanino</t>
        </is>
      </c>
      <c r="D52" s="74" t="inlineStr">
        <is>
          <t>R$ 1.000,00</t>
        </is>
      </c>
      <c r="E52" s="139" t="n">
        <v>1000</v>
      </c>
      <c r="F52" s="74" t="inlineStr">
        <is>
          <t>preço/valor unitário de emissão</t>
        </is>
      </c>
      <c r="G52" s="74" t="b">
        <v>0</v>
      </c>
      <c r="H52" s="74" t="inlineStr">
        <is>
          <t>emissao</t>
        </is>
      </c>
      <c r="I52" s="74" t="n">
        <v>1237430</v>
      </c>
      <c r="J52" s="74" t="inlineStr">
        <is>
          <t>Atos de Deliberação do Administrador Instrumento Particular de Emissão de Cotas</t>
        </is>
      </c>
      <c r="K52" s="74" t="inlineStr">
        <is>
          <t>30/06/2026</t>
        </is>
      </c>
      <c r="L52" s="74" t="n">
        <v>2</v>
      </c>
      <c r="M52" s="74" t="inlineStr">
        <is>
          <t>encontrado_explicito</t>
        </is>
      </c>
      <c r="N52" s="74" t="b">
        <v>1</v>
      </c>
      <c r="O52" s="74" t="inlineStr">
        <is>
          <t>.cache/carteira_101_document_scan/42154687000160/1237430.json.gz</t>
        </is>
      </c>
      <c r="P52" s="74" t="inlineStr">
        <is>
          <t>https://fnet.bmfbovespa.com.br/fnet/publico/downloadDocumento?id=1237430</t>
        </is>
      </c>
      <c r="Q52" s="74" t="inlineStr">
        <is>
          <t>locação: via Instrução Normativa CVM 160, artigo 8° e inciso II°; b) Público-alvo da Oferta: destinada exclusivamente a investidores profissionais; c) Data de Emissão: será a data da primeira integralização; d) Valor unitário de emissão: R$ 1.000,00 (um mil reais), para a primeira emissão de Cotas. A partir de então o valor da Cota será calculado todo dia útil, nos termos do Regulamento. A data da aplicação e o valor da Cota serão o do dia da efetiva disponibilid</t>
        </is>
      </c>
    </row>
    <row r="53" ht="40.5" customHeight="1">
      <c r="A53" s="142" t="n">
        <v>43193260000133</v>
      </c>
      <c r="B53" s="75" t="inlineStr">
        <is>
          <t>43.193.260/0001-33</t>
        </is>
      </c>
      <c r="C53" s="75" t="inlineStr">
        <is>
          <t>cotas subordinadas mezanino</t>
        </is>
      </c>
      <c r="D53" s="75" t="inlineStr">
        <is>
          <t>R$ 1.000,00</t>
        </is>
      </c>
      <c r="E53" s="143" t="n">
        <v>1000</v>
      </c>
      <c r="F53" s="75" t="inlineStr">
        <is>
          <t>valor nominal unitário (VNU)</t>
        </is>
      </c>
      <c r="G53" s="75" t="b">
        <v>0</v>
      </c>
      <c r="H53" s="75" t="inlineStr">
        <is>
          <t>emissao</t>
        </is>
      </c>
      <c r="I53" s="75" t="n">
        <v>455909</v>
      </c>
      <c r="J53" s="75" t="inlineStr">
        <is>
          <t>Oferta Pública de Distribuição de Cotas Anúncio de Início</t>
        </is>
      </c>
      <c r="K53" s="75" t="inlineStr">
        <is>
          <t>03/05/2023</t>
        </is>
      </c>
      <c r="L53" s="75" t="n">
        <v>1</v>
      </c>
      <c r="M53" s="75" t="inlineStr">
        <is>
          <t>encontrado_explicito</t>
        </is>
      </c>
      <c r="N53" s="75" t="b">
        <v>1</v>
      </c>
      <c r="O53" s="75" t="inlineStr">
        <is>
          <t>.cache/carteira_101_document_scan/43193260000133/455909.json.gz</t>
        </is>
      </c>
      <c r="P53" s="75" t="inlineStr">
        <is>
          <t>https://fnet.bmfbovespa.com.br/fnet/publico/downloadDocumento?id=455909</t>
        </is>
      </c>
      <c r="Q53" s="75" t="inlineStr">
        <is>
          <t>subordinadas mezanino classe B da 1ª (primeira) emissão de cotas subordin adas mezanino classe B (“Cotas Mezanino Classe B” e quando mencionadas em conjunto com as C otas Seniores da 3ª Série, “Cotas Ofertadas”), com valor nominal unitário de emissão inicial de R$ 1.000,00 (um mil reais) na primeira data de integralização de Cotas Mezanino Classe B, perfazendo o montante total de até R$ 250.000.000,00 (duzentos e cinquenta milhões de reais). Será admitida a distribuição parcial das Cot</t>
        </is>
      </c>
    </row>
    <row r="54" ht="40.5" customHeight="1">
      <c r="A54" s="138" t="n">
        <v>43193260000133</v>
      </c>
      <c r="B54" s="74" t="inlineStr">
        <is>
          <t>43.193.260/0001-33</t>
        </is>
      </c>
      <c r="C54" s="74" t="inlineStr">
        <is>
          <t>Cotas Seniores</t>
        </is>
      </c>
      <c r="D54" s="74" t="inlineStr">
        <is>
          <t>R$ 1.000,00</t>
        </is>
      </c>
      <c r="E54" s="139" t="n">
        <v>1000</v>
      </c>
      <c r="F54" s="74" t="inlineStr">
        <is>
          <t>valor nominal unitário (VNU)</t>
        </is>
      </c>
      <c r="G54" s="74" t="b">
        <v>0</v>
      </c>
      <c r="H54" s="74" t="inlineStr">
        <is>
          <t>emissao</t>
        </is>
      </c>
      <c r="I54" s="74" t="n">
        <v>470871</v>
      </c>
      <c r="J54" s="74" t="inlineStr">
        <is>
          <t>Oferta Pública de Distribuição de Cotas Aviso ao Mercado</t>
        </is>
      </c>
      <c r="K54" s="74" t="inlineStr">
        <is>
          <t>29/05/2023</t>
        </is>
      </c>
      <c r="L54" s="74" t="n">
        <v>1</v>
      </c>
      <c r="M54" s="74" t="inlineStr">
        <is>
          <t>encontrado_explicito</t>
        </is>
      </c>
      <c r="N54" s="74" t="b">
        <v>1</v>
      </c>
      <c r="O54" s="74" t="inlineStr">
        <is>
          <t>.cache/carteira_101_document_scan/43193260000133/470871.json.gz</t>
        </is>
      </c>
      <c r="P54" s="74" t="inlineStr">
        <is>
          <t>https://fnet.bmfbovespa.com.br/fnet/publico/downloadDocumento?id=470871</t>
        </is>
      </c>
      <c r="Q54" s="74" t="inlineStr">
        <is>
          <t>municado Aviso ao Mercado”), no âmbito da oferta pública de (i) até 190.000 (cento e noventa mil) cotas seniores da 3ª série da 1ª (primeira) emissão de co tas seniores da 3ª série (“Cotas Seniores da 3ª Série”), com valor nominal unitário de emissão i nicial de R$ 1.000,00 (um mil reais) na primeira data de integralização de Cotas Seniores da 3ª Série, totalizando o montante de até R$ 190.000.000,00 (cento e noventa milhões de reais), e (ii) até 60.000 (sessenta mil) cotas subordinadas</t>
        </is>
      </c>
    </row>
    <row r="55" ht="40.5" customHeight="1">
      <c r="A55" s="142" t="n">
        <v>43309233000183</v>
      </c>
      <c r="B55" s="75" t="inlineStr">
        <is>
          <t>43.309.233/0001-83</t>
        </is>
      </c>
      <c r="C55" s="75" t="inlineStr">
        <is>
          <t>Cotas Subordinadas</t>
        </is>
      </c>
      <c r="D55" s="75" t="inlineStr">
        <is>
          <t>R$ 1.000,00</t>
        </is>
      </c>
      <c r="E55" s="143" t="n">
        <v>1000</v>
      </c>
      <c r="F55" s="75" t="inlineStr">
        <is>
          <t>preço/valor unitário de emissão</t>
        </is>
      </c>
      <c r="G55" s="75" t="b">
        <v>0</v>
      </c>
      <c r="H55" s="75" t="inlineStr">
        <is>
          <t>regulamento</t>
        </is>
      </c>
      <c r="I55" s="75" t="n">
        <v>943032</v>
      </c>
      <c r="J55" s="75" t="inlineStr">
        <is>
          <t>Regulamento</t>
        </is>
      </c>
      <c r="K55" s="75" t="inlineStr">
        <is>
          <t>09/07/2025</t>
        </is>
      </c>
      <c r="L55" s="75" t="n">
        <v>71</v>
      </c>
      <c r="M55" s="75" t="inlineStr">
        <is>
          <t>encontrado_explicito</t>
        </is>
      </c>
      <c r="N55" s="75" t="b">
        <v>1</v>
      </c>
      <c r="O55" s="75" t="inlineStr">
        <is>
          <t>.cache/carteira_101_document_scan/43309233000183/943032.json.gz</t>
        </is>
      </c>
      <c r="P55" s="75" t="inlineStr">
        <is>
          <t>https://fnet.bmfbovespa.com.br/fnet/publico/downloadDocumento?id=943032</t>
        </is>
      </c>
      <c r="Q55" s="75" t="inlineStr">
        <is>
          <t>terão iguais prioridades de amortização, amortização total e distribuição dos rendimentos da carteira do Fundo, bem como direitos de voto, observado o disposto item 6.4 deste Anexo Descritivo.. 6.1.1. As Cotas terão Valor Unitário de Emissão inicial de R$ 1.000,00 (mil reais) (“Valor Unitário de Emissão”), observados os respectivos Apêndices. 6.1.2. Os Cotistas Seniores, em qualquer tempo, terão direito de preferência na subscrição de novas Cotas Seniores que venham a ser em</t>
        </is>
      </c>
    </row>
    <row r="56" ht="40.5" customHeight="1">
      <c r="A56" s="138" t="n">
        <v>43616659000180</v>
      </c>
      <c r="B56" s="74" t="inlineStr">
        <is>
          <t>43.616.659/0001-80</t>
        </is>
      </c>
      <c r="C56" s="74" t="inlineStr">
        <is>
          <t>Cotas Subordinadas</t>
        </is>
      </c>
      <c r="D56" s="74" t="inlineStr">
        <is>
          <t>R$ 1.000,00</t>
        </is>
      </c>
      <c r="E56" s="139" t="n">
        <v>1000</v>
      </c>
      <c r="F56" s="74" t="inlineStr">
        <is>
          <t>preço/valor unitário de emissão</t>
        </is>
      </c>
      <c r="G56" s="74" t="b">
        <v>0</v>
      </c>
      <c r="H56" s="74" t="inlineStr">
        <is>
          <t>regulamento</t>
        </is>
      </c>
      <c r="I56" s="74" t="n">
        <v>791844</v>
      </c>
      <c r="J56" s="74" t="inlineStr">
        <is>
          <t>Regulamento</t>
        </is>
      </c>
      <c r="K56" s="74" t="inlineStr">
        <is>
          <t>28/11/2024</t>
        </is>
      </c>
      <c r="L56" s="74" t="n">
        <v>68</v>
      </c>
      <c r="M56" s="74" t="inlineStr">
        <is>
          <t>encontrado_explicito</t>
        </is>
      </c>
      <c r="N56" s="74" t="b">
        <v>1</v>
      </c>
      <c r="O56" s="74" t="inlineStr">
        <is>
          <t>.cache/carteira_101_document_scan/43616659000180/791844.json.gz</t>
        </is>
      </c>
      <c r="P56" s="74" t="inlineStr">
        <is>
          <t>https://fnet.bmfbovespa.com.br/fnet/publico/downloadDocumento?id=791844</t>
        </is>
      </c>
      <c r="Q56" s="74" t="inlineStr">
        <is>
          <t>iguais prioridades de amortização, amortização total e distribuição dos rendimentos da carteira da Classe Única, bem como direitos de voto, observado o disposto no item 6.4 deste Anexo Descritivo. 6.1.1. As Cotas terão Valor Unitário de Emissão inicial de R$ 1.000,00 (mil Valor Unitário de Emissão, observados os respectivos Apêndices. 6.1.2. Os Cotistas Seniores, suas controladas, controladores, coligadas, sociedades sob controle comum, em qualquer tempo, terão direito de preferênc</t>
        </is>
      </c>
    </row>
    <row r="57" ht="40.5" customHeight="1">
      <c r="A57" s="142" t="n">
        <v>43866348000179</v>
      </c>
      <c r="B57" s="75" t="inlineStr">
        <is>
          <t>43.866.348/0001-79</t>
        </is>
      </c>
      <c r="C57" s="75" t="inlineStr">
        <is>
          <t>Cotas Subordinadas</t>
        </is>
      </c>
      <c r="D57" s="75" t="inlineStr">
        <is>
          <t>R$ 1,00</t>
        </is>
      </c>
      <c r="E57" s="143" t="n">
        <v>1</v>
      </c>
      <c r="F57" s="75" t="inlineStr">
        <is>
          <t>preço/valor unitário de emissão</t>
        </is>
      </c>
      <c r="G57" s="75" t="b">
        <v>0</v>
      </c>
      <c r="H57" s="75" t="inlineStr">
        <is>
          <t>regulamento</t>
        </is>
      </c>
      <c r="I57" s="75" t="n">
        <v>741138</v>
      </c>
      <c r="J57" s="75" t="inlineStr">
        <is>
          <t>Atos de Deliberação do Administrador Instrumento Particular de Alteração do Regulamento</t>
        </is>
      </c>
      <c r="K57" s="75" t="inlineStr">
        <is>
          <t>17/09/2024</t>
        </is>
      </c>
      <c r="L57" s="75" t="n">
        <v>106</v>
      </c>
      <c r="M57" s="75" t="inlineStr">
        <is>
          <t>encontrado_explicito</t>
        </is>
      </c>
      <c r="N57" s="75" t="b">
        <v>1</v>
      </c>
      <c r="O57" s="75" t="inlineStr">
        <is>
          <t>.cache/carteira_101_document_scan/43866348000179/741138.json.gz</t>
        </is>
      </c>
      <c r="P57" s="75" t="inlineStr">
        <is>
          <t>https://fnet.bmfbovespa.com.br/fnet/publico/downloadDocumento?id=741138</t>
        </is>
      </c>
      <c r="Q57" s="75" t="inlineStr">
        <is>
          <t>sse terão iguais prioridades de amortização, resgate e distribuição dos rendimentos da Carteira da Classe, bem como direitos de voto, observado o disposto no Capítulo Décimo deste Anexo Descritivo. 8.1.1. As Cotas terão Valor Unitário de Emissão de R$ 1,00 (um real) (“Valor Unitário de Emissão”). 8.1.2. Somente Investidores Autorizados poderão adquirir as Cotas. 8.2. Todas as Cotas serão escriturais e serão mantidas em conta de depósito em nome dos Cotistas pelo Custod</t>
        </is>
      </c>
    </row>
    <row r="58" ht="40.5" customHeight="1">
      <c r="A58" s="138" t="n">
        <v>43866348000179</v>
      </c>
      <c r="B58" s="74" t="inlineStr">
        <is>
          <t>43.866.348/0001-79</t>
        </is>
      </c>
      <c r="C58" s="74" t="inlineStr">
        <is>
          <t>Cotas Subordinadas Júnior</t>
        </is>
      </c>
      <c r="D58" s="74" t="inlineStr">
        <is>
          <t>R$ 1,00</t>
        </is>
      </c>
      <c r="E58" s="139" t="n">
        <v>1</v>
      </c>
      <c r="F58" s="74" t="inlineStr">
        <is>
          <t>valor nominal unitário (VNU)</t>
        </is>
      </c>
      <c r="G58" s="74" t="b">
        <v>0</v>
      </c>
      <c r="H58" s="74" t="inlineStr">
        <is>
          <t>emissao</t>
        </is>
      </c>
      <c r="I58" s="74" t="n">
        <v>1010694</v>
      </c>
      <c r="J58" s="74" t="inlineStr">
        <is>
          <t>Atos de Deliberação do Administrador Instrumento Particular de Emissão de Cotas</t>
        </is>
      </c>
      <c r="K58" s="74" t="inlineStr">
        <is>
          <t>10/10/2025</t>
        </is>
      </c>
      <c r="L58" s="74" t="n">
        <v>1</v>
      </c>
      <c r="M58" s="74" t="inlineStr">
        <is>
          <t>encontrado_explicito</t>
        </is>
      </c>
      <c r="N58" s="74" t="b">
        <v>1</v>
      </c>
      <c r="O58" s="74" t="inlineStr">
        <is>
          <t>.cache/carteira_101_document_scan/43866348000179/1010694.json.gz</t>
        </is>
      </c>
      <c r="P58" s="74" t="inlineStr">
        <is>
          <t>https://fnet.bmfbovespa.com.br/fnet/publico/downloadDocumento?id=1010694</t>
        </is>
      </c>
      <c r="Q58" s="74" t="inlineStr">
        <is>
          <t>rdinação às demais classes de Cotas Subordinadas Júnior, já existentes e que a emissão se dará em decorrência da necessidade de reenquadramento do Fundo; RESOLVE: (a) Aprovar a 7° (sétima) Emissão de Cotas, com valor nominal unitário de R$ 1,00 (um real) para cada cota (“ Cotas da 7° Emissão” ou “ Cotas”), totalizando o montante de até R$25.000.000,00 (vinte e cinco milhões de reais) (“Oferta”). Os demais termos e condições serão descritos no suplemento con</t>
        </is>
      </c>
    </row>
    <row r="59" ht="40.5" customHeight="1">
      <c r="A59" s="142" t="n">
        <v>43866348000179</v>
      </c>
      <c r="B59" s="75" t="inlineStr">
        <is>
          <t>43.866.348/0001-79</t>
        </is>
      </c>
      <c r="C59" s="75" t="inlineStr">
        <is>
          <t>Cotas Subordinadas Júnior</t>
        </is>
      </c>
      <c r="D59" s="75" t="inlineStr">
        <is>
          <t>R$ 0,84</t>
        </is>
      </c>
      <c r="E59" s="143" t="n">
        <v>0.84</v>
      </c>
      <c r="F59" s="75" t="inlineStr">
        <is>
          <t>valor nominal unitário (VNU)</t>
        </is>
      </c>
      <c r="G59" s="75" t="b">
        <v>0</v>
      </c>
      <c r="H59" s="75" t="inlineStr">
        <is>
          <t>emissao</t>
        </is>
      </c>
      <c r="I59" s="75" t="n">
        <v>1098853</v>
      </c>
      <c r="J59" s="75" t="inlineStr">
        <is>
          <t>Atos de Deliberação do Administrador Instrumento Particular de Emissão de Cotas</t>
        </is>
      </c>
      <c r="K59" s="75" t="inlineStr">
        <is>
          <t>23/01/2026</t>
        </is>
      </c>
      <c r="L59" s="75" t="n">
        <v>1</v>
      </c>
      <c r="M59" s="75" t="inlineStr">
        <is>
          <t>encontrado_explicito</t>
        </is>
      </c>
      <c r="N59" s="75" t="b">
        <v>1</v>
      </c>
      <c r="O59" s="75" t="inlineStr">
        <is>
          <t>.cache/carteira_101_document_scan/43866348000179/1098853.json.gz</t>
        </is>
      </c>
      <c r="P59" s="75" t="inlineStr">
        <is>
          <t>https://fnet.bmfbovespa.com.br/fnet/publico/downloadDocumento?id=1098853</t>
        </is>
      </c>
      <c r="Q59" s="75" t="inlineStr">
        <is>
          <t>Subordinadas Júnior, já existentes e que a emissão se dará em decorrência da necessidade de reenquadramento do Fundo; RESOLVE: (a) Aprovar a 9° (oitava) Emissão de Cotas (“Cotas da 9ª Emissão” ou “Cotas”), com valor nominal unitário de R$ 0,84 (oitenta e quatro centavos) para cada cota , totalizando o montante de até R$ 18.600.000,00 (dezoito milhões e seiscentos mil reais) (“ Oferta”). Os demais termos e condições serão descritos no suplemento constante d</t>
        </is>
      </c>
    </row>
    <row r="60" ht="40.5" customHeight="1">
      <c r="A60" s="138" t="n">
        <v>44124617000194</v>
      </c>
      <c r="B60" s="74" t="inlineStr">
        <is>
          <t>44.124.617/0001-94</t>
        </is>
      </c>
      <c r="C60" s="74" t="inlineStr">
        <is>
          <t>Cotas Seniores</t>
        </is>
      </c>
      <c r="D60" s="74" t="inlineStr">
        <is>
          <t>R$1.000</t>
        </is>
      </c>
      <c r="E60" s="139" t="n">
        <v>1000</v>
      </c>
      <c r="F60" s="74" t="inlineStr">
        <is>
          <t>valor nominal unitário (VNU)</t>
        </is>
      </c>
      <c r="G60" s="74" t="b">
        <v>0</v>
      </c>
      <c r="H60" s="74" t="inlineStr">
        <is>
          <t>regulamento</t>
        </is>
      </c>
      <c r="I60" s="74" t="n">
        <v>851798</v>
      </c>
      <c r="J60" s="74" t="inlineStr">
        <is>
          <t>regulamento</t>
        </is>
      </c>
      <c r="K60" s="74" t="inlineStr">
        <is>
          <t>2025-02-28</t>
        </is>
      </c>
      <c r="L60" s="74" t="n">
        <v>117</v>
      </c>
      <c r="M60" s="74" t="inlineStr">
        <is>
          <t>encontrado_explicito</t>
        </is>
      </c>
      <c r="N60" s="74" t="b">
        <v>1</v>
      </c>
      <c r="O60" s="74" t="inlineStr">
        <is>
          <t>data/raw/44124617000194/851798_regulamento_regulamento_851798_2025-02-28.pdf</t>
        </is>
      </c>
      <c r="P60" s="74" t="inlineStr">
        <is>
          <t>https://fnet.bmfbovespa.com.br/fnet/publico/downloadDocumento?id=851798</t>
        </is>
      </c>
      <c r="Q60" s="74" t="inlineStr">
        <is>
          <t>racterísticas: (i) Montante da 1ª Série de Cotas Seniores: R$1.500.000.000,00 (um bilhão e quinhentos milhões de reais); (ii) Quantidade de Cotas Seniores da 1ª Série: 1.500.000 (um milhão e quinhentas mil); (iii) Valor Nominal Unitário: R$1.000 (mil) na Data de Emissão (conforme definida abaixo); (iv) Forma de Integralização: conforme chamadas de cap ital feitas pela Administradora; (v) Preço de Integralização: Valor Nominal Unitário, acrescido do Benchmar</t>
        </is>
      </c>
    </row>
    <row r="61" ht="40.5" customHeight="1">
      <c r="A61" s="142" t="n">
        <v>44173467000109</v>
      </c>
      <c r="B61" s="75" t="inlineStr">
        <is>
          <t>44.173.467/0001-09</t>
        </is>
      </c>
      <c r="C61" s="75" t="inlineStr">
        <is>
          <t>Cotas Seniores</t>
        </is>
      </c>
      <c r="D61" s="75" t="inlineStr">
        <is>
          <t>R$ 1.000,00</t>
        </is>
      </c>
      <c r="E61" s="143" t="n">
        <v>1000</v>
      </c>
      <c r="F61" s="75" t="inlineStr">
        <is>
          <t>preço/valor unitário de emissão</t>
        </is>
      </c>
      <c r="G61" s="75" t="b">
        <v>0</v>
      </c>
      <c r="H61" s="75" t="inlineStr">
        <is>
          <t>regulamento</t>
        </is>
      </c>
      <c r="I61" s="75" t="n">
        <v>791513</v>
      </c>
      <c r="J61" s="75" t="inlineStr">
        <is>
          <t>regulamento</t>
        </is>
      </c>
      <c r="K61" s="75" t="inlineStr">
        <is>
          <t>2024-11-28</t>
        </is>
      </c>
      <c r="L61" s="75" t="n">
        <v>17</v>
      </c>
      <c r="M61" s="75" t="inlineStr">
        <is>
          <t>encontrado_explicito</t>
        </is>
      </c>
      <c r="N61" s="75" t="b">
        <v>1</v>
      </c>
      <c r="O61" s="75" t="inlineStr">
        <is>
          <t>data/raw/44173467000109/791513_regulamento_regulamento_791513_2024-11-28.pdf</t>
        </is>
      </c>
      <c r="P61" s="75" t="inlineStr">
        <is>
          <t>https://fnet.bmfbovespa.com.br/fnet/publico/downloadDocumento?id=791513</t>
        </is>
      </c>
      <c r="Q61" s="75" t="inlineStr">
        <is>
          <t>re os titulares de Cotas Subordinadas Júnior. Emissão, Subscrição e Integralização das Cotas 5.7 A primeira emissão de Cotas foi composta de até 148.500 (cento e quarenta e oito mil e quinhentas) Cotas Seniores, com valor unitário de emissão inicial de R$ 1.000,00 (hum mil reais), 14.850 (quatorze mil oitocentos e cinquenta) Cotas Subordinadas Mezanino com valor unitário de emissão inicial de R$ 1.000,00 (hum mil reais) e 1.650 (hum mil seiscentos e cinquenta) Cotas Subordinad</t>
        </is>
      </c>
    </row>
    <row r="62" ht="40.5" customHeight="1">
      <c r="A62" s="138" t="n">
        <v>44173467000109</v>
      </c>
      <c r="B62" s="74" t="inlineStr">
        <is>
          <t>44.173.467/0001-09</t>
        </is>
      </c>
      <c r="C62" s="74" t="inlineStr">
        <is>
          <t>Cotas Subordinadas Júnior</t>
        </is>
      </c>
      <c r="D62" s="74" t="inlineStr">
        <is>
          <t>R$ 1.000,00</t>
        </is>
      </c>
      <c r="E62" s="139" t="n">
        <v>1000</v>
      </c>
      <c r="F62" s="74" t="inlineStr">
        <is>
          <t>preço/valor unitário de emissão</t>
        </is>
      </c>
      <c r="G62" s="74" t="b">
        <v>0</v>
      </c>
      <c r="H62" s="74" t="inlineStr">
        <is>
          <t>regulamento</t>
        </is>
      </c>
      <c r="I62" s="74" t="n">
        <v>791513</v>
      </c>
      <c r="J62" s="74" t="inlineStr">
        <is>
          <t>regulamento</t>
        </is>
      </c>
      <c r="K62" s="74" t="inlineStr">
        <is>
          <t>2024-11-28</t>
        </is>
      </c>
      <c r="L62" s="74" t="n">
        <v>17</v>
      </c>
      <c r="M62" s="74" t="inlineStr">
        <is>
          <t>encontrado_explicito</t>
        </is>
      </c>
      <c r="N62" s="74" t="b">
        <v>1</v>
      </c>
      <c r="O62" s="74" t="inlineStr">
        <is>
          <t>data/raw/44173467000109/791513_regulamento_regulamento_791513_2024-11-28.pdf</t>
        </is>
      </c>
      <c r="P62" s="74" t="inlineStr">
        <is>
          <t>https://fnet.bmfbovespa.com.br/fnet/publico/downloadDocumento?id=791513</t>
        </is>
      </c>
      <c r="Q62" s="74" t="inlineStr">
        <is>
          <t>s), 14.850 (quatorze mil oitocentos e cinquenta) Cotas Subordinadas Mezanino com valor unitário de emissão inicial de R$ 1.000,00 (hum mil reais) e 1.650 (hum mil seiscentos e cinquenta) Cotas Subordinadas Júnior com valor unitário de emissão inicial de R$ 1.000,00 (hum mil reais), totalizando o valor de até R$ 165.500.000,00 (cento e sessenta e cinco milhões e quinhentos mil reais). 5.7.1 As Cotas Seniores da primeira emissão foram oferecidas publicamente sob o regime de garan</t>
        </is>
      </c>
    </row>
    <row r="63" ht="40.5" customHeight="1">
      <c r="A63" s="142" t="n">
        <v>44173467000109</v>
      </c>
      <c r="B63" s="75" t="inlineStr">
        <is>
          <t>44.173.467/0001-09</t>
        </is>
      </c>
      <c r="C63" s="75" t="inlineStr">
        <is>
          <t>Cotas Subordinadas Mezanino</t>
        </is>
      </c>
      <c r="D63" s="75" t="inlineStr">
        <is>
          <t>R$ 1.000,00</t>
        </is>
      </c>
      <c r="E63" s="143" t="n">
        <v>1000</v>
      </c>
      <c r="F63" s="75" t="inlineStr">
        <is>
          <t>preço/valor unitário de emissão</t>
        </is>
      </c>
      <c r="G63" s="75" t="b">
        <v>0</v>
      </c>
      <c r="H63" s="75" t="inlineStr">
        <is>
          <t>regulamento</t>
        </is>
      </c>
      <c r="I63" s="75" t="n">
        <v>791513</v>
      </c>
      <c r="J63" s="75" t="inlineStr">
        <is>
          <t>regulamento</t>
        </is>
      </c>
      <c r="K63" s="75" t="inlineStr">
        <is>
          <t>2024-11-28</t>
        </is>
      </c>
      <c r="L63" s="75" t="n">
        <v>17</v>
      </c>
      <c r="M63" s="75" t="inlineStr">
        <is>
          <t>encontrado_explicito</t>
        </is>
      </c>
      <c r="N63" s="75" t="b">
        <v>1</v>
      </c>
      <c r="O63" s="75" t="inlineStr">
        <is>
          <t>data/raw/44173467000109/791513_regulamento_regulamento_791513_2024-11-28.pdf</t>
        </is>
      </c>
      <c r="P63" s="75" t="inlineStr">
        <is>
          <t>https://fnet.bmfbovespa.com.br/fnet/publico/downloadDocumento?id=791513</t>
        </is>
      </c>
      <c r="Q63" s="75" t="inlineStr">
        <is>
          <t>até 148.500 (cento e quarenta e oito mil e quinhentas) Cotas Seniores, com valor unitário de emissão inicial de R$ 1.000,00 (hum mil reais), 14.850 (quatorze mil oitocentos e cinquenta) Cotas Subordinadas Mezanino com valor unitário de emissão inicial de R$ 1.000,00 (hum mil reais) e 1.650 (hum mil seiscentos e cinquenta) Cotas Subordinadas Júnior com valor unitário de emissão inicial de R$ 1.000,00 (hum mil reais), totalizando o valor de até R$ 165.500.000,00 (cento e sessenta e</t>
        </is>
      </c>
    </row>
    <row r="64" ht="40.5" customHeight="1">
      <c r="A64" s="138" t="n">
        <v>44272584000120</v>
      </c>
      <c r="B64" s="74" t="inlineStr">
        <is>
          <t>44.272.584/0001-20</t>
        </is>
      </c>
      <c r="C64" s="74" t="inlineStr">
        <is>
          <t>N/D</t>
        </is>
      </c>
      <c r="D64" s="74" t="inlineStr">
        <is>
          <t>R$1.000,00</t>
        </is>
      </c>
      <c r="E64" s="139" t="n">
        <v>1000</v>
      </c>
      <c r="F64" s="74" t="inlineStr">
        <is>
          <t>preço/valor unitário de emissão</t>
        </is>
      </c>
      <c r="G64" s="74" t="b">
        <v>1</v>
      </c>
      <c r="H64" s="74" t="inlineStr">
        <is>
          <t>regulamento</t>
        </is>
      </c>
      <c r="I64" s="74" t="n">
        <v>1003267</v>
      </c>
      <c r="J64" s="74" t="inlineStr">
        <is>
          <t>Atos de Deliberação do Administrador Instrumento Particular de Alteração do Regulamento</t>
        </is>
      </c>
      <c r="K64" s="74" t="inlineStr">
        <is>
          <t>30/09/2025</t>
        </is>
      </c>
      <c r="L64" s="74" t="n">
        <v>115</v>
      </c>
      <c r="M64" s="74" t="inlineStr">
        <is>
          <t>encontrado_explicito</t>
        </is>
      </c>
      <c r="N64" s="74" t="b">
        <v>1</v>
      </c>
      <c r="O64" s="74" t="inlineStr">
        <is>
          <t>.cache/carteira_101_document_scan/44272584000120/1003267.json.gz</t>
        </is>
      </c>
      <c r="P64" s="74" t="inlineStr">
        <is>
          <t>https://fnet.bmfbovespa.com.br/fnet/publico/downloadDocumento?id=1003267</t>
        </is>
      </c>
      <c r="Q64" s="74" t="inlineStr">
        <is>
          <t>séries, com Metas de Rentabilidade, prazos e condições diferenciados para amortização e resgate, de acordo com os termos dos respectivos Apêndices, permanecendo inalterados os demais direitos e obrigações. 14.1.2 O Valor Unitário de Emissão das Cotas será de R$1.000,00 (mil reais). 14.1.3 A responsabilidade dos Cotistas será limitada, de forma que os Cotistas serão obrigados a aportar novos recursos na Classe, caso o Patrimônio Líquido seja negativo. 14.2 As Cotas da Subclasse</t>
        </is>
      </c>
    </row>
    <row r="65" ht="40.5" customHeight="1">
      <c r="A65" s="142" t="n">
        <v>44574361000117</v>
      </c>
      <c r="B65" s="75" t="inlineStr">
        <is>
          <t>44.574.361/0001-17</t>
        </is>
      </c>
      <c r="C65" s="75" t="inlineStr">
        <is>
          <t>Cotas Subordinadas</t>
        </is>
      </c>
      <c r="D65" s="75" t="inlineStr">
        <is>
          <t>R$ 1.000,00</t>
        </is>
      </c>
      <c r="E65" s="143" t="n">
        <v>1000</v>
      </c>
      <c r="F65" s="75" t="inlineStr">
        <is>
          <t>preço/valor unitário de emissão</t>
        </is>
      </c>
      <c r="G65" s="75" t="b">
        <v>0</v>
      </c>
      <c r="H65" s="75" t="inlineStr">
        <is>
          <t>regulamento</t>
        </is>
      </c>
      <c r="I65" s="75" t="n">
        <v>883109</v>
      </c>
      <c r="J65" s="75" t="inlineStr">
        <is>
          <t>Regulamento</t>
        </is>
      </c>
      <c r="K65" s="75" t="inlineStr">
        <is>
          <t>16/04/2025</t>
        </is>
      </c>
      <c r="L65" s="75" t="n">
        <v>41</v>
      </c>
      <c r="M65" s="75" t="inlineStr">
        <is>
          <t>encontrado_explicito</t>
        </is>
      </c>
      <c r="N65" s="75" t="b">
        <v>1</v>
      </c>
      <c r="O65" s="75" t="inlineStr">
        <is>
          <t>.cache/carteira_101_document_scan/44574361000117/883109.json.gz</t>
        </is>
      </c>
      <c r="P65" s="75" t="inlineStr">
        <is>
          <t>https://fnet.bmfbovespa.com.br/fnet/publico/downloadDocumento?id=883109</t>
        </is>
      </c>
      <c r="Q65" s="75" t="inlineStr">
        <is>
          <t>erão iguais prioridades de amortização, amortização total e distribuição dos rendimentos da carteira do Fundo, bem como direitos de voto, observado o disposto no Capítulo Décimo deste Regulamento. 6.1.1. As Cotas terão Valor Unitário de Emissão inicial de R$ 1.000,00 (mil Valor Unitário de Emissão, observados os respectivos Apêndices. 6.1.2. Os Cotistas Seniores, em qualquer tempo, terão direito de preferência na subscrição de novas Cotas Seniores que venham a ser emitidas pelo Fun</t>
        </is>
      </c>
    </row>
    <row r="66" ht="40.5" customHeight="1">
      <c r="A66" s="138" t="n">
        <v>45523699000102</v>
      </c>
      <c r="B66" s="74" t="inlineStr">
        <is>
          <t>45.523.699/0001-02</t>
        </is>
      </c>
      <c r="C66" s="74" t="inlineStr">
        <is>
          <t>N/D</t>
        </is>
      </c>
      <c r="D66" s="74" t="inlineStr">
        <is>
          <t>R$ 1.000,00</t>
        </is>
      </c>
      <c r="E66" s="139" t="n">
        <v>1000</v>
      </c>
      <c r="F66" s="74" t="inlineStr">
        <is>
          <t>preço/valor unitário de emissão</t>
        </is>
      </c>
      <c r="G66" s="74" t="b">
        <v>1</v>
      </c>
      <c r="H66" s="74" t="inlineStr">
        <is>
          <t>regulamento</t>
        </is>
      </c>
      <c r="I66" s="74" t="n">
        <v>1024756</v>
      </c>
      <c r="J66" s="74" t="inlineStr">
        <is>
          <t>regulamento</t>
        </is>
      </c>
      <c r="K66" s="74" t="inlineStr">
        <is>
          <t>2025-10-30</t>
        </is>
      </c>
      <c r="L66" s="74" t="n">
        <v>56</v>
      </c>
      <c r="M66" s="74" t="inlineStr">
        <is>
          <t>encontrado_explicito</t>
        </is>
      </c>
      <c r="N66" s="74" t="b">
        <v>1</v>
      </c>
      <c r="O66" s="74" t="inlineStr">
        <is>
          <t>data/raw/45523699000102/1024756_regulamento_regulamento_1024756_2025-10-30_2025-10-30.pdf</t>
        </is>
      </c>
      <c r="P66" s="74" t="inlineStr">
        <is>
          <t>https://fnet.bmfbovespa.com.br/fnet/publico/downloadDocumento?id=1024756</t>
        </is>
      </c>
      <c r="Q66" s="74" t="inlineStr">
        <is>
          <t>ão CVM 160 b) Publico Alvo da Oferta: investidores profissionais, conforme definidos no artigo 11 da Resolução da CVM nº 30, de 11 de maio de 2021 c) Data de Emissão: será a data da primeira integralização; d) Valor unitário de emissão: R$ 1.000,00 (mil reais), para a primeira data de integralização das Cotas Sênior da 3ª Série. A partir de então o valor da Cota Sênior da 3ª Série será calculado todo dia útil, nos termos do Regulamento. A data da aplicação e o</t>
        </is>
      </c>
    </row>
    <row r="67" ht="40.5" customHeight="1">
      <c r="A67" s="142" t="n">
        <v>45523699000102</v>
      </c>
      <c r="B67" s="75" t="inlineStr">
        <is>
          <t>45.523.699/0001-02</t>
        </is>
      </c>
      <c r="C67" s="75" t="inlineStr">
        <is>
          <t>Cotas Subordinadas Junior</t>
        </is>
      </c>
      <c r="D67" s="75" t="inlineStr">
        <is>
          <t>R$ 1.000,00</t>
        </is>
      </c>
      <c r="E67" s="143" t="n">
        <v>1000</v>
      </c>
      <c r="F67" s="75" t="inlineStr">
        <is>
          <t>preço/valor unitário de emissão</t>
        </is>
      </c>
      <c r="G67" s="75" t="b">
        <v>0</v>
      </c>
      <c r="H67" s="75" t="inlineStr">
        <is>
          <t>assembleia</t>
        </is>
      </c>
      <c r="I67" s="75" t="n">
        <v>1166146</v>
      </c>
      <c r="J67" s="75" t="inlineStr">
        <is>
          <t>Assembleia AGE Ata da Assembleia</t>
        </is>
      </c>
      <c r="K67" s="75" t="inlineStr">
        <is>
          <t>13/04/2026 18:00</t>
        </is>
      </c>
      <c r="L67" s="75" t="n">
        <v>2</v>
      </c>
      <c r="M67" s="75" t="inlineStr">
        <is>
          <t>encontrado_explicito</t>
        </is>
      </c>
      <c r="N67" s="75" t="b">
        <v>1</v>
      </c>
      <c r="O67" s="75" t="inlineStr">
        <is>
          <t>.cache/carteira_101_document_scan/45523699000102/1166146.json.gz</t>
        </is>
      </c>
      <c r="P67" s="75" t="inlineStr">
        <is>
          <t>https://fnet.bmfbovespa.com.br/fnet/publico/downloadDocumento?id=1166146</t>
        </is>
      </c>
      <c r="Q67" s="75" t="inlineStr">
        <is>
          <t>ntes características: a) Forma de Colocação: via Resolução CVM nº 160 – art. 8º, inciso II b) Público-alvo da Oferta: Investidor profissional c) Data de Emissão: será a data da primeira integralização; d) Valor unitário de emissão: R$ 1.000,00 (um mil reais), para a primeira emissão de Cotas. A partir de então o valor da Cota será calculado todo dia útil, nos termos do Regulamento. A data da aplicação e o valor da Cota serão o do dia da efetiva disponibilid</t>
        </is>
      </c>
    </row>
    <row r="68" ht="40.5" customHeight="1">
      <c r="A68" s="138" t="n">
        <v>45598747000121</v>
      </c>
      <c r="B68" s="74" t="inlineStr">
        <is>
          <t>45.598.747/0001-21</t>
        </is>
      </c>
      <c r="C68" s="74" t="inlineStr">
        <is>
          <t>Cotas Subordinadas Junior</t>
        </is>
      </c>
      <c r="D68" s="74" t="inlineStr">
        <is>
          <t>R$1</t>
        </is>
      </c>
      <c r="E68" s="139" t="n">
        <v>1</v>
      </c>
      <c r="F68" s="74" t="inlineStr">
        <is>
          <t>preço/valor unitário de emissão</t>
        </is>
      </c>
      <c r="G68" s="74" t="b">
        <v>0</v>
      </c>
      <c r="H68" s="74" t="inlineStr">
        <is>
          <t>regulamento</t>
        </is>
      </c>
      <c r="I68" s="74" t="n">
        <v>883977</v>
      </c>
      <c r="J68" s="74" t="inlineStr">
        <is>
          <t>regulamento</t>
        </is>
      </c>
      <c r="K68" s="74" t="inlineStr">
        <is>
          <t>2025-04-22</t>
        </is>
      </c>
      <c r="L68" s="74" t="inlineStr">
        <is>
          <t>N/D</t>
        </is>
      </c>
      <c r="M68" s="74" t="inlineStr">
        <is>
          <t>encontrado_explicito</t>
        </is>
      </c>
      <c r="N68" s="74" t="b">
        <v>1</v>
      </c>
      <c r="O68" s="74" t="inlineStr">
        <is>
          <t>outputs/fidc_director_deep_diagnostic_20260609/pdf_text_cache/45598747000121_883977_regulamento_regulamento_883977_2025-04-22.txt</t>
        </is>
      </c>
      <c r="P68" s="74" t="inlineStr">
        <is>
          <t>https://fnet.bmfbovespa.com.br/fnet/publico/downloadDocumento?id=883977</t>
        </is>
      </c>
      <c r="Q68" s="74" t="inlineStr">
        <is>
          <t>ome junto à Administradora. 12.1.5. Somente Investidores Autorizados poderão adquirir as Cotas. As Cotas Subordinadas Juniores serão subscritas e integralizadas exclusivamente pelo Cedente. 12.1.6. As Cotas terão Valor Unitário de Emissão de R$1 .000,00 (mil reais), na 1ª Data de Integralização da respectiva Série ou Subclasse de Cotas. 12.2. Subclasses de Cotas 12.2.1. A Classe do Fundo será dividida em Subclasses de Cotas Seniores e de Cotas Subordi</t>
        </is>
      </c>
    </row>
    <row r="69" ht="40.5" customHeight="1">
      <c r="A69" s="142" t="n">
        <v>45598747000121</v>
      </c>
      <c r="B69" s="75" t="inlineStr">
        <is>
          <t>45.598.747/0001-21</t>
        </is>
      </c>
      <c r="C69" s="75" t="inlineStr">
        <is>
          <t>Cotas Seniores</t>
        </is>
      </c>
      <c r="D69" s="75" t="inlineStr">
        <is>
          <t>R$1.000,00</t>
        </is>
      </c>
      <c r="E69" s="143" t="n">
        <v>1000</v>
      </c>
      <c r="F69" s="75" t="inlineStr">
        <is>
          <t>preço/valor unitário de emissão</t>
        </is>
      </c>
      <c r="G69" s="75" t="b">
        <v>0</v>
      </c>
      <c r="H69" s="75" t="inlineStr">
        <is>
          <t>emissao</t>
        </is>
      </c>
      <c r="I69" s="75" t="n">
        <v>903840</v>
      </c>
      <c r="J69" s="75" t="inlineStr">
        <is>
          <t>emissao</t>
        </is>
      </c>
      <c r="K69" s="75" t="inlineStr">
        <is>
          <t>2025-05-14</t>
        </is>
      </c>
      <c r="L69" s="75" t="n">
        <v>1</v>
      </c>
      <c r="M69" s="75" t="inlineStr">
        <is>
          <t>encontrado_explicito</t>
        </is>
      </c>
      <c r="N69" s="75" t="b">
        <v>1</v>
      </c>
      <c r="O69" s="75" t="inlineStr">
        <is>
          <t>data/raw/45598747000121/903840_emissao_emissao_903840_2025-05-14.pdf</t>
        </is>
      </c>
      <c r="P69" s="75" t="inlineStr">
        <is>
          <t>https://fnet.bmfbovespa.com.br/fnet/publico/downloadDocumento?id=903840</t>
        </is>
      </c>
      <c r="Q69" s="75" t="inlineStr">
        <is>
          <t>ADE LIMITADA, fundo de investimento em direitos creditórios constituído sob a forma de condomínio de natureza especial, inscrito no CNPJ/MF sob o nº 45.598.747/0001-21 (“Fundo”), todas nominativas e escriturais, com valor unitário de emissão de R$1.000,00 (mil reais), perfazendo o 2 montante total de R$ 332.500.000,00 (trezentos e trinta e dois milhões e quinhentos mil reais) na data da 1ª (primeira) integralização das Cotas Seniores da 2ª Série (“1ª Data de Integ</t>
        </is>
      </c>
    </row>
    <row r="70" ht="40.5" customHeight="1">
      <c r="A70" s="138" t="n">
        <v>47280025000150</v>
      </c>
      <c r="B70" s="74" t="inlineStr">
        <is>
          <t>47.280.025/0001-50</t>
        </is>
      </c>
      <c r="C70" s="74" t="inlineStr">
        <is>
          <t>N/D</t>
        </is>
      </c>
      <c r="D70" s="74" t="inlineStr">
        <is>
          <t>R$ 1.000,00</t>
        </is>
      </c>
      <c r="E70" s="139" t="n">
        <v>1000</v>
      </c>
      <c r="F70" s="74" t="inlineStr">
        <is>
          <t>valor nominal unitário (VNU)</t>
        </is>
      </c>
      <c r="G70" s="74" t="b">
        <v>1</v>
      </c>
      <c r="H70" s="74" t="inlineStr">
        <is>
          <t>emissao</t>
        </is>
      </c>
      <c r="I70" s="74" t="n">
        <v>1053778</v>
      </c>
      <c r="J70" s="74" t="inlineStr">
        <is>
          <t>Oferta Pública de Distribuição de Cotas Anúncio de Encerramento</t>
        </is>
      </c>
      <c r="K70" s="74" t="inlineStr">
        <is>
          <t>04/12/2025</t>
        </is>
      </c>
      <c r="L70" s="74" t="n">
        <v>1</v>
      </c>
      <c r="M70" s="74" t="inlineStr">
        <is>
          <t>encontrado_explicito</t>
        </is>
      </c>
      <c r="N70" s="74" t="b">
        <v>1</v>
      </c>
      <c r="O70" s="74" t="inlineStr">
        <is>
          <t>.cache/carteira_101_document_scan/47280025000150/1053778.json.gz</t>
        </is>
      </c>
      <c r="P70" s="74" t="inlineStr">
        <is>
          <t>https://fnet.bmfbovespa.com.br/fnet/publico/downloadDocumento?id=1053778</t>
        </is>
      </c>
      <c r="Q70" s="74" t="inlineStr">
        <is>
          <t>PONSABILIDADE LIMITADA, inscrito no CNPJ/MF sob o nº 47.280.025/0001-50 (“Classe” ou “Fundo”), 1. Valores mobiliários ofertados: Foram objeto da Oferta Pública o montante de até 80.000 (oitenta mil) Cotas, ao valor nominal unitário, na data de emissão, de R$ 1.000,00 (mil reais), perfazendo o montante total de R$80.000.000,00 (oitenta milhões de reais). 2. Escriturador das Cotas: LIMINE TRUST DISTRIBUIDORA DE TÍTULOS E VALORES MOBILIÁRIOS LTDA., instituição financeira com sed</t>
        </is>
      </c>
    </row>
    <row r="71" ht="40.5" customHeight="1">
      <c r="A71" s="142" t="n">
        <v>47640584000123</v>
      </c>
      <c r="B71" s="75" t="inlineStr">
        <is>
          <t>47.640.584/0001-23</t>
        </is>
      </c>
      <c r="C71" s="75" t="inlineStr">
        <is>
          <t>Cotas Seniores</t>
        </is>
      </c>
      <c r="D71" s="75" t="inlineStr">
        <is>
          <t>R$1.000,00</t>
        </is>
      </c>
      <c r="E71" s="143" t="n">
        <v>1000</v>
      </c>
      <c r="F71" s="75" t="inlineStr">
        <is>
          <t>preço/valor unitário de emissão</t>
        </is>
      </c>
      <c r="G71" s="75" t="b">
        <v>0</v>
      </c>
      <c r="H71" s="75" t="inlineStr">
        <is>
          <t>regulamento</t>
        </is>
      </c>
      <c r="I71" s="75" t="n">
        <v>930974</v>
      </c>
      <c r="J71" s="75" t="inlineStr">
        <is>
          <t>Regulamento</t>
        </is>
      </c>
      <c r="K71" s="75" t="inlineStr">
        <is>
          <t>13/06/2025</t>
        </is>
      </c>
      <c r="L71" s="75" t="n">
        <v>108</v>
      </c>
      <c r="M71" s="75" t="inlineStr">
        <is>
          <t>encontrado_explicito</t>
        </is>
      </c>
      <c r="N71" s="75" t="b">
        <v>1</v>
      </c>
      <c r="O71" s="75" t="inlineStr">
        <is>
          <t>.cache/carteira_101_document_scan/47640584000123/930974.json.gz</t>
        </is>
      </c>
      <c r="P71" s="75" t="inlineStr">
        <is>
          <t>https://fnet.bmfbovespa.com.br/fnet/publico/downloadDocumento?id=930974</t>
        </is>
      </c>
      <c r="Q71" s="75" t="inlineStr">
        <is>
          <t>ceiro de Responsabilidade Limitada. Montante das Cotas Seniores: R$375.000.000,00 (trezentos e setenta e cinco milhões de reais), na 1ª Data de Integralização das Cotas Seniores da Série descrita neste Apêndice. Valor Unitário de Emissão R$1.000,00 (mil reais), considerado o valor na 1ª Data de Integralização. Quantidade de Cotas Seniores: 375.000 (trezentos e setenta e cinco mil) Cotas Seniores da 1ª (primeira) Série. Montante Mínimo da Oferta: Não há. F</t>
        </is>
      </c>
    </row>
    <row r="72" ht="40.5" customHeight="1">
      <c r="A72" s="138" t="n">
        <v>47936340000192</v>
      </c>
      <c r="B72" s="74" t="inlineStr">
        <is>
          <t>47.936.340/0001-92</t>
        </is>
      </c>
      <c r="C72" s="74" t="inlineStr">
        <is>
          <t>Cotas Seniores</t>
        </is>
      </c>
      <c r="D72" s="74" t="inlineStr">
        <is>
          <t>R$ 1.000,00</t>
        </is>
      </c>
      <c r="E72" s="139" t="n">
        <v>1000</v>
      </c>
      <c r="F72" s="74" t="inlineStr">
        <is>
          <t>preço/valor unitário de emissão</t>
        </is>
      </c>
      <c r="G72" s="74" t="b">
        <v>0</v>
      </c>
      <c r="H72" s="74" t="inlineStr">
        <is>
          <t>regulamento</t>
        </is>
      </c>
      <c r="I72" s="74" t="n">
        <v>801978</v>
      </c>
      <c r="J72" s="74" t="inlineStr">
        <is>
          <t>Regulamento</t>
        </is>
      </c>
      <c r="K72" s="74" t="inlineStr">
        <is>
          <t>12/12/2024</t>
        </is>
      </c>
      <c r="L72" s="74" t="n">
        <v>28</v>
      </c>
      <c r="M72" s="74" t="inlineStr">
        <is>
          <t>encontrado_explicito</t>
        </is>
      </c>
      <c r="N72" s="74" t="b">
        <v>1</v>
      </c>
      <c r="O72" s="74" t="inlineStr">
        <is>
          <t>.cache/carteira_101_document_scan/47936340000192/801978.json.gz</t>
        </is>
      </c>
      <c r="P72" s="74" t="inlineStr">
        <is>
          <t>https://fnet.bmfbovespa.com.br/fnet/publico/downloadDocumento?id=801978</t>
        </is>
      </c>
      <c r="Q72" s="74" t="inlineStr">
        <is>
          <t>vo Suplemento. Todas as Cotas de uma mesma subclasse terão iguais prioridades de Amortização de Principal e pagamentos de Remuneração e Resgate, bem como direitos de voto, observado o disposto neste Capítulo. 3.3. Valor Unitário de Emissão . As Cotas terão Valor Unitário de Emissão de R$ 1.000,00 (mil reais) (“Valor Unitário de Emissão”). 3.4. Investidores. Somente Investidores Profissionais poderão adquirir as Cotas Seniores e somente Investidores Qualificados poderão adquirir as Cotas Subordinadas Mezan</t>
        </is>
      </c>
    </row>
    <row r="73" ht="40.5" customHeight="1">
      <c r="A73" s="142" t="n">
        <v>47936340000192</v>
      </c>
      <c r="B73" s="75" t="inlineStr">
        <is>
          <t>47.936.340/0001-92</t>
        </is>
      </c>
      <c r="C73" s="75" t="inlineStr">
        <is>
          <t>Cotas Subordinadas Mezanino</t>
        </is>
      </c>
      <c r="D73" s="75" t="inlineStr">
        <is>
          <t>R$ 1.000,00</t>
        </is>
      </c>
      <c r="E73" s="143" t="n">
        <v>1000</v>
      </c>
      <c r="F73" s="75" t="inlineStr">
        <is>
          <t>preço/valor unitário de emissão</t>
        </is>
      </c>
      <c r="G73" s="75" t="b">
        <v>0</v>
      </c>
      <c r="H73" s="75" t="inlineStr">
        <is>
          <t>regulamento</t>
        </is>
      </c>
      <c r="I73" s="75" t="n">
        <v>862072</v>
      </c>
      <c r="J73" s="75" t="inlineStr">
        <is>
          <t>regulamento</t>
        </is>
      </c>
      <c r="K73" s="75" t="inlineStr">
        <is>
          <t>2025-03-11</t>
        </is>
      </c>
      <c r="L73" s="75" t="n">
        <v>3</v>
      </c>
      <c r="M73" s="75" t="inlineStr">
        <is>
          <t>encontrado_explicito</t>
        </is>
      </c>
      <c r="N73" s="75" t="b">
        <v>1</v>
      </c>
      <c r="O73" s="75" t="inlineStr">
        <is>
          <t>data/raw/47936340000192/862072_regulamento_regulamento_862072_2025-03-11_2025-03-11.pdf</t>
        </is>
      </c>
      <c r="P73" s="75" t="inlineStr">
        <is>
          <t>https://fnet.bmfbovespa.com.br/fnet/publico/downloadDocumento?id=862072</t>
        </is>
      </c>
      <c r="Q73" s="75" t="inlineStr">
        <is>
          <t>as Cotas Subordinadas Mezanino: Até R$ 147.000.000,00 (cento e quarenta e sete milhões de reais) Quantidade de Cotas Subordinadas Mezanino: Até 147.000 (cento e quarenta e sete mil) Cotas Subordinadas Mezanino Valor Unitário de Emissão: R$ 1.000,00 (mil reais) Forma de Integralização: As Cotas Subordinadas Mezanino serão integralizadas somente pelo Cedente, ou por uma de suas coligadas, controladas, afiliadas ou subsidiárias, respectivamente, em moeda corren</t>
        </is>
      </c>
    </row>
    <row r="74" ht="40.5" customHeight="1">
      <c r="A74" s="138" t="n">
        <v>47936340000192</v>
      </c>
      <c r="B74" s="74" t="inlineStr">
        <is>
          <t>47.936.340/0001-92</t>
        </is>
      </c>
      <c r="C74" s="74" t="inlineStr">
        <is>
          <t>Cotas Seniores</t>
        </is>
      </c>
      <c r="D74" s="74" t="inlineStr">
        <is>
          <t>R$ 1.000,00</t>
        </is>
      </c>
      <c r="E74" s="139" t="n">
        <v>1000</v>
      </c>
      <c r="F74" s="74" t="inlineStr">
        <is>
          <t>valor nominal unitário (VNU)</t>
        </is>
      </c>
      <c r="G74" s="74" t="b">
        <v>0</v>
      </c>
      <c r="H74" s="74" t="inlineStr">
        <is>
          <t>assembleia</t>
        </is>
      </c>
      <c r="I74" s="74" t="n">
        <v>1021066</v>
      </c>
      <c r="J74" s="74" t="inlineStr">
        <is>
          <t>Assembleia AGE Ata da Assembleia</t>
        </is>
      </c>
      <c r="K74" s="74" t="inlineStr">
        <is>
          <t>24/10/2025 23:59</t>
        </is>
      </c>
      <c r="L74" s="74" t="n">
        <v>2</v>
      </c>
      <c r="M74" s="74" t="inlineStr">
        <is>
          <t>encontrado_explicito</t>
        </is>
      </c>
      <c r="N74" s="74" t="b">
        <v>1</v>
      </c>
      <c r="O74" s="74" t="inlineStr">
        <is>
          <t>.cache/carteira_101_document_scan/47936340000192/1021066.json.gz</t>
        </is>
      </c>
      <c r="P74" s="74" t="inlineStr">
        <is>
          <t>https://fnet.bmfbovespa.com.br/fnet/publico/downloadDocumento?id=1021066</t>
        </is>
      </c>
      <c r="Q74" s="74" t="inlineStr">
        <is>
          <t>velope ID: B4C232E0-82A6-4112-8E1E-50C294DAA4B4 - 2 - JUR_SP - 55458547v13 - 1040068.558335 (a) 975.000 (novecentas e setenta e cinco mil) cotas seniores da 4ª (quarta) série do Fundo (“Cotas Seniores I”), com valor nominal unitário de R$ 1.000,00 (mil reais) na data da primeira subscrição e integralização, totalizando o montante de até R$ 975.000.000,00 ( novecentos e setenta e cinco milhões de reais) (“Cotas Seniores I”), e 150.000 (cento e cinquenta mil) c</t>
        </is>
      </c>
    </row>
    <row r="75" ht="40.5" customHeight="1">
      <c r="A75" s="142" t="n">
        <v>47936340000192</v>
      </c>
      <c r="B75" s="75" t="inlineStr">
        <is>
          <t>47.936.340/0001-92</t>
        </is>
      </c>
      <c r="C75" s="75" t="inlineStr">
        <is>
          <t>Cotas Subordinadas Júnior</t>
        </is>
      </c>
      <c r="D75" s="75" t="inlineStr">
        <is>
          <t>R$ 1.000,00</t>
        </is>
      </c>
      <c r="E75" s="143" t="n">
        <v>1000</v>
      </c>
      <c r="F75" s="75" t="inlineStr">
        <is>
          <t>preço/valor unitário de emissão</t>
        </is>
      </c>
      <c r="G75" s="75" t="b">
        <v>0</v>
      </c>
      <c r="H75" s="75" t="inlineStr">
        <is>
          <t>assembleia</t>
        </is>
      </c>
      <c r="I75" s="75" t="n">
        <v>1021066</v>
      </c>
      <c r="J75" s="75" t="inlineStr">
        <is>
          <t>Assembleia AGE Ata da Assembleia</t>
        </is>
      </c>
      <c r="K75" s="75" t="inlineStr">
        <is>
          <t>24/10/2025 23:59</t>
        </is>
      </c>
      <c r="L75" s="75" t="n">
        <v>13</v>
      </c>
      <c r="M75" s="75" t="inlineStr">
        <is>
          <t>encontrado_explicito</t>
        </is>
      </c>
      <c r="N75" s="75" t="b">
        <v>1</v>
      </c>
      <c r="O75" s="75" t="inlineStr">
        <is>
          <t>.cache/carteira_101_document_scan/47936340000192/1021066.json.gz</t>
        </is>
      </c>
      <c r="P75" s="75" t="inlineStr">
        <is>
          <t>https://fnet.bmfbovespa.com.br/fnet/publico/downloadDocumento?id=1021066</t>
        </is>
      </c>
      <c r="Q75" s="75" t="inlineStr">
        <is>
          <t>s: Montante das Cotas Subordinadas Júnior: Até R$ 7.500.000,00 (sete milhões e quinhentos mil reais). Quantidade de Cotas Subordinadas Júnior: Até 7.500 (sete mil e quinhentas) Cotas Subordinadas Júnior. Valor Unitário de Emissão: R$ 1.000,00 (mil reais). Forma de Integralização: As Cotas Subordinadas Júnior da 3ª Emissão serão integralizadas somente pela Gestora, ou por uma de suas coligadas, controladas, afiliadas ou subsidiárias, respectivamente, em</t>
        </is>
      </c>
    </row>
    <row r="76" ht="40.5" customHeight="1">
      <c r="A76" s="138" t="n">
        <v>48313595000161</v>
      </c>
      <c r="B76" s="74" t="inlineStr">
        <is>
          <t>48.313.595/0001-61</t>
        </is>
      </c>
      <c r="C76" s="74" t="inlineStr">
        <is>
          <t>Cotas Seniores</t>
        </is>
      </c>
      <c r="D76" s="74" t="inlineStr">
        <is>
          <t>R$1.000,00</t>
        </is>
      </c>
      <c r="E76" s="139" t="n">
        <v>1000</v>
      </c>
      <c r="F76" s="74" t="inlineStr">
        <is>
          <t>valor nominal unitário (VNU)</t>
        </is>
      </c>
      <c r="G76" s="74" t="b">
        <v>0</v>
      </c>
      <c r="H76" s="74" t="inlineStr">
        <is>
          <t>regulamento</t>
        </is>
      </c>
      <c r="I76" s="74" t="n">
        <v>976737</v>
      </c>
      <c r="J76" s="74" t="inlineStr">
        <is>
          <t>Regulamento</t>
        </is>
      </c>
      <c r="K76" s="74" t="inlineStr">
        <is>
          <t>22/08/2025</t>
        </is>
      </c>
      <c r="L76" s="74" t="n">
        <v>5</v>
      </c>
      <c r="M76" s="74" t="inlineStr">
        <is>
          <t>encontrado_explicito</t>
        </is>
      </c>
      <c r="N76" s="74" t="b">
        <v>1</v>
      </c>
      <c r="O76" s="74" t="inlineStr">
        <is>
          <t>.cache/carteira_101_document_scan/48313595000161/976737.json.gz</t>
        </is>
      </c>
      <c r="P76" s="74" t="inlineStr">
        <is>
          <t>https://fnet.bmfbovespa.com.br/fnet/publico/downloadDocumento?id=976737</t>
        </is>
      </c>
      <c r="Q76" s="74" t="inlineStr">
        <is>
          <t>1ª Série de Cotas Seniores; (ii) Quantidade de Cotas Seniores: 400.000 (quatrocentas mil) Cotas Seniores; (iii) Percentual sobre a quantidade total de Cotas emitidas pelo Fundo: 80% (oitenta por cento); (iv) Valor Nominal Unitário: R$1.000,00 (mil reais), na respectiva data de emissão; (v) Valor Total de Emissão: R$400.000.000,00 (quatrocentos milhões de reais); (vi) Coordenador Líder: Banco Itaú BBA S.A.; (vii) Período de Carência: Sem carência;</t>
        </is>
      </c>
    </row>
    <row r="77" ht="40.5" customHeight="1">
      <c r="A77" s="142" t="n">
        <v>48313595000161</v>
      </c>
      <c r="B77" s="75" t="inlineStr">
        <is>
          <t>48.313.595/0001-61</t>
        </is>
      </c>
      <c r="C77" s="75" t="inlineStr">
        <is>
          <t>Cotas Subordinadas Mezanino</t>
        </is>
      </c>
      <c r="D77" s="75" t="inlineStr">
        <is>
          <t>R$1.000,00</t>
        </is>
      </c>
      <c r="E77" s="143" t="n">
        <v>1000</v>
      </c>
      <c r="F77" s="75" t="inlineStr">
        <is>
          <t>valor nominal unitário (VNU)</t>
        </is>
      </c>
      <c r="G77" s="75" t="b">
        <v>0</v>
      </c>
      <c r="H77" s="75" t="inlineStr">
        <is>
          <t>regulamento</t>
        </is>
      </c>
      <c r="I77" s="75" t="n">
        <v>976737</v>
      </c>
      <c r="J77" s="75" t="inlineStr">
        <is>
          <t>Regulamento</t>
        </is>
      </c>
      <c r="K77" s="75" t="inlineStr">
        <is>
          <t>22/08/2025</t>
        </is>
      </c>
      <c r="L77" s="75" t="n">
        <v>7</v>
      </c>
      <c r="M77" s="75" t="inlineStr">
        <is>
          <t>encontrado_explicito</t>
        </is>
      </c>
      <c r="N77" s="75" t="b">
        <v>1</v>
      </c>
      <c r="O77" s="75" t="inlineStr">
        <is>
          <t>.cache/carteira_101_document_scan/48313595000161/976737.json.gz</t>
        </is>
      </c>
      <c r="P77" s="75" t="inlineStr">
        <is>
          <t>https://fnet.bmfbovespa.com.br/fnet/publico/downloadDocumento?id=976737</t>
        </is>
      </c>
      <c r="Q77" s="75" t="inlineStr">
        <is>
          <t>(ii) Quantidade de Cotas Subordinadas Mezanino: 400.000 (quatrocentas mil) Cotas Subordinadas Mezanino; (iii) Percentual sobre a quantidade total de Cotas emitidas pelo Fundo: 80% (oitenta por cento); (iv) Valor Nominal Unitário: R$1.000,00 (mil reais), na respectiva data de emissão; (v) Valor Total de Emissão: R$400.000.000,00 (quatrocentos milhões de reais); (vi) Coordenador Líder: Banco Itaú BBA S.A.; (vii) Período de Carência: Sem carência;</t>
        </is>
      </c>
    </row>
    <row r="78" ht="40.5" customHeight="1">
      <c r="A78" s="138" t="n">
        <v>48946335000123</v>
      </c>
      <c r="B78" s="74" t="inlineStr">
        <is>
          <t>48.946.335/0001-23</t>
        </is>
      </c>
      <c r="C78" s="74" t="inlineStr">
        <is>
          <t>Cotas Subordinadas Júnior</t>
        </is>
      </c>
      <c r="D78" s="74" t="inlineStr">
        <is>
          <t>R$ 1.000,00</t>
        </is>
      </c>
      <c r="E78" s="139" t="n">
        <v>1000</v>
      </c>
      <c r="F78" s="74" t="inlineStr">
        <is>
          <t>preço/valor unitário de emissão</t>
        </is>
      </c>
      <c r="G78" s="74" t="b">
        <v>0</v>
      </c>
      <c r="H78" s="74" t="inlineStr">
        <is>
          <t>regulamento</t>
        </is>
      </c>
      <c r="I78" s="74" t="n">
        <v>1000248</v>
      </c>
      <c r="J78" s="74" t="inlineStr">
        <is>
          <t>Regulamento</t>
        </is>
      </c>
      <c r="K78" s="74" t="inlineStr">
        <is>
          <t>29/09/2025</t>
        </is>
      </c>
      <c r="L78" s="74" t="n">
        <v>48</v>
      </c>
      <c r="M78" s="74" t="inlineStr">
        <is>
          <t>encontrado_explicito</t>
        </is>
      </c>
      <c r="N78" s="74" t="b">
        <v>1</v>
      </c>
      <c r="O78" s="74" t="inlineStr">
        <is>
          <t>.cache/carteira_101_document_scan/48946335000123/1000248.json.gz</t>
        </is>
      </c>
      <c r="P78" s="74" t="inlineStr">
        <is>
          <t>https://fnet.bmfbovespa.com.br/fnet/publico/downloadDocumento?id=1000248</t>
        </is>
      </c>
      <c r="Q78" s="74" t="inlineStr">
        <is>
          <t>recebimento de amortização, resgate, pagamento de juros e/ou qualquer tipo de rendimento e/ou benefício em relação às Cotas Subordinadas Mezanino, às Cotas Subordinadas Júnior A e às Cotas Subordinadas Júnior B; iii. valor unitário de emissão de R$ 1.000,00 (mil reais), sendo que as Cotas Seniores B distribuídas posteriormente terão seu valor unitário de emissão calculado todo Dia Útil, para efeito de deﬁnição de seu valor de integralização, amortização ou resgate, obse</t>
        </is>
      </c>
    </row>
    <row r="79" ht="40.5" customHeight="1">
      <c r="A79" s="142" t="n">
        <v>48946335000123</v>
      </c>
      <c r="B79" s="75" t="inlineStr">
        <is>
          <t>48.946.335/0001-23</t>
        </is>
      </c>
      <c r="C79" s="75" t="inlineStr">
        <is>
          <t>Cotas Subordinadas mezanino</t>
        </is>
      </c>
      <c r="D79" s="75" t="inlineStr">
        <is>
          <t>R$ 1.000,00</t>
        </is>
      </c>
      <c r="E79" s="143" t="n">
        <v>1000</v>
      </c>
      <c r="F79" s="75" t="inlineStr">
        <is>
          <t>preço/valor unitário de emissão</t>
        </is>
      </c>
      <c r="G79" s="75" t="b">
        <v>0</v>
      </c>
      <c r="H79" s="75" t="inlineStr">
        <is>
          <t>regulamento</t>
        </is>
      </c>
      <c r="I79" s="75" t="n">
        <v>1000248</v>
      </c>
      <c r="J79" s="75" t="inlineStr">
        <is>
          <t>Regulamento</t>
        </is>
      </c>
      <c r="K79" s="75" t="inlineStr">
        <is>
          <t>29/09/2025</t>
        </is>
      </c>
      <c r="L79" s="75" t="n">
        <v>49</v>
      </c>
      <c r="M79" s="75" t="inlineStr">
        <is>
          <t>encontrado_explicito</t>
        </is>
      </c>
      <c r="N79" s="75" t="b">
        <v>1</v>
      </c>
      <c r="O79" s="75" t="inlineStr">
        <is>
          <t>.cache/carteira_101_document_scan/48946335000123/1000248.json.gz</t>
        </is>
      </c>
      <c r="P79" s="75" t="inlineStr">
        <is>
          <t>https://fnet.bmfbovespa.com.br/fnet/publico/downloadDocumento?id=1000248</t>
        </is>
      </c>
      <c r="Q79" s="75" t="inlineStr">
        <is>
          <t>mente poderão ser resgatadas após o resgate integral das Cotas Sênior A e das Cotas Sênior B em circulação; III. admite-se que sua integralização, amortização e resgate sejam efetuados em Direitos Creditórios; IV. valor unitário de emissão de R$ 1.000,00 (mil reais), sendo que as Cotas Subordinadas Mezanino distribuídas posteriormente terão seu valor unitário de emissão calculado todo Dia Útil, para efeito de deﬁnição de seu valor de integralização, amortização ou res</t>
        </is>
      </c>
    </row>
    <row r="80" ht="40.5" customHeight="1">
      <c r="A80" s="138" t="n">
        <v>48946335000123</v>
      </c>
      <c r="B80" s="74" t="inlineStr">
        <is>
          <t>48.946.335/0001-23</t>
        </is>
      </c>
      <c r="C80" s="74" t="inlineStr">
        <is>
          <t>Cotas Seniores</t>
        </is>
      </c>
      <c r="D80" s="74" t="inlineStr">
        <is>
          <t>R$ 1.000</t>
        </is>
      </c>
      <c r="E80" s="139" t="n">
        <v>1000</v>
      </c>
      <c r="F80" s="74" t="inlineStr">
        <is>
          <t>preço/valor unitário de emissão</t>
        </is>
      </c>
      <c r="G80" s="74" t="b">
        <v>0</v>
      </c>
      <c r="H80" s="74" t="inlineStr">
        <is>
          <t>emissao</t>
        </is>
      </c>
      <c r="I80" s="74" t="n">
        <v>737336</v>
      </c>
      <c r="J80" s="74" t="inlineStr">
        <is>
          <t>Atos de Deliberação do Administrador Instrumento Particular de Emissão de Cotas</t>
        </is>
      </c>
      <c r="K80" s="74" t="inlineStr">
        <is>
          <t>12/09/2024</t>
        </is>
      </c>
      <c r="L80" s="74" t="n">
        <v>4</v>
      </c>
      <c r="M80" s="74" t="inlineStr">
        <is>
          <t>encontrado_explicito</t>
        </is>
      </c>
      <c r="N80" s="74" t="b">
        <v>1</v>
      </c>
      <c r="O80" s="74" t="inlineStr">
        <is>
          <t>.cache/carteira_101_document_scan/48946335000123/737336.json.gz</t>
        </is>
      </c>
      <c r="P80" s="74" t="inlineStr">
        <is>
          <t>https://fnet.bmfbovespa.com.br/fnet/publico/downloadDocumento?id=737336</t>
        </is>
      </c>
      <c r="Q80" s="74" t="inlineStr">
        <is>
          <t>nto do Fundo. 3. Meta de Rentabilidade: 100% da variação da Taxa DI, acrescida de spread de 3,25 % (três e vinte e cinco por cento) ao ano. 4. Data de Emissão: 26/08/2024 5. Quantidade de cotas: 39.850 6. Valor Unitário de Emissão: O preço de emissão das Cotas será de R$ 1.000 (mil reais), podendo ser alterado considerando a cotização (“Preço de Emissão das Cotas”). 7. Valor Total da Emissão: R$ 39.850.000,00 (trinta e nove milhões oitocentos e cinquenta mil reais). 8. Distribuição e</t>
        </is>
      </c>
    </row>
    <row r="81" ht="40.5" customHeight="1">
      <c r="A81" s="142" t="n">
        <v>48946335000123</v>
      </c>
      <c r="B81" s="75" t="inlineStr">
        <is>
          <t>48.946.335/0001-23</t>
        </is>
      </c>
      <c r="C81" s="75" t="inlineStr">
        <is>
          <t>Cotas Subordinadas Júnior</t>
        </is>
      </c>
      <c r="D81" s="75" t="inlineStr">
        <is>
          <t>R$ 1.000</t>
        </is>
      </c>
      <c r="E81" s="143" t="n">
        <v>1000</v>
      </c>
      <c r="F81" s="75" t="inlineStr">
        <is>
          <t>preço/valor unitário de emissão</t>
        </is>
      </c>
      <c r="G81" s="75" t="b">
        <v>0</v>
      </c>
      <c r="H81" s="75" t="inlineStr">
        <is>
          <t>emissao</t>
        </is>
      </c>
      <c r="I81" s="75" t="n">
        <v>737336</v>
      </c>
      <c r="J81" s="75" t="inlineStr">
        <is>
          <t>Atos de Deliberação do Administrador Instrumento Particular de Emissão de Cotas</t>
        </is>
      </c>
      <c r="K81" s="75" t="inlineStr">
        <is>
          <t>12/09/2024</t>
        </is>
      </c>
      <c r="L81" s="75" t="n">
        <v>19</v>
      </c>
      <c r="M81" s="75" t="inlineStr">
        <is>
          <t>encontrado_explicito</t>
        </is>
      </c>
      <c r="N81" s="75" t="b">
        <v>1</v>
      </c>
      <c r="O81" s="75" t="inlineStr">
        <is>
          <t>.cache/carteira_101_document_scan/48946335000123/737336.json.gz</t>
        </is>
      </c>
      <c r="P81" s="75" t="inlineStr">
        <is>
          <t>https://fnet.bmfbovespa.com.br/fnet/publico/downloadDocumento?id=737336</t>
        </is>
      </c>
      <c r="Q81" s="75" t="inlineStr">
        <is>
          <t>gulamento do Fundo. 3. Meta de Rentabilidade: 100% da variação da Taxa DI, acrescida de spread de 10,75% (dez e setenta e cinco por cento). 4. Data de Emissão: 26/08/2024 5. Quantidade de cotas: 5.000 6. Valor Unitário de Emissão: O preço de emissão das Cotas será de R$ 1.000 (mil reais), podendo ser alterado considerando a cotização (“Preço de Emissão das Cotas”). 7. Valor Total da Emissão: R$ 5.000.000,00 (cinco milhões de reais). 8. Distribuição e Negociação: As Cotas Subordinada</t>
        </is>
      </c>
    </row>
    <row r="82" ht="40.5" customHeight="1">
      <c r="A82" s="138" t="n">
        <v>48946335000123</v>
      </c>
      <c r="B82" s="74" t="inlineStr">
        <is>
          <t>48.946.335/0001-23</t>
        </is>
      </c>
      <c r="C82" s="74" t="inlineStr">
        <is>
          <t>Cotas Subordinadas Mezanino</t>
        </is>
      </c>
      <c r="D82" s="74" t="inlineStr">
        <is>
          <t>R$ 1.000</t>
        </is>
      </c>
      <c r="E82" s="139" t="n">
        <v>1000</v>
      </c>
      <c r="F82" s="74" t="inlineStr">
        <is>
          <t>preço/valor unitário de emissão</t>
        </is>
      </c>
      <c r="G82" s="74" t="b">
        <v>0</v>
      </c>
      <c r="H82" s="74" t="inlineStr">
        <is>
          <t>emissao</t>
        </is>
      </c>
      <c r="I82" s="74" t="n">
        <v>737336</v>
      </c>
      <c r="J82" s="74" t="inlineStr">
        <is>
          <t>Atos de Deliberação do Administrador Instrumento Particular de Emissão de Cotas</t>
        </is>
      </c>
      <c r="K82" s="74" t="inlineStr">
        <is>
          <t>12/09/2024</t>
        </is>
      </c>
      <c r="L82" s="74" t="n">
        <v>13</v>
      </c>
      <c r="M82" s="74" t="inlineStr">
        <is>
          <t>encontrado_explicito</t>
        </is>
      </c>
      <c r="N82" s="74" t="b">
        <v>1</v>
      </c>
      <c r="O82" s="74" t="inlineStr">
        <is>
          <t>.cache/carteira_101_document_scan/48946335000123/737336.json.gz</t>
        </is>
      </c>
      <c r="P82" s="74" t="inlineStr">
        <is>
          <t>https://fnet.bmfbovespa.com.br/fnet/publico/downloadDocumento?id=737336</t>
        </is>
      </c>
      <c r="Q82" s="74" t="inlineStr">
        <is>
          <t>o aplicável e do Regulamento do Fundo. 3. Meta de Rentabilidade: 100% da variação da Taxa DI, acrescida de spread de 6 % (seis por cento). 4. Data de Emissão: 26/08/2024. 5. Quantidade de cotas: 7.400 6. Valor Unitário de Emissão: O preço de emissão das Cotas será de R$ 1.000 (mil reais), podendo ser alterado considerando a cotização (“Preço de Emissão das Cotas”). 7. Valor Total da Emissão: R$ 7.400.000,00 (sete milhões e quatrocentos mil reais) 8. Distribuição e Negociação: As Cotas</t>
        </is>
      </c>
    </row>
    <row r="83" ht="40.5" customHeight="1">
      <c r="A83" s="142" t="n">
        <v>48953864000154</v>
      </c>
      <c r="B83" s="75" t="inlineStr">
        <is>
          <t>48.953.864/0001-54</t>
        </is>
      </c>
      <c r="C83" s="75" t="inlineStr">
        <is>
          <t>Cotas Seniores</t>
        </is>
      </c>
      <c r="D83" s="75" t="inlineStr">
        <is>
          <t>R$1.000,00</t>
        </is>
      </c>
      <c r="E83" s="143" t="n">
        <v>1000</v>
      </c>
      <c r="F83" s="75" t="inlineStr">
        <is>
          <t>valor nominal unitário (VNU)</t>
        </is>
      </c>
      <c r="G83" s="75" t="b">
        <v>0</v>
      </c>
      <c r="H83" s="75" t="inlineStr">
        <is>
          <t>regulamento</t>
        </is>
      </c>
      <c r="I83" s="75" t="n">
        <v>473796</v>
      </c>
      <c r="J83" s="75" t="inlineStr">
        <is>
          <t>Regulamento</t>
        </is>
      </c>
      <c r="K83" s="75" t="inlineStr">
        <is>
          <t>01/06/2023</t>
        </is>
      </c>
      <c r="L83" s="75" t="n">
        <v>100</v>
      </c>
      <c r="M83" s="75" t="inlineStr">
        <is>
          <t>encontrado_explicito</t>
        </is>
      </c>
      <c r="N83" s="75" t="b">
        <v>1</v>
      </c>
      <c r="O83" s="75" t="inlineStr">
        <is>
          <t>.cache/carteira_101_document_scan/48953864000154/473796.json.gz</t>
        </is>
      </c>
      <c r="P83" s="75" t="inlineStr">
        <is>
          <t>https://fnet.bmfbovespa.com.br/fnet/publico/downloadDocumento?id=473796</t>
        </is>
      </c>
      <c r="Q83" s="75" t="inlineStr">
        <is>
          <t>Montante da 1ª (primeira) Série de Cotas Seniores: R$ 42.500.000,00 (quarenta e dois milhões e quinhentos mil reais); (ii) Quantidade de Cotas Seniores da 1ª (primeira) Série: 42.500 (quarenta e duas mil); (iii) Valor Nominal Unitário: R$1.000,00 (mil reais); (iv) Data de Emissão: a data da primeira integralização de Cotas Seniores; (v) Data de Resgate : 2 (dois) anos contados da primeira data de integralização de Cotas Seniores; (vi) Benchmark Alvo: 1</t>
        </is>
      </c>
    </row>
    <row r="84" ht="40.5" customHeight="1">
      <c r="A84" s="138" t="n">
        <v>48967719000122</v>
      </c>
      <c r="B84" s="74" t="inlineStr">
        <is>
          <t>48.967.719/0001-22</t>
        </is>
      </c>
      <c r="C84" s="74" t="inlineStr">
        <is>
          <t>Cotas Seniores</t>
        </is>
      </c>
      <c r="D84" s="74" t="inlineStr">
        <is>
          <t>R$1.000,00</t>
        </is>
      </c>
      <c r="E84" s="139" t="n">
        <v>1000</v>
      </c>
      <c r="F84" s="74" t="inlineStr">
        <is>
          <t>valor nominal unitário (VNU)</t>
        </is>
      </c>
      <c r="G84" s="74" t="b">
        <v>0</v>
      </c>
      <c r="H84" s="74" t="inlineStr">
        <is>
          <t>emissao</t>
        </is>
      </c>
      <c r="I84" s="74" t="n">
        <v>445363</v>
      </c>
      <c r="J84" s="74" t="inlineStr">
        <is>
          <t>Atos de Deliberação do Administrador Instrumento Particular de Emissão de Cotas</t>
        </is>
      </c>
      <c r="K84" s="74" t="inlineStr">
        <is>
          <t>12/04/2023</t>
        </is>
      </c>
      <c r="L84" s="74" t="n">
        <v>2</v>
      </c>
      <c r="M84" s="74" t="inlineStr">
        <is>
          <t>encontrado_explicito</t>
        </is>
      </c>
      <c r="N84" s="74" t="b">
        <v>1</v>
      </c>
      <c r="O84" s="74" t="inlineStr">
        <is>
          <t>.cache/carteira_101_document_scan/48967719000122/445363.json.gz</t>
        </is>
      </c>
      <c r="P84" s="74" t="inlineStr">
        <is>
          <t>https://fnet.bmfbovespa.com.br/fnet/publico/downloadDocumento?id=445363</t>
        </is>
      </c>
      <c r="Q84" s="74" t="inlineStr">
        <is>
          <t>seguintes características: (i) Montante da 1ª (primeira) Emissão de Cotas Subordinadas: R$10.000.000,00 (dez milhões de reais); (ii) Quantidade de Cotas Seniores da 1ª (primeira) Série: 10.000 (dez mil); (iii) Valor Nominal Unitário: R$1.000,00 (mil reais); (iv) Data de Emissão: a data da primeira integralização de Cotas Subordinadas; (v) Data de Resgate: na data de encerramento do Fundo; (vi) Forma de Integralização: À vista, no ato de subscrição, pe</t>
        </is>
      </c>
    </row>
    <row r="85" ht="40.5" customHeight="1">
      <c r="A85" s="142" t="n">
        <v>49113994000141</v>
      </c>
      <c r="B85" s="75" t="inlineStr">
        <is>
          <t>49.113.994/0001-41</t>
        </is>
      </c>
      <c r="C85" s="75" t="inlineStr">
        <is>
          <t>Cotas Subordinadas Júnior</t>
        </is>
      </c>
      <c r="D85" s="75" t="inlineStr">
        <is>
          <t>R$ 1.000,00</t>
        </is>
      </c>
      <c r="E85" s="143" t="n">
        <v>1000</v>
      </c>
      <c r="F85" s="75" t="inlineStr">
        <is>
          <t>preço/valor unitário de emissão</t>
        </is>
      </c>
      <c r="G85" s="75" t="b">
        <v>0</v>
      </c>
      <c r="H85" s="75" t="inlineStr">
        <is>
          <t>regulamento</t>
        </is>
      </c>
      <c r="I85" s="75" t="n">
        <v>788104</v>
      </c>
      <c r="J85" s="75" t="inlineStr">
        <is>
          <t>Regulamento</t>
        </is>
      </c>
      <c r="K85" s="75" t="inlineStr">
        <is>
          <t>22/11/2024</t>
        </is>
      </c>
      <c r="L85" s="75" t="n">
        <v>50</v>
      </c>
      <c r="M85" s="75" t="inlineStr">
        <is>
          <t>encontrado_explicito</t>
        </is>
      </c>
      <c r="N85" s="75" t="b">
        <v>1</v>
      </c>
      <c r="O85" s="75" t="inlineStr">
        <is>
          <t>.cache/carteira_101_document_scan/49113994000141/788104.json.gz</t>
        </is>
      </c>
      <c r="P85" s="75" t="inlineStr">
        <is>
          <t>https://fnet.bmfbovespa.com.br/fnet/publico/downloadDocumento?id=788104</t>
        </is>
      </c>
      <c r="Q85" s="75" t="inlineStr">
        <is>
          <t>da Subclasse de Cotas Subordinadas Júnior, deve ser utilizado o valor da Cota em vigor no mesmo Dia Útil da data do pagamento do resgate, calculado na forma do Capítulo 16 abaixo. 14.15. As Cotas do FUNDO terão o valor unitário de emissão de R$ 1.000,00 (um mil reais) cada, na data da 1ª (primeira) integralização de Cotas. 14.15.1. Na subscrição e integralização das Cotas em data diversa da primeira integralização da referida Classe de Cotas será utilizado o valo</t>
        </is>
      </c>
    </row>
    <row r="86" ht="40.5" customHeight="1">
      <c r="A86" s="138" t="n">
        <v>50089559000108</v>
      </c>
      <c r="B86" s="74" t="inlineStr">
        <is>
          <t>50.089.559/0001-08</t>
        </is>
      </c>
      <c r="C86" s="74" t="inlineStr">
        <is>
          <t>Cotas Subordinadas Júnior</t>
        </is>
      </c>
      <c r="D86" s="74" t="inlineStr">
        <is>
          <t>R$1.000,00</t>
        </is>
      </c>
      <c r="E86" s="139" t="n">
        <v>1000</v>
      </c>
      <c r="F86" s="74" t="inlineStr">
        <is>
          <t>valor nominal unitário (VNU)</t>
        </is>
      </c>
      <c r="G86" s="74" t="b">
        <v>0</v>
      </c>
      <c r="H86" s="74" t="inlineStr">
        <is>
          <t>assembleia</t>
        </is>
      </c>
      <c r="I86" s="74" t="n">
        <v>789349</v>
      </c>
      <c r="J86" s="74" t="inlineStr">
        <is>
          <t>Assembleia AGE Ata da Assembleia</t>
        </is>
      </c>
      <c r="K86" s="74" t="inlineStr">
        <is>
          <t>27/11/2024 11:00</t>
        </is>
      </c>
      <c r="L86" s="74" t="n">
        <v>8</v>
      </c>
      <c r="M86" s="74" t="inlineStr">
        <is>
          <t>encontrado_explicito</t>
        </is>
      </c>
      <c r="N86" s="74" t="b">
        <v>1</v>
      </c>
      <c r="O86" s="74" t="inlineStr">
        <is>
          <t>.cache/carteira_101_document_scan/50089559000108/789349.json.gz</t>
        </is>
      </c>
      <c r="P86" s="74" t="inlineStr">
        <is>
          <t>https://fnet.bmfbovespa.com.br/fnet/publico/downloadDocumento?id=789349</t>
        </is>
      </c>
      <c r="Q86" s="74" t="inlineStr">
        <is>
          <t>ilhões de reais) para as Cotas Sênior, R$ 1.900.000,00 (um milhão e novecentos mil reais) para as Cotas Subordinadas Mezanino e R$ 2.000.000,00 (dois milhões de reais) para as Cotas Subordinadas Júnior, considerando o valor nominal unitário de R$1.000,00 (mil reais) na 1ª Data de Integralização. 9. Intermediário Líder da Oferta: BANCO FATOR S.A., instituição financeira, com sede na Cidade de São Paulo, Estado de São Paulo, na Rua Doutor Renato Paes de Barros, 1017,</t>
        </is>
      </c>
    </row>
    <row r="87" ht="40.5" customHeight="1">
      <c r="A87" s="142" t="n">
        <v>50098465000103</v>
      </c>
      <c r="B87" s="75" t="inlineStr">
        <is>
          <t>50.098.465/0001-03</t>
        </is>
      </c>
      <c r="C87" s="75" t="inlineStr">
        <is>
          <t>N/D</t>
        </is>
      </c>
      <c r="D87" s="75" t="inlineStr">
        <is>
          <t>R$1.000,00</t>
        </is>
      </c>
      <c r="E87" s="143" t="n">
        <v>1000</v>
      </c>
      <c r="F87" s="75" t="inlineStr">
        <is>
          <t>preço/valor unitário de emissão</t>
        </is>
      </c>
      <c r="G87" s="75" t="b">
        <v>1</v>
      </c>
      <c r="H87" s="75" t="inlineStr">
        <is>
          <t>regulamento</t>
        </is>
      </c>
      <c r="I87" s="75" t="n">
        <v>690567</v>
      </c>
      <c r="J87" s="75" t="inlineStr">
        <is>
          <t>Regulamento</t>
        </is>
      </c>
      <c r="K87" s="75" t="inlineStr">
        <is>
          <t>01/07/2024</t>
        </is>
      </c>
      <c r="L87" s="75" t="n">
        <v>103</v>
      </c>
      <c r="M87" s="75" t="inlineStr">
        <is>
          <t>encontrado_explicito</t>
        </is>
      </c>
      <c r="N87" s="75" t="b">
        <v>1</v>
      </c>
      <c r="O87" s="75" t="inlineStr">
        <is>
          <t>.cache/carteira_101_document_scan/50098465000103/690567.json.gz</t>
        </is>
      </c>
      <c r="P87" s="75" t="inlineStr">
        <is>
          <t>https://fnet.bmfbovespa.com.br/fnet/publico/downloadDocumento?id=690567</t>
        </is>
      </c>
      <c r="Q87" s="75" t="inlineStr">
        <is>
          <t>zação e/ou resgate em relação às Quotas Subordinadas Mezanino e às Quotas Subordinadas Juniores, observado o disposto neste Anexo; II. serão amortizadas e resgatadas conforme o disposto na Cláusula 13 acima; III. Valor Unitário de Emissão de R$1.000,00 (um mil reais) , para a primeira emissão de Quotas Seniores, observado que novas emissões de Quotas Seniores deverão observar o previsto no item 2.5 abaixo; APÊNDICE DA SUBCLASSE DE QUOTAS SENIORES DA CLASSE ÚNIC</t>
        </is>
      </c>
    </row>
    <row r="88" ht="40.5" customHeight="1">
      <c r="A88" s="138" t="n">
        <v>50473039000102</v>
      </c>
      <c r="B88" s="74" t="inlineStr">
        <is>
          <t>50.473.039/0001-02</t>
        </is>
      </c>
      <c r="C88" s="74" t="inlineStr">
        <is>
          <t>Cotas Seniores</t>
        </is>
      </c>
      <c r="D88" s="74" t="inlineStr">
        <is>
          <t>R$ 1.000,00</t>
        </is>
      </c>
      <c r="E88" s="139" t="n">
        <v>1000</v>
      </c>
      <c r="F88" s="74" t="inlineStr">
        <is>
          <t>valor nominal unitário (VNU)</t>
        </is>
      </c>
      <c r="G88" s="74" t="b">
        <v>0</v>
      </c>
      <c r="H88" s="74" t="inlineStr">
        <is>
          <t>regulamento</t>
        </is>
      </c>
      <c r="I88" s="74" t="n">
        <v>909547</v>
      </c>
      <c r="J88" s="74" t="inlineStr">
        <is>
          <t>regulamento</t>
        </is>
      </c>
      <c r="K88" s="74" t="inlineStr">
        <is>
          <t>2025-05-19</t>
        </is>
      </c>
      <c r="L88" s="74" t="n">
        <v>150</v>
      </c>
      <c r="M88" s="74" t="inlineStr">
        <is>
          <t>encontrado_explicito</t>
        </is>
      </c>
      <c r="N88" s="74" t="b">
        <v>1</v>
      </c>
      <c r="O88" s="74" t="inlineStr">
        <is>
          <t>data/raw/50473039000102/909547_regulamento_regulamento_909547_2025-05-19_2025-05-19.pdf</t>
        </is>
      </c>
      <c r="P88" s="74" t="inlineStr">
        <is>
          <t>https://fnet.bmfbovespa.com.br/fnet/publico/downloadDocumento?id=909547</t>
        </is>
      </c>
      <c r="Q88" s="74" t="inlineStr">
        <is>
          <t>Seniores da 5ª (quinta) Série de Cotas Seniores multiplicado pelo Valor Nominal Unitário de Emissão); Quantidade de Cotas Seniores da 5ª (quinta) Série 1.500.000 (um milhão e quinhent as mil) Cotas Seniores; Valor Nominal Unitário de Emissão: R$ 1.000,00 (mil reais); Forma de Integralização: à vista na respectiva data de integralização e/ou conforme chamada de capital, nos termos dispostos no boletim de subscrição; Data de Emissão da 5ª (quinta) Série de Cot</t>
        </is>
      </c>
    </row>
    <row r="89" ht="40.5" customHeight="1">
      <c r="A89" s="142" t="n">
        <v>50473039000102</v>
      </c>
      <c r="B89" s="75" t="inlineStr">
        <is>
          <t>50.473.039/0001-02</t>
        </is>
      </c>
      <c r="C89" s="75" t="inlineStr">
        <is>
          <t>Cotas Seniores</t>
        </is>
      </c>
      <c r="D89" s="75" t="inlineStr">
        <is>
          <t>R$1.000,00</t>
        </is>
      </c>
      <c r="E89" s="143" t="n">
        <v>1000</v>
      </c>
      <c r="F89" s="75" t="inlineStr">
        <is>
          <t>preço/valor unitário de emissão</t>
        </is>
      </c>
      <c r="G89" s="75" t="b">
        <v>0</v>
      </c>
      <c r="H89" s="75" t="inlineStr">
        <is>
          <t>emissao</t>
        </is>
      </c>
      <c r="I89" s="75" t="n">
        <v>932137</v>
      </c>
      <c r="J89" s="75" t="inlineStr">
        <is>
          <t>Oferta Pública de Distribuição de Cotas Anúncio de Encerramento</t>
        </is>
      </c>
      <c r="K89" s="75" t="inlineStr">
        <is>
          <t>04/06/2025</t>
        </is>
      </c>
      <c r="L89" s="75" t="n">
        <v>2</v>
      </c>
      <c r="M89" s="75" t="inlineStr">
        <is>
          <t>encontrado_explicito</t>
        </is>
      </c>
      <c r="N89" s="75" t="b">
        <v>1</v>
      </c>
      <c r="O89" s="75" t="inlineStr">
        <is>
          <t>.cache/carteira_101_document_scan/50473039000102/932137.json.gz</t>
        </is>
      </c>
      <c r="P89" s="75" t="inlineStr">
        <is>
          <t>https://fnet.bmfbovespa.com.br/fnet/publico/downloadDocumento?id=932137</t>
        </is>
      </c>
      <c r="Q89" s="75" t="inlineStr">
        <is>
          <t>Resolução CVM 160, de 1.500.000 (um milhão e quinhentos mil ) de cotas seniores da 5ª (quinta) série (" Cotas Seniores da 5ª Série" ou “Cotas Seniores”) da 3ª (terceira) emissão, todas nominativas e escriturais, com valor unitário de emissão de R$1.000,00 (mil reais) por Cota Sênior da 5ª Série, perfazendo o montante de: R$1.500.000.000,00 (um bilhão e quinhentos milhões de reais) Exceto quando especificamente definidos neste Anúncio de Encerramento, os termos aq</t>
        </is>
      </c>
    </row>
    <row r="90" ht="40.5" customHeight="1">
      <c r="A90" s="138" t="n">
        <v>50536324000117</v>
      </c>
      <c r="B90" s="74" t="inlineStr">
        <is>
          <t>50.536.324/0001-17</t>
        </is>
      </c>
      <c r="C90" s="74" t="inlineStr">
        <is>
          <t>N/D</t>
        </is>
      </c>
      <c r="D90" s="74" t="inlineStr">
        <is>
          <t>R$ 1.000,00</t>
        </is>
      </c>
      <c r="E90" s="139" t="n">
        <v>1000</v>
      </c>
      <c r="F90" s="74" t="inlineStr">
        <is>
          <t>preço/valor unitário de emissão</t>
        </is>
      </c>
      <c r="G90" s="74" t="b">
        <v>1</v>
      </c>
      <c r="H90" s="74" t="inlineStr">
        <is>
          <t>regulamento</t>
        </is>
      </c>
      <c r="I90" s="74" t="n">
        <v>756476</v>
      </c>
      <c r="J90" s="74" t="inlineStr">
        <is>
          <t>Regulamento</t>
        </is>
      </c>
      <c r="K90" s="74" t="inlineStr">
        <is>
          <t>09/10/2024</t>
        </is>
      </c>
      <c r="L90" s="74" t="n">
        <v>29</v>
      </c>
      <c r="M90" s="74" t="inlineStr">
        <is>
          <t>encontrado_explicito</t>
        </is>
      </c>
      <c r="N90" s="74" t="b">
        <v>1</v>
      </c>
      <c r="O90" s="74" t="inlineStr">
        <is>
          <t>.cache/carteira_101_document_scan/50536324000117/756476.json.gz</t>
        </is>
      </c>
      <c r="P90" s="74" t="inlineStr">
        <is>
          <t>https://fnet.bmfbovespa.com.br/fnet/publico/downloadDocumento?id=756476</t>
        </is>
      </c>
      <c r="Q90" s="74" t="inlineStr">
        <is>
          <t>do pela B3 em nome de cada Cotista quando as Cotas estiverem custodiadas, registradas e/ou depositadas eletronicamente na B3. 6.1.4 Somente Investidores Autorizados poderão adquirir as Cotas. 6.1.5 As Cotas terão Valor Unitário de Emissão de R$ 1.000,00 (mil reais). 6.1.6 Após a respectiva 1ª Data de Integralização de Cotas, as Cotas terão seu valor unitário apurado na forma do Capítulo 9 deste Anexo Descritivo. 6.2 SUBCLASSES DE COTAS. As Cotas serão divididas</t>
        </is>
      </c>
    </row>
    <row r="91" ht="40.5" customHeight="1">
      <c r="A91" s="142" t="n">
        <v>50536324000117</v>
      </c>
      <c r="B91" s="75" t="inlineStr">
        <is>
          <t>50.536.324/0001-17</t>
        </is>
      </c>
      <c r="C91" s="75" t="inlineStr">
        <is>
          <t>Cotas Seniores</t>
        </is>
      </c>
      <c r="D91" s="75" t="inlineStr">
        <is>
          <t>R$1.000,00</t>
        </is>
      </c>
      <c r="E91" s="143" t="n">
        <v>1000</v>
      </c>
      <c r="F91" s="75" t="inlineStr">
        <is>
          <t>valor nominal unitário (VNU)</t>
        </is>
      </c>
      <c r="G91" s="75" t="b">
        <v>0</v>
      </c>
      <c r="H91" s="75" t="inlineStr">
        <is>
          <t>emissao</t>
        </is>
      </c>
      <c r="I91" s="75" t="n">
        <v>938955</v>
      </c>
      <c r="J91" s="75" t="inlineStr">
        <is>
          <t>Oferta Pública de Distribuição de Cotas Anúncio de Encerramento</t>
        </is>
      </c>
      <c r="K91" s="75" t="inlineStr">
        <is>
          <t>02/07/2025</t>
        </is>
      </c>
      <c r="L91" s="75" t="n">
        <v>2</v>
      </c>
      <c r="M91" s="75" t="inlineStr">
        <is>
          <t>encontrado_explicito</t>
        </is>
      </c>
      <c r="N91" s="75" t="b">
        <v>1</v>
      </c>
      <c r="O91" s="75" t="inlineStr">
        <is>
          <t>.cache/carteira_101_document_scan/50536324000117/938955.json.gz</t>
        </is>
      </c>
      <c r="P91" s="75" t="inlineStr">
        <is>
          <t>https://fnet.bmfbovespa.com.br/fnet/publico/downloadDocumento?id=938955</t>
        </is>
      </c>
      <c r="Q91" s="75" t="inlineStr">
        <is>
          <t>om as seguintes características, sob o regime de garantia firme de colocação (“Oferta”): Valor Total da Oferta, considerando o Valor Nominal Unitário na Data de Emissão R$30.000.000,00 (trinta milhões de reais) Valor Nominal Unitário na Data de Emissão R$1.000,00 (mil reais) Quantidade de Cotas Seniores 30.000 (trinta mil) Exceto quando especificamente definidos neste Anúncio de Encerramento, os termos aqui utilizados iniciados em letra maiúscula terão o significado a el</t>
        </is>
      </c>
    </row>
    <row r="92" ht="40.5" customHeight="1">
      <c r="A92" s="138" t="n">
        <v>50832746000130</v>
      </c>
      <c r="B92" s="74" t="inlineStr">
        <is>
          <t>50.832.746/0001-30</t>
        </is>
      </c>
      <c r="C92" s="74" t="inlineStr">
        <is>
          <t>Cotas Seniores</t>
        </is>
      </c>
      <c r="D92" s="74" t="inlineStr">
        <is>
          <t>R$1.000,00</t>
        </is>
      </c>
      <c r="E92" s="139" t="n">
        <v>1000</v>
      </c>
      <c r="F92" s="74" t="inlineStr">
        <is>
          <t>preço/valor unitário de emissão</t>
        </is>
      </c>
      <c r="G92" s="74" t="b">
        <v>0</v>
      </c>
      <c r="H92" s="74" t="inlineStr">
        <is>
          <t>emissao</t>
        </is>
      </c>
      <c r="I92" s="74" t="n">
        <v>542399</v>
      </c>
      <c r="J92" s="74" t="inlineStr">
        <is>
          <t>Oferta Pública de Distribuição de Cotas Aviso ao Mercado</t>
        </is>
      </c>
      <c r="K92" s="74" t="inlineStr">
        <is>
          <t>17/10/2023</t>
        </is>
      </c>
      <c r="L92" s="74" t="n">
        <v>1</v>
      </c>
      <c r="M92" s="74" t="inlineStr">
        <is>
          <t>encontrado_explicito</t>
        </is>
      </c>
      <c r="N92" s="74" t="b">
        <v>1</v>
      </c>
      <c r="O92" s="74" t="inlineStr">
        <is>
          <t>.cache/carteira_101_document_scan/50832746000130/542399.json.gz</t>
        </is>
      </c>
      <c r="P92" s="74" t="inlineStr">
        <is>
          <t>https://fnet.bmfbovespa.com.br/fnet/publico/downloadDocumento?id=542399</t>
        </is>
      </c>
      <c r="Q92" s="74" t="inlineStr">
        <is>
          <t>da oferta pública de distribuição primária de até 64.000 (sessenta e quatro mil) cotas (“Cotas”), todas nominativas e escriturais, divididas entre (i) até 56.000 (cinquenta e seis mil) Cotas Seniores da 2ª Série, com valor unitário de emissão de R$1.000,00 (um mil reais), (ii) até 8.000 (oito mil) Cotas Subordinadas Mezaninos da 1ºEmissão, com valor unitário de emissão de R$1.000,00 (um mil reais) , do BOASAFRA FUNDO DE INVESTIMENTO EM DIREITOS CREDITÓRIOS DO AGRONEGÓCI</t>
        </is>
      </c>
    </row>
    <row r="93" ht="40.5" customHeight="1">
      <c r="A93" s="142" t="n">
        <v>50832746000130</v>
      </c>
      <c r="B93" s="75" t="inlineStr">
        <is>
          <t>50.832.746/0001-30</t>
        </is>
      </c>
      <c r="C93" s="75" t="inlineStr">
        <is>
          <t>Cotas Subordinadas Mezanino</t>
        </is>
      </c>
      <c r="D93" s="75" t="inlineStr">
        <is>
          <t>R$1.000,00</t>
        </is>
      </c>
      <c r="E93" s="143" t="n">
        <v>1000</v>
      </c>
      <c r="F93" s="75" t="inlineStr">
        <is>
          <t>preço/valor unitário de emissão</t>
        </is>
      </c>
      <c r="G93" s="75" t="b">
        <v>0</v>
      </c>
      <c r="H93" s="75" t="inlineStr">
        <is>
          <t>emissao</t>
        </is>
      </c>
      <c r="I93" s="75" t="n">
        <v>542399</v>
      </c>
      <c r="J93" s="75" t="inlineStr">
        <is>
          <t>Oferta Pública de Distribuição de Cotas Aviso ao Mercado</t>
        </is>
      </c>
      <c r="K93" s="75" t="inlineStr">
        <is>
          <t>17/10/2023</t>
        </is>
      </c>
      <c r="L93" s="75" t="n">
        <v>1</v>
      </c>
      <c r="M93" s="75" t="inlineStr">
        <is>
          <t>encontrado_explicito</t>
        </is>
      </c>
      <c r="N93" s="75" t="b">
        <v>1</v>
      </c>
      <c r="O93" s="75" t="inlineStr">
        <is>
          <t>.cache/carteira_101_document_scan/50832746000130/542399.json.gz</t>
        </is>
      </c>
      <c r="P93" s="75" t="inlineStr">
        <is>
          <t>https://fnet.bmfbovespa.com.br/fnet/publico/downloadDocumento?id=542399</t>
        </is>
      </c>
      <c r="Q93" s="75" t="inlineStr">
        <is>
          <t>s, divididas entre (i) até 56.000 (cinquenta e seis mil) Cotas Seniores da 2ª Série, com valor unitário de emissão de R$1.000,00 (um mil reais), (ii) até 8.000 (oito mil) Cotas Subordinadas Mezaninos da 1ºEmissão, com valor unitário de emissão de R$1.000,00 (um mil reais) , do BOASAFRA FUNDO DE INVESTIMENTO EM DIREITOS CREDITÓRIOS DO AGRONEGÓCIO, inscrito no CNPJ sob o nº 50.832.746/0001- 30 (“Fundo”), a ser realizada nos termos da Instrução da CVM nº 356, de 17 de dezemb</t>
        </is>
      </c>
    </row>
    <row r="94" ht="40.5" customHeight="1">
      <c r="A94" s="138" t="n">
        <v>50832746000130</v>
      </c>
      <c r="B94" s="74" t="inlineStr">
        <is>
          <t>50.832.746/0001-30</t>
        </is>
      </c>
      <c r="C94" s="74" t="inlineStr">
        <is>
          <t>Cotas Seniores</t>
        </is>
      </c>
      <c r="D94" s="74" t="inlineStr">
        <is>
          <t>R$1.000,00</t>
        </is>
      </c>
      <c r="E94" s="139" t="n">
        <v>1000</v>
      </c>
      <c r="F94" s="74" t="inlineStr">
        <is>
          <t>valor nominal unitário (VNU)</t>
        </is>
      </c>
      <c r="G94" s="74" t="b">
        <v>0</v>
      </c>
      <c r="H94" s="74" t="inlineStr">
        <is>
          <t>emissao</t>
        </is>
      </c>
      <c r="I94" s="74" t="n">
        <v>622509</v>
      </c>
      <c r="J94" s="74" t="inlineStr">
        <is>
          <t>Oferta Pública de Distribuição de Cotas Anúncio de Encerramento</t>
        </is>
      </c>
      <c r="K94" s="74" t="inlineStr">
        <is>
          <t>18/03/2024</t>
        </is>
      </c>
      <c r="L94" s="74" t="n">
        <v>1</v>
      </c>
      <c r="M94" s="74" t="inlineStr">
        <is>
          <t>encontrado_explicito</t>
        </is>
      </c>
      <c r="N94" s="74" t="b">
        <v>1</v>
      </c>
      <c r="O94" s="74" t="inlineStr">
        <is>
          <t>.cache/carteira_101_document_scan/50832746000130/622509.json.gz</t>
        </is>
      </c>
      <c r="P94" s="74" t="inlineStr">
        <is>
          <t>https://fnet.bmfbovespa.com.br/fnet/publico/downloadDocumento?id=622509</t>
        </is>
      </c>
      <c r="Q94" s="74" t="inlineStr">
        <is>
          <t>do, inscrito no CNPJ sob o nº 50.832.746/0001-30 (“Fundo”), todas escriturais, com as seguintes características, sob o regime de melhores esforços de colocação (“Oferta”): Valor Total da Oferta: R$64.000.000,00 Valor Nominal Unitário: R$1.000,00 (mil reais) Quantidade de Cotas Seniores: 56.000 Quantidade de Cotas Subordinadas Mezanino: 8.000 Exceto quando especificamente definidos neste Anúncio de Encerramento, os termos aqui utilizados iniciados e</t>
        </is>
      </c>
    </row>
    <row r="95" ht="40.5" customHeight="1">
      <c r="A95" s="142" t="n">
        <v>50857998000113</v>
      </c>
      <c r="B95" s="75" t="inlineStr">
        <is>
          <t>50.857.998/0001-13</t>
        </is>
      </c>
      <c r="C95" s="75" t="inlineStr">
        <is>
          <t>Cotas Seniores</t>
        </is>
      </c>
      <c r="D95" s="75" t="inlineStr">
        <is>
          <t>R$1.000,00</t>
        </is>
      </c>
      <c r="E95" s="143" t="n">
        <v>1000</v>
      </c>
      <c r="F95" s="75" t="inlineStr">
        <is>
          <t>valor nominal unitário (VNU)</t>
        </is>
      </c>
      <c r="G95" s="75" t="b">
        <v>0</v>
      </c>
      <c r="H95" s="75" t="inlineStr">
        <is>
          <t>regulamento</t>
        </is>
      </c>
      <c r="I95" s="75" t="n">
        <v>910444</v>
      </c>
      <c r="J95" s="75" t="inlineStr">
        <is>
          <t>Regulamento</t>
        </is>
      </c>
      <c r="K95" s="75" t="inlineStr">
        <is>
          <t>22/05/2025</t>
        </is>
      </c>
      <c r="L95" s="75" t="n">
        <v>73</v>
      </c>
      <c r="M95" s="75" t="inlineStr">
        <is>
          <t>encontrado_explicito</t>
        </is>
      </c>
      <c r="N95" s="75" t="b">
        <v>1</v>
      </c>
      <c r="O95" s="75" t="inlineStr">
        <is>
          <t>.cache/carteira_101_document_scan/50857998000113/910444.json.gz</t>
        </is>
      </c>
      <c r="P95" s="75" t="inlineStr">
        <is>
          <t>https://fnet.bmfbovespa.com.br/fnet/publico/downloadDocumento?id=910444</t>
        </is>
      </c>
      <c r="Q95" s="75" t="inlineStr">
        <is>
          <t>), terá as seguintes características: a) Montante da 1ª Série de Cotas Seniores: até R$300.000.000,00 (trezentos milhões de reais); b) Quantidade de Cotas Seniores da 1ª Série: até 300.000 (trezentas mil); c) Valor Nominal Unitário: R$1.000,00 (mil reais); d) Data de Emissão: 1ª Data de Integralização das Cotas Seniores da 1ª Série; e) Data de Resgate de Cotas Seniores : 3 (três) anos contados da 1ª Data de Integralização das Cotas Seniores da 1ª Série</t>
        </is>
      </c>
    </row>
    <row r="96" ht="40.5" customHeight="1">
      <c r="A96" s="138" t="n">
        <v>50857998000113</v>
      </c>
      <c r="B96" s="74" t="inlineStr">
        <is>
          <t>50.857.998/0001-13</t>
        </is>
      </c>
      <c r="C96" s="74" t="inlineStr">
        <is>
          <t>Cotas Seniores</t>
        </is>
      </c>
      <c r="D96" s="74" t="inlineStr">
        <is>
          <t>R$ 1.000,00</t>
        </is>
      </c>
      <c r="E96" s="139" t="n">
        <v>1000</v>
      </c>
      <c r="F96" s="74" t="inlineStr">
        <is>
          <t>preço/valor unitário de emissão</t>
        </is>
      </c>
      <c r="G96" s="74" t="b">
        <v>0</v>
      </c>
      <c r="H96" s="74" t="inlineStr">
        <is>
          <t>emissao</t>
        </is>
      </c>
      <c r="I96" s="74" t="n">
        <v>1019278</v>
      </c>
      <c r="J96" s="74" t="inlineStr">
        <is>
          <t>Oferta Pública de Distribuição de Cotas Aviso ao Mercado</t>
        </is>
      </c>
      <c r="K96" s="74" t="inlineStr">
        <is>
          <t>24/10/2025</t>
        </is>
      </c>
      <c r="L96" s="74" t="n">
        <v>1</v>
      </c>
      <c r="M96" s="74" t="inlineStr">
        <is>
          <t>encontrado_explicito</t>
        </is>
      </c>
      <c r="N96" s="74" t="b">
        <v>1</v>
      </c>
      <c r="O96" s="74" t="inlineStr">
        <is>
          <t>.cache/carteira_101_document_scan/50857998000113/1019278.json.gz</t>
        </is>
      </c>
      <c r="P96" s="74" t="inlineStr">
        <is>
          <t>https://fnet.bmfbovespa.com.br/fnet/publico/downloadDocumento?id=1019278</t>
        </is>
      </c>
      <c r="Q96" s="74" t="inlineStr">
        <is>
          <t>m direitos creditórios constituído sob a forma de condomínio fechado de natureza especial, em uma única classe de cotas, inscrito no CNPJ/MF sob o nº 50.857.998/0001 -13 (“Fundo”), todas nominativas e escriturais, com valor unitário de emissão de R$ 1.000,00 (mil reais), perfazendo o montante total de R$ 60.000.000,00 ( sessenta milhões de reais) na data da 1ª (primeira) integralização das Cotas Seniores da 3ª Série (“1ª Data de Integralização de Cotas ” e “Oferta”).</t>
        </is>
      </c>
    </row>
    <row r="97" ht="40.5" customHeight="1">
      <c r="A97" s="142" t="n">
        <v>50988212000105</v>
      </c>
      <c r="B97" s="75" t="inlineStr">
        <is>
          <t>50.988.212/0001-05</t>
        </is>
      </c>
      <c r="C97" s="75" t="inlineStr">
        <is>
          <t>Cotas Seniores</t>
        </is>
      </c>
      <c r="D97" s="75" t="inlineStr">
        <is>
          <t>R$ 1.000,00</t>
        </is>
      </c>
      <c r="E97" s="143" t="n">
        <v>1000</v>
      </c>
      <c r="F97" s="75" t="inlineStr">
        <is>
          <t>valor nominal unitário (VNU)</t>
        </is>
      </c>
      <c r="G97" s="75" t="b">
        <v>0</v>
      </c>
      <c r="H97" s="75" t="inlineStr">
        <is>
          <t>emissao</t>
        </is>
      </c>
      <c r="I97" s="75" t="n">
        <v>532694</v>
      </c>
      <c r="J97" s="75" t="inlineStr">
        <is>
          <t>emissao</t>
        </is>
      </c>
      <c r="K97" s="75" t="inlineStr">
        <is>
          <t>2023-10-06</t>
        </is>
      </c>
      <c r="L97" s="75" t="n">
        <v>1</v>
      </c>
      <c r="M97" s="75" t="inlineStr">
        <is>
          <t>encontrado_explicito</t>
        </is>
      </c>
      <c r="N97" s="75" t="b">
        <v>1</v>
      </c>
      <c r="O97" s="75" t="inlineStr">
        <is>
          <t>data/raw/50988212000105/532694_emissao_emissao_532694_2023-10-06.pdf</t>
        </is>
      </c>
      <c r="P97" s="75" t="inlineStr">
        <is>
          <t>https://fnet.bmfbovespa.com.br/fnet/publico/downloadDocumento?id=532694</t>
        </is>
      </c>
      <c r="Q97" s="75" t="inlineStr">
        <is>
          <t>001-05 (“Fundo”), todas escriturais, com as seguintes características, sob o regime de garantia firme de distribuição (“Oferta”): (a) Valor Total da Oferta: R$ 400.000.000,00 (quatrocentos milhões de reais) (b) Valor Nominal Unitário: R$ 1.000,00 (mil reais) (c) Quantidade de Cotas Seniores: 400.000 (quatrocentas mil) Exceto quando especificamente definidos neste Anúncio de Encerramento, os termos aqui utilizados iniciados em letra maiúscula terão o signi</t>
        </is>
      </c>
    </row>
    <row r="98" ht="40.5" customHeight="1">
      <c r="A98" s="138" t="n">
        <v>51554551000138</v>
      </c>
      <c r="B98" s="74" t="inlineStr">
        <is>
          <t>51.554.551/0001-38</t>
        </is>
      </c>
      <c r="C98" s="74" t="inlineStr">
        <is>
          <t>Cotas Subordinadas</t>
        </is>
      </c>
      <c r="D98" s="74" t="inlineStr">
        <is>
          <t>R$1.000,00</t>
        </is>
      </c>
      <c r="E98" s="139" t="n">
        <v>1000</v>
      </c>
      <c r="F98" s="74" t="inlineStr">
        <is>
          <t>preço/valor unitário de emissão</t>
        </is>
      </c>
      <c r="G98" s="74" t="b">
        <v>0</v>
      </c>
      <c r="H98" s="74" t="inlineStr">
        <is>
          <t>regulamento</t>
        </is>
      </c>
      <c r="I98" s="74" t="n">
        <v>1261911</v>
      </c>
      <c r="J98" s="74" t="inlineStr">
        <is>
          <t>Regulamento</t>
        </is>
      </c>
      <c r="K98" s="74" t="inlineStr">
        <is>
          <t>18/06/2026</t>
        </is>
      </c>
      <c r="L98" s="74" t="n">
        <v>96</v>
      </c>
      <c r="M98" s="74" t="inlineStr">
        <is>
          <t>encontrado_explicito</t>
        </is>
      </c>
      <c r="N98" s="74" t="b">
        <v>1</v>
      </c>
      <c r="O98" s="74" t="inlineStr">
        <is>
          <t>.cache/carteira_101_document_scan/51554551000138/1261911.json.gz</t>
        </is>
      </c>
      <c r="P98" s="74" t="inlineStr">
        <is>
          <t>https://fnet.bmfbovespa.com.br/fnet/publico/downloadDocumento?id=1261911</t>
        </is>
      </c>
      <c r="Q98" s="74" t="inlineStr">
        <is>
          <t>uma mesma subclasse terão iguais prioridades de amortização, resgate e distribuição dos rendimentos da carteira da Classe, bem como direitos de voto, observado o disposto neste Anexo Descritivo. 6.1.1. As Cotas terão Valor Unitário de Emissão de R$1.000,00 (mil reais) (“Valor Unitário de Emissão”). 6.1.2. Somente Investidores Autorizados poderão adquirir as Cotas. 6.2. Todas as Cotas serão escriturais e serão mantidas em conta de depósito em nome dos Cotistas pel</t>
        </is>
      </c>
    </row>
    <row r="99" ht="40.5" customHeight="1">
      <c r="A99" s="142" t="n">
        <v>51554551000138</v>
      </c>
      <c r="B99" s="75" t="inlineStr">
        <is>
          <t>51.554.551/0001-38</t>
        </is>
      </c>
      <c r="C99" s="75" t="inlineStr">
        <is>
          <t>Cotas Seniores</t>
        </is>
      </c>
      <c r="D99" s="75" t="inlineStr">
        <is>
          <t>R$1.000,00</t>
        </is>
      </c>
      <c r="E99" s="143" t="n">
        <v>1000</v>
      </c>
      <c r="F99" s="75" t="inlineStr">
        <is>
          <t>preço/valor unitário de emissão</t>
        </is>
      </c>
      <c r="G99" s="75" t="b">
        <v>0</v>
      </c>
      <c r="H99" s="75" t="inlineStr">
        <is>
          <t>emissao</t>
        </is>
      </c>
      <c r="I99" s="75" t="n">
        <v>1126481</v>
      </c>
      <c r="J99" s="75" t="inlineStr">
        <is>
          <t>Atos de Deliberação do Administrador Instrumento Particular de Emissão de Cotas</t>
        </is>
      </c>
      <c r="K99" s="75" t="inlineStr">
        <is>
          <t>23/02/2026</t>
        </is>
      </c>
      <c r="L99" s="75" t="n">
        <v>5</v>
      </c>
      <c r="M99" s="75" t="inlineStr">
        <is>
          <t>encontrado_explicito</t>
        </is>
      </c>
      <c r="N99" s="75" t="b">
        <v>1</v>
      </c>
      <c r="O99" s="75" t="inlineStr">
        <is>
          <t>.cache/carteira_101_document_scan/51554551000138/1126481.json.gz</t>
        </is>
      </c>
      <c r="P99" s="75" t="inlineStr">
        <is>
          <t>https://fnet.bmfbovespa.com.br/fnet/publico/downloadDocumento?id=1126481</t>
        </is>
      </c>
      <c r="Q99" s="75" t="inlineStr">
        <is>
          <t>rísticas: Montante das Cotas Seniores: R$187.500.000,00 (cento e oitenta e sete milhões e quinhentos mil reais). Quantidade de Cotas Seniores: 187.500 (cento e oitenta e sete mil e quinhentas) Cotas Seniores. Valor Unitário de Emissão: R$1.000,00 (mil reais). Forma de Integralização: à vista, na data de subscrição. Prazo para Distribuição: até 180 (cento e oitenta) dias contados da divulgação do Anúncio de Início. Regime de Distribuição Melhores Esforç</t>
        </is>
      </c>
    </row>
    <row r="100" ht="40.5" customHeight="1">
      <c r="A100" s="138" t="n">
        <v>51554551000138</v>
      </c>
      <c r="B100" s="74" t="inlineStr">
        <is>
          <t>51.554.551/0001-38</t>
        </is>
      </c>
      <c r="C100" s="74" t="inlineStr">
        <is>
          <t>Cotas Seniores</t>
        </is>
      </c>
      <c r="D100" s="74" t="inlineStr">
        <is>
          <t>R$1.000,00</t>
        </is>
      </c>
      <c r="E100" s="139" t="n">
        <v>1000</v>
      </c>
      <c r="F100" s="74" t="inlineStr">
        <is>
          <t>valor nominal unitário (VNU)</t>
        </is>
      </c>
      <c r="G100" s="74" t="b">
        <v>0</v>
      </c>
      <c r="H100" s="74" t="inlineStr">
        <is>
          <t>emissao</t>
        </is>
      </c>
      <c r="I100" s="74" t="n">
        <v>1020986</v>
      </c>
      <c r="J100" s="74" t="inlineStr">
        <is>
          <t>Oferta Pública de Distribuição de Cotas Anúncio de Início</t>
        </is>
      </c>
      <c r="K100" s="74" t="inlineStr">
        <is>
          <t>24/10/2025</t>
        </is>
      </c>
      <c r="L100" s="74" t="n">
        <v>2</v>
      </c>
      <c r="M100" s="74" t="inlineStr">
        <is>
          <t>encontrado_explicito</t>
        </is>
      </c>
      <c r="N100" s="74" t="b">
        <v>1</v>
      </c>
      <c r="O100" s="74" t="inlineStr">
        <is>
          <t>.cache/carteira_101_document_scan/51554551000138/1020986.json.gz</t>
        </is>
      </c>
      <c r="P100" s="74" t="inlineStr">
        <is>
          <t>https://fnet.bmfbovespa.com.br/fnet/publico/downloadDocumento?id=1020986</t>
        </is>
      </c>
      <c r="Q100" s="74" t="inlineStr">
        <is>
          <t>Seniores ”), todas escriturais, sob o regime de melhores esforços de colocação, com as seguintes características: Valor Total da Oferta: R$187.500.000,00 (cento e oitenta e sete milhões e quinhentos mil reais) Valor Nominal Unitário: R$1.000,00 (mil reais) Quantidade de Cotas Seniores: 187.500 (cento e oitenta e sete mil e quinhentas) CRONOGRAMA INDICATIVO DA OFERTA Encontra-se abaixo o cronograma estimado para as principais etapas da Oferta: (1) As d</t>
        </is>
      </c>
    </row>
    <row r="101" ht="40.5" customHeight="1">
      <c r="A101" s="142" t="n">
        <v>52100879000147</v>
      </c>
      <c r="B101" s="75" t="inlineStr">
        <is>
          <t>52.100.879/0001-47</t>
        </is>
      </c>
      <c r="C101" s="75" t="inlineStr">
        <is>
          <t>Cotas Subordinadas</t>
        </is>
      </c>
      <c r="D101" s="75" t="inlineStr">
        <is>
          <t>R$1.000,00</t>
        </is>
      </c>
      <c r="E101" s="143" t="n">
        <v>1000</v>
      </c>
      <c r="F101" s="75" t="inlineStr">
        <is>
          <t>preço/valor unitário de emissão</t>
        </is>
      </c>
      <c r="G101" s="75" t="b">
        <v>0</v>
      </c>
      <c r="H101" s="75" t="inlineStr">
        <is>
          <t>regulamento</t>
        </is>
      </c>
      <c r="I101" s="75" t="n">
        <v>740367</v>
      </c>
      <c r="J101" s="75" t="inlineStr">
        <is>
          <t>Regulamento</t>
        </is>
      </c>
      <c r="K101" s="75" t="inlineStr">
        <is>
          <t>17/09/2024</t>
        </is>
      </c>
      <c r="L101" s="75" t="n">
        <v>87</v>
      </c>
      <c r="M101" s="75" t="inlineStr">
        <is>
          <t>encontrado_explicito</t>
        </is>
      </c>
      <c r="N101" s="75" t="b">
        <v>1</v>
      </c>
      <c r="O101" s="75" t="inlineStr">
        <is>
          <t>.cache/carteira_101_document_scan/52100879000147/740367.json.gz</t>
        </is>
      </c>
      <c r="P101" s="75" t="inlineStr">
        <is>
          <t>https://fnet.bmfbovespa.com.br/fnet/publico/downloadDocumento?id=740367</t>
        </is>
      </c>
      <c r="Q101" s="75" t="inlineStr">
        <is>
          <t>uma mesma Subclasse terão iguais prioridades de amortização, resgate e distribuição dos rendimentos da carteira da Classe, bem como direitos de voto, observado o disposto neste Anexo Descritivo. 6.1.1. As Cotas terão Valor Unitário de Emissão de R$1.000,00 (mil reais) (“ Valor Unitário de Emissão”). 6.1.2. Os Cotistas Seniores, suas controladas, controladores, coligadas, sociedades sob controle comum, em qualquer tempo, terão direito de preferência na subscrição de</t>
        </is>
      </c>
    </row>
    <row r="102" ht="40.5" customHeight="1">
      <c r="A102" s="138" t="n">
        <v>52100879000147</v>
      </c>
      <c r="B102" s="74" t="inlineStr">
        <is>
          <t>52.100.879/0001-47</t>
        </is>
      </c>
      <c r="C102" s="74" t="inlineStr">
        <is>
          <t>Cotas Subordinadas Júnior</t>
        </is>
      </c>
      <c r="D102" s="74" t="inlineStr">
        <is>
          <t>R$1.000,00</t>
        </is>
      </c>
      <c r="E102" s="139" t="n">
        <v>1000</v>
      </c>
      <c r="F102" s="74" t="inlineStr">
        <is>
          <t>preço/valor unitário de emissão</t>
        </is>
      </c>
      <c r="G102" s="74" t="b">
        <v>0</v>
      </c>
      <c r="H102" s="74" t="inlineStr">
        <is>
          <t>regulamento</t>
        </is>
      </c>
      <c r="I102" s="74" t="n">
        <v>740367</v>
      </c>
      <c r="J102" s="74" t="inlineStr">
        <is>
          <t>Regulamento</t>
        </is>
      </c>
      <c r="K102" s="74" t="inlineStr">
        <is>
          <t>17/09/2024</t>
        </is>
      </c>
      <c r="L102" s="74" t="n">
        <v>175</v>
      </c>
      <c r="M102" s="74" t="inlineStr">
        <is>
          <t>encontrado_explicito</t>
        </is>
      </c>
      <c r="N102" s="74" t="b">
        <v>1</v>
      </c>
      <c r="O102" s="74" t="inlineStr">
        <is>
          <t>.cache/carteira_101_document_scan/52100879000147/740367.json.gz</t>
        </is>
      </c>
      <c r="P102" s="74" t="inlineStr">
        <is>
          <t>https://fnet.bmfbovespa.com.br/fnet/publico/downloadDocumento?id=740367</t>
        </is>
      </c>
      <c r="Q102" s="74" t="inlineStr">
        <is>
          <t>IMITADA (“Fundo”), emitida nos termos do Regulamento do Fundo (o “Regulamento”), terá as seguintes características: Montante das Cotas Subordinadas Júnior: [•]. Quantidade de Cotas Subordinadas Júnior: [•]. Valor Unitário de Emissão: R$1.000,00 (mil reais). Forma de Integralização: À vista, na data de subscrição. Prazo para Distribuição: [•]. Montante Mínimo para Colocação: [•] Tipo de oferta: [•]. Regime de Distribuição: [•]. Distribuição Parcial [•].</t>
        </is>
      </c>
    </row>
    <row r="103" ht="40.5" customHeight="1">
      <c r="A103" s="142" t="n">
        <v>52100879000147</v>
      </c>
      <c r="B103" s="75" t="inlineStr">
        <is>
          <t>52.100.879/0001-47</t>
        </is>
      </c>
      <c r="C103" s="75" t="inlineStr">
        <is>
          <t>Cotas Seniores</t>
        </is>
      </c>
      <c r="D103" s="75" t="inlineStr">
        <is>
          <t>R$ 1.000,00</t>
        </is>
      </c>
      <c r="E103" s="143" t="n">
        <v>1000</v>
      </c>
      <c r="F103" s="75" t="inlineStr">
        <is>
          <t>preço/valor unitário de emissão</t>
        </is>
      </c>
      <c r="G103" s="75" t="b">
        <v>0</v>
      </c>
      <c r="H103" s="75" t="inlineStr">
        <is>
          <t>emissao</t>
        </is>
      </c>
      <c r="I103" s="75" t="n">
        <v>529559</v>
      </c>
      <c r="J103" s="75" t="inlineStr">
        <is>
          <t>Oferta Pública de Distribuição de Cotas Anúncio de Início</t>
        </is>
      </c>
      <c r="K103" s="75" t="inlineStr">
        <is>
          <t>28/09/2023</t>
        </is>
      </c>
      <c r="L103" s="75" t="n">
        <v>1</v>
      </c>
      <c r="M103" s="75" t="inlineStr">
        <is>
          <t>encontrado_explicito</t>
        </is>
      </c>
      <c r="N103" s="75" t="b">
        <v>1</v>
      </c>
      <c r="O103" s="75" t="inlineStr">
        <is>
          <t>.cache/carteira_101_document_scan/52100879000147/529559.json.gz</t>
        </is>
      </c>
      <c r="P103" s="75" t="inlineStr">
        <is>
          <t>https://fnet.bmfbovespa.com.br/fnet/publico/downloadDocumento?id=529559</t>
        </is>
      </c>
      <c r="Q103" s="75" t="inlineStr">
        <is>
          <t>nício da distribuição pública das cotas seniores da 1ª (primeira) série de emissão do SOTREQ FUNDO DE INVESTIMENTO EM DIREITOS CREDITÓRIOS ("Fundo"), compreendendo 150.000 (cento e cinquenta mil ) Cotas Seniores, com valor unitário de emissão equivalente a R$ 1.000,00 (mil reais) ("Cotas Seniores" e “ Valor Unitário de Emissão ”, respectivamente) , no montante total de R$150.000.000,00 (cento e cinquenta milhões de reais), sendo todas nominativas e escriturais, destinadas exclusi</t>
        </is>
      </c>
    </row>
    <row r="104" ht="40.5" customHeight="1">
      <c r="A104" s="138" t="n">
        <v>52271464000136</v>
      </c>
      <c r="B104" s="74" t="inlineStr">
        <is>
          <t>52.271.464/0001-36</t>
        </is>
      </c>
      <c r="C104" s="74" t="inlineStr">
        <is>
          <t>Cotas Seniores</t>
        </is>
      </c>
      <c r="D104" s="74" t="inlineStr">
        <is>
          <t>R$1</t>
        </is>
      </c>
      <c r="E104" s="139" t="n">
        <v>1</v>
      </c>
      <c r="F104" s="74" t="inlineStr">
        <is>
          <t>valor nominal unitário (VNU)</t>
        </is>
      </c>
      <c r="G104" s="74" t="b">
        <v>0</v>
      </c>
      <c r="H104" s="74" t="inlineStr">
        <is>
          <t>emissao</t>
        </is>
      </c>
      <c r="I104" s="74" t="n">
        <v>1022282</v>
      </c>
      <c r="J104" s="74" t="inlineStr">
        <is>
          <t>Oferta Pública de Distribuição de Cotas Anúncio de Início</t>
        </is>
      </c>
      <c r="K104" s="74" t="inlineStr">
        <is>
          <t>28/10/2025</t>
        </is>
      </c>
      <c r="L104" s="74" t="n">
        <v>1</v>
      </c>
      <c r="M104" s="74" t="inlineStr">
        <is>
          <t>encontrado_explicito</t>
        </is>
      </c>
      <c r="N104" s="74" t="b">
        <v>1</v>
      </c>
      <c r="O104" s="74" t="inlineStr">
        <is>
          <t>.cache/carteira_101_document_scan/52271464000136/1022282.json.gz</t>
        </is>
      </c>
      <c r="P104" s="74" t="inlineStr">
        <is>
          <t>https://fnet.bmfbovespa.com.br/fnet/publico/downloadDocumento?id=1022282</t>
        </is>
      </c>
      <c r="Q104" s="74" t="inlineStr">
        <is>
          <t>undo de investimento em direitos creditórios constituído sob a forma de condomínio de natureza especial, de classe única, inscrito no CNPJ/MF sob o nº 52.271.464/0001-36 (“Fundo”), todas nominativas e escriturais, com valor nominal unitário de emissão de R$1 .000,00 ( mil reais ), perfazendo o montante total de R$75.000.000,00 (setenta e cinco milhões de reais) na data da 1ª (primeira) integralização das Cotas Seniores da 3ª Série (“Oferta”). As Cotas Seniores da 3ª</t>
        </is>
      </c>
    </row>
    <row r="105" ht="40.5" customHeight="1">
      <c r="A105" s="142" t="n">
        <v>52271464000136</v>
      </c>
      <c r="B105" s="75" t="inlineStr">
        <is>
          <t>52.271.464/0001-36</t>
        </is>
      </c>
      <c r="C105" s="75" t="inlineStr">
        <is>
          <t>Cotas Seniores</t>
        </is>
      </c>
      <c r="D105" s="75" t="inlineStr">
        <is>
          <t>R$1.000,00</t>
        </is>
      </c>
      <c r="E105" s="143" t="n">
        <v>1000</v>
      </c>
      <c r="F105" s="75" t="inlineStr">
        <is>
          <t>valor nominal unitário (VNU)</t>
        </is>
      </c>
      <c r="G105" s="75" t="b">
        <v>0</v>
      </c>
      <c r="H105" s="75" t="inlineStr">
        <is>
          <t>emissao</t>
        </is>
      </c>
      <c r="I105" s="75" t="n">
        <v>1072777</v>
      </c>
      <c r="J105" s="75" t="inlineStr">
        <is>
          <t>Oferta Pública de Distribuição de Cotas Anúncio de Encerramento</t>
        </is>
      </c>
      <c r="K105" s="75" t="inlineStr">
        <is>
          <t>29/12/2025</t>
        </is>
      </c>
      <c r="L105" s="75" t="n">
        <v>1</v>
      </c>
      <c r="M105" s="75" t="inlineStr">
        <is>
          <t>encontrado_explicito</t>
        </is>
      </c>
      <c r="N105" s="75" t="b">
        <v>1</v>
      </c>
      <c r="O105" s="75" t="inlineStr">
        <is>
          <t>.cache/carteira_101_document_scan/52271464000136/1072777.json.gz</t>
        </is>
      </c>
      <c r="P105" s="75" t="inlineStr">
        <is>
          <t>https://fnet.bmfbovespa.com.br/fnet/publico/downloadDocumento?id=1072777</t>
        </is>
      </c>
      <c r="Q105" s="75" t="inlineStr">
        <is>
          <t>undo de investimento em direitos creditórios constituído sob a forma de condomínio de natureza especial, de classe única, inscrito no CNPJ/MF sob o nº 52.271.464/0001-36 (“Fundo”), todas nominativas e escriturais, com valor nominal unitário de emissão de R$1.000,00 (mil reais), perfazendo o montante total de R$75.000.000,00 (setenta e cinco milhões de reais) , na data da 1ª (primeira) integralização das Cotas Seniores da 3ª Série (“Oferta”). 2 Corporativo | Interno A</t>
        </is>
      </c>
    </row>
    <row r="106" ht="40.5" customHeight="1">
      <c r="A106" s="138" t="n">
        <v>52340225000190</v>
      </c>
      <c r="B106" s="74" t="inlineStr">
        <is>
          <t>52.340.225/0001-90</t>
        </is>
      </c>
      <c r="C106" s="74" t="inlineStr">
        <is>
          <t>N/D</t>
        </is>
      </c>
      <c r="D106" s="74" t="inlineStr">
        <is>
          <t>R$ 1.000,00</t>
        </is>
      </c>
      <c r="E106" s="139" t="n">
        <v>1000</v>
      </c>
      <c r="F106" s="74" t="inlineStr">
        <is>
          <t>preço/valor unitário de emissão</t>
        </is>
      </c>
      <c r="G106" s="74" t="b">
        <v>1</v>
      </c>
      <c r="H106" s="74" t="inlineStr">
        <is>
          <t>rating_report</t>
        </is>
      </c>
      <c r="I106" s="74" t="n">
        <v>1010103</v>
      </c>
      <c r="J106" s="74" t="inlineStr">
        <is>
          <t>Relatórios Relatório de Agência de Rating</t>
        </is>
      </c>
      <c r="K106" s="74" t="inlineStr">
        <is>
          <t>30/09/2025</t>
        </is>
      </c>
      <c r="L106" s="74" t="n">
        <v>6</v>
      </c>
      <c r="M106" s="74" t="inlineStr">
        <is>
          <t>encontrado_explicito</t>
        </is>
      </c>
      <c r="N106" s="74" t="b">
        <v>1</v>
      </c>
      <c r="O106" s="74" t="inlineStr">
        <is>
          <t>.cache/carteira_101_document_scan/52340225000190/1010103.json.gz</t>
        </is>
      </c>
      <c r="P106" s="74" t="inlineStr">
        <is>
          <t>https://fnet.bmfbovespa.com.br/fnet/publico/downloadDocumento?id=1010103</t>
        </is>
      </c>
      <c r="Q106" s="74" t="inlineStr">
        <is>
          <t>DE ANTECIPAÇÃO DE RECEBÍVEIS LTDA RELATÓRIO INOVA CREDTECH III FIDC SEGMENTO MULTICARTEIRA DE RESPONSABILIDADE LIMITADA ID 1759758991516 Página 6 de 20 CARACTERÍSTICAS DOS ATIVOS FIDC - SENIOR 1 Data da emissão 11/2024 Valor Unitário de Emissão R$ 1.000,00 Quantidade de Cotas na Emissão 40.000 Valor Global da Emissão R$ 40.000.000,00 Remuneração Alvo CDI + 4,5% a.a Amortização / Resgate 12 meses de pagamento de juros mensais a partir de 05/12/2024. A partir de 05/12/2025</t>
        </is>
      </c>
    </row>
    <row r="107" ht="40.5" customHeight="1">
      <c r="A107" s="142" t="n">
        <v>52340225000190</v>
      </c>
      <c r="B107" s="75" t="inlineStr">
        <is>
          <t>52.340.225/0001-90</t>
        </is>
      </c>
      <c r="C107" s="75" t="inlineStr">
        <is>
          <t>Cotas Seniores</t>
        </is>
      </c>
      <c r="D107" s="75" t="inlineStr">
        <is>
          <t>R$ 1.000,00</t>
        </is>
      </c>
      <c r="E107" s="143" t="n">
        <v>1000</v>
      </c>
      <c r="F107" s="75" t="inlineStr">
        <is>
          <t>preço/valor unitário de emissão</t>
        </is>
      </c>
      <c r="G107" s="75" t="b">
        <v>0</v>
      </c>
      <c r="H107" s="75" t="inlineStr">
        <is>
          <t>emissao</t>
        </is>
      </c>
      <c r="I107" s="75" t="n">
        <v>1047378</v>
      </c>
      <c r="J107" s="75" t="inlineStr">
        <is>
          <t>emissao</t>
        </is>
      </c>
      <c r="K107" s="75" t="inlineStr">
        <is>
          <t>2025-11-17</t>
        </is>
      </c>
      <c r="L107" s="75" t="n">
        <v>1</v>
      </c>
      <c r="M107" s="75" t="inlineStr">
        <is>
          <t>encontrado_explicito</t>
        </is>
      </c>
      <c r="N107" s="75" t="b">
        <v>1</v>
      </c>
      <c r="O107" s="75" t="inlineStr">
        <is>
          <t>data/raw/52340225000190/1047378_emissao_emissao_1047378_2025-11-17.pdf</t>
        </is>
      </c>
      <c r="P107" s="75" t="inlineStr">
        <is>
          <t>https://fnet.bmfbovespa.com.br/fnet/publico/downloadDocumento?id=1047378</t>
        </is>
      </c>
      <c r="Q107" s="75" t="inlineStr">
        <is>
          <t>munica o início da oferta pública (“Oferta Pública”) da: 1ª (primeira) emissão pela classe única do Fundo (“ Emissão”) de (a) 80.000 (oitenta mil) cotas seniores da 4ª (quarta) série do Fundo (“ Cotas Seniores”), com valor unitário de emissão de R$ 1.000,00 (mil reais), na respectiva 1ª (primeira) data de integralização (“ Data da 1ª Integralização ”), perfazendo o volume total de R$ 80.000.000,00 (oitenta milhões de reais), na respectiva Data da 1ª Integralização; (b)</t>
        </is>
      </c>
    </row>
    <row r="108" ht="40.5" customHeight="1">
      <c r="A108" s="138" t="n">
        <v>52340225000190</v>
      </c>
      <c r="B108" s="74" t="inlineStr">
        <is>
          <t>52.340.225/0001-90</t>
        </is>
      </c>
      <c r="C108" s="74" t="inlineStr">
        <is>
          <t>cotas subordinadas mezanino</t>
        </is>
      </c>
      <c r="D108" s="74" t="inlineStr">
        <is>
          <t>R$ 1.000,00</t>
        </is>
      </c>
      <c r="E108" s="139" t="n">
        <v>1000</v>
      </c>
      <c r="F108" s="74" t="inlineStr">
        <is>
          <t>preço/valor unitário de emissão</t>
        </is>
      </c>
      <c r="G108" s="74" t="b">
        <v>0</v>
      </c>
      <c r="H108" s="74" t="inlineStr">
        <is>
          <t>emissao</t>
        </is>
      </c>
      <c r="I108" s="74" t="n">
        <v>1047378</v>
      </c>
      <c r="J108" s="74" t="inlineStr">
        <is>
          <t>emissao</t>
        </is>
      </c>
      <c r="K108" s="74" t="inlineStr">
        <is>
          <t>2025-11-17</t>
        </is>
      </c>
      <c r="L108" s="74" t="n">
        <v>1</v>
      </c>
      <c r="M108" s="74" t="inlineStr">
        <is>
          <t>encontrado_explicito</t>
        </is>
      </c>
      <c r="N108" s="74" t="b">
        <v>1</v>
      </c>
      <c r="O108" s="74" t="inlineStr">
        <is>
          <t>data/raw/52340225000190/1047378_emissao_emissao_1047378_2025-11-17.pdf</t>
        </is>
      </c>
      <c r="P108" s="74" t="inlineStr">
        <is>
          <t>https://fnet.bmfbovespa.com.br/fnet/publico/downloadDocumento?id=1047378</t>
        </is>
      </c>
      <c r="Q108" s="74" t="inlineStr">
        <is>
          <t>o o volume total de R$ 80.000.000,00 (oitenta milhões de reais), na respectiva Data da 1ª Integralização; (b) 12.000 (doze mil) cotas subordinadas mezanino A da 2ª (segunda) série do Fundo (“ Cotas Mezanino A ”), com valor unitário de emissão de R$ 1.000,00 (mil reais), na respectiva Data da 1ª Integralização, perfazendo o volume total de R$ 12.000.000,00 (doze milhões de reais), na respectiva Data da 1ª Integralização; e (c) 2.000 (duas mil) cotas subordinadas mezanin</t>
        </is>
      </c>
    </row>
    <row r="109" ht="40.5" customHeight="1">
      <c r="A109" s="142" t="n">
        <v>52343195000176</v>
      </c>
      <c r="B109" s="75" t="inlineStr">
        <is>
          <t>52.343.195/0001-76</t>
        </is>
      </c>
      <c r="C109" s="75" t="inlineStr">
        <is>
          <t>Cotas Subordinadas</t>
        </is>
      </c>
      <c r="D109" s="75" t="inlineStr">
        <is>
          <t>R$ 1.000,00</t>
        </is>
      </c>
      <c r="E109" s="143" t="n">
        <v>1000</v>
      </c>
      <c r="F109" s="75" t="inlineStr">
        <is>
          <t>preço/valor unitário de emissão</t>
        </is>
      </c>
      <c r="G109" s="75" t="b">
        <v>0</v>
      </c>
      <c r="H109" s="75" t="inlineStr">
        <is>
          <t>regulamento</t>
        </is>
      </c>
      <c r="I109" s="75" t="n">
        <v>791944</v>
      </c>
      <c r="J109" s="75" t="inlineStr">
        <is>
          <t>Regulamento</t>
        </is>
      </c>
      <c r="K109" s="75" t="inlineStr">
        <is>
          <t>27/11/2024</t>
        </is>
      </c>
      <c r="L109" s="75" t="n">
        <v>68</v>
      </c>
      <c r="M109" s="75" t="inlineStr">
        <is>
          <t>encontrado_explicito</t>
        </is>
      </c>
      <c r="N109" s="75" t="b">
        <v>1</v>
      </c>
      <c r="O109" s="75" t="inlineStr">
        <is>
          <t>.cache/carteira_101_document_scan/52343195000176/791944.json.gz</t>
        </is>
      </c>
      <c r="P109" s="75" t="inlineStr">
        <is>
          <t>https://fnet.bmfbovespa.com.br/fnet/publico/downloadDocumento?id=791944</t>
        </is>
      </c>
      <c r="Q109" s="75" t="inlineStr">
        <is>
          <t>iguais prioridades de amortização, amortização total e distribuição dos rendimentos da carteira da Classe Única, bem como direitos de voto, observado o disposto no item 7.4 deste Anexo Descritivo. 7.1.1. As Cotas terão Valor Unitário de Emissão inicial de R$ 1.000,00 (mil Valor Unitário de Emissão, observados os respectivos Apêndices. 7.1.2. Os Cotistas Seniores, suas controladas, controladores, coligadas, sociedades sob controle comum, em qualquer tempo, terão direito de preferênc</t>
        </is>
      </c>
    </row>
    <row r="110" ht="40.5" customHeight="1">
      <c r="A110" s="138" t="n">
        <v>52343195000176</v>
      </c>
      <c r="B110" s="74" t="inlineStr">
        <is>
          <t>52.343.195/0001-76</t>
        </is>
      </c>
      <c r="C110" s="74" t="inlineStr">
        <is>
          <t>cotas seniores</t>
        </is>
      </c>
      <c r="D110" s="74" t="inlineStr">
        <is>
          <t>R$ 1.000,00</t>
        </is>
      </c>
      <c r="E110" s="139" t="n">
        <v>1000</v>
      </c>
      <c r="F110" s="74" t="inlineStr">
        <is>
          <t>preço/valor unitário de emissão</t>
        </is>
      </c>
      <c r="G110" s="74" t="b">
        <v>0</v>
      </c>
      <c r="H110" s="74" t="inlineStr">
        <is>
          <t>emissao</t>
        </is>
      </c>
      <c r="I110" s="74" t="n">
        <v>701245</v>
      </c>
      <c r="J110" s="74" t="inlineStr">
        <is>
          <t>Oferta Pública de Distribuição de Cotas Anúncio de Início</t>
        </is>
      </c>
      <c r="K110" s="74" t="inlineStr">
        <is>
          <t>18/07/2024</t>
        </is>
      </c>
      <c r="L110" s="74" t="n">
        <v>1</v>
      </c>
      <c r="M110" s="74" t="inlineStr">
        <is>
          <t>encontrado_explicito</t>
        </is>
      </c>
      <c r="N110" s="74" t="b">
        <v>1</v>
      </c>
      <c r="O110" s="74" t="inlineStr">
        <is>
          <t>.cache/carteira_101_document_scan/52343195000176/701245.json.gz</t>
        </is>
      </c>
      <c r="P110" s="74" t="inlineStr">
        <is>
          <t>https://fnet.bmfbovespa.com.br/fnet/publico/downloadDocumento?id=701245</t>
        </is>
      </c>
      <c r="Q110" s="74" t="inlineStr">
        <is>
          <t>cotas seniores da 1ª ( primeira) emissão da 1ª (primeira) série de emissão do FARMTECH SYNGENTA FUNDO DE INVESTIMENTO EM DIREITOS CREDITÓRIOS ("Fundo"), compreendendo 170.000 (cento e setenta mil) cotas seniores, com valor unitário de emissão equivalente a R$ 1.000,00 (mil reais) ("Cotas Seniores" e “Valor Unitário de Emissão”, respectivamente), no montante total de R$ 170.000.000,00 (cento e setenta milhões de reais) , sendo todas nominativas e escriturais, destinadas exclusivamen</t>
        </is>
      </c>
    </row>
    <row r="111" ht="40.5" customHeight="1">
      <c r="A111" s="142" t="n">
        <v>52968533000165</v>
      </c>
      <c r="B111" s="75" t="inlineStr">
        <is>
          <t>52.968.533/0001-65</t>
        </is>
      </c>
      <c r="C111" s="75" t="inlineStr">
        <is>
          <t>Cotas Subordinadas</t>
        </is>
      </c>
      <c r="D111" s="75" t="inlineStr">
        <is>
          <t>R$1.000,00</t>
        </is>
      </c>
      <c r="E111" s="143" t="n">
        <v>1000</v>
      </c>
      <c r="F111" s="75" t="inlineStr">
        <is>
          <t>preço/valor unitário de emissão</t>
        </is>
      </c>
      <c r="G111" s="75" t="b">
        <v>0</v>
      </c>
      <c r="H111" s="75" t="inlineStr">
        <is>
          <t>regulamento</t>
        </is>
      </c>
      <c r="I111" s="75" t="n">
        <v>1049185</v>
      </c>
      <c r="J111" s="75" t="inlineStr">
        <is>
          <t>Regulamento</t>
        </is>
      </c>
      <c r="K111" s="75" t="inlineStr">
        <is>
          <t>14/10/2025</t>
        </is>
      </c>
      <c r="L111" s="75" t="n">
        <v>93</v>
      </c>
      <c r="M111" s="75" t="inlineStr">
        <is>
          <t>encontrado_explicito</t>
        </is>
      </c>
      <c r="N111" s="75" t="b">
        <v>1</v>
      </c>
      <c r="O111" s="75" t="inlineStr">
        <is>
          <t>.cache/carteira_101_document_scan/52968533000165/1049185.json.gz</t>
        </is>
      </c>
      <c r="P111" s="75" t="inlineStr">
        <is>
          <t>https://fnet.bmfbovespa.com.br/fnet/publico/downloadDocumento?id=1049185</t>
        </is>
      </c>
      <c r="Q111" s="75" t="inlineStr">
        <is>
          <t>uma mesma Subclasse terão iguais prioridades de amortização, resgate e distribuição dos rendimentos da carteira da Classe, bem como direitos de voto, observado o disposto neste Anexo Descritivo. 6.1.1. As Cotas terão Valor Unitário de Emissão de R$1.000,00 (mil reais) (“Valor Unitário de Emissão”). 6.1.2. Somente Investidores Autorizados poderão adquirir as Cotas. 6.2. Todas as Cotas serão escriturais e serão mantidas em conta de depósito em nome dos Cotistas pel</t>
        </is>
      </c>
    </row>
    <row r="112" ht="40.5" customHeight="1">
      <c r="A112" s="138" t="n">
        <v>52968533000165</v>
      </c>
      <c r="B112" s="74" t="inlineStr">
        <is>
          <t>52.968.533/0001-65</t>
        </is>
      </c>
      <c r="C112" s="74" t="inlineStr">
        <is>
          <t>Cotas Subordinadas Júnior</t>
        </is>
      </c>
      <c r="D112" s="74" t="inlineStr">
        <is>
          <t>R$1.000,00</t>
        </is>
      </c>
      <c r="E112" s="139" t="n">
        <v>1000</v>
      </c>
      <c r="F112" s="74" t="inlineStr">
        <is>
          <t>preço/valor unitário de emissão</t>
        </is>
      </c>
      <c r="G112" s="74" t="b">
        <v>0</v>
      </c>
      <c r="H112" s="74" t="inlineStr">
        <is>
          <t>regulamento</t>
        </is>
      </c>
      <c r="I112" s="74" t="n">
        <v>1049185</v>
      </c>
      <c r="J112" s="74" t="inlineStr">
        <is>
          <t>Regulamento</t>
        </is>
      </c>
      <c r="K112" s="74" t="inlineStr">
        <is>
          <t>14/10/2025</t>
        </is>
      </c>
      <c r="L112" s="74" t="n">
        <v>173</v>
      </c>
      <c r="M112" s="74" t="inlineStr">
        <is>
          <t>encontrado_explicito</t>
        </is>
      </c>
      <c r="N112" s="74" t="b">
        <v>1</v>
      </c>
      <c r="O112" s="74" t="inlineStr">
        <is>
          <t>.cache/carteira_101_document_scan/52968533000165/1049185.json.gz</t>
        </is>
      </c>
      <c r="P112" s="74" t="inlineStr">
        <is>
          <t>https://fnet.bmfbovespa.com.br/fnet/publico/downloadDocumento?id=1049185</t>
        </is>
      </c>
      <c r="Q112" s="74" t="inlineStr">
        <is>
          <t>DA (“Fundo”), emitida nos termos do Regulamento do Fundo (o “Regulamento”), terá as seguintes características: Montante das Cotas Subordinadas Júnior: [•]. Quantidade de Cotas Subordinadas Júnior: [•]. Valor Unitário de Emissão: R$1.000,00 (mil reais). Forma de Integralização: À vista, na data de subscrição. Prazo para Distribuição: [•]. Montante Mínimo para Colocação: [•] Tipo de oferta: [•]. Regime de Distribuição: [•]. Distribuiç</t>
        </is>
      </c>
    </row>
    <row r="113" ht="40.5" customHeight="1">
      <c r="A113" s="142" t="n">
        <v>52968533000165</v>
      </c>
      <c r="B113" s="75" t="inlineStr">
        <is>
          <t>52.968.533/0001-65</t>
        </is>
      </c>
      <c r="C113" s="75" t="inlineStr">
        <is>
          <t>N/D</t>
        </is>
      </c>
      <c r="D113" s="75" t="inlineStr">
        <is>
          <t>R$1.000,00</t>
        </is>
      </c>
      <c r="E113" s="143" t="n">
        <v>1000</v>
      </c>
      <c r="F113" s="75" t="inlineStr">
        <is>
          <t>preço/valor unitário de emissão</t>
        </is>
      </c>
      <c r="G113" s="75" t="b">
        <v>1</v>
      </c>
      <c r="H113" s="75" t="inlineStr">
        <is>
          <t>regulamento</t>
        </is>
      </c>
      <c r="I113" s="75" t="n">
        <v>1049185</v>
      </c>
      <c r="J113" s="75" t="inlineStr">
        <is>
          <t>Regulamento</t>
        </is>
      </c>
      <c r="K113" s="75" t="inlineStr">
        <is>
          <t>14/10/2025</t>
        </is>
      </c>
      <c r="L113" s="75" t="n">
        <v>79</v>
      </c>
      <c r="M113" s="75" t="inlineStr">
        <is>
          <t>encontrado_explicito</t>
        </is>
      </c>
      <c r="N113" s="75" t="b">
        <v>1</v>
      </c>
      <c r="O113" s="75" t="inlineStr">
        <is>
          <t>.cache/carteira_101_document_scan/52968533000165/1049185.json.gz</t>
        </is>
      </c>
      <c r="P113" s="75" t="inlineStr">
        <is>
          <t>https://fnet.bmfbovespa.com.br/fnet/publico/downloadDocumento?id=1049185</t>
        </is>
      </c>
      <c r="Q113" s="75" t="inlineStr">
        <is>
          <t>“Valor Principal de Referência Anterior” Significa, com relação a um Dia Útil, o Valor Principal de Referência do Dia Útil imediatamente anterior ao Dia Útil no qual será realizado o cálculo do valor da Cota. “Valor Unitário de Emissão” Equivale a R$1.000,00 (mil reais). “Valor Unitário de Referência” Significa: (i) na 1ª Data de Integralização das Cotas da respectiva série ou Subclasse: o Valor Unitário de Emissão; (ii) em cada Dia Útil subsequente que não se</t>
        </is>
      </c>
    </row>
    <row r="114" ht="40.5" customHeight="1">
      <c r="A114" s="138" t="n">
        <v>52968533000165</v>
      </c>
      <c r="B114" s="74" t="inlineStr">
        <is>
          <t>52.968.533/0001-65</t>
        </is>
      </c>
      <c r="C114" s="74" t="inlineStr">
        <is>
          <t>Cotas Seniores</t>
        </is>
      </c>
      <c r="D114" s="74" t="inlineStr">
        <is>
          <t>R$1.000,00</t>
        </is>
      </c>
      <c r="E114" s="139" t="n">
        <v>1000</v>
      </c>
      <c r="F114" s="74" t="inlineStr">
        <is>
          <t>valor nominal unitário (VNU)</t>
        </is>
      </c>
      <c r="G114" s="74" t="b">
        <v>0</v>
      </c>
      <c r="H114" s="74" t="inlineStr">
        <is>
          <t>emissao</t>
        </is>
      </c>
      <c r="I114" s="74" t="n">
        <v>586257</v>
      </c>
      <c r="J114" s="74" t="inlineStr">
        <is>
          <t>Oferta Pública de Distribuição de Cotas Anúncio de Encerramento</t>
        </is>
      </c>
      <c r="K114" s="74" t="inlineStr">
        <is>
          <t>16/01/2024</t>
        </is>
      </c>
      <c r="L114" s="74" t="n">
        <v>1</v>
      </c>
      <c r="M114" s="74" t="inlineStr">
        <is>
          <t>encontrado_explicito</t>
        </is>
      </c>
      <c r="N114" s="74" t="b">
        <v>1</v>
      </c>
      <c r="O114" s="74" t="inlineStr">
        <is>
          <t>.cache/carteira_101_document_scan/52968533000165/586257.json.gz</t>
        </is>
      </c>
      <c r="P114" s="74" t="inlineStr">
        <is>
          <t>https://fnet.bmfbovespa.com.br/fnet/publico/downloadDocumento?id=586257</t>
        </is>
      </c>
      <c r="Q114" s="74" t="inlineStr">
        <is>
          <t>me e melhores esforços de colocação (“Oferta”): Valor Total da Oferta, considerando o Valor Nominal Unitário na Data de Emissão R$49.545.000,00 (quarenta e nove milhões, quinhentos e quarenta e cinco mil reais) Valor Nominal Unitário na Data de Emissão R$1.000,00 (mil reais) Quantidade de Cotas Seniores 49.545 Exceto quando especificamente definidos neste Anúncio de Encerramento, os termos aqui utilizados iniciados em letra maiúscula terão o significado a eles atribuíd</t>
        </is>
      </c>
    </row>
    <row r="115" ht="40.5" customHeight="1">
      <c r="A115" s="142" t="n">
        <v>53270983000142</v>
      </c>
      <c r="B115" s="75" t="inlineStr">
        <is>
          <t>53.270.983/0001-42</t>
        </is>
      </c>
      <c r="C115" s="75" t="inlineStr">
        <is>
          <t>Cotas Seniores</t>
        </is>
      </c>
      <c r="D115" s="75" t="inlineStr">
        <is>
          <t>R$ 1.000,00</t>
        </is>
      </c>
      <c r="E115" s="143" t="n">
        <v>1000</v>
      </c>
      <c r="F115" s="75" t="inlineStr">
        <is>
          <t>preço/valor unitário de emissão</t>
        </is>
      </c>
      <c r="G115" s="75" t="b">
        <v>0</v>
      </c>
      <c r="H115" s="75" t="inlineStr">
        <is>
          <t>regulamento</t>
        </is>
      </c>
      <c r="I115" s="75" t="n">
        <v>617093</v>
      </c>
      <c r="J115" s="75" t="inlineStr">
        <is>
          <t>Regulamento</t>
        </is>
      </c>
      <c r="K115" s="75" t="inlineStr">
        <is>
          <t>06/03/2024</t>
        </is>
      </c>
      <c r="L115" s="75" t="n">
        <v>76</v>
      </c>
      <c r="M115" s="75" t="inlineStr">
        <is>
          <t>encontrado_explicito</t>
        </is>
      </c>
      <c r="N115" s="75" t="b">
        <v>1</v>
      </c>
      <c r="O115" s="75" t="inlineStr">
        <is>
          <t>.cache/carteira_101_document_scan/53270983000142/617093.json.gz</t>
        </is>
      </c>
      <c r="P115" s="75" t="inlineStr">
        <is>
          <t>https://fnet.bmfbovespa.com.br/fnet/publico/downloadDocumento?id=617093</t>
        </is>
      </c>
      <c r="Q115" s="75" t="inlineStr">
        <is>
          <t>2.1 A emissão e distribuição de novas Cotas Seniores depende de aprovação prévia dos Cotistas reunidos em Assembleia Especial, nos termos do Anexo Descritivo. 2.2 As Cotas Seniores, independente da Série, terão valor unitário de emissão de R$ 1.000,00 (mil reais) na primeira data de integralização das Cotas da respectiva Série. 2.3 As Cotas Seniores de cada Série que venham a ser ofertadas publicamente deverão ser subscritas dentro dos prazos estabelecidos na reg</t>
        </is>
      </c>
    </row>
    <row r="116" ht="40.5" customHeight="1">
      <c r="A116" s="138" t="n">
        <v>53270983000142</v>
      </c>
      <c r="B116" s="74" t="inlineStr">
        <is>
          <t>53.270.983/0001-42</t>
        </is>
      </c>
      <c r="C116" s="74" t="inlineStr">
        <is>
          <t>Cotas Subordinadas Junior</t>
        </is>
      </c>
      <c r="D116" s="74" t="inlineStr">
        <is>
          <t>R$ 1.000,00</t>
        </is>
      </c>
      <c r="E116" s="139" t="n">
        <v>1000</v>
      </c>
      <c r="F116" s="74" t="inlineStr">
        <is>
          <t>preço/valor unitário de emissão</t>
        </is>
      </c>
      <c r="G116" s="74" t="b">
        <v>0</v>
      </c>
      <c r="H116" s="74" t="inlineStr">
        <is>
          <t>regulamento</t>
        </is>
      </c>
      <c r="I116" s="74" t="n">
        <v>617093</v>
      </c>
      <c r="J116" s="74" t="inlineStr">
        <is>
          <t>Regulamento</t>
        </is>
      </c>
      <c r="K116" s="74" t="inlineStr">
        <is>
          <t>06/03/2024</t>
        </is>
      </c>
      <c r="L116" s="74" t="n">
        <v>87</v>
      </c>
      <c r="M116" s="74" t="inlineStr">
        <is>
          <t>encontrado_explicito</t>
        </is>
      </c>
      <c r="N116" s="74" t="b">
        <v>1</v>
      </c>
      <c r="O116" s="74" t="inlineStr">
        <is>
          <t>.cache/carteira_101_document_scan/53270983000142/617093.json.gz</t>
        </is>
      </c>
      <c r="P116" s="74" t="inlineStr">
        <is>
          <t>https://fnet.bmfbovespa.com.br/fnet/publico/downloadDocumento?id=617093</t>
        </is>
      </c>
      <c r="Q116" s="74" t="inlineStr">
        <is>
          <t>2.1 A emissão e distribuição de novas Cotas Subordinadas Juniores depende de aprovação prévia dos Cotistas reunidos em Assembleia Especial, nos termos do Anexo Descritivo. 2.2 As Cotas Subordinadas Juniores terão valor unitário de emissão de R$ 1.000,00 (mil reais) na primeira data de integralização das Cotas Subordinadas Juniores. 2.3 As Cotas Subordinadas Mezanino de cada Emissão que venham a ser ofertadas publicamente deverão ser subscritas dentro dos prazos es</t>
        </is>
      </c>
    </row>
    <row r="117" ht="40.5" customHeight="1">
      <c r="A117" s="142" t="n">
        <v>53270983000142</v>
      </c>
      <c r="B117" s="75" t="inlineStr">
        <is>
          <t>53.270.983/0001-42</t>
        </is>
      </c>
      <c r="C117" s="75" t="inlineStr">
        <is>
          <t>Cotas Subordinadas Mezanino</t>
        </is>
      </c>
      <c r="D117" s="75" t="inlineStr">
        <is>
          <t>R$ 1.000,00</t>
        </is>
      </c>
      <c r="E117" s="143" t="n">
        <v>1000</v>
      </c>
      <c r="F117" s="75" t="inlineStr">
        <is>
          <t>preço/valor unitário de emissão</t>
        </is>
      </c>
      <c r="G117" s="75" t="b">
        <v>0</v>
      </c>
      <c r="H117" s="75" t="inlineStr">
        <is>
          <t>regulamento</t>
        </is>
      </c>
      <c r="I117" s="75" t="n">
        <v>617093</v>
      </c>
      <c r="J117" s="75" t="inlineStr">
        <is>
          <t>Regulamento</t>
        </is>
      </c>
      <c r="K117" s="75" t="inlineStr">
        <is>
          <t>06/03/2024</t>
        </is>
      </c>
      <c r="L117" s="75" t="n">
        <v>81</v>
      </c>
      <c r="M117" s="75" t="inlineStr">
        <is>
          <t>encontrado_explicito</t>
        </is>
      </c>
      <c r="N117" s="75" t="b">
        <v>1</v>
      </c>
      <c r="O117" s="75" t="inlineStr">
        <is>
          <t>.cache/carteira_101_document_scan/53270983000142/617093.json.gz</t>
        </is>
      </c>
      <c r="P117" s="75" t="inlineStr">
        <is>
          <t>https://fnet.bmfbovespa.com.br/fnet/publico/downloadDocumento?id=617093</t>
        </is>
      </c>
      <c r="Q117" s="75" t="inlineStr">
        <is>
          <t>uição de novas Cotas Subordinadas Mezanino depende de aprovação prévia dos Cotistas reunidos em Assembleia Especial, nos termos do Anexo Descritivo. 2.2 As Cotas Subordinadas Mezanino , independente da Série, terão valor unitário de emissão de R$ 1.000,00 (mil reais) na primeira data de integralização das Cotas da respectiva Série. 82/91 2.3 Todas as Séries de Cotas Subordinadas Mezanino deverão ter as mesmas condições de amortização. Na hipótese de emissão de ma</t>
        </is>
      </c>
    </row>
    <row r="118" ht="40.5" customHeight="1">
      <c r="A118" s="138" t="n">
        <v>53577135000180</v>
      </c>
      <c r="B118" s="74" t="inlineStr">
        <is>
          <t>53.577.135/0001-80</t>
        </is>
      </c>
      <c r="C118" s="74" t="inlineStr">
        <is>
          <t>Cotas Seniores</t>
        </is>
      </c>
      <c r="D118" s="74" t="inlineStr">
        <is>
          <t>R$ 1.000,00</t>
        </is>
      </c>
      <c r="E118" s="139" t="n">
        <v>1000</v>
      </c>
      <c r="F118" s="74" t="inlineStr">
        <is>
          <t>preço/valor unitário de emissão</t>
        </is>
      </c>
      <c r="G118" s="74" t="b">
        <v>0</v>
      </c>
      <c r="H118" s="74" t="inlineStr">
        <is>
          <t>regulamento</t>
        </is>
      </c>
      <c r="I118" s="74" t="n">
        <v>1224059</v>
      </c>
      <c r="J118" s="74" t="inlineStr">
        <is>
          <t>Regulamento</t>
        </is>
      </c>
      <c r="K118" s="74" t="inlineStr">
        <is>
          <t>18/06/2026</t>
        </is>
      </c>
      <c r="L118" s="74" t="n">
        <v>79</v>
      </c>
      <c r="M118" s="74" t="inlineStr">
        <is>
          <t>encontrado_explicito</t>
        </is>
      </c>
      <c r="N118" s="74" t="b">
        <v>1</v>
      </c>
      <c r="O118" s="74" t="inlineStr">
        <is>
          <t>.cache/carteira_101_document_scan/53577135000180/1224059.json.gz</t>
        </is>
      </c>
      <c r="P118" s="74" t="inlineStr">
        <is>
          <t>https://fnet.bmfbovespa.com.br/fnet/publico/downloadDocumento?id=1224059</t>
        </is>
      </c>
      <c r="Q118" s="74" t="inlineStr">
        <is>
          <t>2.1 A emissão e distribuição de novas Cotas Seniores depende de aprovação prévia dos Cotistas reunidos em Assembleia Especial, nos termos do Anexo Descritivo. 2.2 As Cotas Seniores, independente da Série, terão valor unitário de emissão de R$ 1.000,00 (mil reais) na primeira data de integralização das Cotas da respectiva Série. 80 2.3 As Cotas Seniores de cada Série que venham a ser ofertadas publicamente deverão ser subscritas dentro dos prazos estabeleci</t>
        </is>
      </c>
    </row>
    <row r="119" ht="40.5" customHeight="1">
      <c r="A119" s="142" t="n">
        <v>53577135000180</v>
      </c>
      <c r="B119" s="75" t="inlineStr">
        <is>
          <t>53.577.135/0001-80</t>
        </is>
      </c>
      <c r="C119" s="75" t="inlineStr">
        <is>
          <t>Cotas Subordinadas Junior</t>
        </is>
      </c>
      <c r="D119" s="75" t="inlineStr">
        <is>
          <t>R$ 1.000,00</t>
        </is>
      </c>
      <c r="E119" s="143" t="n">
        <v>1000</v>
      </c>
      <c r="F119" s="75" t="inlineStr">
        <is>
          <t>preço/valor unitário de emissão</t>
        </is>
      </c>
      <c r="G119" s="75" t="b">
        <v>0</v>
      </c>
      <c r="H119" s="75" t="inlineStr">
        <is>
          <t>regulamento</t>
        </is>
      </c>
      <c r="I119" s="75" t="n">
        <v>1224059</v>
      </c>
      <c r="J119" s="75" t="inlineStr">
        <is>
          <t>Regulamento</t>
        </is>
      </c>
      <c r="K119" s="75" t="inlineStr">
        <is>
          <t>18/06/2026</t>
        </is>
      </c>
      <c r="L119" s="75" t="n">
        <v>91</v>
      </c>
      <c r="M119" s="75" t="inlineStr">
        <is>
          <t>encontrado_explicito</t>
        </is>
      </c>
      <c r="N119" s="75" t="b">
        <v>1</v>
      </c>
      <c r="O119" s="75" t="inlineStr">
        <is>
          <t>.cache/carteira_101_document_scan/53577135000180/1224059.json.gz</t>
        </is>
      </c>
      <c r="P119" s="75" t="inlineStr">
        <is>
          <t>https://fnet.bmfbovespa.com.br/fnet/publico/downloadDocumento?id=1224059</t>
        </is>
      </c>
      <c r="Q119" s="75" t="inlineStr">
        <is>
          <t>2.1 A emissão e distribuição de novas Cotas Subordinadas Juniores depende de aprovação prévia dos Cotistas reunidos em Assembleia Especial, nos termos do Anexo Descritivo. 2.2 As Cotas Subordinadas Juniores terão valor unitário de emissão de R$ 1.000,00 (mil reais) na primeira data de integralização das Cotas Subordinadas Juniores. 2.3 As Cotas Subordinadas Mezanino de cada Emissão que venham a ser ofertadas publicamente deverão ser subscritas dentro dos prazos es</t>
        </is>
      </c>
    </row>
    <row r="120" ht="40.5" customHeight="1">
      <c r="A120" s="138" t="n">
        <v>53577135000180</v>
      </c>
      <c r="B120" s="74" t="inlineStr">
        <is>
          <t>53.577.135/0001-80</t>
        </is>
      </c>
      <c r="C120" s="74" t="inlineStr">
        <is>
          <t>Cotas Subordinadas Mezanino</t>
        </is>
      </c>
      <c r="D120" s="74" t="inlineStr">
        <is>
          <t>R$ 1.000,00</t>
        </is>
      </c>
      <c r="E120" s="139" t="n">
        <v>1000</v>
      </c>
      <c r="F120" s="74" t="inlineStr">
        <is>
          <t>preço/valor unitário de emissão</t>
        </is>
      </c>
      <c r="G120" s="74" t="b">
        <v>0</v>
      </c>
      <c r="H120" s="74" t="inlineStr">
        <is>
          <t>regulamento</t>
        </is>
      </c>
      <c r="I120" s="74" t="n">
        <v>1224059</v>
      </c>
      <c r="J120" s="74" t="inlineStr">
        <is>
          <t>Regulamento</t>
        </is>
      </c>
      <c r="K120" s="74" t="inlineStr">
        <is>
          <t>18/06/2026</t>
        </is>
      </c>
      <c r="L120" s="74" t="n">
        <v>85</v>
      </c>
      <c r="M120" s="74" t="inlineStr">
        <is>
          <t>encontrado_explicito</t>
        </is>
      </c>
      <c r="N120" s="74" t="b">
        <v>1</v>
      </c>
      <c r="O120" s="74" t="inlineStr">
        <is>
          <t>.cache/carteira_101_document_scan/53577135000180/1224059.json.gz</t>
        </is>
      </c>
      <c r="P120" s="74" t="inlineStr">
        <is>
          <t>https://fnet.bmfbovespa.com.br/fnet/publico/downloadDocumento?id=1224059</t>
        </is>
      </c>
      <c r="Q120" s="74" t="inlineStr">
        <is>
          <t>buição de novas Cotas Subordinadas Mezanino depende de aprovação prévia dos Cotistas reunidos em Assembleia Especial, nos termos do Anexo Descritivo. 2.2 As Cotas Subordinadas Mezanino, independente da Série, terão valor unitário de emissão de R$ 1.000,00 (mil reais) na primeira data de integralização das Cotas da respectiva 86 Série. 2.3 Todas as Séries de Cotas Subordinadas Mezanino deverão ter as mesmas condições de amortização. Na hipótese de emissão de m</t>
        </is>
      </c>
    </row>
    <row r="121" ht="40.5" customHeight="1">
      <c r="A121" s="142" t="n">
        <v>53662209000187</v>
      </c>
      <c r="B121" s="75" t="inlineStr">
        <is>
          <t>53.662.209/0001-87</t>
        </is>
      </c>
      <c r="C121" s="75" t="inlineStr">
        <is>
          <t>Cotas Subordinadas Junior</t>
        </is>
      </c>
      <c r="D121" s="75" t="inlineStr">
        <is>
          <t>R$ 1.000,00</t>
        </is>
      </c>
      <c r="E121" s="143" t="n">
        <v>1000</v>
      </c>
      <c r="F121" s="75" t="inlineStr">
        <is>
          <t>preço/valor unitário de emissão</t>
        </is>
      </c>
      <c r="G121" s="75" t="b">
        <v>0</v>
      </c>
      <c r="H121" s="75" t="inlineStr">
        <is>
          <t>regulamento</t>
        </is>
      </c>
      <c r="I121" s="75" t="n">
        <v>1239751</v>
      </c>
      <c r="J121" s="75" t="inlineStr">
        <is>
          <t>Regulamento</t>
        </is>
      </c>
      <c r="K121" s="75" t="inlineStr">
        <is>
          <t>30/06/2026</t>
        </is>
      </c>
      <c r="L121" s="75" t="n">
        <v>82</v>
      </c>
      <c r="M121" s="75" t="inlineStr">
        <is>
          <t>encontrado_explicito</t>
        </is>
      </c>
      <c r="N121" s="75" t="b">
        <v>1</v>
      </c>
      <c r="O121" s="75" t="inlineStr">
        <is>
          <t>.cache/carteira_101_document_scan/53662209000187/1239751.json.gz</t>
        </is>
      </c>
      <c r="P121" s="75" t="inlineStr">
        <is>
          <t>https://fnet.bmfbovespa.com.br/fnet/publico/downloadDocumento?id=1239751</t>
        </is>
      </c>
      <c r="Q121" s="75" t="inlineStr">
        <is>
          <t>s significados que lhes são atribuídos no Regulamento. Emissão: []ª ([]) Emissão de Cotas Subordinadas Juniores Valor Total da Emissão: R$ [] ([] reais) Quantidade de Cotas Subordinadas Juniores: [] ([]) cotas. Valor Unitário de Emissão: R$ 1.000,00 (um mil reais). Forma de Subscrição / Integralização: [] Data de Emissão: Data de primeira Integralização da []ª ([]) emissão das Cotas Subordinadas Juniores. Rito de Registro da Oferta: [] Regime de Distribuiçã</t>
        </is>
      </c>
    </row>
    <row r="122" ht="40.5" customHeight="1">
      <c r="A122" s="138" t="n">
        <v>53662209000187</v>
      </c>
      <c r="B122" s="74" t="inlineStr">
        <is>
          <t>53.662.209/0001-87</t>
        </is>
      </c>
      <c r="C122" s="74" t="inlineStr">
        <is>
          <t>Cotas Subordinadas Mezanino</t>
        </is>
      </c>
      <c r="D122" s="74" t="inlineStr">
        <is>
          <t>R$ 1.000,00</t>
        </is>
      </c>
      <c r="E122" s="139" t="n">
        <v>1000</v>
      </c>
      <c r="F122" s="74" t="inlineStr">
        <is>
          <t>preço/valor unitário de emissão</t>
        </is>
      </c>
      <c r="G122" s="74" t="b">
        <v>0</v>
      </c>
      <c r="H122" s="74" t="inlineStr">
        <is>
          <t>regulamento</t>
        </is>
      </c>
      <c r="I122" s="74" t="n">
        <v>1239751</v>
      </c>
      <c r="J122" s="74" t="inlineStr">
        <is>
          <t>Regulamento</t>
        </is>
      </c>
      <c r="K122" s="74" t="inlineStr">
        <is>
          <t>30/06/2026</t>
        </is>
      </c>
      <c r="L122" s="74" t="n">
        <v>75</v>
      </c>
      <c r="M122" s="74" t="inlineStr">
        <is>
          <t>encontrado_explicito</t>
        </is>
      </c>
      <c r="N122" s="74" t="b">
        <v>1</v>
      </c>
      <c r="O122" s="74" t="inlineStr">
        <is>
          <t>.cache/carteira_101_document_scan/53662209000187/1239751.json.gz</t>
        </is>
      </c>
      <c r="P122" s="74" t="inlineStr">
        <is>
          <t>https://fnet.bmfbovespa.com.br/fnet/publico/downloadDocumento?id=1239751</t>
        </is>
      </c>
      <c r="Q122" s="74" t="inlineStr">
        <is>
          <t>buídos no Regulamento. Emissão: []ª ([]) Emissão da []ª ([]) Série Cotas Subordinadas Mezanino A Série [] Valor Total da Emissão: R$ [] ([] reais) Quantidade de Cotas Subordinadas Mezanino A: [] ([]) cotas. Valor Unitário de Emissão: R$ 1.000,00 (um mil reais). Forma de Subscrição / Integralização [] Data de Emissão: Data de primeira Integralização da []ª ([]) emissão das Cotas Subordinadas Mezanino A da []ª ([]) Série. Rito de Registro da Oferta: [] R</t>
        </is>
      </c>
    </row>
    <row r="123" ht="40.5" customHeight="1">
      <c r="A123" s="142" t="n">
        <v>53662209000187</v>
      </c>
      <c r="B123" s="75" t="inlineStr">
        <is>
          <t>53.662.209/0001-87</t>
        </is>
      </c>
      <c r="C123" s="75" t="inlineStr">
        <is>
          <t>Série Cotas Seniores</t>
        </is>
      </c>
      <c r="D123" s="75" t="inlineStr">
        <is>
          <t>R$ 1.000,00</t>
        </is>
      </c>
      <c r="E123" s="143" t="n">
        <v>1000</v>
      </c>
      <c r="F123" s="75" t="inlineStr">
        <is>
          <t>preço/valor unitário de emissão</t>
        </is>
      </c>
      <c r="G123" s="75" t="b">
        <v>0</v>
      </c>
      <c r="H123" s="75" t="inlineStr">
        <is>
          <t>regulamento</t>
        </is>
      </c>
      <c r="I123" s="75" t="n">
        <v>1239751</v>
      </c>
      <c r="J123" s="75" t="inlineStr">
        <is>
          <t>Regulamento</t>
        </is>
      </c>
      <c r="K123" s="75" t="inlineStr">
        <is>
          <t>30/06/2026</t>
        </is>
      </c>
      <c r="L123" s="75" t="n">
        <v>73</v>
      </c>
      <c r="M123" s="75" t="inlineStr">
        <is>
          <t>encontrado_explicito</t>
        </is>
      </c>
      <c r="N123" s="75" t="b">
        <v>1</v>
      </c>
      <c r="O123" s="75" t="inlineStr">
        <is>
          <t>.cache/carteira_101_document_scan/53662209000187/1239751.json.gz</t>
        </is>
      </c>
      <c r="P123" s="75" t="inlineStr">
        <is>
          <t>https://fnet.bmfbovespa.com.br/fnet/publico/downloadDocumento?id=1239751</t>
        </is>
      </c>
      <c r="Q123" s="75" t="inlineStr">
        <is>
          <t>os terão os significados que lhes são atribuídos no Regulamento. Emissão: []ª ([]) Emissão da []ª ([]) Série Cotas Seniores Série: [] Valor Total da Emissão: R$ [] ([] reais) Quantidade de Cotas: [] ([]) cotas Valor Unitário de Emissão: R$ 1.000,00 (um mil reais). Forma de Subscrição / Integralização [] Data de Emissão: Data de primeira Integralização da []ª ([]) emissão das Cotas Seniores da []ª ([]) Série. Rito de Registro da Oferta: [] Regime de Distr</t>
        </is>
      </c>
    </row>
    <row r="124" ht="40.5" customHeight="1">
      <c r="A124" s="138" t="n">
        <v>53662209000187</v>
      </c>
      <c r="B124" s="74" t="inlineStr">
        <is>
          <t>53.662.209/0001-87</t>
        </is>
      </c>
      <c r="C124" s="74" t="inlineStr">
        <is>
          <t>cotas seniores</t>
        </is>
      </c>
      <c r="D124" s="74" t="inlineStr">
        <is>
          <t>R$ 1.000,00</t>
        </is>
      </c>
      <c r="E124" s="139" t="n">
        <v>1000</v>
      </c>
      <c r="F124" s="74" t="inlineStr">
        <is>
          <t>valor nominal unitário (VNU)</t>
        </is>
      </c>
      <c r="G124" s="74" t="b">
        <v>0</v>
      </c>
      <c r="H124" s="74" t="inlineStr">
        <is>
          <t>emissao</t>
        </is>
      </c>
      <c r="I124" s="74" t="n">
        <v>924981</v>
      </c>
      <c r="J124" s="74" t="inlineStr">
        <is>
          <t>Oferta Pública de Distribuição de Cotas Anúncio de Encerramento</t>
        </is>
      </c>
      <c r="K124" s="74" t="inlineStr">
        <is>
          <t>13/06/2025</t>
        </is>
      </c>
      <c r="L124" s="74" t="n">
        <v>1</v>
      </c>
      <c r="M124" s="74" t="inlineStr">
        <is>
          <t>encontrado_explicito</t>
        </is>
      </c>
      <c r="N124" s="74" t="b">
        <v>1</v>
      </c>
      <c r="O124" s="74" t="inlineStr">
        <is>
          <t>.cache/carteira_101_document_scan/53662209000187/924981.json.gz</t>
        </is>
      </c>
      <c r="P124" s="74" t="inlineStr">
        <is>
          <t>https://fnet.bmfbovespa.com.br/fnet/publico/downloadDocumento?id=924981</t>
        </is>
      </c>
      <c r="Q124" s="74" t="inlineStr">
        <is>
          <t>nicam, nos termos dos artigos 13 e 76 , da Resolução da CVM nº 160, de 13 de julho de 2022, conforme em vigor (“Resolução CVM 160”), o encerramento da distribuição pública de (i) 100.000 (cem mil) cotas seniores, com valor nominal unitário de R$ 1.000,00 (mil reais) em sua data de emissão (“ Cotas Seniores”), perfazendo o montante total de R$ 100.000.000,00 ( cem milhões de reais) ; (ii) 55.000 ( cinquenta e cinco mil) cotas subordinadas mezanino A, com valor nominal</t>
        </is>
      </c>
    </row>
    <row r="125" ht="40.5" customHeight="1">
      <c r="A125" s="142" t="n">
        <v>53662209000187</v>
      </c>
      <c r="B125" s="75" t="inlineStr">
        <is>
          <t>53.662.209/0001-87</t>
        </is>
      </c>
      <c r="C125" s="75" t="inlineStr">
        <is>
          <t>cotas subordinadas mezanino</t>
        </is>
      </c>
      <c r="D125" s="75" t="inlineStr">
        <is>
          <t>R$ 1.000,00</t>
        </is>
      </c>
      <c r="E125" s="143" t="n">
        <v>1000</v>
      </c>
      <c r="F125" s="75" t="inlineStr">
        <is>
          <t>valor nominal unitário (VNU)</t>
        </is>
      </c>
      <c r="G125" s="75" t="b">
        <v>0</v>
      </c>
      <c r="H125" s="75" t="inlineStr">
        <is>
          <t>emissao</t>
        </is>
      </c>
      <c r="I125" s="75" t="n">
        <v>924981</v>
      </c>
      <c r="J125" s="75" t="inlineStr">
        <is>
          <t>Oferta Pública de Distribuição de Cotas Anúncio de Encerramento</t>
        </is>
      </c>
      <c r="K125" s="75" t="inlineStr">
        <is>
          <t>13/06/2025</t>
        </is>
      </c>
      <c r="L125" s="75" t="n">
        <v>1</v>
      </c>
      <c r="M125" s="75" t="inlineStr">
        <is>
          <t>encontrado_explicito</t>
        </is>
      </c>
      <c r="N125" s="75" t="b">
        <v>1</v>
      </c>
      <c r="O125" s="75" t="inlineStr">
        <is>
          <t>.cache/carteira_101_document_scan/53662209000187/924981.json.gz</t>
        </is>
      </c>
      <c r="P125" s="75" t="inlineStr">
        <is>
          <t>https://fnet.bmfbovespa.com.br/fnet/publico/downloadDocumento?id=924981</t>
        </is>
      </c>
      <c r="Q125" s="75" t="inlineStr">
        <is>
          <t>de R$ 1.000,00 (mil reais) em sua data de emissão (“ Cotas Seniores”), perfazendo o montante total de R$ 100.000.000,00 ( cem milhões de reais) ; (ii) 55.000 ( cinquenta e cinco mil) cotas subordinadas mezanino A, com valor nominal unitário de R$ 1.000,00 (mil reais) em sua data de emissão (“Cotas Subordinadas Mezanino A.2”), perfazendo o montante total de R$ 55.000.000,00 (cinquenta e cinco milhões de reais) em sua data de emissão; e (iii) 10.000 (dez mil) cotas subor</t>
        </is>
      </c>
    </row>
    <row r="126" ht="40.5" customHeight="1">
      <c r="A126" s="138" t="n">
        <v>54252144000164</v>
      </c>
      <c r="B126" s="74" t="inlineStr">
        <is>
          <t>54.252.144/0001-64</t>
        </is>
      </c>
      <c r="C126" s="74" t="inlineStr">
        <is>
          <t>Cotas Seniores</t>
        </is>
      </c>
      <c r="D126" s="74" t="inlineStr">
        <is>
          <t>R$ 1.000,00</t>
        </is>
      </c>
      <c r="E126" s="139" t="n">
        <v>1000</v>
      </c>
      <c r="F126" s="74" t="inlineStr">
        <is>
          <t>preço/valor unitário de emissão</t>
        </is>
      </c>
      <c r="G126" s="74" t="b">
        <v>0</v>
      </c>
      <c r="H126" s="74" t="inlineStr">
        <is>
          <t>regulamento</t>
        </is>
      </c>
      <c r="I126" s="74" t="n">
        <v>1072289</v>
      </c>
      <c r="J126" s="74" t="inlineStr">
        <is>
          <t>regulamento</t>
        </is>
      </c>
      <c r="K126" s="74" t="inlineStr">
        <is>
          <t>2025-12-29</t>
        </is>
      </c>
      <c r="L126" s="74" t="n">
        <v>155</v>
      </c>
      <c r="M126" s="74" t="inlineStr">
        <is>
          <t>encontrado_explicito</t>
        </is>
      </c>
      <c r="N126" s="74" t="b">
        <v>1</v>
      </c>
      <c r="O126" s="74" t="inlineStr">
        <is>
          <t>data/raw/54252144000164/1072289_regulamento_regulamento_1072289_2025-12-29.pdf</t>
        </is>
      </c>
      <c r="P126" s="74" t="inlineStr">
        <is>
          <t>https://fnet.bmfbovespa.com.br/fnet/publico/downloadDocumento?id=1072289</t>
        </is>
      </c>
      <c r="Q126" s="74" t="inlineStr">
        <is>
          <t>ntes características e serão objeto de Oferta conforme abaixo: Montante das Cotas Seniores R$ 85.000.000,00 (oitenta e cinco milhões de reais). Quantidade de Cotas Seniores: 85.000 (oitenta e cinco mil) cotas. Valor Unitário de Emissão: R$ 1.000,00 (mil reais) para a primeira integralização de Cotas. A partir de então o valor da Cota será calculado todo Dia Útil, nos termos do Anexo Descritivo. A data da aplicação e o valor da Cota serão o do dia da efetiva di</t>
        </is>
      </c>
    </row>
    <row r="127" ht="40.5" customHeight="1">
      <c r="A127" s="142" t="n">
        <v>54252144000164</v>
      </c>
      <c r="B127" s="75" t="inlineStr">
        <is>
          <t>54.252.144/0001-64</t>
        </is>
      </c>
      <c r="C127" s="75" t="inlineStr">
        <is>
          <t>Cotas Subordinadas Júnior</t>
        </is>
      </c>
      <c r="D127" s="75" t="inlineStr">
        <is>
          <t>R$ 1.000,00</t>
        </is>
      </c>
      <c r="E127" s="143" t="n">
        <v>1000</v>
      </c>
      <c r="F127" s="75" t="inlineStr">
        <is>
          <t>preço/valor unitário de emissão</t>
        </is>
      </c>
      <c r="G127" s="75" t="b">
        <v>0</v>
      </c>
      <c r="H127" s="75" t="inlineStr">
        <is>
          <t>regulamento</t>
        </is>
      </c>
      <c r="I127" s="75" t="n">
        <v>1072289</v>
      </c>
      <c r="J127" s="75" t="inlineStr">
        <is>
          <t>regulamento</t>
        </is>
      </c>
      <c r="K127" s="75" t="inlineStr">
        <is>
          <t>2025-12-29</t>
        </is>
      </c>
      <c r="L127" s="75" t="n">
        <v>183</v>
      </c>
      <c r="M127" s="75" t="inlineStr">
        <is>
          <t>encontrado_explicito</t>
        </is>
      </c>
      <c r="N127" s="75" t="b">
        <v>1</v>
      </c>
      <c r="O127" s="75" t="inlineStr">
        <is>
          <t>data/raw/54252144000164/1072289_regulamento_regulamento_1072289_2025-12-29.pdf</t>
        </is>
      </c>
      <c r="P127" s="75" t="inlineStr">
        <is>
          <t>https://fnet.bmfbovespa.com.br/fnet/publico/downloadDocumento?id=1072289</t>
        </is>
      </c>
      <c r="Q127" s="75" t="inlineStr">
        <is>
          <t>características e serão objeto de Oferta conforme abaixo: Montante das Cotas Subordinadas Júnior R$ 5.000.000,00 (cinco milhões de reais) Quantidade de Cotas Subordinadas Júnior: 5.000 (cinco mil) cotas Valor Unitário de Emissão: R$ 1.000,00 (mil reais ), para a primeira integralização de Cotas. A partir de então o valor da Cota será calculado todo Dia Útil, nos termos do Anexo Descritivo. A data da aplicação e o valor da Cota serão o do dia da efetiva d</t>
        </is>
      </c>
    </row>
    <row r="128" ht="40.5" customHeight="1">
      <c r="A128" s="138" t="n">
        <v>54252144000164</v>
      </c>
      <c r="B128" s="74" t="inlineStr">
        <is>
          <t>54.252.144/0001-64</t>
        </is>
      </c>
      <c r="C128" s="74" t="inlineStr">
        <is>
          <t>Cotas Subordinadas Mezanino</t>
        </is>
      </c>
      <c r="D128" s="74" t="inlineStr">
        <is>
          <t>R$1.000,00</t>
        </is>
      </c>
      <c r="E128" s="139" t="n">
        <v>1000</v>
      </c>
      <c r="F128" s="74" t="inlineStr">
        <is>
          <t>preço/valor unitário de emissão</t>
        </is>
      </c>
      <c r="G128" s="74" t="b">
        <v>0</v>
      </c>
      <c r="H128" s="74" t="inlineStr">
        <is>
          <t>regulamento</t>
        </is>
      </c>
      <c r="I128" s="74" t="n">
        <v>1072289</v>
      </c>
      <c r="J128" s="74" t="inlineStr">
        <is>
          <t>regulamento</t>
        </is>
      </c>
      <c r="K128" s="74" t="inlineStr">
        <is>
          <t>2025-12-29</t>
        </is>
      </c>
      <c r="L128" s="74" t="n">
        <v>82</v>
      </c>
      <c r="M128" s="74" t="inlineStr">
        <is>
          <t>encontrado_explicito</t>
        </is>
      </c>
      <c r="N128" s="74" t="b">
        <v>1</v>
      </c>
      <c r="O128" s="74" t="inlineStr">
        <is>
          <t>data/raw/54252144000164/1072289_regulamento_regulamento_1072289_2025-12-29.pdf</t>
        </is>
      </c>
      <c r="P128" s="74" t="inlineStr">
        <is>
          <t>https://fnet.bmfbovespa.com.br/fnet/publico/downloadDocumento?id=1072289</t>
        </is>
      </c>
      <c r="Q128" s="74" t="inlineStr">
        <is>
          <t>imos. Todas as Cotas de uma mesma Subclasse terão iguais prioridades de amortização, resgate e distribuição dos rendimentos da Carteira, bem como direitos de voto, observado o disposto neste Anexo Descritivo. 7.1. O valor unitário de emissão em cada primeira emissão de cada Subclasse ou série de Cotas será de R$1.000,00 (mil reais) ("Valor Unitário de Emissão"). 7.2. Todas as Cotas serão escriturais e serão mantidas em conta de depósito em nome dos Cotistas pelo Custodiante, na qualidade de instituição responsável pela escrituraçã</t>
        </is>
      </c>
    </row>
    <row r="129" ht="40.5" customHeight="1">
      <c r="A129" s="142" t="n">
        <v>54464892000100</v>
      </c>
      <c r="B129" s="75" t="inlineStr">
        <is>
          <t>54.464.892/0001-00</t>
        </is>
      </c>
      <c r="C129" s="75" t="inlineStr">
        <is>
          <t>Cotas Subordinadas Mezanino</t>
        </is>
      </c>
      <c r="D129" s="75" t="inlineStr">
        <is>
          <t>R$ 1.000,00</t>
        </is>
      </c>
      <c r="E129" s="143" t="n">
        <v>1000</v>
      </c>
      <c r="F129" s="75" t="inlineStr">
        <is>
          <t>valor nominal unitário (VNU)</t>
        </is>
      </c>
      <c r="G129" s="75" t="b">
        <v>0</v>
      </c>
      <c r="H129" s="75" t="inlineStr">
        <is>
          <t>regulamento</t>
        </is>
      </c>
      <c r="I129" s="75" t="n">
        <v>1033290</v>
      </c>
      <c r="J129" s="75" t="inlineStr">
        <is>
          <t>Atos de Deliberação do Administrador Instrumento Particular de Alteração do Regulamento</t>
        </is>
      </c>
      <c r="K129" s="75" t="inlineStr">
        <is>
          <t>10/11/2025</t>
        </is>
      </c>
      <c r="L129" s="75" t="n">
        <v>1</v>
      </c>
      <c r="M129" s="75" t="inlineStr">
        <is>
          <t>encontrado_explicito</t>
        </is>
      </c>
      <c r="N129" s="75" t="b">
        <v>1</v>
      </c>
      <c r="O129" s="75" t="inlineStr">
        <is>
          <t>.cache/carteira_101_document_scan/54464892000100/1033290.json.gz</t>
        </is>
      </c>
      <c r="P129" s="75" t="inlineStr">
        <is>
          <t>https://fnet.bmfbovespa.com.br/fnet/publico/downloadDocumento?id=1033290</t>
        </is>
      </c>
      <c r="Q129" s="75" t="inlineStr">
        <is>
          <t>ora do Fundo aprovaram via Ato Conjunto, dentro outras matérias, a 1ª (primeira) emissão de 23.600 (vinte e três mil e seiscentas) cotas da Subclasse Subordinada Mezanino da Classe ("Cotas Subordinadas Mezanino"), com valor nominal unitário de R$ 1.000,00 (mil reais), na respectiva Data da Integralização de Cotas Subordin adas Mezanino, totalizando R$ 23.600.000,00 (vinte e três milhões e seiscentos mil reais), via colocação privada. (ii) A Administradora recebeu s</t>
        </is>
      </c>
    </row>
    <row r="130" ht="40.5" customHeight="1">
      <c r="A130" s="138" t="n">
        <v>54559035000194</v>
      </c>
      <c r="B130" s="74" t="inlineStr">
        <is>
          <t>54.559.035/0001-94</t>
        </is>
      </c>
      <c r="C130" s="74" t="inlineStr">
        <is>
          <t>Cotas Seniores</t>
        </is>
      </c>
      <c r="D130" s="74" t="inlineStr">
        <is>
          <t>R$ 1,00</t>
        </is>
      </c>
      <c r="E130" s="139" t="n">
        <v>1</v>
      </c>
      <c r="F130" s="74" t="inlineStr">
        <is>
          <t>preço/valor unitário de emissão</t>
        </is>
      </c>
      <c r="G130" s="74" t="b">
        <v>0</v>
      </c>
      <c r="H130" s="74" t="inlineStr">
        <is>
          <t>regulamento</t>
        </is>
      </c>
      <c r="I130" s="74" t="n">
        <v>634437</v>
      </c>
      <c r="J130" s="74" t="inlineStr">
        <is>
          <t>regulamento</t>
        </is>
      </c>
      <c r="K130" s="74" t="inlineStr">
        <is>
          <t>2024-04-05</t>
        </is>
      </c>
      <c r="L130" s="74" t="n">
        <v>126</v>
      </c>
      <c r="M130" s="74" t="inlineStr">
        <is>
          <t>encontrado_explicito</t>
        </is>
      </c>
      <c r="N130" s="74" t="b">
        <v>1</v>
      </c>
      <c r="O130" s="74" t="inlineStr">
        <is>
          <t>data/raw/54559035000194/634437_regulamento_regulamento_634437_2024-04-05.pdf</t>
        </is>
      </c>
      <c r="P130" s="74" t="inlineStr">
        <is>
          <t>https://fnet.bmfbovespa.com.br/fnet/publico/downloadDocumento?id=634437</t>
        </is>
      </c>
      <c r="Q130" s="74" t="inlineStr">
        <is>
          <t>s e noventa e dois mil, quinhentos e sessenta e quatro reais). Quantidade de Cotas Seniores: 224.292.564 (duzentas e vinte e quatro milhões, duzentas e noventa e dois mil, quinhentas e sessenta e quatro) cotas. Valor Unitário de Emissão: R$ 1,00 (um real). Forma de Integralização: À vista, na data de subscrição. Prazo para Distribuição: 180 (cento e oitenta) dias. Fator de Ponderação Sênior: 0,8857 (oito mil, oitocentos e cinquenta e sete décimos de milésim</t>
        </is>
      </c>
    </row>
    <row r="131" ht="40.5" customHeight="1">
      <c r="A131" s="142" t="n">
        <v>54559035000194</v>
      </c>
      <c r="B131" s="75" t="inlineStr">
        <is>
          <t>54.559.035/0001-94</t>
        </is>
      </c>
      <c r="C131" s="75" t="inlineStr">
        <is>
          <t>Cotas Subordinadas</t>
        </is>
      </c>
      <c r="D131" s="75" t="inlineStr">
        <is>
          <t>R$1,00</t>
        </is>
      </c>
      <c r="E131" s="143" t="n">
        <v>1</v>
      </c>
      <c r="F131" s="75" t="inlineStr">
        <is>
          <t>preço/valor unitário de emissão</t>
        </is>
      </c>
      <c r="G131" s="75" t="b">
        <v>0</v>
      </c>
      <c r="H131" s="75" t="inlineStr">
        <is>
          <t>regulamento</t>
        </is>
      </c>
      <c r="I131" s="75" t="n">
        <v>634437</v>
      </c>
      <c r="J131" s="75" t="inlineStr">
        <is>
          <t>regulamento</t>
        </is>
      </c>
      <c r="K131" s="75" t="inlineStr">
        <is>
          <t>2024-04-05</t>
        </is>
      </c>
      <c r="L131" s="75" t="n">
        <v>63</v>
      </c>
      <c r="M131" s="75" t="inlineStr">
        <is>
          <t>encontrado_explicito</t>
        </is>
      </c>
      <c r="N131" s="75" t="b">
        <v>1</v>
      </c>
      <c r="O131" s="75" t="inlineStr">
        <is>
          <t>data/raw/54559035000194/634437_regulamento_regulamento_634437_2024-04-05.pdf</t>
        </is>
      </c>
      <c r="P131" s="75" t="inlineStr">
        <is>
          <t>https://fnet.bmfbovespa.com.br/fnet/publico/downloadDocumento?id=634437</t>
        </is>
      </c>
      <c r="Q131" s="75" t="inlineStr">
        <is>
          <t>a mesma Subclasse terão iguais prioridades de amortização, resgate e distribuição dos rendimentos da carteira da Classe, bem como direitos de voto, observado o disposto neste Anexo Descritivo. 6.1.1. As Cotas terão Valor Unitário de Emissão de R$1,00 (um real ) (“Valor Unitário de Emissão”). 6.1.2. Os Cotistas Seniores, suas controladas, controladores, coligadas, sociedades sob controle comum, em qualquer tempo, terão direito de preferência na subscrição de n</t>
        </is>
      </c>
    </row>
    <row r="132" ht="40.5" customHeight="1">
      <c r="A132" s="138" t="n">
        <v>54559035000194</v>
      </c>
      <c r="B132" s="74" t="inlineStr">
        <is>
          <t>54.559.035/0001-94</t>
        </is>
      </c>
      <c r="C132" s="74" t="inlineStr">
        <is>
          <t>N/D</t>
        </is>
      </c>
      <c r="D132" s="74" t="inlineStr">
        <is>
          <t>R$ 1,00</t>
        </is>
      </c>
      <c r="E132" s="139" t="n">
        <v>1</v>
      </c>
      <c r="F132" s="74" t="inlineStr">
        <is>
          <t>valor nominal unitário (VNU)</t>
        </is>
      </c>
      <c r="G132" s="74" t="b">
        <v>1</v>
      </c>
      <c r="H132" s="74" t="inlineStr">
        <is>
          <t>regulamento</t>
        </is>
      </c>
      <c r="I132" s="74" t="n">
        <v>634437</v>
      </c>
      <c r="J132" s="74" t="inlineStr">
        <is>
          <t>regulamento</t>
        </is>
      </c>
      <c r="K132" s="74" t="inlineStr">
        <is>
          <t>2024-04-05</t>
        </is>
      </c>
      <c r="L132" s="74" t="n">
        <v>1</v>
      </c>
      <c r="M132" s="74" t="inlineStr">
        <is>
          <t>encontrado_explicito</t>
        </is>
      </c>
      <c r="N132" s="74" t="b">
        <v>1</v>
      </c>
      <c r="O132" s="74" t="inlineStr">
        <is>
          <t>data/raw/54559035000194/634437_regulamento_regulamento_634437_2024-04-05.pdf</t>
        </is>
      </c>
      <c r="P132" s="74" t="inlineStr">
        <is>
          <t>https://fnet.bmfbovespa.com.br/fnet/publico/downloadDocumento?id=634437</t>
        </is>
      </c>
      <c r="Q132" s="74" t="inlineStr">
        <is>
          <t>ar a emissão de: (a) 224.292.564 (duzentos e vinte e quatro milhões, duzentos duzentas e noventa e dois duas mil, e quinhentos quinhentas e sessenta e quatro) cotas de subclasse da 1ª série da 1ª emissão do Fundo, com valor nominal unitário de R$ 1,00 (um real) em sua data de emissão (“Cotas Seniores”), no montante total de R$ 224.292.564,00 (duzentos e vinte e quatro milhões, duzentos e noventa e dois mil e quinhentos e sessenta e quatro reais), cujos termos e c</t>
        </is>
      </c>
    </row>
    <row r="133" ht="40.5" customHeight="1">
      <c r="A133" s="142" t="n">
        <v>54559035000194</v>
      </c>
      <c r="B133" s="75" t="inlineStr">
        <is>
          <t>54.559.035/0001-94</t>
        </is>
      </c>
      <c r="C133" s="75" t="inlineStr">
        <is>
          <t>cotas subordinadas júnior</t>
        </is>
      </c>
      <c r="D133" s="75" t="inlineStr">
        <is>
          <t>R$ 1,00</t>
        </is>
      </c>
      <c r="E133" s="143" t="n">
        <v>1</v>
      </c>
      <c r="F133" s="75" t="inlineStr">
        <is>
          <t>valor nominal unitário (VNU)</t>
        </is>
      </c>
      <c r="G133" s="75" t="b">
        <v>0</v>
      </c>
      <c r="H133" s="75" t="inlineStr">
        <is>
          <t>regulamento</t>
        </is>
      </c>
      <c r="I133" s="75" t="n">
        <v>634437</v>
      </c>
      <c r="J133" s="75" t="inlineStr">
        <is>
          <t>regulamento</t>
        </is>
      </c>
      <c r="K133" s="75" t="inlineStr">
        <is>
          <t>2024-04-05</t>
        </is>
      </c>
      <c r="L133" s="75" t="n">
        <v>1</v>
      </c>
      <c r="M133" s="75" t="inlineStr">
        <is>
          <t>encontrado_explicito</t>
        </is>
      </c>
      <c r="N133" s="75" t="b">
        <v>1</v>
      </c>
      <c r="O133" s="75" t="inlineStr">
        <is>
          <t>data/raw/54559035000194/634437_regulamento_regulamento_634437_2024-04-05.pdf</t>
        </is>
      </c>
      <c r="P133" s="75" t="inlineStr">
        <is>
          <t>https://fnet.bmfbovespa.com.br/fnet/publico/downloadDocumento?id=634437</t>
        </is>
      </c>
      <c r="Q133" s="75" t="inlineStr">
        <is>
          <t>itado e consolidado constante do Anexo B a este instrumento; e (b) 28.921.427 (vinte e oito milhões, novecentas e vinte e uma mil, quatrocentas e vinte e sete) cotas subordinadas júnior da 1ª emissão do Fundo , com valor nominal unitário de R$ 1,00 (um real) em sua data de emissão (“ Cotas Subordinadas Júnior ” e, em conjunto com as C otas Seniores, “Cotas”), no montante total de R$ 28.921.427 (vinte e oito milhões, novecentos e vinte e um mil, quatrocent os e</t>
        </is>
      </c>
    </row>
    <row r="134" ht="40.5" customHeight="1">
      <c r="A134" s="138" t="n">
        <v>54559035000194</v>
      </c>
      <c r="B134" s="74" t="inlineStr">
        <is>
          <t>54.559.035/0001-94</t>
        </is>
      </c>
      <c r="C134" s="74" t="inlineStr">
        <is>
          <t>Cotas Subordinadas Júnior</t>
        </is>
      </c>
      <c r="D134" s="74" t="inlineStr">
        <is>
          <t>R$ 1,00</t>
        </is>
      </c>
      <c r="E134" s="139" t="n">
        <v>1</v>
      </c>
      <c r="F134" s="74" t="inlineStr">
        <is>
          <t>preço/valor unitário de emissão</t>
        </is>
      </c>
      <c r="G134" s="74" t="b">
        <v>0</v>
      </c>
      <c r="H134" s="74" t="inlineStr">
        <is>
          <t>emissao</t>
        </is>
      </c>
      <c r="I134" s="74" t="n">
        <v>634469</v>
      </c>
      <c r="J134" s="74" t="inlineStr">
        <is>
          <t>emissao</t>
        </is>
      </c>
      <c r="K134" s="74" t="inlineStr">
        <is>
          <t>2024-04-05</t>
        </is>
      </c>
      <c r="L134" s="74" t="n">
        <v>2</v>
      </c>
      <c r="M134" s="74" t="inlineStr">
        <is>
          <t>encontrado_explicito</t>
        </is>
      </c>
      <c r="N134" s="74" t="b">
        <v>1</v>
      </c>
      <c r="O134" s="74" t="inlineStr">
        <is>
          <t>data/raw/54559035000194/634469_emissao_emissao_634469_2024-04-05.pdf</t>
        </is>
      </c>
      <c r="P134" s="74" t="inlineStr">
        <is>
          <t>https://fnet.bmfbovespa.com.br/fnet/publico/downloadDocumento?id=634469</t>
        </is>
      </c>
      <c r="Q134" s="74" t="inlineStr">
        <is>
          <t>milhões, duzentos e noventa e dois mil e quinhentos e sessenta e quatro) Cotas Seniores , e 28.921.427 (vinte e oito milhões, novecentas e vinte e uma mil, quatrocentas e vinte e sete) Cotas Subordinadas Júnior, com valor unitário de emissão equivalente a R$ 1,00 ( um real) ("Cotas Seniores", “Cotas Subordinadas Júnior ”, em conjunto, “ Cotas” e “ Valor Unitário de Emissão”, respectivamente), no montante total de R$ 253.213.991,00 (duzentos e cinquenta e três milhões, duzento</t>
        </is>
      </c>
    </row>
    <row r="135" ht="40.5" customHeight="1">
      <c r="A135" s="142" t="n">
        <v>54810968000102</v>
      </c>
      <c r="B135" s="75" t="inlineStr">
        <is>
          <t>54.810.968/0001-02</t>
        </is>
      </c>
      <c r="C135" s="75" t="inlineStr">
        <is>
          <t>Cotas Seniores</t>
        </is>
      </c>
      <c r="D135" s="75" t="inlineStr">
        <is>
          <t>R$ 1.000,00</t>
        </is>
      </c>
      <c r="E135" s="143" t="n">
        <v>1000</v>
      </c>
      <c r="F135" s="75" t="inlineStr">
        <is>
          <t>preço/valor unitário de emissão</t>
        </is>
      </c>
      <c r="G135" s="75" t="b">
        <v>0</v>
      </c>
      <c r="H135" s="75" t="inlineStr">
        <is>
          <t>regulamento</t>
        </is>
      </c>
      <c r="I135" s="75" t="n">
        <v>937760</v>
      </c>
      <c r="J135" s="75" t="inlineStr">
        <is>
          <t>regulamento</t>
        </is>
      </c>
      <c r="K135" s="75" t="inlineStr">
        <is>
          <t>2025-04-22</t>
        </is>
      </c>
      <c r="L135" s="75" t="inlineStr">
        <is>
          <t>N/D</t>
        </is>
      </c>
      <c r="M135" s="75" t="inlineStr">
        <is>
          <t>encontrado_explicito</t>
        </is>
      </c>
      <c r="N135" s="75" t="b">
        <v>1</v>
      </c>
      <c r="O135" s="75" t="inlineStr">
        <is>
          <t>outputs/fidc_director_deep_diagnostic_20260609/pdf_text_cache/54810968000102_937760_regulamento_regulamento_937760_2025-04-22.txt</t>
        </is>
      </c>
      <c r="P135" s="75" t="inlineStr">
        <is>
          <t>https://fnet.bmfbovespa.com.br/fnet/publico/downloadDocumento?id=937760</t>
        </is>
      </c>
      <c r="Q135" s="75" t="inlineStr">
        <is>
          <t>2.1 A emissão e distribuição de novas Cotas Seniores depende de aprovação prévia dos Cotistas reunidos em Assembleia Especial, nos termos do Anexo Descritivo. 2.2 As Cotas Seniores, independente da Série, terão valor unitário de emissão de R$ 1.000,00 (mil reais) na primeira data de integralização das Cotas da respectiva Série. 86/101 2.3 As Cotas Seniores de cada Série que venham a ser ofertadas publicamente deverão ser subscritas dentro dos prazos estabelec</t>
        </is>
      </c>
    </row>
    <row r="136" ht="40.5" customHeight="1">
      <c r="A136" s="138" t="n">
        <v>54810968000102</v>
      </c>
      <c r="B136" s="74" t="inlineStr">
        <is>
          <t>54.810.968/0001-02</t>
        </is>
      </c>
      <c r="C136" s="74" t="inlineStr">
        <is>
          <t>Cotas Subordinadas Junior</t>
        </is>
      </c>
      <c r="D136" s="74" t="inlineStr">
        <is>
          <t>R$ 1.000,00</t>
        </is>
      </c>
      <c r="E136" s="139" t="n">
        <v>1000</v>
      </c>
      <c r="F136" s="74" t="inlineStr">
        <is>
          <t>preço/valor unitário de emissão</t>
        </is>
      </c>
      <c r="G136" s="74" t="b">
        <v>0</v>
      </c>
      <c r="H136" s="74" t="inlineStr">
        <is>
          <t>regulamento</t>
        </is>
      </c>
      <c r="I136" s="74" t="n">
        <v>937760</v>
      </c>
      <c r="J136" s="74" t="inlineStr">
        <is>
          <t>regulamento</t>
        </is>
      </c>
      <c r="K136" s="74" t="inlineStr">
        <is>
          <t>2025-04-22</t>
        </is>
      </c>
      <c r="L136" s="74" t="inlineStr">
        <is>
          <t>N/D</t>
        </is>
      </c>
      <c r="M136" s="74" t="inlineStr">
        <is>
          <t>encontrado_explicito</t>
        </is>
      </c>
      <c r="N136" s="74" t="b">
        <v>1</v>
      </c>
      <c r="O136" s="74" t="inlineStr">
        <is>
          <t>outputs/fidc_director_deep_diagnostic_20260609/pdf_text_cache/54810968000102_937760_regulamento_regulamento_937760_2025-04-22.txt</t>
        </is>
      </c>
      <c r="P136" s="74" t="inlineStr">
        <is>
          <t>https://fnet.bmfbovespa.com.br/fnet/publico/downloadDocumento?id=937760</t>
        </is>
      </c>
      <c r="Q136" s="74" t="inlineStr">
        <is>
          <t>2.1 A emissão e distribuição de novas Cotas Subordinadas Juniores depende de aprovação prévia dos Cotistas reunidos em Assembleia Especial, nos termos do Anexo Descritivo. 2.2 As Cotas Subordinadas Juniores terão valor unitário de emissão de R$ 1.000,00 (mil reais) na primeira data de integralização das Cotas Subordinadas Juniores. 2.3 As Cotas Subordinadas Junior de cada Emissão que venham a ser ofertadas publicamente deverão ser subscritas dentro dos prazos esta</t>
        </is>
      </c>
    </row>
    <row r="137" ht="40.5" customHeight="1">
      <c r="A137" s="142" t="n">
        <v>54810968000102</v>
      </c>
      <c r="B137" s="75" t="inlineStr">
        <is>
          <t>54.810.968/0001-02</t>
        </is>
      </c>
      <c r="C137" s="75" t="inlineStr">
        <is>
          <t>N/D</t>
        </is>
      </c>
      <c r="D137" s="75" t="inlineStr">
        <is>
          <t>R$ 1.000,00</t>
        </is>
      </c>
      <c r="E137" s="143" t="n">
        <v>1000</v>
      </c>
      <c r="F137" s="75" t="inlineStr">
        <is>
          <t>preço/valor unitário de emissão</t>
        </is>
      </c>
      <c r="G137" s="75" t="b">
        <v>1</v>
      </c>
      <c r="H137" s="75" t="inlineStr">
        <is>
          <t>regulamento</t>
        </is>
      </c>
      <c r="I137" s="75" t="n">
        <v>937760</v>
      </c>
      <c r="J137" s="75" t="inlineStr">
        <is>
          <t>regulamento</t>
        </is>
      </c>
      <c r="K137" s="75" t="inlineStr">
        <is>
          <t>2025-04-22</t>
        </is>
      </c>
      <c r="L137" s="75" t="inlineStr">
        <is>
          <t>N/D</t>
        </is>
      </c>
      <c r="M137" s="75" t="inlineStr">
        <is>
          <t>encontrado_explicito</t>
        </is>
      </c>
      <c r="N137" s="75" t="b">
        <v>1</v>
      </c>
      <c r="O137" s="75" t="inlineStr">
        <is>
          <t>outputs/fidc_director_deep_diagnostic_20260609/pdf_text_cache/54810968000102_937760_regulamento_regulamento_937760_2025-04-22.txt</t>
        </is>
      </c>
      <c r="P137" s="75" t="inlineStr">
        <is>
          <t>https://fnet.bmfbovespa.com.br/fnet/publico/downloadDocumento?id=937760</t>
        </is>
      </c>
      <c r="Q137" s="75" t="inlineStr">
        <is>
          <t>2.1 A emissão e distribuição de novas Cotas Mezanino depende de aprovação prévia dos Cotistas reunidos em Assembleia Especial, nos termos do Anexo Descritivo. 2.2 As Cotas Mezanino, independente da Série, terão valor unitário de emissão de R$ 1.000,00 (mil reais) na primeira data de integralização das Cotas da respectiva Série. 92/101 2.3 Todas as Séries de Cotas Mezanino deverão ter as mesmas condições de amortização. Na hipótese de emissão de mais de uma Sé</t>
        </is>
      </c>
    </row>
    <row r="138" ht="40.5" customHeight="1">
      <c r="A138" s="138" t="n">
        <v>54857414000160</v>
      </c>
      <c r="B138" s="74" t="inlineStr">
        <is>
          <t>54.857.414/0001-60</t>
        </is>
      </c>
      <c r="C138" s="74" t="inlineStr">
        <is>
          <t>Cotas Subordinadas</t>
        </is>
      </c>
      <c r="D138" s="74" t="inlineStr">
        <is>
          <t>R$1.000,00</t>
        </is>
      </c>
      <c r="E138" s="139" t="n">
        <v>1000</v>
      </c>
      <c r="F138" s="74" t="inlineStr">
        <is>
          <t>preço/valor unitário de emissão</t>
        </is>
      </c>
      <c r="G138" s="74" t="b">
        <v>0</v>
      </c>
      <c r="H138" s="74" t="inlineStr">
        <is>
          <t>regulamento</t>
        </is>
      </c>
      <c r="I138" s="74" t="n">
        <v>975459</v>
      </c>
      <c r="J138" s="74" t="inlineStr">
        <is>
          <t>Regulamento</t>
        </is>
      </c>
      <c r="K138" s="74" t="inlineStr">
        <is>
          <t>20/08/2025</t>
        </is>
      </c>
      <c r="L138" s="74" t="n">
        <v>101</v>
      </c>
      <c r="M138" s="74" t="inlineStr">
        <is>
          <t>encontrado_explicito</t>
        </is>
      </c>
      <c r="N138" s="74" t="b">
        <v>1</v>
      </c>
      <c r="O138" s="74" t="inlineStr">
        <is>
          <t>.cache/carteira_101_document_scan/54857414000160/975459.json.gz</t>
        </is>
      </c>
      <c r="P138" s="74" t="inlineStr">
        <is>
          <t>https://fnet.bmfbovespa.com.br/fnet/publico/downloadDocumento?id=975459</t>
        </is>
      </c>
      <c r="Q138" s="74" t="inlineStr">
        <is>
          <t>a mesma Subclasse terão iguais prioridades de amortização, resgate e distribuição dos rendimentos da carteira da Classe, bem como direitos de voto, observado o disposto neste Anexo Descritivo. 6.1.1. As Cotas terão Valor Unitário de Emissão de R$1.000,00 (mil reais) (“ Valor Unitário de Emissão”). 6.1.2. Os Cotistas titulares de Cotas Seniores terão direito de preferência na subscrição de novas Cotas Seniores que venham a ser emitidas pela Classe. Os Cotistas titul</t>
        </is>
      </c>
    </row>
    <row r="139" ht="40.5" customHeight="1">
      <c r="A139" s="142" t="n">
        <v>54857414000160</v>
      </c>
      <c r="B139" s="75" t="inlineStr">
        <is>
          <t>54.857.414/0001-60</t>
        </is>
      </c>
      <c r="C139" s="75" t="inlineStr">
        <is>
          <t>Cotas Subordinadas Júnior</t>
        </is>
      </c>
      <c r="D139" s="75" t="inlineStr">
        <is>
          <t>R$1.000,00</t>
        </is>
      </c>
      <c r="E139" s="143" t="n">
        <v>1000</v>
      </c>
      <c r="F139" s="75" t="inlineStr">
        <is>
          <t>preço/valor unitário de emissão</t>
        </is>
      </c>
      <c r="G139" s="75" t="b">
        <v>0</v>
      </c>
      <c r="H139" s="75" t="inlineStr">
        <is>
          <t>regulamento</t>
        </is>
      </c>
      <c r="I139" s="75" t="n">
        <v>975459</v>
      </c>
      <c r="J139" s="75" t="inlineStr">
        <is>
          <t>Regulamento</t>
        </is>
      </c>
      <c r="K139" s="75" t="inlineStr">
        <is>
          <t>20/08/2025</t>
        </is>
      </c>
      <c r="L139" s="75" t="n">
        <v>170</v>
      </c>
      <c r="M139" s="75" t="inlineStr">
        <is>
          <t>encontrado_explicito</t>
        </is>
      </c>
      <c r="N139" s="75" t="b">
        <v>1</v>
      </c>
      <c r="O139" s="75" t="inlineStr">
        <is>
          <t>.cache/carteira_101_document_scan/54857414000160/975459.json.gz</t>
        </is>
      </c>
      <c r="P139" s="75" t="inlineStr">
        <is>
          <t>https://fnet.bmfbovespa.com.br/fnet/publico/downloadDocumento?id=975459</t>
        </is>
      </c>
      <c r="Q139" s="75" t="inlineStr">
        <is>
          <t>E LIMITADA (“Fundo”), emitida nos termos do Regulamento do Fundo (o “Regulamento”), terá as seguintes características: Montante das Cotas Subordinadas Júnior: [•]. Quantidade de Cotas Subordinadas Júnior: [•]. Valor Unitário de Emissão: R$1.000,00 (mil reais). Forma de Integralização: À vista, na data de subscrição. Tipo de colocação: [Colocação privada]. Data de Resgate: [•]. Data de Resgate Esperado: [•]. 173 Meta de Amortização e Datas de Pagamento</t>
        </is>
      </c>
    </row>
    <row r="140" ht="40.5" customHeight="1">
      <c r="A140" s="138" t="n">
        <v>54857414000160</v>
      </c>
      <c r="B140" s="74" t="inlineStr">
        <is>
          <t>54.857.414/0001-60</t>
        </is>
      </c>
      <c r="C140" s="74" t="inlineStr">
        <is>
          <t>N/D</t>
        </is>
      </c>
      <c r="D140" s="74" t="inlineStr">
        <is>
          <t>R$1.000,00</t>
        </is>
      </c>
      <c r="E140" s="139" t="n">
        <v>1000</v>
      </c>
      <c r="F140" s="74" t="inlineStr">
        <is>
          <t>preço/valor unitário de emissão</t>
        </is>
      </c>
      <c r="G140" s="74" t="b">
        <v>1</v>
      </c>
      <c r="H140" s="74" t="inlineStr">
        <is>
          <t>regulamento</t>
        </is>
      </c>
      <c r="I140" s="74" t="n">
        <v>975459</v>
      </c>
      <c r="J140" s="74" t="inlineStr">
        <is>
          <t>Regulamento</t>
        </is>
      </c>
      <c r="K140" s="74" t="inlineStr">
        <is>
          <t>20/08/2025</t>
        </is>
      </c>
      <c r="L140" s="74" t="n">
        <v>82</v>
      </c>
      <c r="M140" s="74" t="inlineStr">
        <is>
          <t>encontrado_explicito</t>
        </is>
      </c>
      <c r="N140" s="74" t="b">
        <v>1</v>
      </c>
      <c r="O140" s="74" t="inlineStr">
        <is>
          <t>.cache/carteira_101_document_scan/54857414000160/975459.json.gz</t>
        </is>
      </c>
      <c r="P140" s="74" t="inlineStr">
        <is>
          <t>https://fnet.bmfbovespa.com.br/fnet/publico/downloadDocumento?id=975459</t>
        </is>
      </c>
      <c r="Q140" s="74" t="inlineStr">
        <is>
          <t>“Valor Principal de Referência Anterior” Significa, com relação a um Dia Útil, o Valor Principal de Referência do Dia Útil imediatamente anterior ao Dia Útil no qual será realizado o cálculo do valor da Cota. “Valor Unitário de Emissão” Significa o valor unitário de emissão das Cotas na respectiva Data de Emissão, qual seja R$1.000,00 (mil reais). “Valor Unitário de Referência” Significa: (i) na 1ª Data de Integralização das Cotas da respectiva série ou Subclasse: o Valor Unitário de Emissão; (ii) em cada Dia Útil subsequente que nã</t>
        </is>
      </c>
    </row>
    <row r="141" ht="40.5" customHeight="1">
      <c r="A141" s="142" t="n">
        <v>54857414000160</v>
      </c>
      <c r="B141" s="75" t="inlineStr">
        <is>
          <t>54.857.414/0001-60</t>
        </is>
      </c>
      <c r="C141" s="75" t="inlineStr">
        <is>
          <t>Cotas Seniores</t>
        </is>
      </c>
      <c r="D141" s="75" t="inlineStr">
        <is>
          <t>R$1.000,00</t>
        </is>
      </c>
      <c r="E141" s="143" t="n">
        <v>1000</v>
      </c>
      <c r="F141" s="75" t="inlineStr">
        <is>
          <t>valor nominal unitário (VNU)</t>
        </is>
      </c>
      <c r="G141" s="75" t="b">
        <v>0</v>
      </c>
      <c r="H141" s="75" t="inlineStr">
        <is>
          <t>emissao</t>
        </is>
      </c>
      <c r="I141" s="75" t="n">
        <v>688943</v>
      </c>
      <c r="J141" s="75" t="inlineStr">
        <is>
          <t>Oferta Pública de Distribuição de Cotas Anúncio de Início</t>
        </is>
      </c>
      <c r="K141" s="75" t="inlineStr">
        <is>
          <t>27/06/2024</t>
        </is>
      </c>
      <c r="L141" s="75" t="n">
        <v>2</v>
      </c>
      <c r="M141" s="75" t="inlineStr">
        <is>
          <t>encontrado_explicito</t>
        </is>
      </c>
      <c r="N141" s="75" t="b">
        <v>1</v>
      </c>
      <c r="O141" s="75" t="inlineStr">
        <is>
          <t>.cache/carteira_101_document_scan/54857414000160/688943.json.gz</t>
        </is>
      </c>
      <c r="P141" s="75" t="inlineStr">
        <is>
          <t>https://fnet.bmfbovespa.com.br/fnet/publico/downloadDocumento?id=688943</t>
        </is>
      </c>
      <c r="Q141" s="75" t="inlineStr">
        <is>
          <t>escriturais, com as seguintes características, sob o regime misto de garantia firme e melhores esforços de colocação (“Oferta”): Valor Total das Cotas Seniores: R$75.000.000,00 (setenta e cinco milhões de reais) Valor Nominal Unitário das Cotas Seniores: R$1.000,00 (mil reais) Quantidade de Cotas Seniores: 75.000 (setenta e cinco mil) Valor Total das Cotas Subordinadas Mezanino: R$10.000.000,00 (dez milhões de reais) Valor Nominal Unitário das Cotas Subordinadas Mezanino</t>
        </is>
      </c>
    </row>
    <row r="142" ht="40.5" customHeight="1">
      <c r="A142" s="138" t="n">
        <v>54857414000160</v>
      </c>
      <c r="B142" s="74" t="inlineStr">
        <is>
          <t>54.857.414/0001-60</t>
        </is>
      </c>
      <c r="C142" s="74" t="inlineStr">
        <is>
          <t>Cotas Subordinadas Mezanino</t>
        </is>
      </c>
      <c r="D142" s="74" t="inlineStr">
        <is>
          <t>R$1.000,00</t>
        </is>
      </c>
      <c r="E142" s="139" t="n">
        <v>1000</v>
      </c>
      <c r="F142" s="74" t="inlineStr">
        <is>
          <t>valor nominal unitário (VNU)</t>
        </is>
      </c>
      <c r="G142" s="74" t="b">
        <v>0</v>
      </c>
      <c r="H142" s="74" t="inlineStr">
        <is>
          <t>emissao</t>
        </is>
      </c>
      <c r="I142" s="74" t="n">
        <v>688943</v>
      </c>
      <c r="J142" s="74" t="inlineStr">
        <is>
          <t>Oferta Pública de Distribuição de Cotas Anúncio de Início</t>
        </is>
      </c>
      <c r="K142" s="74" t="inlineStr">
        <is>
          <t>27/06/2024</t>
        </is>
      </c>
      <c r="L142" s="74" t="n">
        <v>2</v>
      </c>
      <c r="M142" s="74" t="inlineStr">
        <is>
          <t>encontrado_explicito</t>
        </is>
      </c>
      <c r="N142" s="74" t="b">
        <v>1</v>
      </c>
      <c r="O142" s="74" t="inlineStr">
        <is>
          <t>.cache/carteira_101_document_scan/54857414000160/688943.json.gz</t>
        </is>
      </c>
      <c r="P142" s="74" t="inlineStr">
        <is>
          <t>https://fnet.bmfbovespa.com.br/fnet/publico/downloadDocumento?id=688943</t>
        </is>
      </c>
      <c r="Q142" s="74" t="inlineStr">
        <is>
          <t>Valor Nominal Unitário das Cotas Seniores: R$1.000,00 (mil reais) Quantidade de Cotas Seniores: 75.000 (setenta e cinco mil) Valor Total das Cotas Subordinadas Mezanino: R$10.000.000,00 (dez milhões de reais) Valor Nominal Unitário das Cotas Subordinadas Mezanino: R$1.000,00 (mil reais) Quantidade de Cotas Subordinadas Mezanino: 10.000 (dez mil) Encontra-se abaixo o cronograma estimado para as principais etapas da Oferta: Ordem dos Eventos Eventos Data Prevista (1) 1 Protocolo do</t>
        </is>
      </c>
    </row>
    <row r="143" ht="40.5" customHeight="1">
      <c r="A143" s="142" t="n">
        <v>55070804000159</v>
      </c>
      <c r="B143" s="75" t="inlineStr">
        <is>
          <t>55.070.804/0001-59</t>
        </is>
      </c>
      <c r="C143" s="75" t="inlineStr">
        <is>
          <t>Cotas Seniores</t>
        </is>
      </c>
      <c r="D143" s="75" t="inlineStr">
        <is>
          <t>R$ 1,00</t>
        </is>
      </c>
      <c r="E143" s="143" t="n">
        <v>1</v>
      </c>
      <c r="F143" s="75" t="inlineStr">
        <is>
          <t>preço/valor unitário de emissão</t>
        </is>
      </c>
      <c r="G143" s="75" t="b">
        <v>0</v>
      </c>
      <c r="H143" s="75" t="inlineStr">
        <is>
          <t>regulamento</t>
        </is>
      </c>
      <c r="I143" s="75" t="n">
        <v>667195</v>
      </c>
      <c r="J143" s="75" t="inlineStr">
        <is>
          <t>regulamento</t>
        </is>
      </c>
      <c r="K143" s="75" t="inlineStr">
        <is>
          <t>2024-05-22</t>
        </is>
      </c>
      <c r="L143" s="75" t="n">
        <v>137</v>
      </c>
      <c r="M143" s="75" t="inlineStr">
        <is>
          <t>encontrado_explicito</t>
        </is>
      </c>
      <c r="N143" s="75" t="b">
        <v>1</v>
      </c>
      <c r="O143" s="75" t="inlineStr">
        <is>
          <t>data/raw/55070804000159/667195_regulamento_regulamento_667195_2024-05-22.pdf</t>
        </is>
      </c>
      <c r="P143" s="75" t="inlineStr">
        <is>
          <t>https://fnet.bmfbovespa.com.br/fnet/publico/downloadDocumento?id=667195</t>
        </is>
      </c>
      <c r="Q143" s="75" t="inlineStr">
        <is>
          <t>e), terá as seguintes características: Montante das Cotas Seniores: Até R$ 740.000.000,00 (setecentos e quarenta milhões). Quantidade de Cotas Seniores: Até 740.000.000 (setecentos e quarenta milhões) cotas. Valor Unitário de Emissão: R$ 1,00 (um real). Forma de Integralização: À vista, na data de subscrição. Prazo para Distribuição: 180 (cento e oitenta) dias. Fator de Ponderação Sênior: 0,8857 (oito mil, oitocentos e cinquenta e sete décimos de milésim</t>
        </is>
      </c>
    </row>
    <row r="144" ht="40.5" customHeight="1">
      <c r="A144" s="138" t="n">
        <v>55070804000159</v>
      </c>
      <c r="B144" s="74" t="inlineStr">
        <is>
          <t>55.070.804/0001-59</t>
        </is>
      </c>
      <c r="C144" s="74" t="inlineStr">
        <is>
          <t>Cotas Subordinadas Júnior</t>
        </is>
      </c>
      <c r="D144" s="74" t="inlineStr">
        <is>
          <t>R$ 1,00</t>
        </is>
      </c>
      <c r="E144" s="139" t="n">
        <v>1</v>
      </c>
      <c r="F144" s="74" t="inlineStr">
        <is>
          <t>preço/valor unitário de emissão</t>
        </is>
      </c>
      <c r="G144" s="74" t="b">
        <v>0</v>
      </c>
      <c r="H144" s="74" t="inlineStr">
        <is>
          <t>regulamento</t>
        </is>
      </c>
      <c r="I144" s="74" t="n">
        <v>667195</v>
      </c>
      <c r="J144" s="74" t="inlineStr">
        <is>
          <t>regulamento</t>
        </is>
      </c>
      <c r="K144" s="74" t="inlineStr">
        <is>
          <t>2024-05-22</t>
        </is>
      </c>
      <c r="L144" s="74" t="n">
        <v>140</v>
      </c>
      <c r="M144" s="74" t="inlineStr">
        <is>
          <t>encontrado_explicito</t>
        </is>
      </c>
      <c r="N144" s="74" t="b">
        <v>1</v>
      </c>
      <c r="O144" s="74" t="inlineStr">
        <is>
          <t>data/raw/55070804000159/667195_regulamento_regulamento_667195_2024-05-22.pdf</t>
        </is>
      </c>
      <c r="P144" s="74" t="inlineStr">
        <is>
          <t>https://fnet.bmfbovespa.com.br/fnet/publico/downloadDocumento?id=667195</t>
        </is>
      </c>
      <c r="Q144" s="74" t="inlineStr">
        <is>
          <t>as seguintes características: Montante das Cotas Subordinadas Júnior: Até R$ 110.000.000,00 (cento e dez milhões de reais). Quantidade de Cotas Subordinadas Júnior: Até 110.000.000,00 (cento e dez milhões) cotas. Valor Unitário de Emissão: R$ 1,00 (um real). Forma de Integralização: À vista, na data de subscrição. Prazo para Distribuição: 180 (cento e oitenta) dias. Tipo de Oferta: Oferta Pública sujeita ao rito automático de registro na CVM Regime de Distri</t>
        </is>
      </c>
    </row>
    <row r="145" ht="40.5" customHeight="1">
      <c r="A145" s="142" t="n">
        <v>55374251000128</v>
      </c>
      <c r="B145" s="75" t="inlineStr">
        <is>
          <t>55.374.251/0001-28</t>
        </is>
      </c>
      <c r="C145" s="75" t="inlineStr">
        <is>
          <t>Cotas Seniores</t>
        </is>
      </c>
      <c r="D145" s="75" t="inlineStr">
        <is>
          <t>R$1.000,00</t>
        </is>
      </c>
      <c r="E145" s="143" t="n">
        <v>1000</v>
      </c>
      <c r="F145" s="75" t="inlineStr">
        <is>
          <t>preço/valor unitário de emissão</t>
        </is>
      </c>
      <c r="G145" s="75" t="b">
        <v>0</v>
      </c>
      <c r="H145" s="75" t="inlineStr">
        <is>
          <t>regulamento</t>
        </is>
      </c>
      <c r="I145" s="75" t="n">
        <v>686750</v>
      </c>
      <c r="J145" s="75" t="inlineStr">
        <is>
          <t>Regulamento</t>
        </is>
      </c>
      <c r="K145" s="75" t="inlineStr">
        <is>
          <t>25/06/2024</t>
        </is>
      </c>
      <c r="L145" s="75" t="n">
        <v>68</v>
      </c>
      <c r="M145" s="75" t="inlineStr">
        <is>
          <t>encontrado_explicito</t>
        </is>
      </c>
      <c r="N145" s="75" t="b">
        <v>1</v>
      </c>
      <c r="O145" s="75" t="inlineStr">
        <is>
          <t>.cache/carteira_101_document_scan/55374251000128/686750.json.gz</t>
        </is>
      </c>
      <c r="P145" s="75" t="inlineStr">
        <is>
          <t>https://fnet.bmfbovespa.com.br/fnet/publico/downloadDocumento?id=686750</t>
        </is>
      </c>
      <c r="Q145" s="75" t="inlineStr">
        <is>
          <t>distribuídas em até 180.000 (cento e oitenta mil) Cotas Seniores, objeto de Oferta Pública, a ser registrada perante a CVM pelo rito automático e realizada nos termos do artigo 26, VI, “a”, da Resolução da CVM 160. Valor Unitário de Emissão As Cotas Seniores da 1ª (primeira) emissão terão um valor unitário de R$1.000,00 (mil reais) na respectiva Data de Emissão. Classificação de Risco N/A Valor Unitário de Integralização Nos termos do Regulamento, as Cotas Seniores serão integralizadas: a partir do primeiro Dia Útil, inclusive, s</t>
        </is>
      </c>
    </row>
    <row r="146" ht="40.5" customHeight="1">
      <c r="A146" s="138" t="n">
        <v>55374251000128</v>
      </c>
      <c r="B146" s="74" t="inlineStr">
        <is>
          <t>55.374.251/0001-28</t>
        </is>
      </c>
      <c r="C146" s="74" t="inlineStr">
        <is>
          <t>Cotas Subordinadas Júnior</t>
        </is>
      </c>
      <c r="D146" s="74" t="inlineStr">
        <is>
          <t>R$ 1.000,00</t>
        </is>
      </c>
      <c r="E146" s="139" t="n">
        <v>1000</v>
      </c>
      <c r="F146" s="74" t="inlineStr">
        <is>
          <t>preço/valor unitário de emissão</t>
        </is>
      </c>
      <c r="G146" s="74" t="b">
        <v>0</v>
      </c>
      <c r="H146" s="74" t="inlineStr">
        <is>
          <t>regulamento</t>
        </is>
      </c>
      <c r="I146" s="74" t="n">
        <v>686750</v>
      </c>
      <c r="J146" s="74" t="inlineStr">
        <is>
          <t>Regulamento</t>
        </is>
      </c>
      <c r="K146" s="74" t="inlineStr">
        <is>
          <t>25/06/2024</t>
        </is>
      </c>
      <c r="L146" s="74" t="n">
        <v>80</v>
      </c>
      <c r="M146" s="74" t="inlineStr">
        <is>
          <t>encontrado_explicito</t>
        </is>
      </c>
      <c r="N146" s="74" t="b">
        <v>1</v>
      </c>
      <c r="O146" s="74" t="inlineStr">
        <is>
          <t>.cache/carteira_101_document_scan/55374251000128/686750.json.gz</t>
        </is>
      </c>
      <c r="P146" s="74" t="inlineStr">
        <is>
          <t>https://fnet.bmfbovespa.com.br/fnet/publico/downloadDocumento?id=686750</t>
        </is>
      </c>
      <c r="Q146" s="74" t="inlineStr">
        <is>
          <t>tante total de até R$242.000.000,00 (duzentos e quarenta e dois milhões de reais), distribuídas em até 242.000 (duzentas e quarenta e duas mil) Cotas Subordinadas Júnior, as quais serão objeto de Colocação Privada. Valor Unitário de Emissão As Cotas Subordinadas Júnior da 1ª (primeira) emissão terão um valor unitário de R$ 1.000,00 (mil reais) na respectiva data de emissão. Classificação de Risco N/A Valor Unitário de Integralização Nos termos do Regulamento, as Cotas Subordinadas Júnior serão integralizadas: a partir do primeiro Dia Útil,</t>
        </is>
      </c>
    </row>
    <row r="147" ht="40.5" customHeight="1">
      <c r="A147" s="142" t="n">
        <v>55374251000128</v>
      </c>
      <c r="B147" s="75" t="inlineStr">
        <is>
          <t>55.374.251/0001-28</t>
        </is>
      </c>
      <c r="C147" s="75" t="inlineStr">
        <is>
          <t>Cotas Subordinadas Mezanino</t>
        </is>
      </c>
      <c r="D147" s="75" t="inlineStr">
        <is>
          <t>R$ 1.000,00</t>
        </is>
      </c>
      <c r="E147" s="143" t="n">
        <v>1000</v>
      </c>
      <c r="F147" s="75" t="inlineStr">
        <is>
          <t>preço/valor unitário de emissão</t>
        </is>
      </c>
      <c r="G147" s="75" t="b">
        <v>0</v>
      </c>
      <c r="H147" s="75" t="inlineStr">
        <is>
          <t>regulamento</t>
        </is>
      </c>
      <c r="I147" s="75" t="n">
        <v>686750</v>
      </c>
      <c r="J147" s="75" t="inlineStr">
        <is>
          <t>Regulamento</t>
        </is>
      </c>
      <c r="K147" s="75" t="inlineStr">
        <is>
          <t>25/06/2024</t>
        </is>
      </c>
      <c r="L147" s="75" t="n">
        <v>72</v>
      </c>
      <c r="M147" s="75" t="inlineStr">
        <is>
          <t>encontrado_explicito</t>
        </is>
      </c>
      <c r="N147" s="75" t="b">
        <v>1</v>
      </c>
      <c r="O147" s="75" t="inlineStr">
        <is>
          <t>.cache/carteira_101_document_scan/55374251000128/686750.json.gz</t>
        </is>
      </c>
      <c r="P147" s="75" t="inlineStr">
        <is>
          <t>https://fnet.bmfbovespa.com.br/fnet/publico/downloadDocumento?id=686750</t>
        </is>
      </c>
      <c r="Q147" s="75" t="inlineStr">
        <is>
          <t>até 180.000 (cento e oitenta mil) Cotas Subordinadas Mezanino I , objeto de Oferta Pública, a ser registrada perante a CVM pelo rito automático e realizada nos termos do artigo 26, VI, “a”, da Resolução da CVM 160. Valor Unitário de Emissão As Cotas Subordinadas Mezanino I da primeira emissão terão um valor unitário de R$ 1.000,00 (mil reais) na respectiva data de emissão. Classificação de Risco N/A Valor Unitário de Integralização Nos termos do Regulamento, as Cotas Subordinadas Mezanino I serão integralizadas: a partir do primeiro Dia Út</t>
        </is>
      </c>
    </row>
    <row r="148" ht="40.5" customHeight="1">
      <c r="A148" s="138" t="n">
        <v>55374251000128</v>
      </c>
      <c r="B148" s="74" t="inlineStr">
        <is>
          <t>55.374.251/0001-28</t>
        </is>
      </c>
      <c r="C148" s="74" t="inlineStr">
        <is>
          <t>Cotas Seniores</t>
        </is>
      </c>
      <c r="D148" s="74" t="inlineStr">
        <is>
          <t>R$1.000,00</t>
        </is>
      </c>
      <c r="E148" s="139" t="n">
        <v>1000</v>
      </c>
      <c r="F148" s="74" t="inlineStr">
        <is>
          <t>valor nominal unitário (VNU)</t>
        </is>
      </c>
      <c r="G148" s="74" t="b">
        <v>0</v>
      </c>
      <c r="H148" s="74" t="inlineStr">
        <is>
          <t>emissao</t>
        </is>
      </c>
      <c r="I148" s="74" t="n">
        <v>686288</v>
      </c>
      <c r="J148" s="74" t="inlineStr">
        <is>
          <t>Oferta Pública de Distribuição de Cotas Anúncio de Início</t>
        </is>
      </c>
      <c r="K148" s="74" t="inlineStr">
        <is>
          <t>24/06/2024</t>
        </is>
      </c>
      <c r="L148" s="74" t="n">
        <v>2</v>
      </c>
      <c r="M148" s="74" t="inlineStr">
        <is>
          <t>encontrado_explicito</t>
        </is>
      </c>
      <c r="N148" s="74" t="b">
        <v>1</v>
      </c>
      <c r="O148" s="74" t="inlineStr">
        <is>
          <t>.cache/carteira_101_document_scan/55374251000128/686288.json.gz</t>
        </is>
      </c>
      <c r="P148" s="74" t="inlineStr">
        <is>
          <t>https://fnet.bmfbovespa.com.br/fnet/publico/downloadDocumento?id=686288</t>
        </is>
      </c>
      <c r="Q148" s="74" t="inlineStr">
        <is>
          <t>a pública, regime de melhores esforços de colocação , registrada automaticamente perante a CVM, de: (i) 180.000 (cento e oitenta mil) cotas seniores Página 2 de 3 da 1ª (primeira) série (“Cotas Seniores”), com valor nominal unitário de R$1.000,00 (mil reais), perfazendo um montante de R$180.000.000,00 (cento e oitenta milhões de reais); (ii) 180.000 (cento e oitenta mil) cotas subordinadas mezanino I da 1ª (primeira) série (“Cotas Subordinadas Mezanino I”), c</t>
        </is>
      </c>
    </row>
    <row r="149" ht="40.5" customHeight="1">
      <c r="A149" s="142" t="n">
        <v>55374251000128</v>
      </c>
      <c r="B149" s="75" t="inlineStr">
        <is>
          <t>55.374.251/0001-28</t>
        </is>
      </c>
      <c r="C149" s="75" t="inlineStr">
        <is>
          <t>Cotas Subordinadas Mezanino</t>
        </is>
      </c>
      <c r="D149" s="75" t="inlineStr">
        <is>
          <t>R$1.000,00</t>
        </is>
      </c>
      <c r="E149" s="143" t="n">
        <v>1000</v>
      </c>
      <c r="F149" s="75" t="inlineStr">
        <is>
          <t>valor nominal unitário (VNU)</t>
        </is>
      </c>
      <c r="G149" s="75" t="b">
        <v>0</v>
      </c>
      <c r="H149" s="75" t="inlineStr">
        <is>
          <t>emissao</t>
        </is>
      </c>
      <c r="I149" s="75" t="n">
        <v>686288</v>
      </c>
      <c r="J149" s="75" t="inlineStr">
        <is>
          <t>Oferta Pública de Distribuição de Cotas Anúncio de Início</t>
        </is>
      </c>
      <c r="K149" s="75" t="inlineStr">
        <is>
          <t>24/06/2024</t>
        </is>
      </c>
      <c r="L149" s="75" t="n">
        <v>2</v>
      </c>
      <c r="M149" s="75" t="inlineStr">
        <is>
          <t>encontrado_explicito</t>
        </is>
      </c>
      <c r="N149" s="75" t="b">
        <v>1</v>
      </c>
      <c r="O149" s="75" t="inlineStr">
        <is>
          <t>.cache/carteira_101_document_scan/55374251000128/686288.json.gz</t>
        </is>
      </c>
      <c r="P149" s="75" t="inlineStr">
        <is>
          <t>https://fnet.bmfbovespa.com.br/fnet/publico/downloadDocumento?id=686288</t>
        </is>
      </c>
      <c r="Q149" s="75" t="inlineStr">
        <is>
          <t>il reais), perfazendo um montante de R$180.000.000,00 (cento e oitenta milhões de reais); (ii) 180.000 (cento e oitenta mil) cotas subordinadas mezanino I da 1ª (primeira) série (“Cotas Subordinadas Mezanino I”), com valor nominal unitário de R$1.000,00 (mil reais), perfazendo um montante de $180.000.000,00 (cento e oitenta milhões de reais); e (iii) 210.000 (duzentas e dez mil) cotas subordinadas mezanino II da 1ª (primeira) série (“Cotas S ubordinadas Mezanino II</t>
        </is>
      </c>
    </row>
    <row r="150" ht="40.5" customHeight="1">
      <c r="A150" s="138" t="n">
        <v>55401645000128</v>
      </c>
      <c r="B150" s="74" t="inlineStr">
        <is>
          <t>55.401.645/0001-28</t>
        </is>
      </c>
      <c r="C150" s="74" t="inlineStr">
        <is>
          <t>N/D</t>
        </is>
      </c>
      <c r="D150" s="74" t="inlineStr">
        <is>
          <t>R$ 1.000,00</t>
        </is>
      </c>
      <c r="E150" s="139" t="n">
        <v>1000</v>
      </c>
      <c r="F150" s="74" t="inlineStr">
        <is>
          <t>preço/valor unitário de emissão</t>
        </is>
      </c>
      <c r="G150" s="74" t="b">
        <v>1</v>
      </c>
      <c r="H150" s="74" t="inlineStr">
        <is>
          <t>regulamento</t>
        </is>
      </c>
      <c r="I150" s="74" t="n">
        <v>793132</v>
      </c>
      <c r="J150" s="74" t="inlineStr">
        <is>
          <t>regulamento</t>
        </is>
      </c>
      <c r="K150" s="74" t="inlineStr">
        <is>
          <t>2024-12-02</t>
        </is>
      </c>
      <c r="L150" s="74" t="n">
        <v>44</v>
      </c>
      <c r="M150" s="74" t="inlineStr">
        <is>
          <t>encontrado_explicito</t>
        </is>
      </c>
      <c r="N150" s="74" t="b">
        <v>1</v>
      </c>
      <c r="O150" s="74" t="inlineStr">
        <is>
          <t>data/raw/55401645000128/793132_regulamento_regulamento_793132_2024-12-02.pdf</t>
        </is>
      </c>
      <c r="P150" s="74" t="inlineStr">
        <is>
          <t>https://fnet.bmfbovespa.com.br/fnet/publico/downloadDocumento?id=793132</t>
        </is>
      </c>
      <c r="Q150" s="74" t="inlineStr">
        <is>
          <t>nino e (iii) Subclasse Subordinada Júnior. A Subclasse Sênior e a Subclasse Subordinada Mezanino, por sua vez, poderão ser divididas em séries diferentes de emissão. 44 4.3. Valor Unitário. As Cotas terão valor unitário de emissão de R$ 1.000,00 (um mil reais), na Data de Integralização Inicial. 4.4. Distribuição Parcial. Exceto se disposto de forma contrária no ato de deliberação de emissão de Cotas da Classe Única, será admitida a colocação parcial das C</t>
        </is>
      </c>
    </row>
    <row r="151" ht="40.5" customHeight="1">
      <c r="A151" s="142" t="n">
        <v>55401645000128</v>
      </c>
      <c r="B151" s="75" t="inlineStr">
        <is>
          <t>55.401.645/0001-28</t>
        </is>
      </c>
      <c r="C151" s="75" t="inlineStr">
        <is>
          <t>Série de Cotas Seniores</t>
        </is>
      </c>
      <c r="D151" s="75" t="inlineStr">
        <is>
          <t>R$ 1.000,00</t>
        </is>
      </c>
      <c r="E151" s="143" t="n">
        <v>1000</v>
      </c>
      <c r="F151" s="75" t="inlineStr">
        <is>
          <t>preço/valor unitário de emissão</t>
        </is>
      </c>
      <c r="G151" s="75" t="b">
        <v>0</v>
      </c>
      <c r="H151" s="75" t="inlineStr">
        <is>
          <t>regulamento</t>
        </is>
      </c>
      <c r="I151" s="75" t="n">
        <v>793132</v>
      </c>
      <c r="J151" s="75" t="inlineStr">
        <is>
          <t>regulamento</t>
        </is>
      </c>
      <c r="K151" s="75" t="inlineStr">
        <is>
          <t>2024-12-02</t>
        </is>
      </c>
      <c r="L151" s="75" t="n">
        <v>82</v>
      </c>
      <c r="M151" s="75" t="inlineStr">
        <is>
          <t>encontrado_explicito</t>
        </is>
      </c>
      <c r="N151" s="75" t="b">
        <v>1</v>
      </c>
      <c r="O151" s="75" t="inlineStr">
        <is>
          <t>data/raw/55401645000128/793132_regulamento_regulamento_793132_2024-12-02.pdf</t>
        </is>
      </c>
      <c r="P151" s="75" t="inlineStr">
        <is>
          <t>https://fnet.bmfbovespa.com.br/fnet/publico/downloadDocumento?id=793132</t>
        </is>
      </c>
      <c r="Q151" s="75" t="inlineStr">
        <is>
          <t>egulamento do Fundo, terá as seguintes características: a) Nomenclatura: [-]ª ([-]) Série de Cotas Seniores; b) Forma de colocação: [-]; c) Quantidade de Cotas: [-] ([-]) cotas; d) Data de Emissão: [=]; e) Valor Unitário de Emissão: R$ 1.000,00 (um mil reais ) para a primeira integralização de Cotas. A partir de então o valor da Cota será calculado no fechamento de cada Dia Útil, nos termos do Regulamento. A data da aplicação e o valor da cota serão o do di</t>
        </is>
      </c>
    </row>
    <row r="152" ht="40.5" customHeight="1">
      <c r="A152" s="138" t="n">
        <v>55401645000128</v>
      </c>
      <c r="B152" s="74" t="inlineStr">
        <is>
          <t>55.401.645/0001-28</t>
        </is>
      </c>
      <c r="C152" s="74" t="inlineStr">
        <is>
          <t>Série de Cotas Subordinadas Junior</t>
        </is>
      </c>
      <c r="D152" s="74" t="inlineStr">
        <is>
          <t>R$ 1.000,00</t>
        </is>
      </c>
      <c r="E152" s="139" t="n">
        <v>1000</v>
      </c>
      <c r="F152" s="74" t="inlineStr">
        <is>
          <t>preço/valor unitário de emissão</t>
        </is>
      </c>
      <c r="G152" s="74" t="b">
        <v>0</v>
      </c>
      <c r="H152" s="74" t="inlineStr">
        <is>
          <t>regulamento</t>
        </is>
      </c>
      <c r="I152" s="74" t="n">
        <v>793132</v>
      </c>
      <c r="J152" s="74" t="inlineStr">
        <is>
          <t>regulamento</t>
        </is>
      </c>
      <c r="K152" s="74" t="inlineStr">
        <is>
          <t>2024-12-02</t>
        </is>
      </c>
      <c r="L152" s="74" t="n">
        <v>86</v>
      </c>
      <c r="M152" s="74" t="inlineStr">
        <is>
          <t>encontrado_explicito</t>
        </is>
      </c>
      <c r="N152" s="74" t="b">
        <v>1</v>
      </c>
      <c r="O152" s="74" t="inlineStr">
        <is>
          <t>data/raw/55401645000128/793132_regulamento_regulamento_793132_2024-12-02.pdf</t>
        </is>
      </c>
      <c r="P152" s="74" t="inlineStr">
        <is>
          <t>https://fnet.bmfbovespa.com.br/fnet/publico/downloadDocumento?id=793132</t>
        </is>
      </c>
      <c r="Q152" s="74" t="inlineStr">
        <is>
          <t>o Fundo, terá as seguintes características: a) Nomenclatura: [-]ª ([-]) Série de Cotas Subordinadas Juniores; b) Forma de colocação: [-]; c) Quantidade de Cotas: [-] ([-]) cotas; d) Data de Emissão: [=]; e) Valor Unitário de Emissão: R$ 1.000,00 (um mil reais ) para a primeira integralização de Cotas. A partir de então o valor da Cota será calculado no fechamento de cada Dia Útil, nos termos do Regulamento. A data da aplicação e o valor da cota serão o do di</t>
        </is>
      </c>
    </row>
    <row r="153" ht="40.5" customHeight="1">
      <c r="A153" s="142" t="n">
        <v>55401645000128</v>
      </c>
      <c r="B153" s="75" t="inlineStr">
        <is>
          <t>55.401.645/0001-28</t>
        </is>
      </c>
      <c r="C153" s="75" t="inlineStr">
        <is>
          <t>Série de Cotas Subordinadas Mezanino</t>
        </is>
      </c>
      <c r="D153" s="75" t="inlineStr">
        <is>
          <t>R$ 1.000,00</t>
        </is>
      </c>
      <c r="E153" s="143" t="n">
        <v>1000</v>
      </c>
      <c r="F153" s="75" t="inlineStr">
        <is>
          <t>preço/valor unitário de emissão</t>
        </is>
      </c>
      <c r="G153" s="75" t="b">
        <v>0</v>
      </c>
      <c r="H153" s="75" t="inlineStr">
        <is>
          <t>regulamento</t>
        </is>
      </c>
      <c r="I153" s="75" t="n">
        <v>793132</v>
      </c>
      <c r="J153" s="75" t="inlineStr">
        <is>
          <t>regulamento</t>
        </is>
      </c>
      <c r="K153" s="75" t="inlineStr">
        <is>
          <t>2024-12-02</t>
        </is>
      </c>
      <c r="L153" s="75" t="n">
        <v>84</v>
      </c>
      <c r="M153" s="75" t="inlineStr">
        <is>
          <t>encontrado_explicito</t>
        </is>
      </c>
      <c r="N153" s="75" t="b">
        <v>1</v>
      </c>
      <c r="O153" s="75" t="inlineStr">
        <is>
          <t>data/raw/55401645000128/793132_regulamento_regulamento_793132_2024-12-02.pdf</t>
        </is>
      </c>
      <c r="P153" s="75" t="inlineStr">
        <is>
          <t>https://fnet.bmfbovespa.com.br/fnet/publico/downloadDocumento?id=793132</t>
        </is>
      </c>
      <c r="Q153" s="75" t="inlineStr">
        <is>
          <t>o Fundo, terá as seguintes características: m) Nomenclatura: [-]ª ([-]) Série de Cotas Subordinadas Mezanino; n) Forma de colocação: [-]; o) Quantidade de Cotas: [-] ([-]) cotas; p) Data de Emissão: [=]; q) Valor Unitário de Emissão: R$ 1.000,00 (um mil reais ) para a primeira integralização de Cotas. A partir de então o valor da Cota será calculado no fechamento de cada Dia Útil, nos termos do Regulamento. A data da aplicação e o valor da cota serão o do di</t>
        </is>
      </c>
    </row>
    <row r="154" ht="40.5" customHeight="1">
      <c r="A154" s="138" t="n">
        <v>55401645000128</v>
      </c>
      <c r="B154" s="74" t="inlineStr">
        <is>
          <t>55.401.645/0001-28</t>
        </is>
      </c>
      <c r="C154" s="74" t="inlineStr">
        <is>
          <t>Cotas Seniores</t>
        </is>
      </c>
      <c r="D154" s="74" t="inlineStr">
        <is>
          <t>R$ 1.000,00</t>
        </is>
      </c>
      <c r="E154" s="139" t="n">
        <v>1000</v>
      </c>
      <c r="F154" s="74" t="inlineStr">
        <is>
          <t>preço/valor unitário de emissão</t>
        </is>
      </c>
      <c r="G154" s="74" t="b">
        <v>0</v>
      </c>
      <c r="H154" s="74" t="inlineStr">
        <is>
          <t>regulamento</t>
        </is>
      </c>
      <c r="I154" s="74" t="n">
        <v>1051890</v>
      </c>
      <c r="J154" s="74" t="inlineStr">
        <is>
          <t>regulamento</t>
        </is>
      </c>
      <c r="K154" s="74" t="inlineStr">
        <is>
          <t>2025-12-01</t>
        </is>
      </c>
      <c r="L154" s="74" t="inlineStr">
        <is>
          <t>N/D</t>
        </is>
      </c>
      <c r="M154" s="74" t="inlineStr">
        <is>
          <t>encontrado_explicito</t>
        </is>
      </c>
      <c r="N154" s="74" t="b">
        <v>1</v>
      </c>
      <c r="O154" s="74" t="inlineStr">
        <is>
          <t>outputs/fidc_director_deep_diagnostic_20260609/pdf_text_cache/55401645000128_1051890_regulamento_regulamento_1051890_2025-12-01.txt</t>
        </is>
      </c>
      <c r="P154" s="74" t="inlineStr">
        <is>
          <t>https://fnet.bmfbovespa.com.br/fnet/publico/downloadDocumento?id=1051890</t>
        </is>
      </c>
      <c r="Q154" s="74" t="inlineStr">
        <is>
          <t>2.1. A emissão e distribuição de novas Cotas Seniores depende de aprovação prévia dos Cotistas reunidos em Assembleia Especial, nos termos do Anexo Descritivo. 2.2. As Cotas Seniores, independente da Série, terão valor unitário de emissão de R$ 1.000,00 (mil reais) na primeira data de integralização das Cotas da respectiva Série. 2.3. As Cotas Seniores de cada Série que venham a ser ofertadas publicamente deverão ser subscritas dentro dos prazos estabelecidos na re</t>
        </is>
      </c>
    </row>
    <row r="155" ht="40.5" customHeight="1">
      <c r="A155" s="142" t="n">
        <v>55401645000128</v>
      </c>
      <c r="B155" s="75" t="inlineStr">
        <is>
          <t>55.401.645/0001-28</t>
        </is>
      </c>
      <c r="C155" s="75" t="inlineStr">
        <is>
          <t>Cotas Subordinadas Júnior</t>
        </is>
      </c>
      <c r="D155" s="75" t="inlineStr">
        <is>
          <t>R$ 1.000,00</t>
        </is>
      </c>
      <c r="E155" s="143" t="n">
        <v>1000</v>
      </c>
      <c r="F155" s="75" t="inlineStr">
        <is>
          <t>preço/valor unitário de emissão</t>
        </is>
      </c>
      <c r="G155" s="75" t="b">
        <v>0</v>
      </c>
      <c r="H155" s="75" t="inlineStr">
        <is>
          <t>regulamento</t>
        </is>
      </c>
      <c r="I155" s="75" t="n">
        <v>1051890</v>
      </c>
      <c r="J155" s="75" t="inlineStr">
        <is>
          <t>regulamento</t>
        </is>
      </c>
      <c r="K155" s="75" t="inlineStr">
        <is>
          <t>2025-12-01</t>
        </is>
      </c>
      <c r="L155" s="75" t="inlineStr">
        <is>
          <t>N/D</t>
        </is>
      </c>
      <c r="M155" s="75" t="inlineStr">
        <is>
          <t>encontrado_explicito</t>
        </is>
      </c>
      <c r="N155" s="75" t="b">
        <v>1</v>
      </c>
      <c r="O155" s="75" t="inlineStr">
        <is>
          <t>outputs/fidc_director_deep_diagnostic_20260609/pdf_text_cache/55401645000128_1051890_regulamento_regulamento_1051890_2025-12-01.txt</t>
        </is>
      </c>
      <c r="P155" s="75" t="inlineStr">
        <is>
          <t>https://fnet.bmfbovespa.com.br/fnet/publico/downloadDocumento?id=1051890</t>
        </is>
      </c>
      <c r="Q155" s="75" t="inlineStr">
        <is>
          <t>o 2.1. A emissão e distribuição de novas Cotas Subordinadas Júnior depende de aprovação prévia dos Cotistas reunidos em Assembleia Especial, nos termos do Anexo Descritivo. 2.2. As Cotas Subordinadas Júnior terão valor unitário de emissão de R$ 1.000,00 (mil reais) na primeira data de integralização das Cotas Subordinadas Júnior. 2.3. As Cotas Subordinadas Júnior de cada Emissão que venham a ser ofertadas publicamente deverão ser subscritas dentro dos prazos estab</t>
        </is>
      </c>
    </row>
    <row r="156" ht="40.5" customHeight="1">
      <c r="A156" s="138" t="n">
        <v>55401645000128</v>
      </c>
      <c r="B156" s="74" t="inlineStr">
        <is>
          <t>55.401.645/0001-28</t>
        </is>
      </c>
      <c r="C156" s="74" t="inlineStr">
        <is>
          <t>Cotas Subordinadas Mezanino</t>
        </is>
      </c>
      <c r="D156" s="74" t="inlineStr">
        <is>
          <t>R$ 1.000,00</t>
        </is>
      </c>
      <c r="E156" s="139" t="n">
        <v>1000</v>
      </c>
      <c r="F156" s="74" t="inlineStr">
        <is>
          <t>preço/valor unitário de emissão</t>
        </is>
      </c>
      <c r="G156" s="74" t="b">
        <v>0</v>
      </c>
      <c r="H156" s="74" t="inlineStr">
        <is>
          <t>regulamento</t>
        </is>
      </c>
      <c r="I156" s="74" t="n">
        <v>1051890</v>
      </c>
      <c r="J156" s="74" t="inlineStr">
        <is>
          <t>regulamento</t>
        </is>
      </c>
      <c r="K156" s="74" t="inlineStr">
        <is>
          <t>2025-12-01</t>
        </is>
      </c>
      <c r="L156" s="74" t="inlineStr">
        <is>
          <t>N/D</t>
        </is>
      </c>
      <c r="M156" s="74" t="inlineStr">
        <is>
          <t>encontrado_explicito</t>
        </is>
      </c>
      <c r="N156" s="74" t="b">
        <v>1</v>
      </c>
      <c r="O156" s="74" t="inlineStr">
        <is>
          <t>outputs/fidc_director_deep_diagnostic_20260609/pdf_text_cache/55401645000128_1051890_regulamento_regulamento_1051890_2025-12-01.txt</t>
        </is>
      </c>
      <c r="P156" s="74" t="inlineStr">
        <is>
          <t>https://fnet.bmfbovespa.com.br/fnet/publico/downloadDocumento?id=1051890</t>
        </is>
      </c>
      <c r="Q156" s="74" t="inlineStr">
        <is>
          <t>uição de novas Cotas Subordinadas Mezanino depende de aprovação prévia dos Cotistas reunidos em Assembleia Especial, nos termos do Anexo Descritivo. 2.2. As Cotas Subordinadas Mezanino, independente da Série, terão valor unitário de emissão de R$ 1.000,00 (mil reais) na primeira data de integralização das Cotas da respectiva Série. 2.3. Todas as Séries de Cotas Subordinadas Mezanino deverão ter as mesmas condições de amortização. Na hipótese de emissão de mais de um</t>
        </is>
      </c>
    </row>
    <row r="157" ht="40.5" customHeight="1">
      <c r="A157" s="142" t="n">
        <v>55401645000128</v>
      </c>
      <c r="B157" s="75" t="inlineStr">
        <is>
          <t>55.401.645/0001-28</t>
        </is>
      </c>
      <c r="C157" s="75" t="inlineStr">
        <is>
          <t>Cotas Seniores</t>
        </is>
      </c>
      <c r="D157" s="75" t="inlineStr">
        <is>
          <t>R$ 1,00</t>
        </is>
      </c>
      <c r="E157" s="143" t="n">
        <v>1</v>
      </c>
      <c r="F157" s="75" t="inlineStr">
        <is>
          <t>valor nominal unitário (VNU)</t>
        </is>
      </c>
      <c r="G157" s="75" t="b">
        <v>0</v>
      </c>
      <c r="H157" s="75" t="inlineStr">
        <is>
          <t>emissao</t>
        </is>
      </c>
      <c r="I157" s="75" t="n">
        <v>987420</v>
      </c>
      <c r="J157" s="75" t="inlineStr">
        <is>
          <t>emissao</t>
        </is>
      </c>
      <c r="K157" s="75" t="inlineStr">
        <is>
          <t>2025-09-09</t>
        </is>
      </c>
      <c r="L157" s="75" t="n">
        <v>2</v>
      </c>
      <c r="M157" s="75" t="inlineStr">
        <is>
          <t>encontrado_explicito</t>
        </is>
      </c>
      <c r="N157" s="75" t="b">
        <v>1</v>
      </c>
      <c r="O157" s="75" t="inlineStr">
        <is>
          <t>data/raw/55401645000128/987420_emissao_emissao_987420_2025-09-09.pdf</t>
        </is>
      </c>
      <c r="P157" s="75" t="inlineStr">
        <is>
          <t>https://fnet.bmfbovespa.com.br/fnet/publico/downloadDocumento?id=987420</t>
        </is>
      </c>
      <c r="Q157" s="75" t="inlineStr">
        <is>
          <t>trinta e seis mil, setecentos e sessenta e dois) cotas subordinadas mezanino da 2ª (segunda) série (“Cotas Subordinadas Mezanino 2ª Série” e, quando em conjunto com as Cotas Seniores 2ª Série, “Cotas”) do Fundo, de valor nominal unitário de R$ 1,00 (um real), totalizando um montante total de até R$131.161.053,00 (cento e trinta e um milhões, cento e sessenta e um mil e cinquenta e três reais) (“Oferta”), destinada exclusivamente a investidores profissionais (ass</t>
        </is>
      </c>
    </row>
    <row r="158" ht="40.5" customHeight="1">
      <c r="A158" s="138" t="n">
        <v>55401645000128</v>
      </c>
      <c r="B158" s="74" t="inlineStr">
        <is>
          <t>55.401.645/0001-28</t>
        </is>
      </c>
      <c r="C158" s="74" t="inlineStr">
        <is>
          <t>Cotas Seniores</t>
        </is>
      </c>
      <c r="D158" s="74" t="inlineStr">
        <is>
          <t>R$ 1,00</t>
        </is>
      </c>
      <c r="E158" s="139" t="n">
        <v>1</v>
      </c>
      <c r="F158" s="74" t="inlineStr">
        <is>
          <t>preço/valor unitário de emissão</t>
        </is>
      </c>
      <c r="G158" s="74" t="b">
        <v>0</v>
      </c>
      <c r="H158" s="74" t="inlineStr">
        <is>
          <t>assembleia</t>
        </is>
      </c>
      <c r="I158" s="74" t="n">
        <v>984904</v>
      </c>
      <c r="J158" s="74" t="inlineStr">
        <is>
          <t>assembleia</t>
        </is>
      </c>
      <c r="K158" s="74" t="inlineStr">
        <is>
          <t>2025-09-04</t>
        </is>
      </c>
      <c r="L158" s="74" t="n">
        <v>9</v>
      </c>
      <c r="M158" s="74" t="inlineStr">
        <is>
          <t>encontrado_explicito</t>
        </is>
      </c>
      <c r="N158" s="74" t="b">
        <v>1</v>
      </c>
      <c r="O158" s="74" t="inlineStr">
        <is>
          <t>data/raw/55401645000128/984904_assembleia_assembleia_984904_2025-09-04.pdf</t>
        </is>
      </c>
      <c r="P158" s="74" t="inlineStr">
        <is>
          <t>https://fnet.bmfbovespa.com.br/fnet/publico/downloadDocumento?id=984904</t>
        </is>
      </c>
      <c r="Q158" s="74" t="inlineStr">
        <is>
          <t>rentabilidade das aplicações dos recursos da Classe A. 3. Quantidade. Serão emitidas até 115.124.291 (cento e quinze milhões, cento e vinte e quatro mil, duzentos e noventa e uma) Cotas Seniores da 2ª Série. 4. Valor unitário de emissão. O valor inicial de emissão unitário de Cotas Seniores da 2ª Série é de R$ 1,00 (um real), não havendo uma aplicação mínima inicial ou um limite máximo de subscrição por investidor. 5. Valor de subscrição. Na subscrição de Cotas Seniores da 2ª Série em data diversa da data da primeira integral</t>
        </is>
      </c>
    </row>
    <row r="159" ht="40.5" customHeight="1">
      <c r="A159" s="142" t="n">
        <v>55401645000128</v>
      </c>
      <c r="B159" s="75" t="inlineStr">
        <is>
          <t>55.401.645/0001-28</t>
        </is>
      </c>
      <c r="C159" s="75" t="inlineStr">
        <is>
          <t>Cotas Subordinadas Júnior</t>
        </is>
      </c>
      <c r="D159" s="75" t="inlineStr">
        <is>
          <t>R$ 1,00</t>
        </is>
      </c>
      <c r="E159" s="143" t="n">
        <v>1</v>
      </c>
      <c r="F159" s="75" t="inlineStr">
        <is>
          <t>preço/valor unitário de emissão</t>
        </is>
      </c>
      <c r="G159" s="75" t="b">
        <v>0</v>
      </c>
      <c r="H159" s="75" t="inlineStr">
        <is>
          <t>assembleia</t>
        </is>
      </c>
      <c r="I159" s="75" t="n">
        <v>984904</v>
      </c>
      <c r="J159" s="75" t="inlineStr">
        <is>
          <t>assembleia</t>
        </is>
      </c>
      <c r="K159" s="75" t="inlineStr">
        <is>
          <t>2025-09-04</t>
        </is>
      </c>
      <c r="L159" s="75" t="n">
        <v>16</v>
      </c>
      <c r="M159" s="75" t="inlineStr">
        <is>
          <t>encontrado_explicito</t>
        </is>
      </c>
      <c r="N159" s="75" t="b">
        <v>1</v>
      </c>
      <c r="O159" s="75" t="inlineStr">
        <is>
          <t>data/raw/55401645000128/984904_assembleia_assembleia_984904_2025-09-04.pdf</t>
        </is>
      </c>
      <c r="P159" s="75" t="inlineStr">
        <is>
          <t>https://fnet.bmfbovespa.com.br/fnet/publico/downloadDocumento?id=984904</t>
        </is>
      </c>
      <c r="Q159" s="75" t="inlineStr">
        <is>
          <t>a Classe A. 3. Quantidade. Serão emitidas até 4.500.000 (quatro milhões e quinhentas mil ) Cotas Subordinadas Júnior da 2ª (Segunda) Emissão, inclusive com vistas ao atendimento aos Índices de Subordinação. 4. Valor unitário de emissão . O valor inicial de emissão unitário de Cotas Subordinadas Júnior é de R$ 1,00 (um real), não havendo uma aplicação mínima inicial ou um limite máximo de subscrição por investidor. 5. Valor de subscrição. Na subscrição de Cotas Subordinadas Júnior da 2ª Emissão em data diversa da data da prim</t>
        </is>
      </c>
    </row>
    <row r="160" ht="40.5" customHeight="1">
      <c r="A160" s="138" t="n">
        <v>55401645000128</v>
      </c>
      <c r="B160" s="74" t="inlineStr">
        <is>
          <t>55.401.645/0001-28</t>
        </is>
      </c>
      <c r="C160" s="74" t="inlineStr">
        <is>
          <t>Cotas Subordinadas Mezanino</t>
        </is>
      </c>
      <c r="D160" s="74" t="inlineStr">
        <is>
          <t>R$ 1</t>
        </is>
      </c>
      <c r="E160" s="139" t="n">
        <v>1</v>
      </c>
      <c r="F160" s="74" t="inlineStr">
        <is>
          <t>preço/valor unitário de emissão</t>
        </is>
      </c>
      <c r="G160" s="74" t="b">
        <v>0</v>
      </c>
      <c r="H160" s="74" t="inlineStr">
        <is>
          <t>assembleia</t>
        </is>
      </c>
      <c r="I160" s="74" t="n">
        <v>984904</v>
      </c>
      <c r="J160" s="74" t="inlineStr">
        <is>
          <t>assembleia</t>
        </is>
      </c>
      <c r="K160" s="74" t="inlineStr">
        <is>
          <t>2025-09-04</t>
        </is>
      </c>
      <c r="L160" s="74" t="n">
        <v>14</v>
      </c>
      <c r="M160" s="74" t="inlineStr">
        <is>
          <t>encontrado_explicito</t>
        </is>
      </c>
      <c r="N160" s="74" t="b">
        <v>1</v>
      </c>
      <c r="O160" s="74" t="inlineStr">
        <is>
          <t>data/raw/55401645000128/984904_assembleia_assembleia_984904_2025-09-04.pdf</t>
        </is>
      </c>
      <c r="P160" s="74" t="inlineStr">
        <is>
          <t>https://fnet.bmfbovespa.com.br/fnet/publico/downloadDocumento?id=984904</t>
        </is>
      </c>
      <c r="Q160" s="74" t="inlineStr">
        <is>
          <t>entabilidade das aplicações dos recursos da Classe A. 3. Quantidade. Serão emitidas até 16.036.762 (dezesseis milhões, trinta e seis mil, setecentos e sessenta e dois) Cotas Subordinadas Mezanino da 2ª Série. 4. Valor unitário de emissão . O valor inicial de emissão unitário de Cotas Subordinadas Mezanino da 2ª Série é de R$ 1 ,00 (um real), não havendo uma aplicação mínima inicial ou um limite máximo de subscrição por investidor. 5. Valor de subscrição. Na subscrição de Cotas Subordinadas Mezanino da 2ª Série em data diversa da data da</t>
        </is>
      </c>
    </row>
    <row r="161" ht="40.5" customHeight="1">
      <c r="A161" s="142" t="n">
        <v>55476342000174</v>
      </c>
      <c r="B161" s="75" t="inlineStr">
        <is>
          <t>55.476.342/0001-74</t>
        </is>
      </c>
      <c r="C161" s="75" t="inlineStr">
        <is>
          <t>N/D</t>
        </is>
      </c>
      <c r="D161" s="75" t="inlineStr">
        <is>
          <t>R$1.000,00</t>
        </is>
      </c>
      <c r="E161" s="143" t="n">
        <v>1000</v>
      </c>
      <c r="F161" s="75" t="inlineStr">
        <is>
          <t>preço/valor unitário de emissão</t>
        </is>
      </c>
      <c r="G161" s="75" t="b">
        <v>1</v>
      </c>
      <c r="H161" s="75" t="inlineStr">
        <is>
          <t>regulamento</t>
        </is>
      </c>
      <c r="I161" s="75" t="n">
        <v>1003104</v>
      </c>
      <c r="J161" s="75" t="inlineStr">
        <is>
          <t>Atos de Deliberação do Administrador Instrumento Particular de Alteração do Regulamento</t>
        </is>
      </c>
      <c r="K161" s="75" t="inlineStr">
        <is>
          <t>30/09/2025</t>
        </is>
      </c>
      <c r="L161" s="75" t="n">
        <v>109</v>
      </c>
      <c r="M161" s="75" t="inlineStr">
        <is>
          <t>encontrado_explicito</t>
        </is>
      </c>
      <c r="N161" s="75" t="b">
        <v>1</v>
      </c>
      <c r="O161" s="75" t="inlineStr">
        <is>
          <t>.cache/carteira_101_document_scan/55476342000174/1003104.json.gz</t>
        </is>
      </c>
      <c r="P161" s="75" t="inlineStr">
        <is>
          <t>https://fnet.bmfbovespa.com.br/fnet/publico/downloadDocumento?id=1003104</t>
        </is>
      </c>
      <c r="Q161" s="75" t="inlineStr">
        <is>
          <t>séries, com Metas de Rentabilidade, prazos e condições diferenciados para amortização e resgate, de acordo com os termos dos respectivos Apêndices, permanecendo inalterados os demais direitos e obrigações. 14.4.5 O Valor Unitário de Emissão das Cotas será de R$1.000,00 (mil reais). 14.4.6 A responsabilidade dos Cotistas será limitada, de forma que os Cotistas não serão obrigados a aportar novos recursos na Classe, caso o Patrimônio Líquido seja negativo. 14.5 As Cotas da Subcl</t>
        </is>
      </c>
    </row>
    <row r="162" ht="40.5" customHeight="1">
      <c r="A162" s="138" t="n">
        <v>55476342000174</v>
      </c>
      <c r="B162" s="74" t="inlineStr">
        <is>
          <t>55.476.342/0001-74</t>
        </is>
      </c>
      <c r="C162" s="74" t="inlineStr">
        <is>
          <t>cotas seniores</t>
        </is>
      </c>
      <c r="D162" s="74" t="inlineStr">
        <is>
          <t>R$ 1.000,00</t>
        </is>
      </c>
      <c r="E162" s="139" t="n">
        <v>1000</v>
      </c>
      <c r="F162" s="74" t="inlineStr">
        <is>
          <t>valor nominal unitário (VNU)</t>
        </is>
      </c>
      <c r="G162" s="74" t="b">
        <v>0</v>
      </c>
      <c r="H162" s="74" t="inlineStr">
        <is>
          <t>emissao</t>
        </is>
      </c>
      <c r="I162" s="74" t="n">
        <v>767190</v>
      </c>
      <c r="J162" s="74" t="inlineStr">
        <is>
          <t>Atos de Deliberação do Administrador Instrumento Particular de Emissão de Cotas</t>
        </is>
      </c>
      <c r="K162" s="74" t="inlineStr">
        <is>
          <t>22/10/2024</t>
        </is>
      </c>
      <c r="L162" s="74" t="n">
        <v>1</v>
      </c>
      <c r="M162" s="74" t="inlineStr">
        <is>
          <t>encontrado_explicito</t>
        </is>
      </c>
      <c r="N162" s="74" t="b">
        <v>1</v>
      </c>
      <c r="O162" s="74" t="inlineStr">
        <is>
          <t>.cache/carteira_101_document_scan/55476342000174/767190.json.gz</t>
        </is>
      </c>
      <c r="P162" s="74" t="inlineStr">
        <is>
          <t>https://fnet.bmfbovespa.com.br/fnet/publico/downloadDocumento?id=767190</t>
        </is>
      </c>
      <c r="Q162" s="74" t="inlineStr">
        <is>
          <t>lamento (conforme abaixo definido); (iii) aprovar a 1ª (primeira) emissão, pelo Fundo de (a) até 248.000 (duzentas e quarenta e oito mil) cotas seniores da classe única do Fundo, para distribuição pública, todas com valor nominal unitário de R$ 1.000,00 (mil reais ) cada (“ Valor Nominal Unitário das Cotas Seniores”), na data de sua emissão, perfazendo o montante total de até R$ 248.000.000,00 (duzentos e quarenta e oito milhões de reais) (“Valor Total das Cotas Sen</t>
        </is>
      </c>
    </row>
    <row r="163" ht="40.5" customHeight="1">
      <c r="A163" s="142" t="n">
        <v>55476342000174</v>
      </c>
      <c r="B163" s="75" t="inlineStr">
        <is>
          <t>55.476.342/0001-74</t>
        </is>
      </c>
      <c r="C163" s="75" t="inlineStr">
        <is>
          <t>cotas subordinadas</t>
        </is>
      </c>
      <c r="D163" s="75" t="inlineStr">
        <is>
          <t>R$ 1.000,00</t>
        </is>
      </c>
      <c r="E163" s="143" t="n">
        <v>1000</v>
      </c>
      <c r="F163" s="75" t="inlineStr">
        <is>
          <t>valor nominal unitário (VNU)</t>
        </is>
      </c>
      <c r="G163" s="75" t="b">
        <v>0</v>
      </c>
      <c r="H163" s="75" t="inlineStr">
        <is>
          <t>emissao</t>
        </is>
      </c>
      <c r="I163" s="75" t="n">
        <v>767190</v>
      </c>
      <c r="J163" s="75" t="inlineStr">
        <is>
          <t>Atos de Deliberação do Administrador Instrumento Particular de Emissão de Cotas</t>
        </is>
      </c>
      <c r="K163" s="75" t="inlineStr">
        <is>
          <t>22/10/2024</t>
        </is>
      </c>
      <c r="L163" s="75" t="n">
        <v>2</v>
      </c>
      <c r="M163" s="75" t="inlineStr">
        <is>
          <t>encontrado_explicito</t>
        </is>
      </c>
      <c r="N163" s="75" t="b">
        <v>1</v>
      </c>
      <c r="O163" s="75" t="inlineStr">
        <is>
          <t>.cache/carteira_101_document_scan/55476342000174/767190.json.gz</t>
        </is>
      </c>
      <c r="P163" s="75" t="inlineStr">
        <is>
          <t>https://fnet.bmfbovespa.com.br/fnet/publico/downloadDocumento?id=767190</t>
        </is>
      </c>
      <c r="Q163" s="75" t="inlineStr">
        <is>
          <t>no respectivo apêndice das Cotas Seniores, conforme modelo constante do Anexo I a este instrumento; (b) até 62.000 (sessenta e duas mil) cotas subordinadas da classe única do Fundo, para colocação privada, todas com valor nominal unitário de R$ 1.000,00 (mil reais ) cada (“ Valor Nominal Unitário das Cotas Subordinadas”), na data de emissão das cotas subordinadas, perfazendo o montante total de até R$ 62.000.000,00 (sessenta e dois milhões de reais) (“Valor Total d</t>
        </is>
      </c>
    </row>
    <row r="164" ht="40.5" customHeight="1">
      <c r="A164" s="138" t="n">
        <v>55476342000174</v>
      </c>
      <c r="B164" s="74" t="inlineStr">
        <is>
          <t>55.476.342/0001-74</t>
        </is>
      </c>
      <c r="C164" s="74" t="inlineStr">
        <is>
          <t>Cotas Subordinadas</t>
        </is>
      </c>
      <c r="D164" s="74" t="inlineStr">
        <is>
          <t>R$ 1.000,00</t>
        </is>
      </c>
      <c r="E164" s="139" t="n">
        <v>1000</v>
      </c>
      <c r="F164" s="74" t="inlineStr">
        <is>
          <t>preço/valor unitário de emissão</t>
        </is>
      </c>
      <c r="G164" s="74" t="b">
        <v>0</v>
      </c>
      <c r="H164" s="74" t="inlineStr">
        <is>
          <t>emissao</t>
        </is>
      </c>
      <c r="I164" s="74" t="n">
        <v>763709</v>
      </c>
      <c r="J164" s="74" t="inlineStr">
        <is>
          <t>Atos de Deliberação do Administrador Instrumento Particular de Emissão de Cotas</t>
        </is>
      </c>
      <c r="K164" s="74" t="inlineStr">
        <is>
          <t>24/10/2024</t>
        </is>
      </c>
      <c r="L164" s="74" t="n">
        <v>2</v>
      </c>
      <c r="M164" s="74" t="inlineStr">
        <is>
          <t>encontrado_explicito</t>
        </is>
      </c>
      <c r="N164" s="74" t="b">
        <v>1</v>
      </c>
      <c r="O164" s="74" t="inlineStr">
        <is>
          <t>.cache/carteira_101_document_scan/55476342000174/763709.json.gz</t>
        </is>
      </c>
      <c r="P164" s="74" t="inlineStr">
        <is>
          <t>https://fnet.bmfbovespa.com.br/fnet/publico/downloadDocumento?id=763709</t>
        </is>
      </c>
      <c r="Q164" s="74" t="inlineStr">
        <is>
          <t>os do Regulamento do Fundo (o “Regulamento”), terá as seguintes características: Montante das Cotas Subordinadas B: R$10.000.000,00 (dez milhões de reais) Quantidade de Cotas Subordinadas: 10.000 (dez mil) Valor Unitário de Emissão: R$ 1.000,00 (mil reais) sendo que as demais integralizações serão no valor da cota na data da efetiva disponibilidade dos recursos pelo investidor no Fundo. Forma de Integralização: Em moeda corrente nacional à vista, na data</t>
        </is>
      </c>
    </row>
    <row r="165" ht="40.5" customHeight="1">
      <c r="A165" s="142" t="n">
        <v>55476342000174</v>
      </c>
      <c r="B165" s="75" t="inlineStr">
        <is>
          <t>55.476.342/0001-74</t>
        </is>
      </c>
      <c r="C165" s="75" t="inlineStr">
        <is>
          <t>N/D</t>
        </is>
      </c>
      <c r="D165" s="75" t="inlineStr">
        <is>
          <t>R$1.000,00</t>
        </is>
      </c>
      <c r="E165" s="143" t="n">
        <v>1000</v>
      </c>
      <c r="F165" s="75" t="inlineStr">
        <is>
          <t>valor nominal unitário (VNU)</t>
        </is>
      </c>
      <c r="G165" s="75" t="b">
        <v>1</v>
      </c>
      <c r="H165" s="75" t="inlineStr">
        <is>
          <t>emissao</t>
        </is>
      </c>
      <c r="I165" s="75" t="n">
        <v>763709</v>
      </c>
      <c r="J165" s="75" t="inlineStr">
        <is>
          <t>Atos de Deliberação do Administrador Instrumento Particular de Emissão de Cotas</t>
        </is>
      </c>
      <c r="K165" s="75" t="inlineStr">
        <is>
          <t>24/10/2024</t>
        </is>
      </c>
      <c r="L165" s="75" t="n">
        <v>1</v>
      </c>
      <c r="M165" s="75" t="inlineStr">
        <is>
          <t>encontrado_explicito</t>
        </is>
      </c>
      <c r="N165" s="75" t="b">
        <v>1</v>
      </c>
      <c r="O165" s="75" t="inlineStr">
        <is>
          <t>.cache/carteira_101_document_scan/55476342000174/763709.json.gz</t>
        </is>
      </c>
      <c r="P165" s="75" t="inlineStr">
        <is>
          <t>https://fnet.bmfbovespa.com.br/fnet/publico/downloadDocumento?id=763709</t>
        </is>
      </c>
      <c r="Q165" s="75" t="inlineStr">
        <is>
          <t>necessidade de aprovação da Assembleia, para fins do enquadramento do Índice de Subordinação. RESOLVE: a) Aprovar a 2° (segunda) e missão de cotas de subclasse Subordinada Júnior da série única do Fundo, com valor nominal unitário de R$1.000,00 (mil reais) na primeira integralização sendo que as demais integralizações serão no valor da cota na data da efetiva disponibilidade dos recursos pelo investidor no Fundo (“Cotas ” da 2° Emissão” ou “Cotas”), totali</t>
        </is>
      </c>
    </row>
    <row r="166" ht="40.5" customHeight="1">
      <c r="A166" s="138" t="n">
        <v>56936116000191</v>
      </c>
      <c r="B166" s="74" t="inlineStr">
        <is>
          <t>56.936.116/0001-91</t>
        </is>
      </c>
      <c r="C166" s="74" t="inlineStr">
        <is>
          <t>Cotas Subordinadas Júnior</t>
        </is>
      </c>
      <c r="D166" s="74" t="inlineStr">
        <is>
          <t>R$ 658,96</t>
        </is>
      </c>
      <c r="E166" s="139" t="n">
        <v>658.96</v>
      </c>
      <c r="F166" s="74" t="inlineStr">
        <is>
          <t>valor nominal unitário (VNU)</t>
        </is>
      </c>
      <c r="G166" s="74" t="b">
        <v>0</v>
      </c>
      <c r="H166" s="74" t="inlineStr">
        <is>
          <t>emissao</t>
        </is>
      </c>
      <c r="I166" s="74" t="n">
        <v>1030090</v>
      </c>
      <c r="J166" s="74" t="inlineStr">
        <is>
          <t>Oferta Pública de Distribuição de Cotas Anúncio de Início</t>
        </is>
      </c>
      <c r="K166" s="74" t="inlineStr">
        <is>
          <t>06/11/2025</t>
        </is>
      </c>
      <c r="L166" s="74" t="n">
        <v>2</v>
      </c>
      <c r="M166" s="74" t="inlineStr">
        <is>
          <t>encontrado_explicito</t>
        </is>
      </c>
      <c r="N166" s="74" t="b">
        <v>1</v>
      </c>
      <c r="O166" s="74" t="inlineStr">
        <is>
          <t>.cache/carteira_101_document_scan/56936116000191/1030090.json.gz</t>
        </is>
      </c>
      <c r="P166" s="74" t="inlineStr">
        <is>
          <t>https://fnet.bmfbovespa.com.br/fnet/publico/downloadDocumento?id=1030090</t>
        </is>
      </c>
      <c r="Q166" s="74" t="inlineStr">
        <is>
          <t>tavos) de Cotas Subordinadas Júnior, sendo as Cotas Seniores da 2ª Série e as Cotas Subordinadas Mezanino da 2ª Série com valor nominal unitário de emissão de R$ 1.000,00 (mil reais) e as Cotas Subordinadas Júnior com valor nominal unitário de emissão de R$ 658,96 (seiscentos e cinquenta e oito reais e noventa e seis centavo), perfazendo o montante total de até R$ 237.999.774,40 (duzentos e trinta e sete milhões, novecentos e noventa e nove mil, setecentos e setenta e quatro r</t>
        </is>
      </c>
    </row>
    <row r="167" ht="40.5" customHeight="1">
      <c r="A167" s="142" t="n">
        <v>56936116000191</v>
      </c>
      <c r="B167" s="75" t="inlineStr">
        <is>
          <t>56.936.116/0001-91</t>
        </is>
      </c>
      <c r="C167" s="75" t="inlineStr">
        <is>
          <t>Cotas Subordinadas Mezanino</t>
        </is>
      </c>
      <c r="D167" s="75" t="inlineStr">
        <is>
          <t>R$ 1.000,00</t>
        </is>
      </c>
      <c r="E167" s="143" t="n">
        <v>1000</v>
      </c>
      <c r="F167" s="75" t="inlineStr">
        <is>
          <t>valor nominal unitário (VNU)</t>
        </is>
      </c>
      <c r="G167" s="75" t="b">
        <v>0</v>
      </c>
      <c r="H167" s="75" t="inlineStr">
        <is>
          <t>emissao</t>
        </is>
      </c>
      <c r="I167" s="75" t="n">
        <v>1030090</v>
      </c>
      <c r="J167" s="75" t="inlineStr">
        <is>
          <t>Oferta Pública de Distribuição de Cotas Anúncio de Início</t>
        </is>
      </c>
      <c r="K167" s="75" t="inlineStr">
        <is>
          <t>06/11/2025</t>
        </is>
      </c>
      <c r="L167" s="75" t="n">
        <v>2</v>
      </c>
      <c r="M167" s="75" t="inlineStr">
        <is>
          <t>encontrado_explicito</t>
        </is>
      </c>
      <c r="N167" s="75" t="b">
        <v>1</v>
      </c>
      <c r="O167" s="75" t="inlineStr">
        <is>
          <t>.cache/carteira_101_document_scan/56936116000191/1030090.json.gz</t>
        </is>
      </c>
      <c r="P167" s="75" t="inlineStr">
        <is>
          <t>https://fnet.bmfbovespa.com.br/fnet/publico/downloadDocumento?id=1030090</t>
        </is>
      </c>
      <c r="Q167" s="75" t="inlineStr">
        <is>
          <t>ete milhões, novecentos e noventa e nove mil, setecentos e setenta e quatro reais e quarenta centavos) de Cotas Subordinadas Júnior, sendo as Cotas Seniores da 2ª Série e as Cotas Subordinadas Mezanino da 2ª Série com valor nominal unitário de emissão de R$ 1.000,00 (mil reais) e as Cotas Subordinadas Júnior com valor nominal unitário de emissão de R$ 658,96 (seiscentos e cinquenta e oito reais e noventa e seis centavo), perfazendo o montante total de até R$ 237.999.774,40 (duzen</t>
        </is>
      </c>
    </row>
    <row r="168" ht="40.5" customHeight="1">
      <c r="A168" s="138" t="n">
        <v>57028406000108</v>
      </c>
      <c r="B168" s="74" t="inlineStr">
        <is>
          <t>57.028.406/0001-08</t>
        </is>
      </c>
      <c r="C168" s="74" t="inlineStr">
        <is>
          <t>Cotas Seniores</t>
        </is>
      </c>
      <c r="D168" s="74" t="inlineStr">
        <is>
          <t>R$ 1.000,00</t>
        </is>
      </c>
      <c r="E168" s="139" t="n">
        <v>1000</v>
      </c>
      <c r="F168" s="74" t="inlineStr">
        <is>
          <t>preço/valor unitário de emissão</t>
        </is>
      </c>
      <c r="G168" s="74" t="b">
        <v>0</v>
      </c>
      <c r="H168" s="74" t="inlineStr">
        <is>
          <t>emissao</t>
        </is>
      </c>
      <c r="I168" s="74" t="n">
        <v>796086</v>
      </c>
      <c r="J168" s="74" t="inlineStr">
        <is>
          <t>Oferta Pública de Distribuição de Cotas Anúncio de Encerramento</t>
        </is>
      </c>
      <c r="K168" s="74" t="inlineStr">
        <is>
          <t>06/12/2024</t>
        </is>
      </c>
      <c r="L168" s="74" t="n">
        <v>2</v>
      </c>
      <c r="M168" s="74" t="inlineStr">
        <is>
          <t>encontrado_explicito</t>
        </is>
      </c>
      <c r="N168" s="74" t="b">
        <v>1</v>
      </c>
      <c r="O168" s="74" t="inlineStr">
        <is>
          <t>.cache/carteira_101_document_scan/57028406000108/796086.json.gz</t>
        </is>
      </c>
      <c r="P168" s="74" t="inlineStr">
        <is>
          <t>https://fnet.bmfbovespa.com.br/fnet/publico/downloadDocumento?id=796086</t>
        </is>
      </c>
      <c r="Q168" s="74" t="inlineStr">
        <is>
          <t>de colocação, registrada automaticamente perante a CVM, nos termos do artigo 26, inciso VI, alínea “a” da Resolução CVM 160 (“Oferta”) de (a) 700.000 (setecentas mil) cotas da subclasse sênior (“Cotas Seniores”), com valor unitário de emissão de R$ 1.000,00 (mil reais), totalizando R$ 700.000.000,00 (setecentos milhões de reais) na data da 1ª (primeira) integralização das Cotas Seniores; (b) 140.000 (cento e quarenta mil) cotas da subclasse mezanino A da 1ª (primeira) sé</t>
        </is>
      </c>
    </row>
    <row r="169" ht="40.5" customHeight="1">
      <c r="A169" s="142" t="n">
        <v>57028406000108</v>
      </c>
      <c r="B169" s="75" t="inlineStr">
        <is>
          <t>57.028.406/0001-08</t>
        </is>
      </c>
      <c r="C169" s="75" t="inlineStr">
        <is>
          <t>Cotas Subordinadas Mezanino</t>
        </is>
      </c>
      <c r="D169" s="75" t="inlineStr">
        <is>
          <t>R$ 1.000,00</t>
        </is>
      </c>
      <c r="E169" s="143" t="n">
        <v>1000</v>
      </c>
      <c r="F169" s="75" t="inlineStr">
        <is>
          <t>preço/valor unitário de emissão</t>
        </is>
      </c>
      <c r="G169" s="75" t="b">
        <v>0</v>
      </c>
      <c r="H169" s="75" t="inlineStr">
        <is>
          <t>emissao</t>
        </is>
      </c>
      <c r="I169" s="75" t="n">
        <v>796086</v>
      </c>
      <c r="J169" s="75" t="inlineStr">
        <is>
          <t>Oferta Pública de Distribuição de Cotas Anúncio de Encerramento</t>
        </is>
      </c>
      <c r="K169" s="75" t="inlineStr">
        <is>
          <t>06/12/2024</t>
        </is>
      </c>
      <c r="L169" s="75" t="n">
        <v>2</v>
      </c>
      <c r="M169" s="75" t="inlineStr">
        <is>
          <t>encontrado_explicito</t>
        </is>
      </c>
      <c r="N169" s="75" t="b">
        <v>1</v>
      </c>
      <c r="O169" s="75" t="inlineStr">
        <is>
          <t>.cache/carteira_101_document_scan/57028406000108/796086.json.gz</t>
        </is>
      </c>
      <c r="P169" s="75" t="inlineStr">
        <is>
          <t>https://fnet.bmfbovespa.com.br/fnet/publico/downloadDocumento?id=796086</t>
        </is>
      </c>
      <c r="Q169" s="75" t="inlineStr">
        <is>
          <t>(setecentos milhões de reais) na data da 1ª (primeira) integralização das Cotas Seniores; (b) 140.000 (cento e quarenta mil) cotas da subclasse mezanino A da 1ª (primeira) série (“Cotas Subordinadas Mezanino A ”), com valor unitário de emissão de R$ 1.000,00 (mil reais), totalizando R$ 140.000.000,00 (cento e quarenta milhões de reais) na data da 1ª (primeira) integralização das Cotas Subordinadas Mezanino A; e (c) 56.000 (cinquenta e seis mil) cotas da subclasse mezanin</t>
        </is>
      </c>
    </row>
    <row r="170" ht="40.5" customHeight="1">
      <c r="A170" s="138" t="n">
        <v>57259989000170</v>
      </c>
      <c r="B170" s="74" t="inlineStr">
        <is>
          <t>57.259.989/0001-70</t>
        </is>
      </c>
      <c r="C170" s="74" t="inlineStr">
        <is>
          <t>Cotas Subordinadas</t>
        </is>
      </c>
      <c r="D170" s="74" t="inlineStr">
        <is>
          <t>R$ 1.000,00</t>
        </is>
      </c>
      <c r="E170" s="139" t="n">
        <v>1000</v>
      </c>
      <c r="F170" s="74" t="inlineStr">
        <is>
          <t>preço/valor unitário de emissão</t>
        </is>
      </c>
      <c r="G170" s="74" t="b">
        <v>0</v>
      </c>
      <c r="H170" s="74" t="inlineStr">
        <is>
          <t>regulamento</t>
        </is>
      </c>
      <c r="I170" s="74" t="n">
        <v>1016583</v>
      </c>
      <c r="J170" s="74" t="inlineStr">
        <is>
          <t>regulamento</t>
        </is>
      </c>
      <c r="K170" s="74" t="inlineStr">
        <is>
          <t>2025-10-16</t>
        </is>
      </c>
      <c r="L170" s="74" t="n">
        <v>79</v>
      </c>
      <c r="M170" s="74" t="inlineStr">
        <is>
          <t>encontrado_explicito</t>
        </is>
      </c>
      <c r="N170" s="74" t="b">
        <v>1</v>
      </c>
      <c r="O170" s="74" t="inlineStr">
        <is>
          <t>data/raw/57259989000170/1016583_regulamento_regulamento_1016583_2025-10-16_2025-10-16.pdf</t>
        </is>
      </c>
      <c r="P170" s="74" t="inlineStr">
        <is>
          <t>https://fnet.bmfbovespa.com.br/fnet/publico/downloadDocumento?id=1016583</t>
        </is>
      </c>
      <c r="Q170" s="74" t="inlineStr">
        <is>
          <t>uma mesma Subclasse terão iguais prioridades de amortização, resgate e distribuição dos rendimentos da carteira da Classe, bem como direitos de voto, observado o disposto neste Anexo Descritivo. 6.1.1. As Cotas terão Valor Unitário de Emissão de R$ 1.000,00 (mil reais) (“Valor Unitário de Emissão”). 6.1.2. Somente Investidores Autorizados poderão adquirir as Cotas. 6.2. Todas as Cotas serão escriturais e serão mantidas em conta de depósito em nome dos Cotistas pel</t>
        </is>
      </c>
    </row>
    <row r="171" ht="40.5" customHeight="1">
      <c r="A171" s="142" t="n">
        <v>57259989000170</v>
      </c>
      <c r="B171" s="75" t="inlineStr">
        <is>
          <t>57.259.989/0001-70</t>
        </is>
      </c>
      <c r="C171" s="75" t="inlineStr">
        <is>
          <t>Cotas Subordinadas Júnior</t>
        </is>
      </c>
      <c r="D171" s="75" t="inlineStr">
        <is>
          <t>R$1.000,00</t>
        </is>
      </c>
      <c r="E171" s="143" t="n">
        <v>1000</v>
      </c>
      <c r="F171" s="75" t="inlineStr">
        <is>
          <t>preço/valor unitário de emissão</t>
        </is>
      </c>
      <c r="G171" s="75" t="b">
        <v>0</v>
      </c>
      <c r="H171" s="75" t="inlineStr">
        <is>
          <t>regulamento</t>
        </is>
      </c>
      <c r="I171" s="75" t="n">
        <v>1016583</v>
      </c>
      <c r="J171" s="75" t="inlineStr">
        <is>
          <t>regulamento</t>
        </is>
      </c>
      <c r="K171" s="75" t="inlineStr">
        <is>
          <t>2025-10-16</t>
        </is>
      </c>
      <c r="L171" s="75" t="n">
        <v>154</v>
      </c>
      <c r="M171" s="75" t="inlineStr">
        <is>
          <t>encontrado_explicito</t>
        </is>
      </c>
      <c r="N171" s="75" t="b">
        <v>1</v>
      </c>
      <c r="O171" s="75" t="inlineStr">
        <is>
          <t>data/raw/57259989000170/1016583_regulamento_regulamento_1016583_2025-10-16_2025-10-16.pdf</t>
        </is>
      </c>
      <c r="P171" s="75" t="inlineStr">
        <is>
          <t>https://fnet.bmfbovespa.com.br/fnet/publico/downloadDocumento?id=1016583</t>
        </is>
      </c>
      <c r="Q171" s="75" t="inlineStr">
        <is>
          <t>DA (“Fundo”), emitida nos termos do Regulamento do Fundo (o “Regulamento”), terá as seguintes características: Montante das Cotas Subordinadas Júnior: [•]. Quantidade de Cotas Subordinadas Júnior: [•]. Valor Unitário de Emissão: R$1.000,00 (mil reais). Forma de Integralização: À vista, na data de subscrição. Prazo para Distribuição: [•]. Montante Mínimo para Colocação: [•] Tipo de oferta: [•]. Regime de Distribuição: [•]. Distribuiç</t>
        </is>
      </c>
    </row>
    <row r="172" ht="40.5" customHeight="1">
      <c r="A172" s="138" t="n">
        <v>57259989000170</v>
      </c>
      <c r="B172" s="74" t="inlineStr">
        <is>
          <t>57.259.989/0001-70</t>
        </is>
      </c>
      <c r="C172" s="74" t="inlineStr">
        <is>
          <t>N/D</t>
        </is>
      </c>
      <c r="D172" s="74" t="inlineStr">
        <is>
          <t>R$1.000,00</t>
        </is>
      </c>
      <c r="E172" s="139" t="n">
        <v>1000</v>
      </c>
      <c r="F172" s="74" t="inlineStr">
        <is>
          <t>preço/valor unitário de emissão</t>
        </is>
      </c>
      <c r="G172" s="74" t="b">
        <v>1</v>
      </c>
      <c r="H172" s="74" t="inlineStr">
        <is>
          <t>regulamento</t>
        </is>
      </c>
      <c r="I172" s="74" t="n">
        <v>1016583</v>
      </c>
      <c r="J172" s="74" t="inlineStr">
        <is>
          <t>regulamento</t>
        </is>
      </c>
      <c r="K172" s="74" t="inlineStr">
        <is>
          <t>2025-10-16</t>
        </is>
      </c>
      <c r="L172" s="74" t="n">
        <v>64</v>
      </c>
      <c r="M172" s="74" t="inlineStr">
        <is>
          <t>encontrado_explicito</t>
        </is>
      </c>
      <c r="N172" s="74" t="b">
        <v>1</v>
      </c>
      <c r="O172" s="74" t="inlineStr">
        <is>
          <t>data/raw/57259989000170/1016583_regulamento_regulamento_1016583_2025-10-16_2025-10-16.pdf</t>
        </is>
      </c>
      <c r="P172" s="74" t="inlineStr">
        <is>
          <t>https://fnet.bmfbovespa.com.br/fnet/publico/downloadDocumento?id=1016583</t>
        </is>
      </c>
      <c r="Q172" s="74" t="inlineStr">
        <is>
          <t>“Valor Principal de Referência Anterior” Significa, com relação a um Dia Útil, o Valor Principal de Referência do Dia Útil imediatamente anterior ao Dia Útil no qual será realizado o cálculo do valor da Cota. “Valor Unitário de Emissão” Equivale a R$1.000,00 (mil reais). “Valor Unitário de Referência” Significa: (i) na 1ª Data de Integralização das Cotas da respectiva série ou Subclasse: o Valor Unitário de Emissão; (ii) em cada Dia Útil subsequente que não</t>
        </is>
      </c>
    </row>
    <row r="173" ht="40.5" customHeight="1">
      <c r="A173" s="142" t="n">
        <v>57259989000170</v>
      </c>
      <c r="B173" s="75" t="inlineStr">
        <is>
          <t>57.259.989/0001-70</t>
        </is>
      </c>
      <c r="C173" s="75" t="inlineStr">
        <is>
          <t>Cotas Seniores</t>
        </is>
      </c>
      <c r="D173" s="75" t="inlineStr">
        <is>
          <t>R$1.000,00</t>
        </is>
      </c>
      <c r="E173" s="143" t="n">
        <v>1000</v>
      </c>
      <c r="F173" s="75" t="inlineStr">
        <is>
          <t>valor nominal unitário (VNU)</t>
        </is>
      </c>
      <c r="G173" s="75" t="b">
        <v>0</v>
      </c>
      <c r="H173" s="75" t="inlineStr">
        <is>
          <t>emissao</t>
        </is>
      </c>
      <c r="I173" s="75" t="n">
        <v>1021246</v>
      </c>
      <c r="J173" s="75" t="inlineStr">
        <is>
          <t>Oferta Pública de Distribuição de Cotas Anúncio de Início</t>
        </is>
      </c>
      <c r="K173" s="75" t="inlineStr">
        <is>
          <t>27/10/2025</t>
        </is>
      </c>
      <c r="L173" s="75" t="n">
        <v>1</v>
      </c>
      <c r="M173" s="75" t="inlineStr">
        <is>
          <t>encontrado_explicito</t>
        </is>
      </c>
      <c r="N173" s="75" t="b">
        <v>1</v>
      </c>
      <c r="O173" s="75" t="inlineStr">
        <is>
          <t>.cache/carteira_101_document_scan/57259989000170/1021246.json.gz</t>
        </is>
      </c>
      <c r="P173" s="75" t="inlineStr">
        <is>
          <t>https://fnet.bmfbovespa.com.br/fnet/publico/downloadDocumento?id=1021246</t>
        </is>
      </c>
      <c r="Q173" s="75" t="inlineStr">
        <is>
          <t>nte ), todas escriturais, com as seguintes características , sob o regime de garantia firme de colocação (“Oferta”): Valor Total das Cotas Seniores: R$276.000.000,00 (duzentos e setenta e seis milhões de reais) Valor Nominal Unitário: R$1.000,00 (mil reais) Quantidade de Cotas Seniores: 276.000 (duzentos e setenta e seis mil) ALTERAÇÃO DO CRONOGRAMA FOI DISPENSADA DIVULGAÇÃO DE UM PROSPECTO E DE LÂMINA PARA A REALIZAÇÃO DESTA OFERTA Por meio do</t>
        </is>
      </c>
    </row>
    <row r="174" ht="40.5" customHeight="1">
      <c r="A174" s="138" t="n">
        <v>57259989000170</v>
      </c>
      <c r="B174" s="74" t="inlineStr">
        <is>
          <t>57.259.989/0001-70</t>
        </is>
      </c>
      <c r="C174" s="74" t="inlineStr">
        <is>
          <t>Cotas Seniores</t>
        </is>
      </c>
      <c r="D174" s="74" t="inlineStr">
        <is>
          <t>R$ 1.000,00</t>
        </is>
      </c>
      <c r="E174" s="139" t="n">
        <v>1000</v>
      </c>
      <c r="F174" s="74" t="inlineStr">
        <is>
          <t>preço/valor unitário de emissão</t>
        </is>
      </c>
      <c r="G174" s="74" t="b">
        <v>0</v>
      </c>
      <c r="H174" s="74" t="inlineStr">
        <is>
          <t>assembleia</t>
        </is>
      </c>
      <c r="I174" s="74" t="n">
        <v>1016581</v>
      </c>
      <c r="J174" s="74" t="inlineStr">
        <is>
          <t>Assembleia AGO/E Ata da Assembleia</t>
        </is>
      </c>
      <c r="K174" s="74" t="inlineStr">
        <is>
          <t>16/10/2025 10:00</t>
        </is>
      </c>
      <c r="L174" s="74" t="n">
        <v>5</v>
      </c>
      <c r="M174" s="74" t="inlineStr">
        <is>
          <t>encontrado_explicito</t>
        </is>
      </c>
      <c r="N174" s="74" t="b">
        <v>1</v>
      </c>
      <c r="O174" s="74" t="inlineStr">
        <is>
          <t>.cache/carteira_101_document_scan/57259989000170/1016581.json.gz</t>
        </is>
      </c>
      <c r="P174" s="74" t="inlineStr">
        <is>
          <t>https://fnet.bmfbovespa.com.br/fnet/publico/downloadDocumento?id=1016581</t>
        </is>
      </c>
      <c r="Q174" s="74" t="inlineStr">
        <is>
          <t>nto”), terá as seguintes características: Montante das Cotas Seniores R$ 276.000.000,00 (duzentos e setenta e seis milhões de reais) Quantidade de Cotas Seniores: 276.000 (duzentos e setenta e seis mil) cotas Valor Unitário de Emissão: R$ 1.000,00 (mil reais) Forma de Integralização: À vista, na data de subscrição, em moeda corrente nacional. Prazo para Distribuição: até 180 (cento e oitenta) dias Montante Mínimo para Colocação: a integralidade das c</t>
        </is>
      </c>
    </row>
    <row r="175" ht="40.5" customHeight="1">
      <c r="A175" s="142" t="n">
        <v>57259989000170</v>
      </c>
      <c r="B175" s="75" t="inlineStr">
        <is>
          <t>57.259.989/0001-70</t>
        </is>
      </c>
      <c r="C175" s="75" t="inlineStr">
        <is>
          <t>Cotas Subordinadas Mezanino</t>
        </is>
      </c>
      <c r="D175" s="75" t="inlineStr">
        <is>
          <t>R$1.000,00</t>
        </is>
      </c>
      <c r="E175" s="143" t="n">
        <v>1000</v>
      </c>
      <c r="F175" s="75" t="inlineStr">
        <is>
          <t>valor nominal unitário (VNU)</t>
        </is>
      </c>
      <c r="G175" s="75" t="b">
        <v>0</v>
      </c>
      <c r="H175" s="75" t="inlineStr">
        <is>
          <t>assembleia</t>
        </is>
      </c>
      <c r="I175" s="75" t="n">
        <v>1016581</v>
      </c>
      <c r="J175" s="75" t="inlineStr">
        <is>
          <t>Assembleia AGO/E Ata da Assembleia</t>
        </is>
      </c>
      <c r="K175" s="75" t="inlineStr">
        <is>
          <t>16/10/2025 10:00</t>
        </is>
      </c>
      <c r="L175" s="75" t="n">
        <v>2</v>
      </c>
      <c r="M175" s="75" t="inlineStr">
        <is>
          <t>encontrado_explicito</t>
        </is>
      </c>
      <c r="N175" s="75" t="b">
        <v>1</v>
      </c>
      <c r="O175" s="75" t="inlineStr">
        <is>
          <t>.cache/carteira_101_document_scan/57259989000170/1016581.json.gz</t>
        </is>
      </c>
      <c r="P175" s="75" t="inlineStr">
        <is>
          <t>https://fnet.bmfbovespa.com.br/fnet/publico/downloadDocumento?id=1016581</t>
        </is>
      </c>
      <c r="Q175" s="75" t="inlineStr">
        <is>
          <t>ção da emissão da 2ª (segunda) série de Cotas Subordinadas Mezanino (conforme definidas no Regulamento), a ser composta por 64.860 (sessenta e quatro mil e oitocentos e sessenta) Cotas Subordinadas Mezanino, todas com valor nominal unitário de R$1.000,00 (mil reais) cada, no montante de R$64.860.000,00 (sessenta e quatro milhões e oitocentos e sessenta mil reais) na data da primeira subscrição e integralização das Cotas Subordinadas Mezanino, que serão objeto de coloc</t>
        </is>
      </c>
    </row>
    <row r="176" ht="40.5" customHeight="1">
      <c r="A176" s="138" t="n">
        <v>57259989000170</v>
      </c>
      <c r="B176" s="74" t="inlineStr">
        <is>
          <t>57.259.989/0001-70</t>
        </is>
      </c>
      <c r="C176" s="74" t="inlineStr">
        <is>
          <t>série de Cotas Seniores</t>
        </is>
      </c>
      <c r="D176" s="74" t="inlineStr">
        <is>
          <t>R$1.000,00</t>
        </is>
      </c>
      <c r="E176" s="139" t="n">
        <v>1000</v>
      </c>
      <c r="F176" s="74" t="inlineStr">
        <is>
          <t>valor nominal unitário (VNU)</t>
        </is>
      </c>
      <c r="G176" s="74" t="b">
        <v>0</v>
      </c>
      <c r="H176" s="74" t="inlineStr">
        <is>
          <t>assembleia</t>
        </is>
      </c>
      <c r="I176" s="74" t="n">
        <v>1016581</v>
      </c>
      <c r="J176" s="74" t="inlineStr">
        <is>
          <t>Assembleia AGO/E Ata da Assembleia</t>
        </is>
      </c>
      <c r="K176" s="74" t="inlineStr">
        <is>
          <t>16/10/2025 10:00</t>
        </is>
      </c>
      <c r="L176" s="74" t="n">
        <v>2</v>
      </c>
      <c r="M176" s="74" t="inlineStr">
        <is>
          <t>encontrado_explicito</t>
        </is>
      </c>
      <c r="N176" s="74" t="b">
        <v>1</v>
      </c>
      <c r="O176" s="74" t="inlineStr">
        <is>
          <t>.cache/carteira_101_document_scan/57259989000170/1016581.json.gz</t>
        </is>
      </c>
      <c r="P176" s="74" t="inlineStr">
        <is>
          <t>https://fnet.bmfbovespa.com.br/fnet/publico/downloadDocumento?id=1016581</t>
        </is>
      </c>
      <c r="Q176" s="74" t="inlineStr">
        <is>
          <t>ata (“Regulamento”); (ii) A aprovação da emissão da 2ª (segunda) série de Cotas Seniores (conforme definidas no Regulamento), a ser composta por 276.000 (duzentos e setenta e seis mil) Cotas da Seniores, todas com valor nominal unitário de R$1.000,00 (mil reais) cada, no montante total de R$276.000.000,00 (duzentos e setenta e seis milhões de reais) na data da primeira subscrição e integralização das Cotas Seniores, que serão objeto de oferta pública sob rito aut</t>
        </is>
      </c>
    </row>
    <row r="177" ht="40.5" customHeight="1">
      <c r="A177" s="142" t="n">
        <v>57270666000187</v>
      </c>
      <c r="B177" s="75" t="inlineStr">
        <is>
          <t>57.270.666/0001-87</t>
        </is>
      </c>
      <c r="C177" s="75" t="inlineStr">
        <is>
          <t>Cotas Seniores</t>
        </is>
      </c>
      <c r="D177" s="75" t="inlineStr">
        <is>
          <t>R$ 1.000,00</t>
        </is>
      </c>
      <c r="E177" s="143" t="n">
        <v>1000</v>
      </c>
      <c r="F177" s="75" t="inlineStr">
        <is>
          <t>preço/valor unitário de emissão</t>
        </is>
      </c>
      <c r="G177" s="75" t="b">
        <v>0</v>
      </c>
      <c r="H177" s="75" t="inlineStr">
        <is>
          <t>regulamento</t>
        </is>
      </c>
      <c r="I177" s="75" t="n">
        <v>769275</v>
      </c>
      <c r="J177" s="75" t="inlineStr">
        <is>
          <t>Atos de Deliberação do Administrador Instrumento Particular de Alteração do Regulamento</t>
        </is>
      </c>
      <c r="K177" s="75" t="inlineStr">
        <is>
          <t>31/10/2024</t>
        </is>
      </c>
      <c r="L177" s="75" t="n">
        <v>5</v>
      </c>
      <c r="M177" s="75" t="inlineStr">
        <is>
          <t>encontrado_explicito</t>
        </is>
      </c>
      <c r="N177" s="75" t="b">
        <v>1</v>
      </c>
      <c r="O177" s="75" t="inlineStr">
        <is>
          <t>.cache/carteira_101_document_scan/57270666000187/769275.json.gz</t>
        </is>
      </c>
      <c r="P177" s="75" t="inlineStr">
        <is>
          <t>https://fnet.bmfbovespa.com.br/fnet/publico/downloadDocumento?id=769275</t>
        </is>
      </c>
      <c r="Q177" s="75" t="inlineStr">
        <is>
          <t>tribuidor: ITAÚ BBA ASSESSORIA FINANCEIRA S.A. Valor Total de Emissão: Até R$ 45.000.000,00 (Quarenta e cinco milhões de reais); Valor máximo de emissão: Até R$ 45.000.000,00 (quarenta e cinco milhões de reais); Valor Unitário de Emissão: R$ 1.000,00 (mil reais) Forma de Integralização: À vista ou mediante chamadas de capital, conforme definido no boletim de subscrição e/ou documento de aceitação da Oferta. Prazo de Distribuição: 180 (cento e oitenta) dias con</t>
        </is>
      </c>
    </row>
    <row r="178" ht="40.5" customHeight="1">
      <c r="A178" s="138" t="n">
        <v>57816252000100</v>
      </c>
      <c r="B178" s="74" t="inlineStr">
        <is>
          <t>57.816.252/0001-00</t>
        </is>
      </c>
      <c r="C178" s="74" t="inlineStr">
        <is>
          <t>Cotas Seniores</t>
        </is>
      </c>
      <c r="D178" s="74" t="inlineStr">
        <is>
          <t>R$ 1.000,00</t>
        </is>
      </c>
      <c r="E178" s="139" t="n">
        <v>1000</v>
      </c>
      <c r="F178" s="74" t="inlineStr">
        <is>
          <t>preço/valor unitário de emissão</t>
        </is>
      </c>
      <c r="G178" s="74" t="b">
        <v>0</v>
      </c>
      <c r="H178" s="74" t="inlineStr">
        <is>
          <t>assembleia</t>
        </is>
      </c>
      <c r="I178" s="74" t="n">
        <v>1150911</v>
      </c>
      <c r="J178" s="74" t="inlineStr">
        <is>
          <t>Assembleia AGE Ata da Assembleia</t>
        </is>
      </c>
      <c r="K178" s="74" t="inlineStr">
        <is>
          <t>30/03/2026 18:00</t>
        </is>
      </c>
      <c r="L178" s="74" t="n">
        <v>7</v>
      </c>
      <c r="M178" s="74" t="inlineStr">
        <is>
          <t>encontrado_explicito</t>
        </is>
      </c>
      <c r="N178" s="74" t="b">
        <v>1</v>
      </c>
      <c r="O178" s="74" t="inlineStr">
        <is>
          <t>.cache/carteira_101_document_scan/57816252000100/1150911.json.gz</t>
        </is>
      </c>
      <c r="P178" s="74" t="inlineStr">
        <is>
          <t>https://fnet.bmfbovespa.com.br/fnet/publico/downloadDocumento?id=1150911</t>
        </is>
      </c>
      <c r="Q178" s="74" t="inlineStr">
        <is>
          <t>ca (“Administradora”). 2. Serão emitidas, nos termos deste Suplemento Cotas Seniores da 3ª Série e do Regulamento, Cotas Seniores da 3ª Série no montante de R$ 160.000.000,00 (cento e sessenta milhões de reais), no valor unitário de emissão das Cotas Seniores da 3ª Série de R$ 1.000,00 (mil reais) na Data da 1ª Integralização de Cotas Seniores da 3ª Série, para oferta pública nos termos da Resolução CVM nº 160, de 13 de julho de 2022, conforme alterada. 2.1. Para fins desse Suplemento Cotas Sen</t>
        </is>
      </c>
    </row>
    <row r="179" ht="40.5" customHeight="1">
      <c r="A179" s="142" t="n">
        <v>58171340000165</v>
      </c>
      <c r="B179" s="75" t="inlineStr">
        <is>
          <t>58.171.340/0001-65</t>
        </is>
      </c>
      <c r="C179" s="75" t="inlineStr">
        <is>
          <t>Cotas Seniores</t>
        </is>
      </c>
      <c r="D179" s="75" t="inlineStr">
        <is>
          <t>R$1.000,00</t>
        </is>
      </c>
      <c r="E179" s="143" t="n">
        <v>1000</v>
      </c>
      <c r="F179" s="75" t="inlineStr">
        <is>
          <t>valor nominal unitário (VNU)</t>
        </is>
      </c>
      <c r="G179" s="75" t="b">
        <v>0</v>
      </c>
      <c r="H179" s="75" t="inlineStr">
        <is>
          <t>emissao</t>
        </is>
      </c>
      <c r="I179" s="75" t="n">
        <v>1067840</v>
      </c>
      <c r="J179" s="75" t="inlineStr">
        <is>
          <t>Oferta Pública de Distribuição de Cotas Anúncio de Início</t>
        </is>
      </c>
      <c r="K179" s="75" t="inlineStr">
        <is>
          <t>22/12/2025</t>
        </is>
      </c>
      <c r="L179" s="75" t="n">
        <v>2</v>
      </c>
      <c r="M179" s="75" t="inlineStr">
        <is>
          <t>encontrado_explicito</t>
        </is>
      </c>
      <c r="N179" s="75" t="b">
        <v>1</v>
      </c>
      <c r="O179" s="75" t="inlineStr">
        <is>
          <t>.cache/carteira_101_document_scan/58171340000165/1067840.json.gz</t>
        </is>
      </c>
      <c r="P179" s="75" t="inlineStr">
        <is>
          <t>https://fnet.bmfbovespa.com.br/fnet/publico/downloadDocumento?id=1067840</t>
        </is>
      </c>
      <c r="Q179" s="75" t="inlineStr">
        <is>
          <t>do”, respectivamente), todas escriturais, com as seguintes características, sob o regime de garantia firme de colocação (“Oferta”): Valor Total das Cotas Seniores: R$120.000.000,00(cento e vinte milhões de reais) Valor Nominal Unitário: R$1.000,00 (mil reais) Quantidade de Cotas Seniores: 120.000 (cento e vinte mil) Encontra-se abaixo o cronograma estimado para as principais etapas da Oferta: Ordem dos Eventos Eventos Data Prevista (1) 1 Protocolo do</t>
        </is>
      </c>
    </row>
    <row r="180" ht="40.5" customHeight="1">
      <c r="A180" s="138" t="n">
        <v>58171340000165</v>
      </c>
      <c r="B180" s="74" t="inlineStr">
        <is>
          <t>58.171.340/0001-65</t>
        </is>
      </c>
      <c r="C180" s="74" t="inlineStr">
        <is>
          <t>Cotas Subordinadas Mezanino</t>
        </is>
      </c>
      <c r="D180" s="74" t="inlineStr">
        <is>
          <t>R$ 1.000,00</t>
        </is>
      </c>
      <c r="E180" s="139" t="n">
        <v>1000</v>
      </c>
      <c r="F180" s="74" t="inlineStr">
        <is>
          <t>preço/valor unitário de emissão</t>
        </is>
      </c>
      <c r="G180" s="74" t="b">
        <v>0</v>
      </c>
      <c r="H180" s="74" t="inlineStr">
        <is>
          <t>assembleia</t>
        </is>
      </c>
      <c r="I180" s="74" t="n">
        <v>1206367</v>
      </c>
      <c r="J180" s="74" t="inlineStr">
        <is>
          <t>Assembleia AGE Ata da Assembleia</t>
        </is>
      </c>
      <c r="K180" s="74" t="inlineStr">
        <is>
          <t>20/05/2026 23:59</t>
        </is>
      </c>
      <c r="L180" s="74" t="n">
        <v>5</v>
      </c>
      <c r="M180" s="74" t="inlineStr">
        <is>
          <t>encontrado_explicito</t>
        </is>
      </c>
      <c r="N180" s="74" t="b">
        <v>1</v>
      </c>
      <c r="O180" s="74" t="inlineStr">
        <is>
          <t>.cache/carteira_101_document_scan/58171340000165/1206367.json.gz</t>
        </is>
      </c>
      <c r="P180" s="74" t="inlineStr">
        <is>
          <t>https://fnet.bmfbovespa.com.br/fnet/publico/downloadDocumento?id=1206367</t>
        </is>
      </c>
      <c r="Q180" s="74" t="inlineStr">
        <is>
          <t>o”), terá as seguintes características: Montante das Cotas Subordinadas Mezanino: R$ 38.000.000,00 (trinta e oito milhões de reais) Quantidade de Cotas Subordinadas Mezanino: 38.000 (trinta e oito mil) Valor Unitário de Emissão: R$ 1.000,00 (mil reais) Forma de Integralização: À vista, no ato da subscrição , sendo certo que a integralização poderá ocorrer mediante a dação em pagamento de Direitos Creditórios. Prazo para Distribuição: Não aplicável.</t>
        </is>
      </c>
    </row>
    <row r="181" ht="40.5" customHeight="1">
      <c r="A181" s="142" t="n">
        <v>58288437000152</v>
      </c>
      <c r="B181" s="75" t="inlineStr">
        <is>
          <t>58.288.437/0001-52</t>
        </is>
      </c>
      <c r="C181" s="75" t="inlineStr">
        <is>
          <t>cotas subordinadas júnior</t>
        </is>
      </c>
      <c r="D181" s="75" t="inlineStr">
        <is>
          <t>R$ 1.000,00</t>
        </is>
      </c>
      <c r="E181" s="143" t="n">
        <v>1000</v>
      </c>
      <c r="F181" s="75" t="inlineStr">
        <is>
          <t>valor nominal unitário (VNU)</t>
        </is>
      </c>
      <c r="G181" s="75" t="b">
        <v>0</v>
      </c>
      <c r="H181" s="75" t="inlineStr">
        <is>
          <t>emissao</t>
        </is>
      </c>
      <c r="I181" s="75" t="n">
        <v>978340</v>
      </c>
      <c r="J181" s="75" t="inlineStr">
        <is>
          <t>emissao</t>
        </is>
      </c>
      <c r="K181" s="75" t="inlineStr">
        <is>
          <t>2025-08-26</t>
        </is>
      </c>
      <c r="L181" s="75" t="n">
        <v>1</v>
      </c>
      <c r="M181" s="75" t="inlineStr">
        <is>
          <t>encontrado_explicito</t>
        </is>
      </c>
      <c r="N181" s="75" t="b">
        <v>1</v>
      </c>
      <c r="O181" s="75" t="inlineStr">
        <is>
          <t>data/raw/58288437000152/978340_emissao_emissao_978340_2025-08-26.pdf</t>
        </is>
      </c>
      <c r="P181" s="75" t="inlineStr">
        <is>
          <t>https://fnet.bmfbovespa.com.br/fnet/publico/downloadDocumento?id=978340</t>
        </is>
      </c>
      <c r="Q181" s="75" t="inlineStr">
        <is>
          <t>novembro de 2024, foi deliberada, por meio de Instrumento Particular dos Prestadores de Serviço do Fundo, dentre outras disposições, a emissão de 20.000 (vinte mil) cotas da subclasse de cotas subordinadas júnior, com valor nominal unitário de R$ 1.000,00 (mil reais) em sua data de emissão (“Subclasse de Cotas Subordinadas Júnior”); 2. Por um equívoco formal, as cotas da Subclasse de Cotas Subordinadas Júnior foram emitidas em quantidade a menor do que o originalme</t>
        </is>
      </c>
    </row>
    <row r="182" ht="40.5" customHeight="1">
      <c r="A182" s="138" t="n">
        <v>58291962000127</v>
      </c>
      <c r="B182" s="74" t="inlineStr">
        <is>
          <t>58.291.962/0001-27</t>
        </is>
      </c>
      <c r="C182" s="74" t="inlineStr">
        <is>
          <t>Cotas Subordinadas</t>
        </is>
      </c>
      <c r="D182" s="74" t="inlineStr">
        <is>
          <t>R$1.000,00</t>
        </is>
      </c>
      <c r="E182" s="139" t="n">
        <v>1000</v>
      </c>
      <c r="F182" s="74" t="inlineStr">
        <is>
          <t>preço/valor unitário de emissão</t>
        </is>
      </c>
      <c r="G182" s="74" t="b">
        <v>0</v>
      </c>
      <c r="H182" s="74" t="inlineStr">
        <is>
          <t>regulamento</t>
        </is>
      </c>
      <c r="I182" s="74" t="n">
        <v>949047</v>
      </c>
      <c r="J182" s="74" t="inlineStr">
        <is>
          <t>Regulamento</t>
        </is>
      </c>
      <c r="K182" s="74" t="inlineStr">
        <is>
          <t>11/07/2025</t>
        </is>
      </c>
      <c r="L182" s="74" t="n">
        <v>69</v>
      </c>
      <c r="M182" s="74" t="inlineStr">
        <is>
          <t>encontrado_explicito</t>
        </is>
      </c>
      <c r="N182" s="74" t="b">
        <v>1</v>
      </c>
      <c r="O182" s="74" t="inlineStr">
        <is>
          <t>.cache/carteira_101_document_scan/58291962000127/949047.json.gz</t>
        </is>
      </c>
      <c r="P182" s="74" t="inlineStr">
        <is>
          <t>https://fnet.bmfbovespa.com.br/fnet/publico/downloadDocumento?id=949047</t>
        </is>
      </c>
      <c r="Q182" s="74" t="inlineStr">
        <is>
          <t>de uma mesma Subclasse terão iguais prioridades de amortização, resgate e distribuição dos rendimentos da carteira da Classe, bem como direitos de voto, observado o disposto neste Anexo Descritivo. 6.1.1. As Cotas terão Valor Unitário de Emissão de R$1.000,00 (mil reais) (“Valor Unitário de Emissão”). 6.1.2. Somente Investidores Autorizados poderão adquirir as Cotas. 6.2. Todas as Cotas serão escriturais e serão mantidas em conta de depósito em nome dos Cotistas pelo Custodi</t>
        </is>
      </c>
    </row>
    <row r="183" ht="40.5" customHeight="1">
      <c r="A183" s="142" t="n">
        <v>58291962000127</v>
      </c>
      <c r="B183" s="75" t="inlineStr">
        <is>
          <t>58.291.962/0001-27</t>
        </is>
      </c>
      <c r="C183" s="75" t="inlineStr">
        <is>
          <t>Cotas Subordinadas Júnior</t>
        </is>
      </c>
      <c r="D183" s="75" t="inlineStr">
        <is>
          <t>R$1.000,00</t>
        </is>
      </c>
      <c r="E183" s="143" t="n">
        <v>1000</v>
      </c>
      <c r="F183" s="75" t="inlineStr">
        <is>
          <t>preço/valor unitário de emissão</t>
        </is>
      </c>
      <c r="G183" s="75" t="b">
        <v>0</v>
      </c>
      <c r="H183" s="75" t="inlineStr">
        <is>
          <t>regulamento</t>
        </is>
      </c>
      <c r="I183" s="75" t="n">
        <v>957854</v>
      </c>
      <c r="J183" s="75" t="inlineStr">
        <is>
          <t>regulamento</t>
        </is>
      </c>
      <c r="K183" s="75" t="inlineStr">
        <is>
          <t>2025-07-30</t>
        </is>
      </c>
      <c r="L183" s="75" t="n">
        <v>148</v>
      </c>
      <c r="M183" s="75" t="inlineStr">
        <is>
          <t>encontrado_explicito</t>
        </is>
      </c>
      <c r="N183" s="75" t="b">
        <v>1</v>
      </c>
      <c r="O183" s="75" t="inlineStr">
        <is>
          <t>data/raw/58291962000127/957854_regulamento_regulamento_957854_2025-07-30_2025-07-30.pdf</t>
        </is>
      </c>
      <c r="P183" s="75" t="inlineStr">
        <is>
          <t>https://fnet.bmfbovespa.com.br/fnet/publico/downloadDocumento?id=957854</t>
        </is>
      </c>
      <c r="Q183" s="75" t="inlineStr">
        <is>
          <t>DA (“Fundo”), emitida nos termos do Regulamento do Fundo (o “Regulamento”), terá as seguintes características: Montante das Cotas Subordinadas Júnior: [•]. Quantidade de Cotas Subordinadas Júnior: [•]. Valor Unitário de Emissão: R$1.000,00 (mil reais). Forma de Integralização: À vista, na data de subscrição. Prazo para Distribuição: [•]. Montante Mínimo para Colocação: [•] Tipo de Colocação: [Colocação privada]. Data de Resgate: [•].</t>
        </is>
      </c>
    </row>
    <row r="184" ht="40.5" customHeight="1">
      <c r="A184" s="138" t="n">
        <v>58291962000127</v>
      </c>
      <c r="B184" s="74" t="inlineStr">
        <is>
          <t>58.291.962/0001-27</t>
        </is>
      </c>
      <c r="C184" s="74" t="inlineStr">
        <is>
          <t>N/D</t>
        </is>
      </c>
      <c r="D184" s="74" t="inlineStr">
        <is>
          <t>R$1.000,00</t>
        </is>
      </c>
      <c r="E184" s="139" t="n">
        <v>1000</v>
      </c>
      <c r="F184" s="74" t="inlineStr">
        <is>
          <t>preço/valor unitário de emissão</t>
        </is>
      </c>
      <c r="G184" s="74" t="b">
        <v>1</v>
      </c>
      <c r="H184" s="74" t="inlineStr">
        <is>
          <t>regulamento</t>
        </is>
      </c>
      <c r="I184" s="74" t="n">
        <v>957854</v>
      </c>
      <c r="J184" s="74" t="inlineStr">
        <is>
          <t>regulamento</t>
        </is>
      </c>
      <c r="K184" s="74" t="inlineStr">
        <is>
          <t>2025-07-30</t>
        </is>
      </c>
      <c r="L184" s="74" t="n">
        <v>59</v>
      </c>
      <c r="M184" s="74" t="inlineStr">
        <is>
          <t>encontrado_explicito</t>
        </is>
      </c>
      <c r="N184" s="74" t="b">
        <v>1</v>
      </c>
      <c r="O184" s="74" t="inlineStr">
        <is>
          <t>data/raw/58291962000127/957854_regulamento_regulamento_957854_2025-07-30_2025-07-30.pdf</t>
        </is>
      </c>
      <c r="P184" s="74" t="inlineStr">
        <is>
          <t>https://fnet.bmfbovespa.com.br/fnet/publico/downloadDocumento?id=957854</t>
        </is>
      </c>
      <c r="Q184" s="74" t="inlineStr">
        <is>
          <t>“Valor Principal de Referência Anterior” Significa, com relação a um Dia Útil, o Valor Principal de Referência do Dia Útil imediatamente anterior ao Dia Útil no qual será realizado o cálculo do valor da Cota. “Valor Unitário de Emissão” Equivale a R$1.000,00 (mil reais). “Valor Unitário de Referência” Significa: (i) na 1ª Data de Integralização das Cotas da respectiva série ou Subclasse: o Valor Unitário de Emissão; (ii) em cada Dia Útil subsequente que não se</t>
        </is>
      </c>
    </row>
    <row r="185" ht="40.5" customHeight="1">
      <c r="A185" s="142" t="n">
        <v>58291962000127</v>
      </c>
      <c r="B185" s="75" t="inlineStr">
        <is>
          <t>58.291.962/0001-27</t>
        </is>
      </c>
      <c r="C185" s="75" t="inlineStr">
        <is>
          <t>Cotas Seniores</t>
        </is>
      </c>
      <c r="D185" s="75" t="inlineStr">
        <is>
          <t>R$ 1.000,00</t>
        </is>
      </c>
      <c r="E185" s="143" t="n">
        <v>1000</v>
      </c>
      <c r="F185" s="75" t="inlineStr">
        <is>
          <t>preço/valor unitário de emissão</t>
        </is>
      </c>
      <c r="G185" s="75" t="b">
        <v>0</v>
      </c>
      <c r="H185" s="75" t="inlineStr">
        <is>
          <t>assembleia</t>
        </is>
      </c>
      <c r="I185" s="75" t="n">
        <v>957853</v>
      </c>
      <c r="J185" s="75" t="inlineStr">
        <is>
          <t>Assembleia AGE Ata da Assembleia</t>
        </is>
      </c>
      <c r="K185" s="75" t="inlineStr">
        <is>
          <t>30/07/2025 10:00</t>
        </is>
      </c>
      <c r="L185" s="75" t="n">
        <v>4</v>
      </c>
      <c r="M185" s="75" t="inlineStr">
        <is>
          <t>encontrado_explicito</t>
        </is>
      </c>
      <c r="N185" s="75" t="b">
        <v>1</v>
      </c>
      <c r="O185" s="75" t="inlineStr">
        <is>
          <t>.cache/carteira_101_document_scan/58291962000127/957853.json.gz</t>
        </is>
      </c>
      <c r="P185" s="75" t="inlineStr">
        <is>
          <t>https://fnet.bmfbovespa.com.br/fnet/publico/downloadDocumento?id=957853</t>
        </is>
      </c>
      <c r="Q185" s="75" t="inlineStr">
        <is>
          <t>ento do Fundo (“Regulamento”), terá as seguintes características: Montante das Cotas Seniores: R$96.000.000,00 (noventa e seis milhões de reais). Quantidade de Cotas Seniores: 96.000 (noventa e seis mil) Cotas Seniores. Valor Unitário de Emissão: R$ 1.000,00 (mil reais). Forma de Integralização: À vista, na data de subscrição. Prazo para Distribuição: 180 (cento e oitenta) dias contados da data do anúncio de início. Montante Mínimo para Colocação: Não aplicável, tendo em vi</t>
        </is>
      </c>
    </row>
    <row r="186" ht="40.5" customHeight="1">
      <c r="A186" s="138" t="n">
        <v>58349979000198</v>
      </c>
      <c r="B186" s="74" t="inlineStr">
        <is>
          <t>58.349.979/0001-98</t>
        </is>
      </c>
      <c r="C186" s="74" t="inlineStr">
        <is>
          <t>Cotas Seniores</t>
        </is>
      </c>
      <c r="D186" s="74" t="inlineStr">
        <is>
          <t>R$1.000,00</t>
        </is>
      </c>
      <c r="E186" s="139" t="n">
        <v>1000</v>
      </c>
      <c r="F186" s="74" t="inlineStr">
        <is>
          <t>preço/valor unitário de emissão</t>
        </is>
      </c>
      <c r="G186" s="74" t="b">
        <v>0</v>
      </c>
      <c r="H186" s="74" t="inlineStr">
        <is>
          <t>regulamento</t>
        </is>
      </c>
      <c r="I186" s="74" t="n">
        <v>826212</v>
      </c>
      <c r="J186" s="74" t="inlineStr">
        <is>
          <t>Atos de Deliberação do Administrador Instrumento Particular de Alteração do Regulamento</t>
        </is>
      </c>
      <c r="K186" s="74" t="inlineStr">
        <is>
          <t>28/01/2025</t>
        </is>
      </c>
      <c r="L186" s="74" t="n">
        <v>51</v>
      </c>
      <c r="M186" s="74" t="inlineStr">
        <is>
          <t>encontrado_explicito</t>
        </is>
      </c>
      <c r="N186" s="74" t="b">
        <v>1</v>
      </c>
      <c r="O186" s="74" t="inlineStr">
        <is>
          <t>.cache/carteira_101_document_scan/58349979000198/826212.json.gz</t>
        </is>
      </c>
      <c r="P186" s="74" t="inlineStr">
        <is>
          <t>https://fnet.bmfbovespa.com.br/fnet/publico/downloadDocumento?id=826212</t>
        </is>
      </c>
      <c r="Q186" s="74" t="inlineStr">
        <is>
          <t>idade de Cotista caracteriza-se pela abertura da conta de depósito em seu nome junto ao Custodiante. 12.1.5. Somente Investidores Profissionais poderão adquirir as Cotas. 48 INTERNAL 12.1.6. As Cotas terão Valor Unitário de Emissão de R$1.000,00 (mil reais) na 1ª Data de Integralização da respectiva Série ou Subclasse de Cotas. 12.1.7. O investidor, no momento da subscrição das Cotas, assinará o Termo de Adesão que atende aos requisitos previstos no artig</t>
        </is>
      </c>
    </row>
    <row r="187" ht="40.5" customHeight="1">
      <c r="A187" s="142" t="n">
        <v>58476088000100</v>
      </c>
      <c r="B187" s="75" t="inlineStr">
        <is>
          <t>58.476.088/0001-00</t>
        </is>
      </c>
      <c r="C187" s="75" t="inlineStr">
        <is>
          <t>Cotas Seniores</t>
        </is>
      </c>
      <c r="D187" s="75" t="inlineStr">
        <is>
          <t>R$ 1.000,00</t>
        </is>
      </c>
      <c r="E187" s="143" t="n">
        <v>1000</v>
      </c>
      <c r="F187" s="75" t="inlineStr">
        <is>
          <t>preço/valor unitário de emissão</t>
        </is>
      </c>
      <c r="G187" s="75" t="b">
        <v>0</v>
      </c>
      <c r="H187" s="75" t="inlineStr">
        <is>
          <t>regulamento</t>
        </is>
      </c>
      <c r="I187" s="75" t="n">
        <v>852325</v>
      </c>
      <c r="J187" s="75" t="inlineStr">
        <is>
          <t>Regulamento</t>
        </is>
      </c>
      <c r="K187" s="75" t="inlineStr">
        <is>
          <t>25/02/2025</t>
        </is>
      </c>
      <c r="L187" s="75" t="n">
        <v>71</v>
      </c>
      <c r="M187" s="75" t="inlineStr">
        <is>
          <t>encontrado_explicito</t>
        </is>
      </c>
      <c r="N187" s="75" t="b">
        <v>1</v>
      </c>
      <c r="O187" s="75" t="inlineStr">
        <is>
          <t>.cache/carteira_101_document_scan/58476088000100/852325.json.gz</t>
        </is>
      </c>
      <c r="P187" s="75" t="inlineStr">
        <is>
          <t>https://fnet.bmfbovespa.com.br/fnet/publico/downloadDocumento?id=852325</t>
        </is>
      </c>
      <c r="Q187" s="75" t="inlineStr">
        <is>
          <t>uma mesma Subclasse terão iguais prioridades de amortização, resgate e distribuição dos rendimentos da carteira da Classe, bem como direitos de voto, observado o disposto neste Anexo Descritivo. 6.1.1. As Cotas terão Valor Unitário de Emissão de R$ 1.000,00 (mil reais ) (“ Valor Unitário de Emissão”). 6.2. Todas as Cotas serão nominais e escriturais e serão mantidas em conta de depósito em nome dos Cotistas pelo Escriturador, na qualidade de instituição responsável p</t>
        </is>
      </c>
    </row>
    <row r="188" ht="40.5" customHeight="1">
      <c r="A188" s="138" t="n">
        <v>58476088000100</v>
      </c>
      <c r="B188" s="74" t="inlineStr">
        <is>
          <t>58.476.088/0001-00</t>
        </is>
      </c>
      <c r="C188" s="74" t="inlineStr">
        <is>
          <t>N/D</t>
        </is>
      </c>
      <c r="D188" s="74" t="inlineStr">
        <is>
          <t>R$1.000,00</t>
        </is>
      </c>
      <c r="E188" s="139" t="n">
        <v>1000</v>
      </c>
      <c r="F188" s="74" t="inlineStr">
        <is>
          <t>preço/valor unitário de emissão</t>
        </is>
      </c>
      <c r="G188" s="74" t="b">
        <v>1</v>
      </c>
      <c r="H188" s="74" t="inlineStr">
        <is>
          <t>regulamento</t>
        </is>
      </c>
      <c r="I188" s="74" t="n">
        <v>852325</v>
      </c>
      <c r="J188" s="74" t="inlineStr">
        <is>
          <t>Regulamento</t>
        </is>
      </c>
      <c r="K188" s="74" t="inlineStr">
        <is>
          <t>25/02/2025</t>
        </is>
      </c>
      <c r="L188" s="74" t="n">
        <v>25</v>
      </c>
      <c r="M188" s="74" t="inlineStr">
        <is>
          <t>encontrado_explicito</t>
        </is>
      </c>
      <c r="N188" s="74" t="b">
        <v>1</v>
      </c>
      <c r="O188" s="74" t="inlineStr">
        <is>
          <t>.cache/carteira_101_document_scan/58476088000100/852325.json.gz</t>
        </is>
      </c>
      <c r="P188" s="74" t="inlineStr">
        <is>
          <t>https://fnet.bmfbovespa.com.br/fnet/publico/downloadDocumento?id=852325</t>
        </is>
      </c>
      <c r="Q188" s="74" t="inlineStr">
        <is>
          <t>to de Prêmio de Excesso de Spread” Significa o montante em Disponibilidades que poderá ser pago ao Cotista Subordinado a título de Prêmio de Excesso de Spread Acumulado a Apropriar, limitado às Disponibilidade. “Valor Unitário de Emissão” R$1.000,00. 2. DENOMINAÇÃO, FORMA, PRAZO DE DURAÇÃO E COMPOSIÇÃO DO PATRIMÔNIO DO FUNDO 2.1. O Fundo será denominado “ SAGA FUNDO DE INVESTIMENTO EM DIREITOS CREDITÓRIOS CRÉDITO PRIVADO – RESPONSABILIDADE LIMITADA”.O Fu</t>
        </is>
      </c>
    </row>
    <row r="189" ht="40.5" customHeight="1">
      <c r="A189" s="142" t="n">
        <v>58476088000100</v>
      </c>
      <c r="B189" s="75" t="inlineStr">
        <is>
          <t>58.476.088/0001-00</t>
        </is>
      </c>
      <c r="C189" s="75" t="inlineStr">
        <is>
          <t>Cotas Seniores</t>
        </is>
      </c>
      <c r="D189" s="75" t="inlineStr">
        <is>
          <t>R$ 1.000,00</t>
        </is>
      </c>
      <c r="E189" s="143" t="n">
        <v>1000</v>
      </c>
      <c r="F189" s="75" t="inlineStr">
        <is>
          <t>valor nominal unitário (VNU)</t>
        </is>
      </c>
      <c r="G189" s="75" t="b">
        <v>0</v>
      </c>
      <c r="H189" s="75" t="inlineStr">
        <is>
          <t>emissao</t>
        </is>
      </c>
      <c r="I189" s="75" t="n">
        <v>833533</v>
      </c>
      <c r="J189" s="75" t="inlineStr">
        <is>
          <t>Oferta Pública de Distribuição de Cotas Anúncio de Início</t>
        </is>
      </c>
      <c r="K189" s="75" t="inlineStr">
        <is>
          <t>07/02/2025</t>
        </is>
      </c>
      <c r="L189" s="75" t="n">
        <v>2</v>
      </c>
      <c r="M189" s="75" t="inlineStr">
        <is>
          <t>encontrado_explicito</t>
        </is>
      </c>
      <c r="N189" s="75" t="b">
        <v>1</v>
      </c>
      <c r="O189" s="75" t="inlineStr">
        <is>
          <t>.cache/carteira_101_document_scan/58476088000100/833533.json.gz</t>
        </is>
      </c>
      <c r="P189" s="75" t="inlineStr">
        <is>
          <t>https://fnet.bmfbovespa.com.br/fnet/publico/downloadDocumento?id=833533</t>
        </is>
      </c>
      <c r="Q189" s="75" t="inlineStr">
        <is>
          <t>m tempos (“Regulamento” e “Fundo”, respectivamente ), todas escriturais, com as seguintes características, sob o regime de garantia firme (“Oferta”): Valor Total das Cotas Seniores: R$100.000.000,00 (cem milhões) Valor Nominal Unitário: R$ 1.000,00 (mil reais) Quantidade de Cotas Seniores: 100.000 (cem mil) Encontra-se abaixo o cronograma estimado para as principais etapas da Oferta: Ordem dos Eventos Eventos Data Prevista (1) 1 Protocolo do Pedido de Re</t>
        </is>
      </c>
    </row>
    <row r="190" ht="40.5" customHeight="1">
      <c r="A190" s="138" t="n">
        <v>61288838000117</v>
      </c>
      <c r="B190" s="74" t="inlineStr">
        <is>
          <t>61.288.838/0001-17</t>
        </is>
      </c>
      <c r="C190" s="74" t="inlineStr">
        <is>
          <t>Cotas Seniores</t>
        </is>
      </c>
      <c r="D190" s="74" t="inlineStr">
        <is>
          <t>R$1.000,00</t>
        </is>
      </c>
      <c r="E190" s="139" t="n">
        <v>1000</v>
      </c>
      <c r="F190" s="74" t="inlineStr">
        <is>
          <t>valor nominal unitário (VNU)</t>
        </is>
      </c>
      <c r="G190" s="74" t="b">
        <v>0</v>
      </c>
      <c r="H190" s="74" t="inlineStr">
        <is>
          <t>emissao</t>
        </is>
      </c>
      <c r="I190" s="74" t="n">
        <v>1244649</v>
      </c>
      <c r="J190" s="74" t="inlineStr">
        <is>
          <t>Oferta Pública de Distribuição de Cotas Anúncio de Início</t>
        </is>
      </c>
      <c r="K190" s="74" t="inlineStr">
        <is>
          <t>10/07/2026</t>
        </is>
      </c>
      <c r="L190" s="74" t="n">
        <v>1</v>
      </c>
      <c r="M190" s="74" t="inlineStr">
        <is>
          <t>encontrado_explicito</t>
        </is>
      </c>
      <c r="N190" s="74" t="b">
        <v>1</v>
      </c>
      <c r="O190" s="74" t="inlineStr">
        <is>
          <t>.cache/carteira_101_document_scan/61288838000117/1244649.json.gz</t>
        </is>
      </c>
      <c r="P190" s="74" t="inlineStr">
        <is>
          <t>https://fnet.bmfbovespa.com.br/fnet/publico/downloadDocumento?id=1244649</t>
        </is>
      </c>
      <c r="Q190" s="74" t="inlineStr">
        <is>
          <t>160, de 13 de julho de 2022, conforme em vigor (“Resolução CVM 160”), o início da distribuição pública, sob o regime de garantia firme de colocação, de 600.000 (seiscentas mil) cotas seniores (“Cotas Seniores”), com valor nominal unitário de R$1.000,00 (mil reais) na data da primeira integralização de Cotas Seniores, perfazendo, o montante total de R$600.000.000,00 (seiscentos milhões de reais) na data da primeira integralização de Cotas Seniores , todas objeto da</t>
        </is>
      </c>
    </row>
    <row r="191" ht="40.5" customHeight="1">
      <c r="A191" s="142" t="n">
        <v>61288838000117</v>
      </c>
      <c r="B191" s="75" t="inlineStr">
        <is>
          <t>61.288.838/0001-17</t>
        </is>
      </c>
      <c r="C191" s="75" t="inlineStr">
        <is>
          <t>Cotas Seniores</t>
        </is>
      </c>
      <c r="D191" s="75" t="inlineStr">
        <is>
          <t>R$ 1.000,00</t>
        </is>
      </c>
      <c r="E191" s="143" t="n">
        <v>1000</v>
      </c>
      <c r="F191" s="75" t="inlineStr">
        <is>
          <t>preço/valor unitário de emissão</t>
        </is>
      </c>
      <c r="G191" s="75" t="b">
        <v>0</v>
      </c>
      <c r="H191" s="75" t="inlineStr">
        <is>
          <t>emissao</t>
        </is>
      </c>
      <c r="I191" s="75" t="n">
        <v>1247950</v>
      </c>
      <c r="J191" s="75" t="inlineStr">
        <is>
          <t>Oferta Pública de Distribuição de Cotas Anúncio de Encerramento</t>
        </is>
      </c>
      <c r="K191" s="75" t="inlineStr">
        <is>
          <t>14/07/2026</t>
        </is>
      </c>
      <c r="L191" s="75" t="n">
        <v>1</v>
      </c>
      <c r="M191" s="75" t="inlineStr">
        <is>
          <t>encontrado_explicito</t>
        </is>
      </c>
      <c r="N191" s="75" t="b">
        <v>1</v>
      </c>
      <c r="O191" s="75" t="inlineStr">
        <is>
          <t>.cache/carteira_101_document_scan/61288838000117/1247950.json.gz</t>
        </is>
      </c>
      <c r="P191" s="75" t="inlineStr">
        <is>
          <t>https://fnet.bmfbovespa.com.br/fnet/publico/downloadDocumento?id=1247950</t>
        </is>
      </c>
      <c r="Q191" s="75" t="inlineStr">
        <is>
          <t>o 26, inciso VII, alínea "a", da Resolução CVM 160, de 600.000 (seiscentas mil) cotas da subclasse sênior da 2ª (segunda) série da 2ª (segunda) emissão do Fundo ("Cotas Seniores"), todas nominativas e escriturais, com valor unitário de emissão de R$ 1.000,00 (mil reais) por Cota na primeira data de integralização das Cotas Seniores (“Oferta”), perfazendo o montante de: R$ 600.000.000,00 (seiscentos milhões de reais) Exceto quando especificamente definidos</t>
        </is>
      </c>
    </row>
    <row r="192" ht="40.5" customHeight="1">
      <c r="A192" s="138" t="n">
        <v>62393829000159</v>
      </c>
      <c r="B192" s="74" t="inlineStr">
        <is>
          <t>62.393.829/0001-59</t>
        </is>
      </c>
      <c r="C192" s="74" t="inlineStr">
        <is>
          <t>cotas seniores</t>
        </is>
      </c>
      <c r="D192" s="74" t="inlineStr">
        <is>
          <t>R$1.000,00</t>
        </is>
      </c>
      <c r="E192" s="139" t="n">
        <v>1000</v>
      </c>
      <c r="F192" s="74" t="inlineStr">
        <is>
          <t>valor nominal unitário (VNU)</t>
        </is>
      </c>
      <c r="G192" s="74" t="b">
        <v>0</v>
      </c>
      <c r="H192" s="74" t="inlineStr">
        <is>
          <t>emissao</t>
        </is>
      </c>
      <c r="I192" s="74" t="n">
        <v>1089672</v>
      </c>
      <c r="J192" s="74" t="inlineStr">
        <is>
          <t>Oferta Pública de Distribuição de Cotas Anúncio de Início</t>
        </is>
      </c>
      <c r="K192" s="74" t="inlineStr">
        <is>
          <t>21/01/2026</t>
        </is>
      </c>
      <c r="L192" s="74" t="n">
        <v>1</v>
      </c>
      <c r="M192" s="74" t="inlineStr">
        <is>
          <t>encontrado_explicito</t>
        </is>
      </c>
      <c r="N192" s="74" t="b">
        <v>1</v>
      </c>
      <c r="O192" s="74" t="inlineStr">
        <is>
          <t>.cache/carteira_101_document_scan/62393829000159/1089672.json.gz</t>
        </is>
      </c>
      <c r="P192" s="74" t="inlineStr">
        <is>
          <t>https://fnet.bmfbovespa.com.br/fnet/publico/downloadDocumento?id=1089672</t>
        </is>
      </c>
      <c r="Q192" s="74" t="inlineStr">
        <is>
          <t>rantia firme, registrada automaticamente perante a CVM, nos termos do artigo 26, inciso VII, alínea “a”, da Resolução CVM nº 160 (“Oferta”), de 1.000.000 (um milhão) cotas seniores da 2ª (segunda) série (“Cotas”), com valor nominal unitário de emissão de R$1.000,00 (mil reais), perfazendo o montante total de R$1.000.000.000,00 (um bilhão de reais) na data da 1ª (primeira) integralização das Cotas Seniores da 2ª Série (“Valor Total a Oferta”). As Cotas serão distribuídas</t>
        </is>
      </c>
    </row>
    <row r="193" ht="40.5" customHeight="1">
      <c r="A193" s="142" t="n">
        <v>62588266000154</v>
      </c>
      <c r="B193" s="75" t="inlineStr">
        <is>
          <t>62.588.266/0001-54</t>
        </is>
      </c>
      <c r="C193" s="75" t="inlineStr">
        <is>
          <t>N/D</t>
        </is>
      </c>
      <c r="D193" s="75" t="inlineStr">
        <is>
          <t>R$ 1.000,00</t>
        </is>
      </c>
      <c r="E193" s="143" t="n">
        <v>1000</v>
      </c>
      <c r="F193" s="75" t="inlineStr">
        <is>
          <t>preço/valor unitário de emissão</t>
        </is>
      </c>
      <c r="G193" s="75" t="b">
        <v>1</v>
      </c>
      <c r="H193" s="75" t="inlineStr">
        <is>
          <t>regulamento</t>
        </is>
      </c>
      <c r="I193" s="75" t="n">
        <v>1002580</v>
      </c>
      <c r="J193" s="75" t="inlineStr">
        <is>
          <t>regulamento</t>
        </is>
      </c>
      <c r="K193" s="75" t="inlineStr">
        <is>
          <t>2025-09-29</t>
        </is>
      </c>
      <c r="L193" s="75" t="n">
        <v>34</v>
      </c>
      <c r="M193" s="75" t="inlineStr">
        <is>
          <t>encontrado_explicito</t>
        </is>
      </c>
      <c r="N193" s="75" t="b">
        <v>1</v>
      </c>
      <c r="O193" s="75" t="inlineStr">
        <is>
          <t>data/raw/62588266000154/1002580_regulamento_regulamento_1002580_2025-09-29.pdf</t>
        </is>
      </c>
      <c r="P193" s="75" t="inlineStr">
        <is>
          <t>https://fnet.bmfbovespa.com.br/fnet/publico/downloadDocumento?id=1002580</t>
        </is>
      </c>
      <c r="Q193" s="75" t="inlineStr">
        <is>
          <t>eletronicamente custodiadas na B3 ou pelo extrato do escriturar do Fundo, caso estejam custodiadas em ambiente escritural. 8.1.4 Somente Investidores Qualificados poderão adquirir as Cotas. 8.1.5 As Cotas terão Valor Unitário de Emissão de R$ 1.000,00 (mil reais) na 1ª Data de Integralização de Cotas. 8.1.6 Após a respectiva 1ª Data de Integralização de Cotas (i) de cada série de Cotas Seniores; (ii) de cada série de Cotas Subordinadas Mezanino; e (iii) das Cot</t>
        </is>
      </c>
    </row>
    <row r="194" ht="40.5" customHeight="1">
      <c r="A194" s="138" t="n">
        <v>62588266000154</v>
      </c>
      <c r="B194" s="74" t="inlineStr">
        <is>
          <t>62.588.266/0001-54</t>
        </is>
      </c>
      <c r="C194" s="74" t="inlineStr">
        <is>
          <t>Cotas Seniores</t>
        </is>
      </c>
      <c r="D194" s="74" t="inlineStr">
        <is>
          <t>R$ 1.000,00</t>
        </is>
      </c>
      <c r="E194" s="139" t="n">
        <v>1000</v>
      </c>
      <c r="F194" s="74" t="inlineStr">
        <is>
          <t>valor nominal unitário (VNU)</t>
        </is>
      </c>
      <c r="G194" s="74" t="b">
        <v>0</v>
      </c>
      <c r="H194" s="74" t="inlineStr">
        <is>
          <t>emissao</t>
        </is>
      </c>
      <c r="I194" s="74" t="n">
        <v>992652</v>
      </c>
      <c r="J194" s="74" t="inlineStr">
        <is>
          <t>emissao</t>
        </is>
      </c>
      <c r="K194" s="74" t="inlineStr">
        <is>
          <t>2025-09-15</t>
        </is>
      </c>
      <c r="L194" s="74" t="n">
        <v>1</v>
      </c>
      <c r="M194" s="74" t="inlineStr">
        <is>
          <t>encontrado_explicito</t>
        </is>
      </c>
      <c r="N194" s="74" t="b">
        <v>1</v>
      </c>
      <c r="O194" s="74" t="inlineStr">
        <is>
          <t>data/raw/62588266000154/992652_emissao_emissao_992652_2025-09-15.pdf</t>
        </is>
      </c>
      <c r="P194" s="74" t="inlineStr">
        <is>
          <t>https://fnet.bmfbovespa.com.br/fnet/publico/downloadDocumento?id=992652</t>
        </is>
      </c>
      <c r="Q194" s="74" t="inlineStr">
        <is>
          <t>NVESTIMENTO EM DIREITOS CREDITÓRIOS RESPONSABILIDADE LIMITADA, fundo de investimento em direitos creditórios, constituído sob a forma de condomínio fechado, inscrito no CNPJ/MF sob nº 62.588.266/0001-54 (“Fundo”) de valor nominal unitário de R$ 1.000,00 (mil reais), totalizando um montante total de até R$ 2.850.000.000,00 (dois bilhões e oitocentos e cinquenta milhões de reais) (“Oferta”), destinada exclusivamente a investidores profissionais (assim definidos nos ter</t>
        </is>
      </c>
    </row>
    <row r="195" ht="40.5" customHeight="1">
      <c r="A195" s="142" t="n">
        <v>62588266000154</v>
      </c>
      <c r="B195" s="75" t="inlineStr">
        <is>
          <t>62.588.266/0001-54</t>
        </is>
      </c>
      <c r="C195" s="75" t="inlineStr">
        <is>
          <t>Cotas Subordinadas Mezanino</t>
        </is>
      </c>
      <c r="D195" s="75" t="inlineStr">
        <is>
          <t>R$1.000,00</t>
        </is>
      </c>
      <c r="E195" s="143" t="n">
        <v>1000</v>
      </c>
      <c r="F195" s="75" t="inlineStr">
        <is>
          <t>valor nominal unitário (VNU)</t>
        </is>
      </c>
      <c r="G195" s="75" t="b">
        <v>0</v>
      </c>
      <c r="H195" s="75" t="inlineStr">
        <is>
          <t>emissao</t>
        </is>
      </c>
      <c r="I195" s="75" t="n">
        <v>1126575</v>
      </c>
      <c r="J195" s="75" t="inlineStr">
        <is>
          <t>emissao</t>
        </is>
      </c>
      <c r="K195" s="75" t="inlineStr">
        <is>
          <t>2026-02-27</t>
        </is>
      </c>
      <c r="L195" s="75" t="n">
        <v>1</v>
      </c>
      <c r="M195" s="75" t="inlineStr">
        <is>
          <t>encontrado_explicito</t>
        </is>
      </c>
      <c r="N195" s="75" t="b">
        <v>1</v>
      </c>
      <c r="O195" s="75" t="inlineStr">
        <is>
          <t>data/raw/62588266000154/1126575_emissao_emissao_1126575_2026-02-27.pdf</t>
        </is>
      </c>
      <c r="P195" s="75" t="inlineStr">
        <is>
          <t>https://fnet.bmfbovespa.com.br/fnet/publico/downloadDocumento?id=1126575</t>
        </is>
      </c>
      <c r="Q195" s="75" t="inlineStr">
        <is>
          <t>e perante a CVM, nos termos do artigo 26, inciso VI, alínea Oferta2.550.000 (dois milhões, quinhentas e cinquenta mil)Cotas Seniores300.000 (trezentas mil) cotas subordinadas mezanino Cotas Subordinadas MezaninoCotascom valor nominal unitário de R$1.000,00 (mil reais), perfazendo um montante de R$ 2.850.000.000,00 (dois bilhões e oitocentos e cinquenta milhões de reais)Valor Total da OfertaExceto quando especificamente definidos neste Anúncio de Encerramento, os termos aq</t>
        </is>
      </c>
    </row>
    <row r="196" ht="40.5" customHeight="1">
      <c r="A196" s="138" t="n">
        <v>62626887000185</v>
      </c>
      <c r="B196" s="74" t="inlineStr">
        <is>
          <t>62.626.887/0001-85</t>
        </is>
      </c>
      <c r="C196" s="74" t="inlineStr">
        <is>
          <t>Cotas Seniores</t>
        </is>
      </c>
      <c r="D196" s="74" t="inlineStr">
        <is>
          <t>R$1.000,00</t>
        </is>
      </c>
      <c r="E196" s="139" t="n">
        <v>1000</v>
      </c>
      <c r="F196" s="74" t="inlineStr">
        <is>
          <t>valor nominal unitário (VNU)</t>
        </is>
      </c>
      <c r="G196" s="74" t="b">
        <v>0</v>
      </c>
      <c r="H196" s="74" t="inlineStr">
        <is>
          <t>regulamento</t>
        </is>
      </c>
      <c r="I196" s="74" t="n">
        <v>1152823</v>
      </c>
      <c r="J196" s="74" t="inlineStr">
        <is>
          <t>regulamento</t>
        </is>
      </c>
      <c r="K196" s="74" t="inlineStr">
        <is>
          <t>2026-03-31</t>
        </is>
      </c>
      <c r="L196" s="74" t="n">
        <v>111</v>
      </c>
      <c r="M196" s="74" t="inlineStr">
        <is>
          <t>encontrado_explicito</t>
        </is>
      </c>
      <c r="N196" s="74" t="b">
        <v>1</v>
      </c>
      <c r="O196" s="74" t="inlineStr">
        <is>
          <t>data/raw/62626887000185/1152823_regulamento_regulamento_1152823_2026-03-31.pdf</t>
        </is>
      </c>
      <c r="P196" s="74" t="inlineStr">
        <is>
          <t>https://fnet.bmfbovespa.com.br/fnet/publico/downloadDocumento?id=1152823</t>
        </is>
      </c>
      <c r="Q196" s="74" t="inlineStr">
        <is>
          <t>Cotas Seniores: R$ 339.850.000,00 (trezentos e trinta e nove milhões e oitocentos e cinquenta mil reais). Quantidade total de Cotas Seniores: 339.850 (trezentas e trinta e nove mil e oitocentas e cinquenta). Valor Nominal Unitário: R$1.000,00 (mil reais) na Data de Contagem (conforme definida abaixo). Data de Amortização Final (vencimento): Data de Pagamento correspondente a 09 de novembro de 2028. Data de Contagem 17 de novembro de 2025. Sobr</t>
        </is>
      </c>
    </row>
    <row r="197" ht="40.5" customHeight="1">
      <c r="A197" s="142" t="n">
        <v>62626887000185</v>
      </c>
      <c r="B197" s="75" t="inlineStr">
        <is>
          <t>62.626.887/0001-85</t>
        </is>
      </c>
      <c r="C197" s="75" t="inlineStr">
        <is>
          <t>Cotas Subordinadas Junior</t>
        </is>
      </c>
      <c r="D197" s="75" t="inlineStr">
        <is>
          <t>R$1.000,00</t>
        </is>
      </c>
      <c r="E197" s="143" t="n">
        <v>1000</v>
      </c>
      <c r="F197" s="75" t="inlineStr">
        <is>
          <t>valor nominal unitário (VNU)</t>
        </is>
      </c>
      <c r="G197" s="75" t="b">
        <v>0</v>
      </c>
      <c r="H197" s="75" t="inlineStr">
        <is>
          <t>regulamento</t>
        </is>
      </c>
      <c r="I197" s="75" t="n">
        <v>1152823</v>
      </c>
      <c r="J197" s="75" t="inlineStr">
        <is>
          <t>regulamento</t>
        </is>
      </c>
      <c r="K197" s="75" t="inlineStr">
        <is>
          <t>2026-03-31</t>
        </is>
      </c>
      <c r="L197" s="75" t="n">
        <v>115</v>
      </c>
      <c r="M197" s="75" t="inlineStr">
        <is>
          <t>encontrado_explicito</t>
        </is>
      </c>
      <c r="N197" s="75" t="b">
        <v>1</v>
      </c>
      <c r="O197" s="75" t="inlineStr">
        <is>
          <t>data/raw/62626887000185/1152823_regulamento_regulamento_1152823_2026-03-31.pdf</t>
        </is>
      </c>
      <c r="P197" s="75" t="inlineStr">
        <is>
          <t>https://fnet.bmfbovespa.com.br/fnet/publico/downloadDocumento?id=1152823</t>
        </is>
      </c>
      <c r="Q197" s="75" t="inlineStr">
        <is>
          <t>ADA” Montante total de Cotas Subordinadas Juniores: R$ 10.150.000,00 (dez milhões e cento e cinquenta mil reais). Quantidade total de Cotas Subordinadas Juniores: 10.150 (dez mil cento e cinquenta). Valor Nominal Unitário: R$1.000,00 (mil reais) após a amortização extraordinária. Forma de distribuição: Colocação Privada. Datas de Pagamento: Conforme previsto no Regulamento. Data de Contagem: 17 de novembro de 2025. Classificação de Ri</t>
        </is>
      </c>
    </row>
    <row r="198" ht="40.5" customHeight="1">
      <c r="A198" s="138" t="n">
        <v>62838025000116</v>
      </c>
      <c r="B198" s="74" t="inlineStr">
        <is>
          <t>62.838.025/0001-16</t>
        </is>
      </c>
      <c r="C198" s="74" t="inlineStr">
        <is>
          <t>N/D</t>
        </is>
      </c>
      <c r="D198" s="74" t="inlineStr">
        <is>
          <t>R$ 1.000,00</t>
        </is>
      </c>
      <c r="E198" s="139" t="n">
        <v>1000</v>
      </c>
      <c r="F198" s="74" t="inlineStr">
        <is>
          <t>preço/valor unitário de emissão</t>
        </is>
      </c>
      <c r="G198" s="74" t="b">
        <v>1</v>
      </c>
      <c r="H198" s="74" t="inlineStr">
        <is>
          <t>regulamento</t>
        </is>
      </c>
      <c r="I198" s="74" t="n">
        <v>1058234</v>
      </c>
      <c r="J198" s="74" t="inlineStr">
        <is>
          <t>regulamento</t>
        </is>
      </c>
      <c r="K198" s="74" t="inlineStr">
        <is>
          <t>2025-12-10</t>
        </is>
      </c>
      <c r="L198" s="74" t="n">
        <v>33</v>
      </c>
      <c r="M198" s="74" t="inlineStr">
        <is>
          <t>encontrado_explicito</t>
        </is>
      </c>
      <c r="N198" s="74" t="b">
        <v>1</v>
      </c>
      <c r="O198" s="74" t="inlineStr">
        <is>
          <t>data/raw/62838025000116/1058234_regulamento_regulamento_1058234_2025-12-10.pdf</t>
        </is>
      </c>
      <c r="P198" s="74" t="inlineStr">
        <is>
          <t>https://fnet.bmfbovespa.com.br/fnet/publico/downloadDocumento?id=1058234</t>
        </is>
      </c>
      <c r="Q198" s="74" t="inlineStr">
        <is>
          <t>rência eletrônica disponível ou por qualquer outro mecanismo admitido pelo BACEN, observado o disposto no Apêndice de cada Subclasse. 10.12 As Cotas, independente da Subclasse e/ou da série, conforme aplicável, terão valor unitário de emissão de R$ 1.000,00 (mil reais) fixo para fins do primeiro evento integralização das Cotas da respectiva série e/ou Subclasse. 10.13 A partir da data da primeira integralização de Cotas, o valor unitário das Cotas será calculado no fech</t>
        </is>
      </c>
    </row>
    <row r="199" ht="40.5" customHeight="1">
      <c r="A199" s="142" t="n">
        <v>63066147000102</v>
      </c>
      <c r="B199" s="75" t="inlineStr">
        <is>
          <t>63.066.147/0001-02</t>
        </is>
      </c>
      <c r="C199" s="75" t="inlineStr">
        <is>
          <t>N/D</t>
        </is>
      </c>
      <c r="D199" s="75" t="inlineStr">
        <is>
          <t>R$ 1.000,00</t>
        </is>
      </c>
      <c r="E199" s="143" t="n">
        <v>1000</v>
      </c>
      <c r="F199" s="75" t="inlineStr">
        <is>
          <t>valor nominal unitário (VNU)</t>
        </is>
      </c>
      <c r="G199" s="75" t="b">
        <v>1</v>
      </c>
      <c r="H199" s="75" t="inlineStr">
        <is>
          <t>regulamento</t>
        </is>
      </c>
      <c r="I199" s="75" t="n">
        <v>1085943</v>
      </c>
      <c r="J199" s="75" t="inlineStr">
        <is>
          <t>regulamento</t>
        </is>
      </c>
      <c r="K199" s="75" t="inlineStr">
        <is>
          <t>2026-01-15</t>
        </is>
      </c>
      <c r="L199" s="75" t="n">
        <v>22</v>
      </c>
      <c r="M199" s="75" t="inlineStr">
        <is>
          <t>encontrado_explicito</t>
        </is>
      </c>
      <c r="N199" s="75" t="b">
        <v>1</v>
      </c>
      <c r="O199" s="75" t="inlineStr">
        <is>
          <t>data/raw/63066147000102/1085943_regulamento_regulamento_1085943_2026-01-15_2026-01-15.pdf</t>
        </is>
      </c>
      <c r="P199" s="75" t="inlineStr">
        <is>
          <t>https://fnet.bmfbovespa.com.br/fnet/publico/downloadDocumento?id=1085943</t>
        </is>
      </c>
      <c r="Q199" s="75" t="inlineStr">
        <is>
          <t>radora e a SuperSim, conforme aditado de tempos em tempos. “Valor Unitário de Emissão” O valor nominal unitário das Cotas, na Data de Integralização Inicial da respectiva série ou subclasse, conforme aplicável. O valor unitário de emissão das Cotas será de R$ 1.000,00 (mil reais). “Valor Unitário de Referência” É o Valor Unitário de Emissão de cada série de Cotas da Subclasse Sênior ou Cotas da Subclasse Mezanino, conforme aplicável, atualizado pro rata temporis no período pel</t>
        </is>
      </c>
    </row>
    <row r="200" ht="40.5" customHeight="1">
      <c r="A200" s="138" t="n">
        <v>63546406000194</v>
      </c>
      <c r="B200" s="74" t="inlineStr">
        <is>
          <t>63.546.406/0001-94</t>
        </is>
      </c>
      <c r="C200" s="74" t="inlineStr">
        <is>
          <t>N/D</t>
        </is>
      </c>
      <c r="D200" s="74" t="inlineStr">
        <is>
          <t>R$ 1.000,00</t>
        </is>
      </c>
      <c r="E200" s="139" t="n">
        <v>1000</v>
      </c>
      <c r="F200" s="74" t="inlineStr">
        <is>
          <t>preço/valor unitário de emissão</t>
        </is>
      </c>
      <c r="G200" s="74" t="b">
        <v>1</v>
      </c>
      <c r="H200" s="74" t="inlineStr">
        <is>
          <t>regulamento</t>
        </is>
      </c>
      <c r="I200" s="74" t="n">
        <v>1130481</v>
      </c>
      <c r="J200" s="74" t="inlineStr">
        <is>
          <t>regulamento</t>
        </is>
      </c>
      <c r="K200" s="74" t="inlineStr">
        <is>
          <t>2026-03-05</t>
        </is>
      </c>
      <c r="L200" s="74" t="n">
        <v>118</v>
      </c>
      <c r="M200" s="74" t="inlineStr">
        <is>
          <t>encontrado_explicito</t>
        </is>
      </c>
      <c r="N200" s="74" t="b">
        <v>1</v>
      </c>
      <c r="O200" s="74" t="inlineStr">
        <is>
          <t>data/raw/63546406000194/1130481_regulamento_regulamento_1130481_2026-03-05.pdf</t>
        </is>
      </c>
      <c r="P200" s="74" t="inlineStr">
        <is>
          <t>https://fnet.bmfbovespa.com.br/fnet/publico/downloadDocumento?id=1130481</t>
        </is>
      </c>
      <c r="Q200" s="74" t="inlineStr">
        <is>
          <t>A Classe Única terá prazo de duração determinado de 96 (noventa e seis) meses. 1.5. Exercício Social. O exercício social da Classe Única tem duração de 1 (um) ano e encerra-se em 31 de março de cada ano. 1.6. Valor Unitário de Emissão . As Cotas terão Valor Unitário de Emissão de R$ 1.000,00 (mil reais). 2. Prestadores de Serviços. 2.1. Administradora. O Fundo é administrado pela VERT DISTRIBUIDORA DE TÍTULOS E VALORES MOBILIÁRIOS LTDA., instituição financeira com sede na cidade de São Paulo, estado</t>
        </is>
      </c>
    </row>
    <row r="201" ht="40.5" customHeight="1">
      <c r="A201" s="142" t="n">
        <v>63546406000194</v>
      </c>
      <c r="B201" s="75" t="inlineStr">
        <is>
          <t>63.546.406/0001-94</t>
        </is>
      </c>
      <c r="C201" s="75" t="inlineStr">
        <is>
          <t>cotas seniores</t>
        </is>
      </c>
      <c r="D201" s="75" t="inlineStr">
        <is>
          <t>R$ 1.000,00</t>
        </is>
      </c>
      <c r="E201" s="143" t="n">
        <v>1000</v>
      </c>
      <c r="F201" s="75" t="inlineStr">
        <is>
          <t>valor nominal unitário (VNU)</t>
        </is>
      </c>
      <c r="G201" s="75" t="b">
        <v>0</v>
      </c>
      <c r="H201" s="75" t="inlineStr">
        <is>
          <t>regulamento</t>
        </is>
      </c>
      <c r="I201" s="75" t="n">
        <v>1130478</v>
      </c>
      <c r="J201" s="75" t="inlineStr">
        <is>
          <t>regulamento</t>
        </is>
      </c>
      <c r="K201" s="75" t="inlineStr">
        <is>
          <t>2026-03-05</t>
        </is>
      </c>
      <c r="L201" s="75" t="n">
        <v>1</v>
      </c>
      <c r="M201" s="75" t="inlineStr">
        <is>
          <t>encontrado_explicito</t>
        </is>
      </c>
      <c r="N201" s="75" t="b">
        <v>1</v>
      </c>
      <c r="O201" s="75" t="inlineStr">
        <is>
          <t>data/raw/63546406000194/1130478_regulamento_regulamento_1130478_2026-03-05.pdf</t>
        </is>
      </c>
      <c r="P201" s="75" t="inlineStr">
        <is>
          <t>https://fnet.bmfbovespa.com.br/fnet/publico/downloadDocumento?id=1130478</t>
        </is>
      </c>
      <c r="Q201" s="75" t="inlineStr">
        <is>
          <t>R$ 1.250.000.000,00 (um bilhão e duzentos e cinquenta milhões de reais) (“ Emissão”), sendo de (a) até 1.068.750 (um milhão, sessenta e oito mil e setecent as e cinquenta) cotas seniores da 1ª (primeira) série, com valor nominal unitário de R$ 1.000,00 (mil reais), na respectiva data da 1ª (primeira) integralização das cotas seniores, totalizando montante de até R$ 1.068.750.000,00 (um bilhão, sessenta e oito milhões, setecentos e cinquenta mil reais), nos termos d</t>
        </is>
      </c>
    </row>
    <row r="202" ht="40.5" customHeight="1">
      <c r="A202" s="138" t="n">
        <v>63546406000194</v>
      </c>
      <c r="B202" s="74" t="inlineStr">
        <is>
          <t>63.546.406/0001-94</t>
        </is>
      </c>
      <c r="C202" s="74" t="inlineStr">
        <is>
          <t>cotas subordinadas júnior</t>
        </is>
      </c>
      <c r="D202" s="74" t="inlineStr">
        <is>
          <t>R$ 1.000,00</t>
        </is>
      </c>
      <c r="E202" s="139" t="n">
        <v>1000</v>
      </c>
      <c r="F202" s="74" t="inlineStr">
        <is>
          <t>valor nominal unitário (VNU)</t>
        </is>
      </c>
      <c r="G202" s="74" t="b">
        <v>0</v>
      </c>
      <c r="H202" s="74" t="inlineStr">
        <is>
          <t>regulamento</t>
        </is>
      </c>
      <c r="I202" s="74" t="n">
        <v>1130478</v>
      </c>
      <c r="J202" s="74" t="inlineStr">
        <is>
          <t>regulamento</t>
        </is>
      </c>
      <c r="K202" s="74" t="inlineStr">
        <is>
          <t>2026-03-05</t>
        </is>
      </c>
      <c r="L202" s="74" t="n">
        <v>2</v>
      </c>
      <c r="M202" s="74" t="inlineStr">
        <is>
          <t>encontrado_explicito</t>
        </is>
      </c>
      <c r="N202" s="74" t="b">
        <v>1</v>
      </c>
      <c r="O202" s="74" t="inlineStr">
        <is>
          <t>data/raw/63546406000194/1130478_regulamento_regulamento_1130478_2026-03-05.pdf</t>
        </is>
      </c>
      <c r="P202" s="74" t="inlineStr">
        <is>
          <t>https://fnet.bmfbovespa.com.br/fnet/publico/downloadDocumento?id=1130478</t>
        </is>
      </c>
      <c r="Q202" s="74" t="inlineStr">
        <is>
          <t>), nos termos do respectivo suplemento das cotas subordinadas mezanino C da 1ª (primeira) série (“Cotas Subordinadas Mezanino C”); e (e) até 18.750 (dezoito mil e setecentas e cinquenta) cotas subordinadas júnior, com valor nominal unitário de R$ 1.000,00 (mil reais), na respectiva data da 1ª (primeira) integralização das cotas subordinadas júnior, totalizando o montante de até R$ 18.750.000,00 (dezoito milhões e setecentos e cinquenta mil reais ), nos termos do resp</t>
        </is>
      </c>
    </row>
    <row r="203" ht="40.5" customHeight="1">
      <c r="A203" s="142" t="n">
        <v>63546406000194</v>
      </c>
      <c r="B203" s="75" t="inlineStr">
        <is>
          <t>63.546.406/0001-94</t>
        </is>
      </c>
      <c r="C203" s="75" t="inlineStr">
        <is>
          <t>cotas subordinadas mezanino</t>
        </is>
      </c>
      <c r="D203" s="75" t="inlineStr">
        <is>
          <t>R$ 1.000,00</t>
        </is>
      </c>
      <c r="E203" s="143" t="n">
        <v>1000</v>
      </c>
      <c r="F203" s="75" t="inlineStr">
        <is>
          <t>valor nominal unitário (VNU)</t>
        </is>
      </c>
      <c r="G203" s="75" t="b">
        <v>0</v>
      </c>
      <c r="H203" s="75" t="inlineStr">
        <is>
          <t>regulamento</t>
        </is>
      </c>
      <c r="I203" s="75" t="n">
        <v>1130478</v>
      </c>
      <c r="J203" s="75" t="inlineStr">
        <is>
          <t>regulamento</t>
        </is>
      </c>
      <c r="K203" s="75" t="inlineStr">
        <is>
          <t>2026-03-05</t>
        </is>
      </c>
      <c r="L203" s="75" t="n">
        <v>2</v>
      </c>
      <c r="M203" s="75" t="inlineStr">
        <is>
          <t>encontrado_explicito</t>
        </is>
      </c>
      <c r="N203" s="75" t="b">
        <v>1</v>
      </c>
      <c r="O203" s="75" t="inlineStr">
        <is>
          <t>data/raw/63546406000194/1130478_regulamento_regulamento_1130478_2026-03-05.pdf</t>
        </is>
      </c>
      <c r="P203" s="75" t="inlineStr">
        <is>
          <t>https://fnet.bmfbovespa.com.br/fnet/publico/downloadDocumento?id=1130478</t>
        </is>
      </c>
      <c r="Q203" s="75" t="inlineStr">
        <is>
          <t>das cotas subordinadas mezanino A da 1ª (primeira) série (“ Cotas Subordinadas Mezanino A”); (c) inicialmente 62.500 (sessenta e duas mil e quinhentas) cotas subordinadas mezanino B da 2 1ª (primeira) série, com valor nominal unitário de R$ 1.000,00 (mil reais), na respectiva data da 1ª (primeira) integralização das cotas subordinadas mezanino B da 1ª (primeira) série, totalizando o montante de inicialmente R$ 62.500.000,00 (sessenta e dois milhões e quinhentos m</t>
        </is>
      </c>
    </row>
    <row r="204" ht="40.5" customHeight="1">
      <c r="A204" s="138" t="n">
        <v>63622842000103</v>
      </c>
      <c r="B204" s="74" t="inlineStr">
        <is>
          <t>63.622.842/0001-03</t>
        </is>
      </c>
      <c r="C204" s="74" t="inlineStr">
        <is>
          <t>COTAS SUBORDINADAS</t>
        </is>
      </c>
      <c r="D204" s="74" t="inlineStr">
        <is>
          <t>R$ 1.000,00</t>
        </is>
      </c>
      <c r="E204" s="139" t="n">
        <v>1000</v>
      </c>
      <c r="F204" s="74" t="inlineStr">
        <is>
          <t>preço/valor unitário de emissão</t>
        </is>
      </c>
      <c r="G204" s="74" t="b">
        <v>0</v>
      </c>
      <c r="H204" s="74" t="inlineStr">
        <is>
          <t>regulamento</t>
        </is>
      </c>
      <c r="I204" s="74" t="n">
        <v>1051646</v>
      </c>
      <c r="J204" s="74" t="inlineStr">
        <is>
          <t>Regulamento</t>
        </is>
      </c>
      <c r="K204" s="74" t="inlineStr">
        <is>
          <t>01/12/2025</t>
        </is>
      </c>
      <c r="L204" s="74" t="n">
        <v>71</v>
      </c>
      <c r="M204" s="74" t="inlineStr">
        <is>
          <t>encontrado_explicito</t>
        </is>
      </c>
      <c r="N204" s="74" t="b">
        <v>1</v>
      </c>
      <c r="O204" s="74" t="inlineStr">
        <is>
          <t>.cache/carteira_101_document_scan/63622842000103/1051646.json.gz</t>
        </is>
      </c>
      <c r="P204" s="74" t="inlineStr">
        <is>
          <t>https://fnet.bmfbovespa.com.br/fnet/publico/downloadDocumento?id=1051646</t>
        </is>
      </c>
      <c r="Q204" s="74" t="inlineStr">
        <is>
          <t>BORDINADAS Montante das Cotas Subordinas: R$ 158.500.000,00 (cento e cinquenta e oito milhões e quinhentos mil reais). Quantidade de Cotas Subordinas: 158.500 (cento e cinquenta e oito mil e quinhentas) cotas. Valor Unitário de Emissão: R$ 1.000,00 (mil reais) para a primeira integralização de Cotas. A partir de então o valor da Cota será calculado todo Dia Útil, nos termos do Anexo Descritivo. A data da aplicação e o valor da Cota serão o do dia da efetiva dis</t>
        </is>
      </c>
    </row>
    <row r="205" ht="40.5" customHeight="1">
      <c r="A205" s="142" t="n">
        <v>63622842000103</v>
      </c>
      <c r="B205" s="75" t="inlineStr">
        <is>
          <t>63.622.842/0001-03</t>
        </is>
      </c>
      <c r="C205" s="75" t="inlineStr">
        <is>
          <t>N/D</t>
        </is>
      </c>
      <c r="D205" s="75" t="inlineStr">
        <is>
          <t>R$ 1.000,00</t>
        </is>
      </c>
      <c r="E205" s="143" t="n">
        <v>1000</v>
      </c>
      <c r="F205" s="75" t="inlineStr">
        <is>
          <t>preço/valor unitário de emissão</t>
        </is>
      </c>
      <c r="G205" s="75" t="b">
        <v>1</v>
      </c>
      <c r="H205" s="75" t="inlineStr">
        <is>
          <t>regulamento</t>
        </is>
      </c>
      <c r="I205" s="75" t="n">
        <v>1051646</v>
      </c>
      <c r="J205" s="75" t="inlineStr">
        <is>
          <t>Regulamento</t>
        </is>
      </c>
      <c r="K205" s="75" t="inlineStr">
        <is>
          <t>01/12/2025</t>
        </is>
      </c>
      <c r="L205" s="75" t="n">
        <v>67</v>
      </c>
      <c r="M205" s="75" t="inlineStr">
        <is>
          <t>encontrado_explicito</t>
        </is>
      </c>
      <c r="N205" s="75" t="b">
        <v>1</v>
      </c>
      <c r="O205" s="75" t="inlineStr">
        <is>
          <t>.cache/carteira_101_document_scan/63622842000103/1051646.json.gz</t>
        </is>
      </c>
      <c r="P205" s="75" t="inlineStr">
        <is>
          <t>https://fnet.bmfbovespa.com.br/fnet/publico/downloadDocumento?id=1051646</t>
        </is>
      </c>
      <c r="Q205" s="75" t="inlineStr">
        <is>
          <t>te das Cotas Sênior da 1ª Série: R$ 158.500.000,00 (cento e cinquenta e oito milhões e quinhentos mil reais). Quantidade de Cotas Sênior da 1ª Série: 158.500 (cento e cinquenta e oito mil e quinhentas) cotas. Valor Unitário de Emissão: R$ 1.000,00 (mil reais) para a primeira integralização de Cotas. A partir de então o valor da Cota será calculado todo Dia Útil, nos termos do Anexo Descritivo. A data da aplicação e o valor da Cota serão o do dia da efetiva dis</t>
        </is>
      </c>
    </row>
    <row r="206" ht="40.5" customHeight="1">
      <c r="A206" s="138" t="n">
        <v>63622842000103</v>
      </c>
      <c r="B206" s="74" t="inlineStr">
        <is>
          <t>63.622.842/0001-03</t>
        </is>
      </c>
      <c r="C206" s="74" t="inlineStr">
        <is>
          <t>SÉRIE DE COTAS SENIORES</t>
        </is>
      </c>
      <c r="D206" s="74" t="inlineStr">
        <is>
          <t>R$ 1.000,00</t>
        </is>
      </c>
      <c r="E206" s="139" t="n">
        <v>1000</v>
      </c>
      <c r="F206" s="74" t="inlineStr">
        <is>
          <t>preço/valor unitário de emissão</t>
        </is>
      </c>
      <c r="G206" s="74" t="b">
        <v>0</v>
      </c>
      <c r="H206" s="74" t="inlineStr">
        <is>
          <t>assembleia</t>
        </is>
      </c>
      <c r="I206" s="74" t="n">
        <v>1042147</v>
      </c>
      <c r="J206" s="74" t="inlineStr">
        <is>
          <t>Atos de Deliberação do Administrador Instrumento Particular de Constituição/Encerramento do Fundo</t>
        </is>
      </c>
      <c r="K206" s="74" t="inlineStr">
        <is>
          <t>11/11/2025</t>
        </is>
      </c>
      <c r="L206" s="74" t="n">
        <v>5</v>
      </c>
      <c r="M206" s="74" t="inlineStr">
        <is>
          <t>encontrado_explicito</t>
        </is>
      </c>
      <c r="N206" s="74" t="b">
        <v>1</v>
      </c>
      <c r="O206" s="74" t="inlineStr">
        <is>
          <t>.cache/carteira_101_document_scan/63622842000103/1042147.json.gz</t>
        </is>
      </c>
      <c r="P206" s="74" t="inlineStr">
        <is>
          <t>https://fnet.bmfbovespa.com.br/fnet/publico/downloadDocumento?id=1042147</t>
        </is>
      </c>
      <c r="Q206" s="74" t="inlineStr">
        <is>
          <t>te das Cotas Sênior da 1ª Série: R$ 158.500.000,00 (cento e cinquenta e oito milhões e quinhentos mil reais). Quantidade de Cotas Sênior da 1ª Série: 158.500 (cento e cinquenta e oito mil e quinhentas) cotas. Valor Unitário de Emissão: R$ 1.000,00 (mil reais) para a primeira integralização de Cotas. A partir de então o valor da Cota será calculado todo Dia Útil, nos termos do Anexo Descritivo. A data da aplicação e o valor da Cota serão o do dia da efetiva dis</t>
        </is>
      </c>
    </row>
    <row r="207" ht="40.5" customHeight="1">
      <c r="A207" s="142" t="n">
        <v>63657457000193</v>
      </c>
      <c r="B207" s="75" t="inlineStr">
        <is>
          <t>63.657.457/0001-93</t>
        </is>
      </c>
      <c r="C207" s="75" t="inlineStr">
        <is>
          <t>N/D</t>
        </is>
      </c>
      <c r="D207" s="75" t="inlineStr">
        <is>
          <t>R$ 1.000,00</t>
        </is>
      </c>
      <c r="E207" s="143" t="n">
        <v>1000</v>
      </c>
      <c r="F207" s="75" t="inlineStr">
        <is>
          <t>preço/valor unitário de emissão</t>
        </is>
      </c>
      <c r="G207" s="75" t="b">
        <v>1</v>
      </c>
      <c r="H207" s="75" t="inlineStr">
        <is>
          <t>regulamento</t>
        </is>
      </c>
      <c r="I207" s="75" t="n">
        <v>1205333</v>
      </c>
      <c r="J207" s="75" t="inlineStr">
        <is>
          <t>Regulamento</t>
        </is>
      </c>
      <c r="K207" s="75" t="inlineStr">
        <is>
          <t>27/05/2026</t>
        </is>
      </c>
      <c r="L207" s="75" t="n">
        <v>27</v>
      </c>
      <c r="M207" s="75" t="inlineStr">
        <is>
          <t>encontrado_explicito</t>
        </is>
      </c>
      <c r="N207" s="75" t="b">
        <v>1</v>
      </c>
      <c r="O207" s="75" t="inlineStr">
        <is>
          <t>.cache/carteira_101_document_scan/63657457000193/1205333.json.gz</t>
        </is>
      </c>
      <c r="P207" s="75" t="inlineStr">
        <is>
          <t>https://fnet.bmfbovespa.com.br/fnet/publico/downloadDocumento?id=1205333</t>
        </is>
      </c>
      <c r="Q207" s="75" t="inlineStr">
        <is>
          <t>urador, com base nas informações prestadas pela B3, quando as Cotas do Fundo estiverem eletronicamente custodiadas na B3. 8.1.4 Somente Investidores Profissionais poderão adquirir as Cotas. 8.1.5 As Cotas terão Valor Unitário de Emissão de R$ 1.000,00 (mil reais) na 1ª Data de Integralização de Cotas , observado que as Cotas poderão ser integralizadas com ágio ou deságio, conforme previsto no ato que aprovar a respectiva emissão. 8.1.6 Após a respectiva 1ª Data</t>
        </is>
      </c>
    </row>
    <row r="208" ht="40.5" customHeight="1">
      <c r="A208" s="138" t="n">
        <v>63679792000192</v>
      </c>
      <c r="B208" s="74" t="inlineStr">
        <is>
          <t>63.679.792/0001-92</t>
        </is>
      </c>
      <c r="C208" s="74" t="inlineStr">
        <is>
          <t>Cotas Seniores</t>
        </is>
      </c>
      <c r="D208" s="74" t="inlineStr">
        <is>
          <t>R$ 1.000,00</t>
        </is>
      </c>
      <c r="E208" s="139" t="n">
        <v>1000</v>
      </c>
      <c r="F208" s="74" t="inlineStr">
        <is>
          <t>preço/valor unitário de emissão</t>
        </is>
      </c>
      <c r="G208" s="74" t="b">
        <v>0</v>
      </c>
      <c r="H208" s="74" t="inlineStr">
        <is>
          <t>emissao</t>
        </is>
      </c>
      <c r="I208" s="74" t="n">
        <v>1066557</v>
      </c>
      <c r="J208" s="74" t="inlineStr">
        <is>
          <t>Oferta Pública de Distribuição de Cotas Anúncio de Início</t>
        </is>
      </c>
      <c r="K208" s="74" t="inlineStr">
        <is>
          <t>18/12/2025</t>
        </is>
      </c>
      <c r="L208" s="74" t="n">
        <v>1</v>
      </c>
      <c r="M208" s="74" t="inlineStr">
        <is>
          <t>encontrado_explicito</t>
        </is>
      </c>
      <c r="N208" s="74" t="b">
        <v>1</v>
      </c>
      <c r="O208" s="74" t="inlineStr">
        <is>
          <t>.cache/carteira_101_document_scan/63679792000192/1066557.json.gz</t>
        </is>
      </c>
      <c r="P208" s="74" t="inlineStr">
        <is>
          <t>https://fnet.bmfbovespa.com.br/fnet/publico/downloadDocumento?id=1066557</t>
        </is>
      </c>
      <c r="Q208" s="74" t="inlineStr">
        <is>
          <t>m direitos creditórios, constituído sob a forma de condomínio fechado de natureza especial, em uma única classe de cotas, inscrito no CNPJ/MF sob o nº 63.679.792/0001-92 (“Fundo”), todas nominativas e escriturais, com valor unitário de emissão de R$ 1.000,00 (mil reais), perfazendo o montante total de R$210.000.000,00 (duzentos e dez milhões de reais) na data da 1ª (primeira) integralização das Cotas Seniores da 1ª Série (“1ª Data de Integralização de Cotas” e “Oferta”).</t>
        </is>
      </c>
    </row>
    <row r="209" ht="40.5" customHeight="1">
      <c r="A209" s="142" t="n">
        <v>65347578000164</v>
      </c>
      <c r="B209" s="75" t="inlineStr">
        <is>
          <t>65.347.578/0001-64</t>
        </is>
      </c>
      <c r="C209" s="75" t="inlineStr">
        <is>
          <t>N/D</t>
        </is>
      </c>
      <c r="D209" s="75" t="inlineStr">
        <is>
          <t>R$ 1.000,00</t>
        </is>
      </c>
      <c r="E209" s="143" t="n">
        <v>1000</v>
      </c>
      <c r="F209" s="75" t="inlineStr">
        <is>
          <t>preço/valor unitário de emissão</t>
        </is>
      </c>
      <c r="G209" s="75" t="b">
        <v>1</v>
      </c>
      <c r="H209" s="75" t="inlineStr">
        <is>
          <t>regulamento</t>
        </is>
      </c>
      <c r="I209" s="75" t="n">
        <v>1211821</v>
      </c>
      <c r="J209" s="75" t="inlineStr">
        <is>
          <t>Regulamento</t>
        </is>
      </c>
      <c r="K209" s="75" t="inlineStr">
        <is>
          <t>25/05/2026</t>
        </is>
      </c>
      <c r="L209" s="75" t="n">
        <v>166</v>
      </c>
      <c r="M209" s="75" t="inlineStr">
        <is>
          <t>encontrado_explicito</t>
        </is>
      </c>
      <c r="N209" s="75" t="b">
        <v>1</v>
      </c>
      <c r="O209" s="75" t="inlineStr">
        <is>
          <t>.cache/carteira_101_document_scan/65347578000164/1211821.json.gz</t>
        </is>
      </c>
      <c r="P209" s="75" t="inlineStr">
        <is>
          <t>https://fnet.bmfbovespa.com.br/fnet/publico/downloadDocumento?id=1211821</t>
        </is>
      </c>
      <c r="Q209" s="75" t="inlineStr">
        <is>
          <t>as. 1.4. Prazo de Duração. A Classe Única terá prazo de duração indeterminado. 1.5. Exercício Social. O exercício social da Classe Única tem duração de 1 (um) ano e encerra- se em 31 de março de cada ano. 1.6. Valor Unitário de Emissão. As Cotas terão Valor Unitário de Emissão de R$ 1.000,00 (mil reais). 2. Prestadores de Serviços 2.1. Administradora. O Fundo é administrado pela Administradora. 16 2.1.1. Sem prejuízo de seus outros deveres legais e regulamentares e daqueles previstos no item</t>
        </is>
      </c>
    </row>
    <row r="210" ht="40.5" customHeight="1">
      <c r="A210" s="138" t="n">
        <v>65347578000164</v>
      </c>
      <c r="B210" s="74" t="inlineStr">
        <is>
          <t>65.347.578/0001-64</t>
        </is>
      </c>
      <c r="C210" s="74" t="inlineStr">
        <is>
          <t>Cotas Seniores</t>
        </is>
      </c>
      <c r="D210" s="74" t="inlineStr">
        <is>
          <t>R$ 1.000,00</t>
        </is>
      </c>
      <c r="E210" s="139" t="n">
        <v>1000</v>
      </c>
      <c r="F210" s="74" t="inlineStr">
        <is>
          <t>valor nominal unitário (VNU)</t>
        </is>
      </c>
      <c r="G210" s="74" t="b">
        <v>0</v>
      </c>
      <c r="H210" s="74" t="inlineStr">
        <is>
          <t>emissao</t>
        </is>
      </c>
      <c r="I210" s="74" t="n">
        <v>1139874</v>
      </c>
      <c r="J210" s="74" t="inlineStr">
        <is>
          <t>Oferta Pública de Distribuição de Cotas Anúncio de Início</t>
        </is>
      </c>
      <c r="K210" s="74" t="inlineStr">
        <is>
          <t>17/03/2026</t>
        </is>
      </c>
      <c r="L210" s="74" t="n">
        <v>1</v>
      </c>
      <c r="M210" s="74" t="inlineStr">
        <is>
          <t>encontrado_explicito</t>
        </is>
      </c>
      <c r="N210" s="74" t="b">
        <v>1</v>
      </c>
      <c r="O210" s="74" t="inlineStr">
        <is>
          <t>.cache/carteira_101_document_scan/65347578000164/1139874.json.gz</t>
        </is>
      </c>
      <c r="P210" s="74" t="inlineStr">
        <is>
          <t>https://fnet.bmfbovespa.com.br/fnet/publico/downloadDocumento?id=1139874</t>
        </is>
      </c>
      <c r="Q210" s="74" t="inlineStr">
        <is>
          <t>da distribuição pública, sob o rito de registro automático, em regime de misto de colocação (“Oferta”), de: (i) 645.000 (seiscentos e quarenta e cinco mil) cotas seniores da 1ª (primeira) série (“Cotas Seniores”), com valor nominal unitário de R$ 1.000,00 (mil reais) na 1ª (primeira) data de integralização, perfazendo o montante total de R$ 645.000.000,00 (seiscentos e quarenta e cinco milhões de reais); (ii) 75.000 (setenta e cinco mil) cotas subordinadas mezanino “</t>
        </is>
      </c>
    </row>
    <row r="211" ht="40.5" customHeight="1">
      <c r="A211" s="142" t="n">
        <v>65347578000164</v>
      </c>
      <c r="B211" s="75" t="inlineStr">
        <is>
          <t>65.347.578/0001-64</t>
        </is>
      </c>
      <c r="C211" s="75" t="inlineStr">
        <is>
          <t>Cotas Subordinadas Mezanino</t>
        </is>
      </c>
      <c r="D211" s="75" t="inlineStr">
        <is>
          <t>R$ 1.000,00</t>
        </is>
      </c>
      <c r="E211" s="143" t="n">
        <v>1000</v>
      </c>
      <c r="F211" s="75" t="inlineStr">
        <is>
          <t>valor nominal unitário (VNU)</t>
        </is>
      </c>
      <c r="G211" s="75" t="b">
        <v>0</v>
      </c>
      <c r="H211" s="75" t="inlineStr">
        <is>
          <t>emissao</t>
        </is>
      </c>
      <c r="I211" s="75" t="n">
        <v>1139874</v>
      </c>
      <c r="J211" s="75" t="inlineStr">
        <is>
          <t>Oferta Pública de Distribuição de Cotas Anúncio de Início</t>
        </is>
      </c>
      <c r="K211" s="75" t="inlineStr">
        <is>
          <t>17/03/2026</t>
        </is>
      </c>
      <c r="L211" s="75" t="n">
        <v>2</v>
      </c>
      <c r="M211" s="75" t="inlineStr">
        <is>
          <t>encontrado_explicito</t>
        </is>
      </c>
      <c r="N211" s="75" t="b">
        <v>1</v>
      </c>
      <c r="O211" s="75" t="inlineStr">
        <is>
          <t>.cache/carteira_101_document_scan/65347578000164/1139874.json.gz</t>
        </is>
      </c>
      <c r="P211" s="75" t="inlineStr">
        <is>
          <t>https://fnet.bmfbovespa.com.br/fnet/publico/downloadDocumento?id=1139874</t>
        </is>
      </c>
      <c r="Q211" s="75" t="inlineStr">
        <is>
          <t>o montante total de R$ 645.000.000,00 (seiscentos e quarenta e cinco milhões de reais); (ii) 75.000 (setenta e cinco mil) cotas subordinadas mezanino “A” da 1ª (primeira) série (“Cotas Subordinadas Mezanino A”), com valor nominal unitário de R$ 1.000,00 (mil reais) na 1ª (primeira) data de integralização, perfazendo o montante total de R$ 75.000.000,00 (setenta e cinco milhões de reais); e (iii) 11.250 (onze mil duzentos e cinquenta) cotas subordinadas mezanino “B” d</t>
        </is>
      </c>
    </row>
    <row r="212" ht="40.5" customHeight="1">
      <c r="A212" s="138" t="n">
        <v>65836995000170</v>
      </c>
      <c r="B212" s="74" t="inlineStr">
        <is>
          <t>65.836.995/0001-70</t>
        </is>
      </c>
      <c r="C212" s="74" t="inlineStr">
        <is>
          <t>Série Cotas Seniores</t>
        </is>
      </c>
      <c r="D212" s="74" t="inlineStr">
        <is>
          <t>R$ 1.000,00</t>
        </is>
      </c>
      <c r="E212" s="139" t="n">
        <v>1000</v>
      </c>
      <c r="F212" s="74" t="inlineStr">
        <is>
          <t>preço/valor unitário de emissão</t>
        </is>
      </c>
      <c r="G212" s="74" t="b">
        <v>0</v>
      </c>
      <c r="H212" s="74" t="inlineStr">
        <is>
          <t>regulamento</t>
        </is>
      </c>
      <c r="I212" s="74" t="n">
        <v>1184844</v>
      </c>
      <c r="J212" s="74" t="inlineStr">
        <is>
          <t>Atos de Deliberação do Administrador Instrumento Particular de Alteração do Regulamento</t>
        </is>
      </c>
      <c r="K212" s="74" t="inlineStr">
        <is>
          <t>07/05/2026</t>
        </is>
      </c>
      <c r="L212" s="74" t="n">
        <v>86</v>
      </c>
      <c r="M212" s="74" t="inlineStr">
        <is>
          <t>encontrado_explicito</t>
        </is>
      </c>
      <c r="N212" s="74" t="b">
        <v>1</v>
      </c>
      <c r="O212" s="74" t="inlineStr">
        <is>
          <t>.cache/carteira_101_document_scan/65836995000170/1184844.json.gz</t>
        </is>
      </c>
      <c r="P212" s="74" t="inlineStr">
        <is>
          <t>https://fnet.bmfbovespa.com.br/fnet/publico/downloadDocumento?id=1184844</t>
        </is>
      </c>
      <c r="Q212" s="74" t="inlineStr">
        <is>
          <t>inidos terão os significados que lhes são atribuídos no Regulamento. Emissão: []ª ([]) Emissão da []ª ([]) Série Cotas Seniores Valor Total da Emissão: R$ [] ([] reais) Quantidade de Cotas: [] ([]) cotas Valor Unitário de Emissão: R$ 1.000,00 (um mil reais). Forma de Subscrição / Integralização [] Data de Emissão: Data de primeira Integralização da 1ª (primeira) emissão das Cotas Seniores da []ª ([]) Série. Rito de Registro da Oferta: [] Regime</t>
        </is>
      </c>
    </row>
    <row r="213" ht="40.5" customHeight="1">
      <c r="A213" s="142" t="n">
        <v>65836995000170</v>
      </c>
      <c r="B213" s="75" t="inlineStr">
        <is>
          <t>65.836.995/0001-70</t>
        </is>
      </c>
      <c r="C213" s="75" t="inlineStr">
        <is>
          <t>Cotas Subordinadas Junior</t>
        </is>
      </c>
      <c r="D213" s="75" t="inlineStr">
        <is>
          <t>R$ 1.000,00</t>
        </is>
      </c>
      <c r="E213" s="143" t="n">
        <v>1000</v>
      </c>
      <c r="F213" s="75" t="inlineStr">
        <is>
          <t>preço/valor unitário de emissão</t>
        </is>
      </c>
      <c r="G213" s="75" t="b">
        <v>0</v>
      </c>
      <c r="H213" s="75" t="inlineStr">
        <is>
          <t>regulamento</t>
        </is>
      </c>
      <c r="I213" s="75" t="n">
        <v>1188501</v>
      </c>
      <c r="J213" s="75" t="inlineStr">
        <is>
          <t>regulamento</t>
        </is>
      </c>
      <c r="K213" s="75" t="inlineStr">
        <is>
          <t>2026-05-11</t>
        </is>
      </c>
      <c r="L213" s="75" t="n">
        <v>9</v>
      </c>
      <c r="M213" s="75" t="inlineStr">
        <is>
          <t>encontrado_explicito</t>
        </is>
      </c>
      <c r="N213" s="75" t="b">
        <v>1</v>
      </c>
      <c r="O213" s="75" t="inlineStr">
        <is>
          <t>data/raw/65836995000170/1188501_regulamento_regulamento_1188501_2026-05-11_2026-05-11.pdf</t>
        </is>
      </c>
      <c r="P213" s="75" t="inlineStr">
        <is>
          <t>https://fnet.bmfbovespa.com.br/fnet/publico/downloadDocumento?id=1188501</t>
        </is>
      </c>
      <c r="Q213" s="75" t="inlineStr">
        <is>
          <t>Emissão: 1ª (primeira) Emissão de Cotas Subordinadas Juniores Valor Total da Emissão: R$ 1.500.000,00 (um milhão e quinhentos mil reais) Quantidade de Cotas Subordinadas Juniores: 1.500 (mil e quinhentas) cotas. Valor Unitário de Emissão: R$ 1.000,00 (um mil reais). Os custos de todos os tributos e encargos incidentes sobre a subscrição e integralização das Cotas Subordinadas Juniores, tanto na data sua subscrição quanto na de sua integralização, inclusive, sem</t>
        </is>
      </c>
    </row>
    <row r="214" ht="40.5" customHeight="1">
      <c r="A214" s="138" t="n">
        <v>65836995000170</v>
      </c>
      <c r="B214" s="74" t="inlineStr">
        <is>
          <t>65.836.995/0001-70</t>
        </is>
      </c>
      <c r="C214" s="74" t="inlineStr">
        <is>
          <t>Cotas Subordinadas Mezanino</t>
        </is>
      </c>
      <c r="D214" s="74" t="inlineStr">
        <is>
          <t>R$ 1.000,00</t>
        </is>
      </c>
      <c r="E214" s="139" t="n">
        <v>1000</v>
      </c>
      <c r="F214" s="74" t="inlineStr">
        <is>
          <t>preço/valor unitário de emissão</t>
        </is>
      </c>
      <c r="G214" s="74" t="b">
        <v>0</v>
      </c>
      <c r="H214" s="74" t="inlineStr">
        <is>
          <t>regulamento</t>
        </is>
      </c>
      <c r="I214" s="74" t="n">
        <v>1188501</v>
      </c>
      <c r="J214" s="74" t="inlineStr">
        <is>
          <t>regulamento</t>
        </is>
      </c>
      <c r="K214" s="74" t="inlineStr">
        <is>
          <t>2026-05-11</t>
        </is>
      </c>
      <c r="L214" s="74" t="n">
        <v>7</v>
      </c>
      <c r="M214" s="74" t="inlineStr">
        <is>
          <t>encontrado_explicito</t>
        </is>
      </c>
      <c r="N214" s="74" t="b">
        <v>1</v>
      </c>
      <c r="O214" s="74" t="inlineStr">
        <is>
          <t>data/raw/65836995000170/1188501_regulamento_regulamento_1188501_2026-05-11_2026-05-11.pdf</t>
        </is>
      </c>
      <c r="P214" s="74" t="inlineStr">
        <is>
          <t>https://fnet.bmfbovespa.com.br/fnet/publico/downloadDocumento?id=1188501</t>
        </is>
      </c>
      <c r="Q214" s="74" t="inlineStr">
        <is>
          <t>e de Cotas Subordinadas Mezanino Valor Total da Emissão: R$ 28.500.000,00 (vinte e oito milhões e quinhentos mil reais). Quantidade de Cotas Subordinadas Mezanino: 28.500 (vinte e oito mil e quinhentas) cotas. Valor Unitário de Emissão: R$ 1.000,00 (um mil reais). Os custos de todos os tributos e encargos incidentes sobre a subscrição e integralização das Cotas Subordinadas Mezanino, tanto na data sua subscrição quanto na de sua integralização, inclusive, sem</t>
        </is>
      </c>
    </row>
    <row r="215" ht="40.5" customHeight="1">
      <c r="A215" s="142" t="n">
        <v>65836995000170</v>
      </c>
      <c r="B215" s="75" t="inlineStr">
        <is>
          <t>65.836.995/0001-70</t>
        </is>
      </c>
      <c r="C215" s="75" t="inlineStr">
        <is>
          <t>Série de Cotas Seniores</t>
        </is>
      </c>
      <c r="D215" s="75" t="inlineStr">
        <is>
          <t>R$ 1.000,00</t>
        </is>
      </c>
      <c r="E215" s="143" t="n">
        <v>1000</v>
      </c>
      <c r="F215" s="75" t="inlineStr">
        <is>
          <t>preço/valor unitário de emissão</t>
        </is>
      </c>
      <c r="G215" s="75" t="b">
        <v>0</v>
      </c>
      <c r="H215" s="75" t="inlineStr">
        <is>
          <t>regulamento</t>
        </is>
      </c>
      <c r="I215" s="75" t="n">
        <v>1188501</v>
      </c>
      <c r="J215" s="75" t="inlineStr">
        <is>
          <t>regulamento</t>
        </is>
      </c>
      <c r="K215" s="75" t="inlineStr">
        <is>
          <t>2026-05-11</t>
        </is>
      </c>
      <c r="L215" s="75" t="n">
        <v>3</v>
      </c>
      <c r="M215" s="75" t="inlineStr">
        <is>
          <t>encontrado_explicito</t>
        </is>
      </c>
      <c r="N215" s="75" t="b">
        <v>1</v>
      </c>
      <c r="O215" s="75" t="inlineStr">
        <is>
          <t>data/raw/65836995000170/1188501_regulamento_regulamento_1188501_2026-05-11_2026-05-11.pdf</t>
        </is>
      </c>
      <c r="P215" s="75" t="inlineStr">
        <is>
          <t>https://fnet.bmfbovespa.com.br/fnet/publico/downloadDocumento?id=1188501</t>
        </is>
      </c>
      <c r="Q215" s="75" t="inlineStr">
        <is>
          <t>lamento: Emissão: 1ª (primeira) Emissão da 1ª (primeira) Série de Cotas Seniores. Valor Total da Emissão: R$ 120.000.000,00 (cento e vinte milhões de reais). Quantidade de Cotas: 120.000 (cento e vinte mil) cotas. Valor Unitário de Emissão: R$ 1.000,00 (um mil reais). Os custos de todos os tributos e encargos incidentes sobre a subscrição e integralização das Cotas Seniores, tanto na data sua subscrição quanto na de sua integralização, inclusive, sem limitação, o</t>
        </is>
      </c>
    </row>
    <row r="216" ht="40.5" customHeight="1">
      <c r="A216" s="138" t="n">
        <v>65836995000170</v>
      </c>
      <c r="B216" s="74" t="inlineStr">
        <is>
          <t>65.836.995/0001-70</t>
        </is>
      </c>
      <c r="C216" s="74" t="inlineStr">
        <is>
          <t>Cotas Seniores</t>
        </is>
      </c>
      <c r="D216" s="74" t="inlineStr">
        <is>
          <t>R$ 1.000,00</t>
        </is>
      </c>
      <c r="E216" s="139" t="n">
        <v>1000</v>
      </c>
      <c r="F216" s="74" t="inlineStr">
        <is>
          <t>valor nominal unitário (VNU)</t>
        </is>
      </c>
      <c r="G216" s="74" t="b">
        <v>0</v>
      </c>
      <c r="H216" s="74" t="inlineStr">
        <is>
          <t>emissao</t>
        </is>
      </c>
      <c r="I216" s="74" t="n">
        <v>1182309</v>
      </c>
      <c r="J216" s="74" t="inlineStr">
        <is>
          <t>Oferta Pública de Distribuição de Cotas Anúncio de Início</t>
        </is>
      </c>
      <c r="K216" s="74" t="inlineStr">
        <is>
          <t>07/05/2026</t>
        </is>
      </c>
      <c r="L216" s="74" t="n">
        <v>2</v>
      </c>
      <c r="M216" s="74" t="inlineStr">
        <is>
          <t>encontrado_explicito</t>
        </is>
      </c>
      <c r="N216" s="74" t="b">
        <v>1</v>
      </c>
      <c r="O216" s="74" t="inlineStr">
        <is>
          <t>.cache/carteira_101_document_scan/65836995000170/1182309.json.gz</t>
        </is>
      </c>
      <c r="P216" s="74" t="inlineStr">
        <is>
          <t>https://fnet.bmfbovespa.com.br/fnet/publico/downloadDocumento?id=1182309</t>
        </is>
      </c>
      <c r="Q216" s="74" t="inlineStr">
        <is>
          <t>otas seniores (“Cotas Seniores 1ª Série”), e até 80.000 (oitenta mil) cotas seniores da 2ª (segunda) série de cotas seniores (“Cotas Seniores 2ª Série ” e, em conjunto com as Cotas Seniores 1ª Série, “Cotas”), com valor nominal unitário de R$ 1.000,00 (mil reais), perfazendo o montante total de R$ 200.000.000,00 (duzentos milhões de reais) em sua data de emissão, todas objeto da 1ª (primeira) emissão de Cotas da classe única do Fundo (“Emissão”), observado que, nos</t>
        </is>
      </c>
    </row>
    <row r="217" ht="40.5" customHeight="1">
      <c r="A217" s="142" t="n">
        <v>65873297000145</v>
      </c>
      <c r="B217" s="75" t="inlineStr">
        <is>
          <t>65.873.297/0001-45</t>
        </is>
      </c>
      <c r="C217" s="75" t="inlineStr">
        <is>
          <t>Cotas Seniores</t>
        </is>
      </c>
      <c r="D217" s="75" t="inlineStr">
        <is>
          <t>R$ 1.000,00</t>
        </is>
      </c>
      <c r="E217" s="143" t="n">
        <v>1000</v>
      </c>
      <c r="F217" s="75" t="inlineStr">
        <is>
          <t>preço/valor unitário de emissão</t>
        </is>
      </c>
      <c r="G217" s="75" t="b">
        <v>0</v>
      </c>
      <c r="H217" s="75" t="inlineStr">
        <is>
          <t>regulamento</t>
        </is>
      </c>
      <c r="I217" s="75" t="n">
        <v>1226438</v>
      </c>
      <c r="J217" s="75" t="inlineStr">
        <is>
          <t>Regulamento</t>
        </is>
      </c>
      <c r="K217" s="75" t="inlineStr">
        <is>
          <t>20/05/2026</t>
        </is>
      </c>
      <c r="L217" s="75" t="n">
        <v>69</v>
      </c>
      <c r="M217" s="75" t="inlineStr">
        <is>
          <t>encontrado_explicito</t>
        </is>
      </c>
      <c r="N217" s="75" t="b">
        <v>1</v>
      </c>
      <c r="O217" s="75" t="inlineStr">
        <is>
          <t>.cache/carteira_101_document_scan/65873297000145/1226438.json.gz</t>
        </is>
      </c>
      <c r="P217" s="75" t="inlineStr">
        <is>
          <t>https://fnet.bmfbovespa.com.br/fnet/publico/downloadDocumento?id=1226438</t>
        </is>
      </c>
      <c r="Q217" s="75" t="inlineStr">
        <is>
          <t>ada (“Resolução CVM 160 ”), em regime de garantia firme de colocação, sob rito automático de registro, destinada a Investidores Profissionais (“Oferta”). Não será admitida a distribuição parcial das Cotas Seniores. Valor Unitário de Emissão As Cotas Seniores terão um valor unitário de R$ 1.000,00 (mil reais) na respectiva data de emissão. Valor Unitário de Integralização Nos termos do Regulamento, as Cotas Seniores serão integralizadas: (i) na data da 1ª (primeira) integralização de Cotas, pelo Valor Unitá</t>
        </is>
      </c>
    </row>
    <row r="218" ht="40.5" customHeight="1">
      <c r="A218" s="138" t="n">
        <v>65873297000145</v>
      </c>
      <c r="B218" s="74" t="inlineStr">
        <is>
          <t>65.873.297/0001-45</t>
        </is>
      </c>
      <c r="C218" s="74" t="inlineStr">
        <is>
          <t>Cotas Subordinadas</t>
        </is>
      </c>
      <c r="D218" s="74" t="inlineStr">
        <is>
          <t>R$ 1.000,00</t>
        </is>
      </c>
      <c r="E218" s="139" t="n">
        <v>1000</v>
      </c>
      <c r="F218" s="74" t="inlineStr">
        <is>
          <t>preço/valor unitário de emissão</t>
        </is>
      </c>
      <c r="G218" s="74" t="b">
        <v>0</v>
      </c>
      <c r="H218" s="74" t="inlineStr">
        <is>
          <t>regulamento</t>
        </is>
      </c>
      <c r="I218" s="74" t="n">
        <v>1226438</v>
      </c>
      <c r="J218" s="74" t="inlineStr">
        <is>
          <t>Regulamento</t>
        </is>
      </c>
      <c r="K218" s="74" t="inlineStr">
        <is>
          <t>20/05/2026</t>
        </is>
      </c>
      <c r="L218" s="74" t="n">
        <v>71</v>
      </c>
      <c r="M218" s="74" t="inlineStr">
        <is>
          <t>encontrado_explicito</t>
        </is>
      </c>
      <c r="N218" s="74" t="b">
        <v>1</v>
      </c>
      <c r="O218" s="74" t="inlineStr">
        <is>
          <t>.cache/carteira_101_document_scan/65873297000145/1226438.json.gz</t>
        </is>
      </c>
      <c r="P218" s="74" t="inlineStr">
        <is>
          <t>https://fnet.bmfbovespa.com.br/fnet/publico/downloadDocumento?id=1226438</t>
        </is>
      </c>
      <c r="Q218" s="74" t="inlineStr">
        <is>
          <t>ta e dois milhões de reais), distribuídas em 32.000 (trinta e dois mil) Cotas Subordinadas, as quais não serão objeto de oferta pública nos termos da Resolução CVM nº 160, de 13 de julho de 2022, conforme alterada. Valor Unitário de Emissão As Cotas Subordinadas terão um valor unitário de R$ 1.000,00 (mil reais) na respectiva data de emissão e, após tal data de emissão, terão o valor unitário determinado nos termos do item 4.12 do Anexo Descritivo do Regulamento. Valor Unitário de Integralização Nos termos do</t>
        </is>
      </c>
    </row>
    <row r="219" ht="40.5" customHeight="1">
      <c r="A219" s="142" t="n">
        <v>65873297000145</v>
      </c>
      <c r="B219" s="75" t="inlineStr">
        <is>
          <t>65.873.297/0001-45</t>
        </is>
      </c>
      <c r="C219" s="75" t="inlineStr">
        <is>
          <t>Cotas Seniores</t>
        </is>
      </c>
      <c r="D219" s="75" t="inlineStr">
        <is>
          <t>R$1.000,00</t>
        </is>
      </c>
      <c r="E219" s="143" t="n">
        <v>1000</v>
      </c>
      <c r="F219" s="75" t="inlineStr">
        <is>
          <t>valor nominal unitário (VNU)</t>
        </is>
      </c>
      <c r="G219" s="75" t="b">
        <v>0</v>
      </c>
      <c r="H219" s="75" t="inlineStr">
        <is>
          <t>emissao</t>
        </is>
      </c>
      <c r="I219" s="75" t="n">
        <v>1159272</v>
      </c>
      <c r="J219" s="75" t="inlineStr">
        <is>
          <t>Oferta Pública de Distribuição de Cotas Anúncio de Encerramento</t>
        </is>
      </c>
      <c r="K219" s="75" t="inlineStr">
        <is>
          <t>10/04/2026</t>
        </is>
      </c>
      <c r="L219" s="75" t="n">
        <v>2</v>
      </c>
      <c r="M219" s="75" t="inlineStr">
        <is>
          <t>encontrado_explicito</t>
        </is>
      </c>
      <c r="N219" s="75" t="b">
        <v>1</v>
      </c>
      <c r="O219" s="75" t="inlineStr">
        <is>
          <t>.cache/carteira_101_document_scan/65873297000145/1159272.json.gz</t>
        </is>
      </c>
      <c r="P219" s="75" t="inlineStr">
        <is>
          <t>https://fnet.bmfbovespa.com.br/fnet/publico/downloadDocumento?id=1159272</t>
        </is>
      </c>
      <c r="Q219" s="75" t="inlineStr">
        <is>
          <t>ncio de Encerramento”), comunicar que foram subscritas e integralizadas 128.000 (cento e vinte e oito mil) cotas seniores da 1ª (primeira) série da 1ª (primeira) emissão (“ Cotas Seniores da 1ª Série ”), com valor nominal unitário de emissão de R$1.000,00 (mil reais), perfazendo o montante total de R$ 128.000.000,00 (cento e vinte e oito milhões de reais) na data da 1ª (primeira) integralização das Cotas Seniores da 1ª Série, no âmbito da oferta pública de distribuição</t>
        </is>
      </c>
    </row>
    <row r="220" ht="40.5" customHeight="1">
      <c r="A220" s="138" t="n">
        <v>65976848000104</v>
      </c>
      <c r="B220" s="74" t="inlineStr">
        <is>
          <t>65.976.848/0001-04</t>
        </is>
      </c>
      <c r="C220" s="74" t="inlineStr">
        <is>
          <t>N/D</t>
        </is>
      </c>
      <c r="D220" s="74" t="inlineStr">
        <is>
          <t>R$ 1.000,00</t>
        </is>
      </c>
      <c r="E220" s="139" t="n">
        <v>1000</v>
      </c>
      <c r="F220" s="74" t="inlineStr">
        <is>
          <t>preço/valor unitário de emissão</t>
        </is>
      </c>
      <c r="G220" s="74" t="b">
        <v>1</v>
      </c>
      <c r="H220" s="74" t="inlineStr">
        <is>
          <t>regulamento</t>
        </is>
      </c>
      <c r="I220" s="74" t="n">
        <v>1239452</v>
      </c>
      <c r="J220" s="74" t="inlineStr">
        <is>
          <t>Regulamento</t>
        </is>
      </c>
      <c r="K220" s="74" t="inlineStr">
        <is>
          <t>22/06/2026</t>
        </is>
      </c>
      <c r="L220" s="74" t="n">
        <v>30</v>
      </c>
      <c r="M220" s="74" t="inlineStr">
        <is>
          <t>encontrado_explicito</t>
        </is>
      </c>
      <c r="N220" s="74" t="b">
        <v>1</v>
      </c>
      <c r="O220" s="74" t="inlineStr">
        <is>
          <t>.cache/carteira_101_document_scan/65976848000104/1239452.json.gz</t>
        </is>
      </c>
      <c r="P220" s="74" t="inlineStr">
        <is>
          <t>https://fnet.bmfbovespa.com.br/fnet/publico/downloadDocumento?id=1239452</t>
        </is>
      </c>
      <c r="Q220" s="74" t="inlineStr">
        <is>
          <t>urador, com base nas informações prestadas pela B3, quando as Cotas do Fundo estiverem eletronicamente custodiadas na B3. 8.1.4 Somente Investidores Profissionais poderão adquirir as Cotas. 8.1.5 As Cotas terão Valor Unitário de Emissão de R$ 1.000,00 (mil reais) na 1ª Data de Integralização de Cotas. 8.1.6 Após a respectiva 1ª Data de Integralização de Cotas (i) de cada série de Cotas Seniores, e (ii) das Cotas Subordinadas, as Cotas terão seu valor unitário a</t>
        </is>
      </c>
    </row>
    <row r="221" ht="40.5" customHeight="1">
      <c r="A221" s="142" t="n">
        <v>65976848000104</v>
      </c>
      <c r="B221" s="75" t="inlineStr">
        <is>
          <t>65.976.848/0001-04</t>
        </is>
      </c>
      <c r="C221" s="75" t="inlineStr">
        <is>
          <t>cotas seniores</t>
        </is>
      </c>
      <c r="D221" s="75" t="inlineStr">
        <is>
          <t>R$ 1.000,00</t>
        </is>
      </c>
      <c r="E221" s="143" t="n">
        <v>1000</v>
      </c>
      <c r="F221" s="75" t="inlineStr">
        <is>
          <t>valor nominal unitário (VNU)</t>
        </is>
      </c>
      <c r="G221" s="75" t="b">
        <v>0</v>
      </c>
      <c r="H221" s="75" t="inlineStr">
        <is>
          <t>emissao</t>
        </is>
      </c>
      <c r="I221" s="75" t="n">
        <v>1168361</v>
      </c>
      <c r="J221" s="75" t="inlineStr">
        <is>
          <t>Oferta Pública de Distribuição de Cotas Anúncio de Início</t>
        </is>
      </c>
      <c r="K221" s="75" t="inlineStr">
        <is>
          <t>23/04/2026</t>
        </is>
      </c>
      <c r="L221" s="75" t="n">
        <v>2</v>
      </c>
      <c r="M221" s="75" t="inlineStr">
        <is>
          <t>encontrado_explicito</t>
        </is>
      </c>
      <c r="N221" s="75" t="b">
        <v>1</v>
      </c>
      <c r="O221" s="75" t="inlineStr">
        <is>
          <t>.cache/carteira_101_document_scan/65976848000104/1168361.json.gz</t>
        </is>
      </c>
      <c r="P221" s="75" t="inlineStr">
        <is>
          <t>https://fnet.bmfbovespa.com.br/fnet/publico/downloadDocumento?id=1168361</t>
        </is>
      </c>
      <c r="Q221" s="75" t="inlineStr">
        <is>
          <t>lasse A do Fundo, todas nominativas e escriturais, cujas características estão descritas no respectivo Apêndice das cotas da subclasse sênior da Classe A anexo ao r egulamento do Fundo ( “Cotas” e “Regulamento”), com valor nominal unitário de R$ 1.000,00 (mil reais) por Cota na data da primeira integralização (“Oferta”), perfazendo o montante total de: R$ 2.500.000.000,00 (dois bilhões e quinhentos milhões de reais) A Oferta é destinada exclusivamente a investi</t>
        </is>
      </c>
    </row>
    <row r="222" ht="40.5" customHeight="1">
      <c r="A222" s="138" t="n">
        <v>65976848000104</v>
      </c>
      <c r="B222" s="74" t="inlineStr">
        <is>
          <t>65.976.848/0001-04</t>
        </is>
      </c>
      <c r="C222" s="74" t="inlineStr">
        <is>
          <t>cotas seniores</t>
        </is>
      </c>
      <c r="D222" s="74" t="inlineStr">
        <is>
          <t>R$ 1.000,00</t>
        </is>
      </c>
      <c r="E222" s="139" t="n">
        <v>1000</v>
      </c>
      <c r="F222" s="74" t="inlineStr">
        <is>
          <t>preço/valor unitário de emissão</t>
        </is>
      </c>
      <c r="G222" s="74" t="b">
        <v>0</v>
      </c>
      <c r="H222" s="74" t="inlineStr">
        <is>
          <t>emissao</t>
        </is>
      </c>
      <c r="I222" s="74" t="n">
        <v>1170775</v>
      </c>
      <c r="J222" s="74" t="inlineStr">
        <is>
          <t>Oferta Pública de Distribuição de Cotas Anúncio de Encerramento</t>
        </is>
      </c>
      <c r="K222" s="74" t="inlineStr">
        <is>
          <t>27/04/2026</t>
        </is>
      </c>
      <c r="L222" s="74" t="n">
        <v>2</v>
      </c>
      <c r="M222" s="74" t="inlineStr">
        <is>
          <t>encontrado_explicito</t>
        </is>
      </c>
      <c r="N222" s="74" t="b">
        <v>1</v>
      </c>
      <c r="O222" s="74" t="inlineStr">
        <is>
          <t>.cache/carteira_101_document_scan/65976848000104/1170775.json.gz</t>
        </is>
      </c>
      <c r="P222" s="74" t="inlineStr">
        <is>
          <t>https://fnet.bmfbovespa.com.br/fnet/publico/downloadDocumento?id=1170775</t>
        </is>
      </c>
      <c r="Q222" s="74" t="inlineStr">
        <is>
          <t>da classe A do Fundo, todas nominativas e escriturais, tendo suas características descritas no respectivo Apêndice das cotas da subclasse sênior da Classe A anexo ao regulamento do Fundo (“Cotas” e “Regulamento”), com valor unitário de emissão de R$ 1.000,00 (mil reais) po r Cota na data da primeira integralização (“Oferta”), perfazendo o montante total de: R$ 2.500.000.000,00 (dois bilhões e quinhentos milhões de reais) Adicionalmente, informam que a Moody’s Local</t>
        </is>
      </c>
    </row>
  </sheetData>
  <mergeCells count="2">
    <mergeCell ref="A2:Q2"/>
    <mergeCell ref="A1:Q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L105"/>
  <sheetViews>
    <sheetView workbookViewId="0">
      <pane xSplit="4" ySplit="4" topLeftCell="E5" activePane="bottomRight" state="frozen"/>
      <selection activeCell="A1" sqref="A1"/>
    </sheetView>
  </sheetViews>
  <sheetFormatPr baseColWidth="8" defaultRowHeight="15"/>
  <cols>
    <col width="8.75" customWidth="1" min="1" max="1"/>
    <col width="15.63000011444092" customWidth="1" min="2" max="2"/>
    <col width="18.1299991607666" customWidth="1" min="3" max="3"/>
    <col width="48.75" customWidth="1" min="4" max="4"/>
    <col width="17.5" customWidth="1" min="5" max="5"/>
    <col width="14.38000011444092" customWidth="1" min="6" max="6"/>
    <col width="17.5" customWidth="1" min="7" max="7"/>
    <col width="45" customWidth="1" min="8" max="8"/>
    <col width="45" customWidth="1" min="9" max="9"/>
    <col width="20" customWidth="1" min="10" max="10"/>
    <col width="21.25" customWidth="1" min="11" max="11"/>
    <col width="22.5" customWidth="1" min="12" max="12"/>
    <col width="14.38000011444092" customWidth="1" min="13" max="13"/>
    <col width="10.63000011444092" customWidth="1" min="14" max="14"/>
    <col width="48.75" customWidth="1" min="15" max="15"/>
    <col width="18.75" customWidth="1" min="16" max="16"/>
    <col width="45" customWidth="1" min="17" max="17"/>
    <col width="20" customWidth="1" min="18" max="18"/>
    <col width="21.25" customWidth="1" min="19" max="19"/>
    <col width="22.5" customWidth="1" min="20" max="20"/>
    <col width="14.38000011444092" customWidth="1" min="21" max="21"/>
    <col width="10.63000011444092" customWidth="1" min="22" max="22"/>
    <col width="48.75" customWidth="1" min="23" max="23"/>
    <col width="18.75" customWidth="1" min="24" max="24"/>
    <col width="45" customWidth="1" min="25" max="25"/>
    <col width="20" customWidth="1" min="26" max="26"/>
    <col width="21.25" customWidth="1" min="27" max="27"/>
    <col width="22.5" customWidth="1" min="28" max="28"/>
    <col width="14.38000011444092" customWidth="1" min="29" max="29"/>
    <col width="10.63000011444092" customWidth="1" min="30" max="30"/>
    <col width="48.75" customWidth="1" min="31" max="31"/>
    <col width="18.75" customWidth="1" min="32" max="32"/>
    <col width="45" customWidth="1" min="33" max="33"/>
    <col width="20" customWidth="1" min="34" max="34"/>
    <col width="21.25" customWidth="1" min="35" max="35"/>
    <col width="22.5" customWidth="1" min="36" max="36"/>
    <col width="14.38000011444092" customWidth="1" min="37" max="37"/>
    <col width="10.63000011444092" customWidth="1" min="38" max="38"/>
    <col width="48.75" customWidth="1" min="39" max="39"/>
    <col width="18.75" customWidth="1" min="40" max="40"/>
    <col width="45" customWidth="1" min="41" max="41"/>
    <col width="20" customWidth="1" min="42" max="42"/>
    <col width="21.25" customWidth="1" min="43" max="43"/>
    <col width="22.5" customWidth="1" min="44" max="44"/>
    <col width="14.38000011444092" customWidth="1" min="45" max="45"/>
    <col width="10.63000011444092" customWidth="1" min="46" max="46"/>
    <col width="48.75" customWidth="1" min="47" max="47"/>
    <col width="18.75" customWidth="1" min="48" max="48"/>
    <col width="45" customWidth="1" min="49" max="49"/>
    <col width="20" customWidth="1" min="50" max="50"/>
    <col width="21.25" customWidth="1" min="51" max="51"/>
    <col width="22.5" customWidth="1" min="52" max="52"/>
    <col width="14.38000011444092" customWidth="1" min="53" max="53"/>
    <col width="10.63000011444092" customWidth="1" min="54" max="54"/>
    <col width="48.75" customWidth="1" min="55" max="55"/>
    <col width="18.75" customWidth="1" min="56" max="56"/>
    <col width="45" customWidth="1" min="57" max="57"/>
    <col width="20" customWidth="1" min="58" max="58"/>
    <col width="21.25" customWidth="1" min="59" max="59"/>
    <col width="22.5" customWidth="1" min="60" max="60"/>
    <col width="14.38000011444092" customWidth="1" min="61" max="61"/>
    <col width="10.63000011444092" customWidth="1" min="62" max="62"/>
    <col width="48.75" customWidth="1" min="63" max="63"/>
    <col width="18.75" customWidth="1" min="64" max="64"/>
  </cols>
  <sheetData>
    <row r="1" ht="25.5" customHeight="1">
      <c r="A1" s="26" t="inlineStr">
        <is>
          <t>Auditoria documental · 101 CNPJs da Carteira I</t>
        </is>
      </c>
    </row>
    <row r="2" ht="33" customHeight="1">
      <c r="A2" s="29" t="inlineStr">
        <is>
          <t>Valor escolhido, status, natureza, documento, data, página, link e camada de evidência por campo. Candidato automático não aceito permanece apenas na aba de evidências.</t>
        </is>
      </c>
    </row>
    <row r="4" ht="25.5" customHeight="1">
      <c r="A4" s="32" t="inlineStr">
        <is>
          <t>Ordem</t>
        </is>
      </c>
      <c r="B4" s="32" t="inlineStr">
        <is>
          <t>CNPJ</t>
        </is>
      </c>
      <c r="C4" s="32" t="inlineStr">
        <is>
          <t>CNPJ formatado</t>
        </is>
      </c>
      <c r="D4" s="32" t="inlineStr">
        <is>
          <t>Nome do fundo</t>
        </is>
      </c>
      <c r="E4" s="32" t="inlineStr">
        <is>
          <t>Status do scan</t>
        </is>
      </c>
      <c r="F4" s="32" t="inlineStr">
        <is>
          <t>Fontes consultadas</t>
        </is>
      </c>
      <c r="G4" s="32" t="inlineStr">
        <is>
          <t>Status online</t>
        </is>
      </c>
      <c r="H4" s="32" t="inlineStr">
        <is>
          <t>Erros do scan</t>
        </is>
      </c>
      <c r="I4" s="32" t="inlineStr">
        <is>
          <t>Originador · valor</t>
        </is>
      </c>
      <c r="J4" s="32" t="inlineStr">
        <is>
          <t>Originador · status</t>
        </is>
      </c>
      <c r="K4" s="32" t="inlineStr">
        <is>
          <t>Originador · natureza</t>
        </is>
      </c>
      <c r="L4" s="32" t="inlineStr">
        <is>
          <t>Originador · documento</t>
        </is>
      </c>
      <c r="M4" s="32" t="inlineStr">
        <is>
          <t>Originador · data</t>
        </is>
      </c>
      <c r="N4" s="32" t="inlineStr">
        <is>
          <t>Originador · página</t>
        </is>
      </c>
      <c r="O4" s="32" t="inlineStr">
        <is>
          <t>Originador · link</t>
        </is>
      </c>
      <c r="P4" s="32" t="inlineStr">
        <is>
          <t>Originador · camada</t>
        </is>
      </c>
      <c r="Q4" s="32" t="inlineStr">
        <is>
          <t>Cedente · valor</t>
        </is>
      </c>
      <c r="R4" s="32" t="inlineStr">
        <is>
          <t>Cedente · status</t>
        </is>
      </c>
      <c r="S4" s="32" t="inlineStr">
        <is>
          <t>Cedente · natureza</t>
        </is>
      </c>
      <c r="T4" s="32" t="inlineStr">
        <is>
          <t>Cedente · documento</t>
        </is>
      </c>
      <c r="U4" s="32" t="inlineStr">
        <is>
          <t>Cedente · data</t>
        </is>
      </c>
      <c r="V4" s="32" t="inlineStr">
        <is>
          <t>Cedente · página</t>
        </is>
      </c>
      <c r="W4" s="32" t="inlineStr">
        <is>
          <t>Cedente · link</t>
        </is>
      </c>
      <c r="X4" s="32" t="inlineStr">
        <is>
          <t>Cedente · camada</t>
        </is>
      </c>
      <c r="Y4" s="32" t="inlineStr">
        <is>
          <t>Sacado / devedor · valor</t>
        </is>
      </c>
      <c r="Z4" s="32" t="inlineStr">
        <is>
          <t>Sacado / devedor · status</t>
        </is>
      </c>
      <c r="AA4" s="32" t="inlineStr">
        <is>
          <t>Sacado / devedor · natureza</t>
        </is>
      </c>
      <c r="AB4" s="32" t="inlineStr">
        <is>
          <t>Sacado / devedor · documento</t>
        </is>
      </c>
      <c r="AC4" s="32" t="inlineStr">
        <is>
          <t>Sacado / devedor · data</t>
        </is>
      </c>
      <c r="AD4" s="32" t="inlineStr">
        <is>
          <t>Sacado / devedor · página</t>
        </is>
      </c>
      <c r="AE4" s="32" t="inlineStr">
        <is>
          <t>Sacado / devedor · link</t>
        </is>
      </c>
      <c r="AF4" s="32" t="inlineStr">
        <is>
          <t>Sacado / devedor · camada</t>
        </is>
      </c>
      <c r="AG4" s="32" t="inlineStr">
        <is>
          <t>Tipo de recebível · valor</t>
        </is>
      </c>
      <c r="AH4" s="32" t="inlineStr">
        <is>
          <t>Tipo de recebível · status</t>
        </is>
      </c>
      <c r="AI4" s="32" t="inlineStr">
        <is>
          <t>Tipo de recebível · natureza</t>
        </is>
      </c>
      <c r="AJ4" s="32" t="inlineStr">
        <is>
          <t>Tipo de recebível · documento</t>
        </is>
      </c>
      <c r="AK4" s="32" t="inlineStr">
        <is>
          <t>Tipo de recebível · data</t>
        </is>
      </c>
      <c r="AL4" s="32" t="inlineStr">
        <is>
          <t>Tipo de recebível · página</t>
        </is>
      </c>
      <c r="AM4" s="32" t="inlineStr">
        <is>
          <t>Tipo de recebível · link</t>
        </is>
      </c>
      <c r="AN4" s="32" t="inlineStr">
        <is>
          <t>Tipo de recebível · camada</t>
        </is>
      </c>
      <c r="AO4" s="32" t="inlineStr">
        <is>
          <t>Mínimo júnior · valor</t>
        </is>
      </c>
      <c r="AP4" s="32" t="inlineStr">
        <is>
          <t>Mínimo júnior · status</t>
        </is>
      </c>
      <c r="AQ4" s="32" t="inlineStr">
        <is>
          <t>Mínimo júnior · natureza</t>
        </is>
      </c>
      <c r="AR4" s="32" t="inlineStr">
        <is>
          <t>Mínimo júnior · documento</t>
        </is>
      </c>
      <c r="AS4" s="32" t="inlineStr">
        <is>
          <t>Mínimo júnior · data</t>
        </is>
      </c>
      <c r="AT4" s="32" t="inlineStr">
        <is>
          <t>Mínimo júnior · página</t>
        </is>
      </c>
      <c r="AU4" s="32" t="inlineStr">
        <is>
          <t>Mínimo júnior · link</t>
        </is>
      </c>
      <c r="AV4" s="32" t="inlineStr">
        <is>
          <t>Mínimo júnior · camada</t>
        </is>
      </c>
      <c r="AW4" s="32" t="inlineStr">
        <is>
          <t>Mínimo estrutural total · valor</t>
        </is>
      </c>
      <c r="AX4" s="32" t="inlineStr">
        <is>
          <t>Mínimo estrutural total · status</t>
        </is>
      </c>
      <c r="AY4" s="32" t="inlineStr">
        <is>
          <t>Mínimo estrutural total · natureza</t>
        </is>
      </c>
      <c r="AZ4" s="32" t="inlineStr">
        <is>
          <t>Mínimo estrutural total · documento</t>
        </is>
      </c>
      <c r="BA4" s="32" t="inlineStr">
        <is>
          <t>Mínimo estrutural total · data</t>
        </is>
      </c>
      <c r="BB4" s="32" t="inlineStr">
        <is>
          <t>Mínimo estrutural total · página</t>
        </is>
      </c>
      <c r="BC4" s="32" t="inlineStr">
        <is>
          <t>Mínimo estrutural total · link</t>
        </is>
      </c>
      <c r="BD4" s="32" t="inlineStr">
        <is>
          <t>Mínimo estrutural total · camada</t>
        </is>
      </c>
      <c r="BE4" s="32" t="inlineStr">
        <is>
          <t>Natureza do índice · valor</t>
        </is>
      </c>
      <c r="BF4" s="32" t="inlineStr">
        <is>
          <t>Natureza do índice · status</t>
        </is>
      </c>
      <c r="BG4" s="32" t="inlineStr">
        <is>
          <t>Natureza do índice · natureza</t>
        </is>
      </c>
      <c r="BH4" s="32" t="inlineStr">
        <is>
          <t>Natureza do índice · documento</t>
        </is>
      </c>
      <c r="BI4" s="32" t="inlineStr">
        <is>
          <t>Natureza do índice · data</t>
        </is>
      </c>
      <c r="BJ4" s="32" t="inlineStr">
        <is>
          <t>Natureza do índice · página</t>
        </is>
      </c>
      <c r="BK4" s="32" t="inlineStr">
        <is>
          <t>Natureza do índice · link</t>
        </is>
      </c>
      <c r="BL4" s="32" t="inlineStr">
        <is>
          <t>Natureza do índice · camada</t>
        </is>
      </c>
    </row>
    <row r="5" ht="42" customHeight="1">
      <c r="A5" s="137" t="n">
        <v>1</v>
      </c>
      <c r="B5" s="134" t="n">
        <v>42462306000100</v>
      </c>
      <c r="C5" s="73" t="inlineStr">
        <is>
          <t>42.462.306/0001-00</t>
        </is>
      </c>
      <c r="D5" s="73" t="inlineStr">
        <is>
          <t>IS GREEN SOLFÁCIL II FUNDO DE INVESTIMENTO EM DIREITOS CREDITÓRIOS DE RESPONSABILIDADE LIMITADA</t>
        </is>
      </c>
      <c r="E5" s="73" t="inlineStr">
        <is>
          <t>concluído</t>
        </is>
      </c>
      <c r="F5" s="137" t="n">
        <v>6</v>
      </c>
      <c r="G5" s="73" t="inlineStr">
        <is>
          <t>consultado</t>
        </is>
      </c>
      <c r="H5" s="73" t="inlineStr">
        <is>
          <t>N/D</t>
        </is>
      </c>
      <c r="I5" s="73" t="inlineStr">
        <is>
          <t>Solfácil Energia</t>
        </is>
      </c>
      <c r="J5" s="73" t="inlineStr">
        <is>
          <t>encontrado_explicito</t>
        </is>
      </c>
      <c r="K5" s="73" t="inlineStr">
        <is>
          <t>rótulo explícito de participante v2</t>
        </is>
      </c>
      <c r="L5" s="73" t="inlineStr">
        <is>
          <t>1023995</t>
        </is>
      </c>
      <c r="M5" s="73" t="inlineStr">
        <is>
          <t>30/10/2025</t>
        </is>
      </c>
      <c r="N5" s="73" t="inlineStr">
        <is>
          <t>6</t>
        </is>
      </c>
      <c r="O5" s="73" t="inlineStr">
        <is>
          <t>https://fnet.bmfbovespa.com.br/fnet/publico/downloadDocumento?id=1023995</t>
        </is>
      </c>
      <c r="P5" s="73" t="inlineStr">
        <is>
          <t>rating_report</t>
        </is>
      </c>
      <c r="Q5" s="73" t="inlineStr">
        <is>
          <t>Solfácil</t>
        </is>
      </c>
      <c r="R5" s="73" t="inlineStr">
        <is>
          <t>aceito_payload</t>
        </is>
      </c>
      <c r="S5" s="73" t="inlineStr">
        <is>
          <t>N/D</t>
        </is>
      </c>
      <c r="T5" s="73" t="inlineStr">
        <is>
          <t>IMG_8704.JPG</t>
        </is>
      </c>
      <c r="U5" s="73" t="inlineStr">
        <is>
          <t>2025-05-05</t>
        </is>
      </c>
      <c r="V5" s="73" t="inlineStr">
        <is>
          <t>12</t>
        </is>
      </c>
      <c r="W5" s="73" t="inlineStr">
        <is>
          <t>N/D</t>
        </is>
      </c>
      <c r="X5" s="73" t="inlineStr">
        <is>
          <t>planilha_manual</t>
        </is>
      </c>
      <c r="Y5" s="73" t="inlineStr">
        <is>
          <t>N/D</t>
        </is>
      </c>
      <c r="Z5" s="73" t="inlineStr">
        <is>
          <t>não encontrado</t>
        </is>
      </c>
      <c r="AA5" s="73" t="inlineStr">
        <is>
          <t>N/D</t>
        </is>
      </c>
      <c r="AB5" s="73" t="inlineStr">
        <is>
          <t>N/D</t>
        </is>
      </c>
      <c r="AC5" s="73" t="inlineStr">
        <is>
          <t>N/D</t>
        </is>
      </c>
      <c r="AD5" s="73" t="inlineStr">
        <is>
          <t>N/D</t>
        </is>
      </c>
      <c r="AE5" s="73" t="inlineStr">
        <is>
          <t>N/D</t>
        </is>
      </c>
      <c r="AF5" s="73" t="inlineStr">
        <is>
          <t>N/D</t>
        </is>
      </c>
      <c r="AG5" s="73" t="inlineStr">
        <is>
          <t>créditos originados para securitização posterior em CRIs</t>
        </is>
      </c>
      <c r="AH5" s="73" t="inlineStr">
        <is>
          <t>aceito_payload</t>
        </is>
      </c>
      <c r="AI5" s="73" t="inlineStr">
        <is>
          <t>N/D</t>
        </is>
      </c>
      <c r="AJ5" s="73" t="inlineStr">
        <is>
          <t>IMG_8704.JPG</t>
        </is>
      </c>
      <c r="AK5" s="73" t="inlineStr">
        <is>
          <t>2025-05-05</t>
        </is>
      </c>
      <c r="AL5" s="73" t="inlineStr">
        <is>
          <t>12</t>
        </is>
      </c>
      <c r="AM5" s="73" t="inlineStr">
        <is>
          <t>N/D</t>
        </is>
      </c>
      <c r="AN5" s="73" t="inlineStr">
        <is>
          <t>planilha_manual</t>
        </is>
      </c>
      <c r="AO5" s="73" t="inlineStr">
        <is>
          <t>4.5%</t>
        </is>
      </c>
      <c r="AP5" s="73" t="inlineStr">
        <is>
          <t>aceito_payload</t>
        </is>
      </c>
      <c r="AQ5" s="73" t="inlineStr">
        <is>
          <t>junior_pl</t>
        </is>
      </c>
      <c r="AR5" s="73" t="inlineStr">
        <is>
          <t>896879</t>
        </is>
      </c>
      <c r="AS5" s="73" t="inlineStr">
        <is>
          <t>2025-05-05</t>
        </is>
      </c>
      <c r="AT5" s="73" t="inlineStr">
        <is>
          <t>12</t>
        </is>
      </c>
      <c r="AU5" s="73" t="inlineStr">
        <is>
          <t>https://fnet.bmfbovespa.com.br/fnet/publico/downloadDocumento?id=896879</t>
        </is>
      </c>
      <c r="AV5" s="73" t="inlineStr">
        <is>
          <t>payload_documental</t>
        </is>
      </c>
      <c r="AW5" s="73" t="inlineStr">
        <is>
          <t>N/D</t>
        </is>
      </c>
      <c r="AX5" s="73" t="inlineStr">
        <is>
          <t>não encontrado</t>
        </is>
      </c>
      <c r="AY5" s="73" t="inlineStr">
        <is>
          <t>N/D</t>
        </is>
      </c>
      <c r="AZ5" s="73" t="inlineStr">
        <is>
          <t>N/D</t>
        </is>
      </c>
      <c r="BA5" s="73" t="inlineStr">
        <is>
          <t>N/D</t>
        </is>
      </c>
      <c r="BB5" s="73" t="inlineStr">
        <is>
          <t>N/D</t>
        </is>
      </c>
      <c r="BC5" s="73" t="inlineStr">
        <is>
          <t>N/D</t>
        </is>
      </c>
      <c r="BD5" s="73" t="inlineStr">
        <is>
          <t>N/D</t>
        </is>
      </c>
      <c r="BE5" s="73" t="inlineStr">
        <is>
          <t>junior_pl</t>
        </is>
      </c>
      <c r="BF5" s="73" t="inlineStr">
        <is>
          <t>aceito_payload</t>
        </is>
      </c>
      <c r="BG5" s="73" t="inlineStr">
        <is>
          <t>junior_pl</t>
        </is>
      </c>
      <c r="BH5" s="73" t="inlineStr">
        <is>
          <t>896879</t>
        </is>
      </c>
      <c r="BI5" s="73" t="inlineStr">
        <is>
          <t>2025-05-05</t>
        </is>
      </c>
      <c r="BJ5" s="73" t="inlineStr">
        <is>
          <t>12</t>
        </is>
      </c>
      <c r="BK5" s="73" t="inlineStr">
        <is>
          <t>https://fnet.bmfbovespa.com.br/fnet/publico/downloadDocumento?id=896879</t>
        </is>
      </c>
      <c r="BL5" s="73" t="inlineStr">
        <is>
          <t>payload_documental</t>
        </is>
      </c>
    </row>
    <row r="6" ht="42" customHeight="1">
      <c r="A6" s="141" t="n">
        <v>2</v>
      </c>
      <c r="B6" s="138" t="n">
        <v>54810968000102</v>
      </c>
      <c r="C6" s="74" t="inlineStr">
        <is>
          <t>54.810.968/0001-02</t>
        </is>
      </c>
      <c r="D6" s="74" t="inlineStr">
        <is>
          <t>ANGÁ FGTS III FUNDO DE INVESTIMENTO EM DIREITOS CREDITÓRIOS</t>
        </is>
      </c>
      <c r="E6" s="74" t="inlineStr">
        <is>
          <t>concluído</t>
        </is>
      </c>
      <c r="F6" s="141" t="n">
        <v>8</v>
      </c>
      <c r="G6" s="74" t="inlineStr">
        <is>
          <t>consultado</t>
        </is>
      </c>
      <c r="H6" s="74" t="inlineStr">
        <is>
          <t>N/D</t>
        </is>
      </c>
      <c r="I6" s="74" t="inlineStr">
        <is>
          <t>N/D</t>
        </is>
      </c>
      <c r="J6" s="74" t="inlineStr">
        <is>
          <t>não encontrado</t>
        </is>
      </c>
      <c r="K6" s="74" t="inlineStr">
        <is>
          <t>N/D</t>
        </is>
      </c>
      <c r="L6" s="74" t="inlineStr">
        <is>
          <t>N/D</t>
        </is>
      </c>
      <c r="M6" s="74" t="inlineStr">
        <is>
          <t>N/D</t>
        </is>
      </c>
      <c r="N6" s="74" t="inlineStr">
        <is>
          <t>N/D</t>
        </is>
      </c>
      <c r="O6" s="74" t="inlineStr">
        <is>
          <t>N/D</t>
        </is>
      </c>
      <c r="P6" s="74" t="inlineStr">
        <is>
          <t>N/D</t>
        </is>
      </c>
      <c r="Q6" s="74" t="inlineStr">
        <is>
          <t>BMG</t>
        </is>
      </c>
      <c r="R6" s="74" t="inlineStr">
        <is>
          <t>aceito_payload</t>
        </is>
      </c>
      <c r="S6" s="74" t="inlineStr">
        <is>
          <t>N/D</t>
        </is>
      </c>
      <c r="T6" s="74" t="inlineStr">
        <is>
          <t>IMG_8704.JPG</t>
        </is>
      </c>
      <c r="U6" s="74" t="inlineStr">
        <is>
          <t>2025-04-22</t>
        </is>
      </c>
      <c r="V6" s="74" t="inlineStr">
        <is>
          <t>16</t>
        </is>
      </c>
      <c r="W6" s="74" t="inlineStr">
        <is>
          <t>N/D</t>
        </is>
      </c>
      <c r="X6" s="74" t="inlineStr">
        <is>
          <t>planilha_manual</t>
        </is>
      </c>
      <c r="Y6" s="74" t="inlineStr">
        <is>
          <t>N/D</t>
        </is>
      </c>
      <c r="Z6" s="74" t="inlineStr">
        <is>
          <t>não encontrado</t>
        </is>
      </c>
      <c r="AA6" s="74" t="inlineStr">
        <is>
          <t>N/D</t>
        </is>
      </c>
      <c r="AB6" s="74" t="inlineStr">
        <is>
          <t>N/D</t>
        </is>
      </c>
      <c r="AC6" s="74" t="inlineStr">
        <is>
          <t>N/D</t>
        </is>
      </c>
      <c r="AD6" s="74" t="inlineStr">
        <is>
          <t>N/D</t>
        </is>
      </c>
      <c r="AE6" s="74" t="inlineStr">
        <is>
          <t>N/D</t>
        </is>
      </c>
      <c r="AF6" s="74" t="inlineStr">
        <is>
          <t>N/D</t>
        </is>
      </c>
      <c r="AG6" s="74" t="inlineStr">
        <is>
          <t>Crédito FGTS</t>
        </is>
      </c>
      <c r="AH6" s="74" t="inlineStr">
        <is>
          <t>aceito_payload</t>
        </is>
      </c>
      <c r="AI6" s="74" t="inlineStr">
        <is>
          <t>N/D</t>
        </is>
      </c>
      <c r="AJ6" s="74" t="inlineStr">
        <is>
          <t>IMG_8704.JPG</t>
        </is>
      </c>
      <c r="AK6" s="74" t="inlineStr">
        <is>
          <t>2025-04-22</t>
        </is>
      </c>
      <c r="AL6" s="74" t="inlineStr">
        <is>
          <t>16</t>
        </is>
      </c>
      <c r="AM6" s="74" t="inlineStr">
        <is>
          <t>N/D</t>
        </is>
      </c>
      <c r="AN6" s="74" t="inlineStr">
        <is>
          <t>planilha_manual</t>
        </is>
      </c>
      <c r="AO6" s="74" t="inlineStr">
        <is>
          <t>5%</t>
        </is>
      </c>
      <c r="AP6" s="74" t="inlineStr">
        <is>
          <t>aceito_payload</t>
        </is>
      </c>
      <c r="AQ6" s="74" t="inlineStr">
        <is>
          <t>junior_pl</t>
        </is>
      </c>
      <c r="AR6" s="74" t="inlineStr">
        <is>
          <t>937760</t>
        </is>
      </c>
      <c r="AS6" s="74" t="inlineStr">
        <is>
          <t>2025-04-22</t>
        </is>
      </c>
      <c r="AT6" s="74" t="inlineStr">
        <is>
          <t>16</t>
        </is>
      </c>
      <c r="AU6" s="74" t="inlineStr">
        <is>
          <t>https://fnet.bmfbovespa.com.br/fnet/publico/downloadDocumento?id=937760</t>
        </is>
      </c>
      <c r="AV6" s="74" t="inlineStr">
        <is>
          <t>payload_documental</t>
        </is>
      </c>
      <c r="AW6" s="74" t="inlineStr">
        <is>
          <t>N/D</t>
        </is>
      </c>
      <c r="AX6" s="74" t="inlineStr">
        <is>
          <t>não encontrado</t>
        </is>
      </c>
      <c r="AY6" s="74" t="inlineStr">
        <is>
          <t>N/D</t>
        </is>
      </c>
      <c r="AZ6" s="74" t="inlineStr">
        <is>
          <t>N/D</t>
        </is>
      </c>
      <c r="BA6" s="74" t="inlineStr">
        <is>
          <t>N/D</t>
        </is>
      </c>
      <c r="BB6" s="74" t="inlineStr">
        <is>
          <t>N/D</t>
        </is>
      </c>
      <c r="BC6" s="74" t="inlineStr">
        <is>
          <t>N/D</t>
        </is>
      </c>
      <c r="BD6" s="74" t="inlineStr">
        <is>
          <t>N/D</t>
        </is>
      </c>
      <c r="BE6" s="74" t="inlineStr">
        <is>
          <t>junior_pl</t>
        </is>
      </c>
      <c r="BF6" s="74" t="inlineStr">
        <is>
          <t>aceito_payload</t>
        </is>
      </c>
      <c r="BG6" s="74" t="inlineStr">
        <is>
          <t>junior_pl</t>
        </is>
      </c>
      <c r="BH6" s="74" t="inlineStr">
        <is>
          <t>937760</t>
        </is>
      </c>
      <c r="BI6" s="74" t="inlineStr">
        <is>
          <t>2025-04-22</t>
        </is>
      </c>
      <c r="BJ6" s="74" t="inlineStr">
        <is>
          <t>16</t>
        </is>
      </c>
      <c r="BK6" s="74" t="inlineStr">
        <is>
          <t>https://fnet.bmfbovespa.com.br/fnet/publico/downloadDocumento?id=937760</t>
        </is>
      </c>
      <c r="BL6" s="74" t="inlineStr">
        <is>
          <t>payload_documental</t>
        </is>
      </c>
    </row>
    <row r="7" ht="42" customHeight="1">
      <c r="A7" s="145" t="n">
        <v>3</v>
      </c>
      <c r="B7" s="142" t="n">
        <v>53270983000142</v>
      </c>
      <c r="C7" s="75" t="inlineStr">
        <is>
          <t>53.270.983/0001-42</t>
        </is>
      </c>
      <c r="D7" s="75" t="inlineStr">
        <is>
          <t>ANGÁ FGTS +AG FUNDO DE INVESTIMENTO EM DIREITOS CREDITÓRIOS - RESPONSABILIDADE LIMITADA</t>
        </is>
      </c>
      <c r="E7" s="75" t="inlineStr">
        <is>
          <t>concluído</t>
        </is>
      </c>
      <c r="F7" s="145" t="n">
        <v>6</v>
      </c>
      <c r="G7" s="75" t="inlineStr">
        <is>
          <t>consultado</t>
        </is>
      </c>
      <c r="H7" s="75" t="inlineStr">
        <is>
          <t>N/D</t>
        </is>
      </c>
      <c r="I7" s="75" t="inlineStr">
        <is>
          <t>N/D</t>
        </is>
      </c>
      <c r="J7" s="75" t="inlineStr">
        <is>
          <t>não encontrado</t>
        </is>
      </c>
      <c r="K7" s="75" t="inlineStr">
        <is>
          <t>N/D</t>
        </is>
      </c>
      <c r="L7" s="75" t="inlineStr">
        <is>
          <t>N/D</t>
        </is>
      </c>
      <c r="M7" s="75" t="inlineStr">
        <is>
          <t>N/D</t>
        </is>
      </c>
      <c r="N7" s="75" t="inlineStr">
        <is>
          <t>N/D</t>
        </is>
      </c>
      <c r="O7" s="75" t="inlineStr">
        <is>
          <t>N/D</t>
        </is>
      </c>
      <c r="P7" s="75" t="inlineStr">
        <is>
          <t>N/D</t>
        </is>
      </c>
      <c r="Q7" s="75" t="inlineStr">
        <is>
          <t>QI Tech</t>
        </is>
      </c>
      <c r="R7" s="75" t="inlineStr">
        <is>
          <t>aceito_payload</t>
        </is>
      </c>
      <c r="S7" s="75" t="inlineStr">
        <is>
          <t>N/D</t>
        </is>
      </c>
      <c r="T7" s="75" t="inlineStr">
        <is>
          <t>IMG_8704.JPG</t>
        </is>
      </c>
      <c r="U7" s="75" t="inlineStr">
        <is>
          <t>2025-04-03</t>
        </is>
      </c>
      <c r="V7" s="75" t="inlineStr">
        <is>
          <t>14</t>
        </is>
      </c>
      <c r="W7" s="75" t="inlineStr">
        <is>
          <t>N/D</t>
        </is>
      </c>
      <c r="X7" s="75" t="inlineStr">
        <is>
          <t>planilha_manual</t>
        </is>
      </c>
      <c r="Y7" s="75" t="inlineStr">
        <is>
          <t>N/D</t>
        </is>
      </c>
      <c r="Z7" s="75" t="inlineStr">
        <is>
          <t>não encontrado</t>
        </is>
      </c>
      <c r="AA7" s="75" t="inlineStr">
        <is>
          <t>N/D</t>
        </is>
      </c>
      <c r="AB7" s="75" t="inlineStr">
        <is>
          <t>N/D</t>
        </is>
      </c>
      <c r="AC7" s="75" t="inlineStr">
        <is>
          <t>N/D</t>
        </is>
      </c>
      <c r="AD7" s="75" t="inlineStr">
        <is>
          <t>N/D</t>
        </is>
      </c>
      <c r="AE7" s="75" t="inlineStr">
        <is>
          <t>N/D</t>
        </is>
      </c>
      <c r="AF7" s="75" t="inlineStr">
        <is>
          <t>N/D</t>
        </is>
      </c>
      <c r="AG7" s="75" t="inlineStr">
        <is>
          <t>N/D</t>
        </is>
      </c>
      <c r="AH7" s="75" t="inlineStr">
        <is>
          <t>não encontrado</t>
        </is>
      </c>
      <c r="AI7" s="75" t="inlineStr">
        <is>
          <t>N/D</t>
        </is>
      </c>
      <c r="AJ7" s="75" t="inlineStr">
        <is>
          <t>N/D</t>
        </is>
      </c>
      <c r="AK7" s="75" t="inlineStr">
        <is>
          <t>N/D</t>
        </is>
      </c>
      <c r="AL7" s="75" t="inlineStr">
        <is>
          <t>N/D</t>
        </is>
      </c>
      <c r="AM7" s="75" t="inlineStr">
        <is>
          <t>N/D</t>
        </is>
      </c>
      <c r="AN7" s="75" t="inlineStr">
        <is>
          <t>N/D</t>
        </is>
      </c>
      <c r="AO7" s="75" t="inlineStr">
        <is>
          <t>8%</t>
        </is>
      </c>
      <c r="AP7" s="75" t="inlineStr">
        <is>
          <t>aceito_payload</t>
        </is>
      </c>
      <c r="AQ7" s="75" t="inlineStr">
        <is>
          <t>junior_pl</t>
        </is>
      </c>
      <c r="AR7" s="75" t="inlineStr">
        <is>
          <t>881263</t>
        </is>
      </c>
      <c r="AS7" s="75" t="inlineStr">
        <is>
          <t>2025-04-03</t>
        </is>
      </c>
      <c r="AT7" s="75" t="inlineStr">
        <is>
          <t>14</t>
        </is>
      </c>
      <c r="AU7" s="75" t="inlineStr">
        <is>
          <t>https://fnet.bmfbovespa.com.br/fnet/publico/downloadDocumento?id=881263</t>
        </is>
      </c>
      <c r="AV7" s="75" t="inlineStr">
        <is>
          <t>payload_documental</t>
        </is>
      </c>
      <c r="AW7" s="75" t="inlineStr">
        <is>
          <t>20%</t>
        </is>
      </c>
      <c r="AX7" s="75" t="inlineStr">
        <is>
          <t>encontrado_explicito</t>
        </is>
      </c>
      <c r="AY7" s="75" t="inlineStr">
        <is>
          <t>suporte_total_pl</t>
        </is>
      </c>
      <c r="AZ7" s="75" t="inlineStr">
        <is>
          <t>881263</t>
        </is>
      </c>
      <c r="BA7" s="75" t="inlineStr">
        <is>
          <t>03/04/2025</t>
        </is>
      </c>
      <c r="BB7" s="75" t="inlineStr">
        <is>
          <t>14</t>
        </is>
      </c>
      <c r="BC7" s="75" t="inlineStr">
        <is>
          <t>https://fnet.bmfbovespa.com.br/fnet/publico/downloadDocumento?id=881263</t>
        </is>
      </c>
      <c r="BD7" s="75" t="inlineStr">
        <is>
          <t>regulamento</t>
        </is>
      </c>
      <c r="BE7" s="75" t="inlineStr">
        <is>
          <t>junior_pl</t>
        </is>
      </c>
      <c r="BF7" s="75" t="inlineStr">
        <is>
          <t>aceito_payload</t>
        </is>
      </c>
      <c r="BG7" s="75" t="inlineStr">
        <is>
          <t>junior_pl</t>
        </is>
      </c>
      <c r="BH7" s="75" t="inlineStr">
        <is>
          <t>881263</t>
        </is>
      </c>
      <c r="BI7" s="75" t="inlineStr">
        <is>
          <t>2025-04-03</t>
        </is>
      </c>
      <c r="BJ7" s="75" t="inlineStr">
        <is>
          <t>14</t>
        </is>
      </c>
      <c r="BK7" s="75" t="inlineStr">
        <is>
          <t>https://fnet.bmfbovespa.com.br/fnet/publico/downloadDocumento?id=881263</t>
        </is>
      </c>
      <c r="BL7" s="75" t="inlineStr">
        <is>
          <t>payload_documental</t>
        </is>
      </c>
    </row>
    <row r="8" ht="42" customHeight="1">
      <c r="A8" s="141" t="n">
        <v>4</v>
      </c>
      <c r="B8" s="138" t="n">
        <v>52968533000165</v>
      </c>
      <c r="C8" s="74" t="inlineStr">
        <is>
          <t>52.968.533/0001-65</t>
        </is>
      </c>
      <c r="D8" s="74" t="inlineStr">
        <is>
          <t>MCPO FUNDO DE INVESTIMENTO EM DIREITOS CREDITÓRIOS</t>
        </is>
      </c>
      <c r="E8" s="74" t="inlineStr">
        <is>
          <t>concluído</t>
        </is>
      </c>
      <c r="F8" s="141" t="n">
        <v>6</v>
      </c>
      <c r="G8" s="74" t="inlineStr">
        <is>
          <t>consultado</t>
        </is>
      </c>
      <c r="H8" s="74" t="inlineStr">
        <is>
          <t>N/D</t>
        </is>
      </c>
      <c r="I8" s="74" t="inlineStr">
        <is>
          <t>N/D</t>
        </is>
      </c>
      <c r="J8" s="74" t="inlineStr">
        <is>
          <t>não encontrado</t>
        </is>
      </c>
      <c r="K8" s="74" t="inlineStr">
        <is>
          <t>N/D</t>
        </is>
      </c>
      <c r="L8" s="74" t="inlineStr">
        <is>
          <t>N/D</t>
        </is>
      </c>
      <c r="M8" s="74" t="inlineStr">
        <is>
          <t>N/D</t>
        </is>
      </c>
      <c r="N8" s="74" t="inlineStr">
        <is>
          <t>N/D</t>
        </is>
      </c>
      <c r="O8" s="74" t="inlineStr">
        <is>
          <t>N/D</t>
        </is>
      </c>
      <c r="P8" s="74" t="inlineStr">
        <is>
          <t>N/D</t>
        </is>
      </c>
      <c r="Q8" s="74" t="inlineStr">
        <is>
          <t>a MAQCAMPO SOLUÇÕES AGRÍCOLAS S.A. , sociedade por ações, com sede na cidade de Brasília, Distrito Federal, no Docusign Envelope ID: 5A498997-5E9C-4FDB-AAA6-D7EDA05D2564</t>
        </is>
      </c>
      <c r="R8" s="74" t="inlineStr">
        <is>
          <t>encontrado_explicito</t>
        </is>
      </c>
      <c r="S8" s="74" t="inlineStr">
        <is>
          <t>N/D</t>
        </is>
      </c>
      <c r="T8" s="74" t="inlineStr">
        <is>
          <t>1049185</t>
        </is>
      </c>
      <c r="U8" s="74" t="inlineStr">
        <is>
          <t>14/10/2025</t>
        </is>
      </c>
      <c r="V8" s="74" t="inlineStr">
        <is>
          <t>57</t>
        </is>
      </c>
      <c r="W8" s="74" t="inlineStr">
        <is>
          <t>https://fnet.bmfbovespa.com.br/fnet/publico/downloadDocumento?id=1049185</t>
        </is>
      </c>
      <c r="X8" s="74" t="inlineStr">
        <is>
          <t>regulamento</t>
        </is>
      </c>
      <c r="Y8" s="74" t="inlineStr">
        <is>
          <t>qualquer cliente da Cedente cujos Direitos Creditórios venham a ser cedidos ao Fundo, observadas as características e condições descritas neste Anexo Descritivo</t>
        </is>
      </c>
      <c r="Z8" s="74" t="inlineStr">
        <is>
          <t>encontrado_explicito</t>
        </is>
      </c>
      <c r="AA8" s="74" t="inlineStr">
        <is>
          <t>N/D</t>
        </is>
      </c>
      <c r="AB8" s="74" t="inlineStr">
        <is>
          <t>1049185</t>
        </is>
      </c>
      <c r="AC8" s="74" t="inlineStr">
        <is>
          <t>14/10/2025</t>
        </is>
      </c>
      <c r="AD8" s="74" t="inlineStr">
        <is>
          <t>63</t>
        </is>
      </c>
      <c r="AE8" s="74" t="inlineStr">
        <is>
          <t>https://fnet.bmfbovespa.com.br/fnet/publico/downloadDocumento?id=1049185</t>
        </is>
      </c>
      <c r="AF8" s="74" t="inlineStr">
        <is>
          <t>regulamento</t>
        </is>
      </c>
      <c r="AG8" s="74" t="inlineStr">
        <is>
          <t>os direitos creditórios performados originados da venda a prazo de Bens, assim como da prestação dos Serviços pela Cedente, representados pelos Documentos Comprobatórios, conforme o caso, detidas pela Cedente contra os Devedores</t>
        </is>
      </c>
      <c r="AH8" s="74" t="inlineStr">
        <is>
          <t>encontrado_explicito</t>
        </is>
      </c>
      <c r="AI8" s="74" t="inlineStr">
        <is>
          <t>N/D</t>
        </is>
      </c>
      <c r="AJ8" s="74" t="inlineStr">
        <is>
          <t>994391</t>
        </is>
      </c>
      <c r="AK8" s="74" t="inlineStr">
        <is>
          <t>06/08/2025</t>
        </is>
      </c>
      <c r="AL8" s="74" t="inlineStr">
        <is>
          <t>63</t>
        </is>
      </c>
      <c r="AM8" s="74" t="inlineStr">
        <is>
          <t>https://fnet.bmfbovespa.com.br/fnet/publico/downloadDocumento?id=994391</t>
        </is>
      </c>
      <c r="AN8" s="74" t="inlineStr">
        <is>
          <t>regulamento</t>
        </is>
      </c>
      <c r="AO8" s="74" t="inlineStr">
        <is>
          <t>N/D</t>
        </is>
      </c>
      <c r="AP8" s="74" t="inlineStr">
        <is>
          <t>não encontrado</t>
        </is>
      </c>
      <c r="AQ8" s="74" t="inlineStr">
        <is>
          <t>N/D</t>
        </is>
      </c>
      <c r="AR8" s="74" t="inlineStr">
        <is>
          <t>N/D</t>
        </is>
      </c>
      <c r="AS8" s="74" t="inlineStr">
        <is>
          <t>N/D</t>
        </is>
      </c>
      <c r="AT8" s="74" t="inlineStr">
        <is>
          <t>N/D</t>
        </is>
      </c>
      <c r="AU8" s="74" t="inlineStr">
        <is>
          <t>N/D</t>
        </is>
      </c>
      <c r="AV8" s="74" t="inlineStr">
        <is>
          <t>N/D</t>
        </is>
      </c>
      <c r="AW8" s="74" t="inlineStr">
        <is>
          <t>20%</t>
        </is>
      </c>
      <c r="AX8" s="74" t="inlineStr">
        <is>
          <t>aceito_payload</t>
        </is>
      </c>
      <c r="AY8" s="74" t="inlineStr">
        <is>
          <t>suporte_total_pl</t>
        </is>
      </c>
      <c r="AZ8" s="74" t="inlineStr">
        <is>
          <t>1049185</t>
        </is>
      </c>
      <c r="BA8" s="74" t="inlineStr">
        <is>
          <t>2025-10-14</t>
        </is>
      </c>
      <c r="BB8" s="74" t="inlineStr">
        <is>
          <t>72</t>
        </is>
      </c>
      <c r="BC8" s="74" t="inlineStr">
        <is>
          <t>https://fnet.bmfbovespa.com.br/fnet/publico/downloadDocumento?id=1049185</t>
        </is>
      </c>
      <c r="BD8" s="74" t="inlineStr">
        <is>
          <t>payload_documental</t>
        </is>
      </c>
      <c r="BE8" s="74" t="inlineStr">
        <is>
          <t>suporte_total_pl</t>
        </is>
      </c>
      <c r="BF8" s="74" t="inlineStr">
        <is>
          <t>aceito_payload</t>
        </is>
      </c>
      <c r="BG8" s="74" t="inlineStr">
        <is>
          <t>suporte_total_pl</t>
        </is>
      </c>
      <c r="BH8" s="74" t="inlineStr">
        <is>
          <t>1049185</t>
        </is>
      </c>
      <c r="BI8" s="74" t="inlineStr">
        <is>
          <t>2025-10-14</t>
        </is>
      </c>
      <c r="BJ8" s="74" t="inlineStr">
        <is>
          <t>72</t>
        </is>
      </c>
      <c r="BK8" s="74" t="inlineStr">
        <is>
          <t>https://fnet.bmfbovespa.com.br/fnet/publico/downloadDocumento?id=1049185</t>
        </is>
      </c>
      <c r="BL8" s="74" t="inlineStr">
        <is>
          <t>payload_documental</t>
        </is>
      </c>
    </row>
    <row r="9" ht="42" customHeight="1">
      <c r="A9" s="145" t="n">
        <v>5</v>
      </c>
      <c r="B9" s="142" t="n">
        <v>52100879000147</v>
      </c>
      <c r="C9" s="75" t="inlineStr">
        <is>
          <t>52.100.879/0001-47</t>
        </is>
      </c>
      <c r="D9" s="75" t="inlineStr">
        <is>
          <t>SOTREQ FUNDO DE INVESTIMENTO EM DIREITOS CREDITÓRIOS - RESPONSABILIDADE LIMITADA</t>
        </is>
      </c>
      <c r="E9" s="75" t="inlineStr">
        <is>
          <t>concluído</t>
        </is>
      </c>
      <c r="F9" s="145" t="n">
        <v>5</v>
      </c>
      <c r="G9" s="75" t="inlineStr">
        <is>
          <t>consultado</t>
        </is>
      </c>
      <c r="H9" s="75" t="inlineStr">
        <is>
          <t>N/D</t>
        </is>
      </c>
      <c r="I9" s="75" t="inlineStr">
        <is>
          <t>N/D</t>
        </is>
      </c>
      <c r="J9" s="75" t="inlineStr">
        <is>
          <t>não encontrado</t>
        </is>
      </c>
      <c r="K9" s="75" t="inlineStr">
        <is>
          <t>N/D</t>
        </is>
      </c>
      <c r="L9" s="75" t="inlineStr">
        <is>
          <t>N/D</t>
        </is>
      </c>
      <c r="M9" s="75" t="inlineStr">
        <is>
          <t>N/D</t>
        </is>
      </c>
      <c r="N9" s="75" t="inlineStr">
        <is>
          <t>N/D</t>
        </is>
      </c>
      <c r="O9" s="75" t="inlineStr">
        <is>
          <t>N/D</t>
        </is>
      </c>
      <c r="P9" s="75" t="inlineStr">
        <is>
          <t>N/D</t>
        </is>
      </c>
      <c r="Q9" s="75" t="inlineStr">
        <is>
          <t>a Sotreq e a Somov, na qualidade de cedentes de Direitos Creditórios, por meio de sua matriz ou de suas filiais. - 9 -</t>
        </is>
      </c>
      <c r="R9" s="75" t="inlineStr">
        <is>
          <t>encontrado_explicito</t>
        </is>
      </c>
      <c r="S9" s="75" t="inlineStr">
        <is>
          <t>N/D</t>
        </is>
      </c>
      <c r="T9" s="75" t="inlineStr">
        <is>
          <t>740367</t>
        </is>
      </c>
      <c r="U9" s="75" t="inlineStr">
        <is>
          <t>17/09/2024</t>
        </is>
      </c>
      <c r="V9" s="75" t="inlineStr">
        <is>
          <t>50</t>
        </is>
      </c>
      <c r="W9" s="75" t="inlineStr">
        <is>
          <t>https://fnet.bmfbovespa.com.br/fnet/publico/downloadDocumento?id=740367</t>
        </is>
      </c>
      <c r="X9" s="75" t="inlineStr">
        <is>
          <t>regulamento</t>
        </is>
      </c>
      <c r="Y9" s="75" t="inlineStr">
        <is>
          <t>N/D</t>
        </is>
      </c>
      <c r="Z9" s="75" t="inlineStr">
        <is>
          <t>não encontrado</t>
        </is>
      </c>
      <c r="AA9" s="75" t="inlineStr">
        <is>
          <t>N/D</t>
        </is>
      </c>
      <c r="AB9" s="75" t="inlineStr">
        <is>
          <t>N/D</t>
        </is>
      </c>
      <c r="AC9" s="75" t="inlineStr">
        <is>
          <t>N/D</t>
        </is>
      </c>
      <c r="AD9" s="75" t="inlineStr">
        <is>
          <t>N/D</t>
        </is>
      </c>
      <c r="AE9" s="75" t="inlineStr">
        <is>
          <t>N/D</t>
        </is>
      </c>
      <c r="AF9" s="75" t="inlineStr">
        <is>
          <t>N/D</t>
        </is>
      </c>
      <c r="AG9" s="75" t="inlineStr">
        <is>
          <t>N/D</t>
        </is>
      </c>
      <c r="AH9" s="75" t="inlineStr">
        <is>
          <t>não encontrado</t>
        </is>
      </c>
      <c r="AI9" s="75" t="inlineStr">
        <is>
          <t>N/D</t>
        </is>
      </c>
      <c r="AJ9" s="75" t="inlineStr">
        <is>
          <t>N/D</t>
        </is>
      </c>
      <c r="AK9" s="75" t="inlineStr">
        <is>
          <t>N/D</t>
        </is>
      </c>
      <c r="AL9" s="75" t="inlineStr">
        <is>
          <t>N/D</t>
        </is>
      </c>
      <c r="AM9" s="75" t="inlineStr">
        <is>
          <t>N/D</t>
        </is>
      </c>
      <c r="AN9" s="75" t="inlineStr">
        <is>
          <t>N/D</t>
        </is>
      </c>
      <c r="AO9" s="75" t="inlineStr">
        <is>
          <t>N/D</t>
        </is>
      </c>
      <c r="AP9" s="75" t="inlineStr">
        <is>
          <t>não encontrado</t>
        </is>
      </c>
      <c r="AQ9" s="75" t="inlineStr">
        <is>
          <t>N/D</t>
        </is>
      </c>
      <c r="AR9" s="75" t="inlineStr">
        <is>
          <t>N/D</t>
        </is>
      </c>
      <c r="AS9" s="75" t="inlineStr">
        <is>
          <t>N/D</t>
        </is>
      </c>
      <c r="AT9" s="75" t="inlineStr">
        <is>
          <t>N/D</t>
        </is>
      </c>
      <c r="AU9" s="75" t="inlineStr">
        <is>
          <t>N/D</t>
        </is>
      </c>
      <c r="AV9" s="75" t="inlineStr">
        <is>
          <t>N/D</t>
        </is>
      </c>
      <c r="AW9" s="75" t="inlineStr">
        <is>
          <t>25%</t>
        </is>
      </c>
      <c r="AX9" s="75" t="inlineStr">
        <is>
          <t>aceito_payload</t>
        </is>
      </c>
      <c r="AY9" s="75" t="inlineStr">
        <is>
          <t>suporte_total_pl</t>
        </is>
      </c>
      <c r="AZ9" s="75" t="inlineStr">
        <is>
          <t>1117315</t>
        </is>
      </c>
      <c r="BA9" s="75" t="inlineStr">
        <is>
          <t>2026-02-06</t>
        </is>
      </c>
      <c r="BB9" s="75" t="inlineStr">
        <is>
          <t>49</t>
        </is>
      </c>
      <c r="BC9" s="75" t="inlineStr">
        <is>
          <t>https://fnet.bmfbovespa.com.br/fnet/publico/downloadDocumento?id=1117315</t>
        </is>
      </c>
      <c r="BD9" s="75" t="inlineStr">
        <is>
          <t>payload_documental</t>
        </is>
      </c>
      <c r="BE9" s="75" t="inlineStr">
        <is>
          <t>suporte_total_pl</t>
        </is>
      </c>
      <c r="BF9" s="75" t="inlineStr">
        <is>
          <t>aceito_payload</t>
        </is>
      </c>
      <c r="BG9" s="75" t="inlineStr">
        <is>
          <t>suporte_total_pl</t>
        </is>
      </c>
      <c r="BH9" s="75" t="inlineStr">
        <is>
          <t>1117315</t>
        </is>
      </c>
      <c r="BI9" s="75" t="inlineStr">
        <is>
          <t>2026-02-06</t>
        </is>
      </c>
      <c r="BJ9" s="75" t="inlineStr">
        <is>
          <t>49</t>
        </is>
      </c>
      <c r="BK9" s="75" t="inlineStr">
        <is>
          <t>https://fnet.bmfbovespa.com.br/fnet/publico/downloadDocumento?id=1117315</t>
        </is>
      </c>
      <c r="BL9" s="75" t="inlineStr">
        <is>
          <t>payload_documental</t>
        </is>
      </c>
    </row>
    <row r="10" ht="42" customHeight="1">
      <c r="A10" s="141" t="n">
        <v>6</v>
      </c>
      <c r="B10" s="138" t="n">
        <v>53662209000187</v>
      </c>
      <c r="C10" s="74" t="inlineStr">
        <is>
          <t>53.662.209/0001-87</t>
        </is>
      </c>
      <c r="D10" s="74" t="inlineStr">
        <is>
          <t>PNEUCASH FUNDO DE INVESTIMENTO EM DIREITOS CREDITÓRIOS DE CLASSE ÚNICA FECHADA - RESP LTDA</t>
        </is>
      </c>
      <c r="E10" s="74" t="inlineStr">
        <is>
          <t>concluído</t>
        </is>
      </c>
      <c r="F10" s="141" t="n">
        <v>9</v>
      </c>
      <c r="G10" s="74" t="inlineStr">
        <is>
          <t>consultado</t>
        </is>
      </c>
      <c r="H10" s="74" t="inlineStr">
        <is>
          <t>N/D</t>
        </is>
      </c>
      <c r="I10" s="74" t="inlineStr">
        <is>
          <t>N/D</t>
        </is>
      </c>
      <c r="J10" s="74" t="inlineStr">
        <is>
          <t>não encontrado</t>
        </is>
      </c>
      <c r="K10" s="74" t="inlineStr">
        <is>
          <t>N/D</t>
        </is>
      </c>
      <c r="L10" s="74" t="inlineStr">
        <is>
          <t>N/D</t>
        </is>
      </c>
      <c r="M10" s="74" t="inlineStr">
        <is>
          <t>N/D</t>
        </is>
      </c>
      <c r="N10" s="74" t="inlineStr">
        <is>
          <t>N/D</t>
        </is>
      </c>
      <c r="O10" s="74" t="inlineStr">
        <is>
          <t>N/D</t>
        </is>
      </c>
      <c r="P10" s="74" t="inlineStr">
        <is>
          <t>N/D</t>
        </is>
      </c>
      <c r="Q10" s="74" t="inlineStr">
        <is>
          <t>Cantu Store</t>
        </is>
      </c>
      <c r="R10" s="74" t="inlineStr">
        <is>
          <t>aceito_payload</t>
        </is>
      </c>
      <c r="S10" s="74" t="inlineStr">
        <is>
          <t>N/D</t>
        </is>
      </c>
      <c r="T10" s="74" t="inlineStr">
        <is>
          <t>IMG_8704.JPG</t>
        </is>
      </c>
      <c r="U10" s="74" t="inlineStr">
        <is>
          <t>2026-06-30</t>
        </is>
      </c>
      <c r="V10" s="74" t="inlineStr">
        <is>
          <t>49</t>
        </is>
      </c>
      <c r="W10" s="74" t="inlineStr">
        <is>
          <t>N/D</t>
        </is>
      </c>
      <c r="X10" s="74" t="inlineStr">
        <is>
          <t>planilha_manual</t>
        </is>
      </c>
      <c r="Y10" s="74" t="inlineStr">
        <is>
          <t>os devedores (sacados), pessoas físicas ou jurídicas, que tenham estabelecido relação de consumo dos Direitos Creditórios com as Cedentes</t>
        </is>
      </c>
      <c r="Z10" s="74" t="inlineStr">
        <is>
          <t>encontrado_explicito</t>
        </is>
      </c>
      <c r="AA10" s="74" t="inlineStr">
        <is>
          <t>N/D</t>
        </is>
      </c>
      <c r="AB10" s="74" t="inlineStr">
        <is>
          <t>1239751</t>
        </is>
      </c>
      <c r="AC10" s="74" t="inlineStr">
        <is>
          <t>30/06/2026</t>
        </is>
      </c>
      <c r="AD10" s="74" t="inlineStr">
        <is>
          <t>7</t>
        </is>
      </c>
      <c r="AE10" s="74" t="inlineStr">
        <is>
          <t>https://fnet.bmfbovespa.com.br/fnet/publico/downloadDocumento?id=1239751</t>
        </is>
      </c>
      <c r="AF10" s="74" t="inlineStr">
        <is>
          <t>regulamento</t>
        </is>
      </c>
      <c r="AG10" s="74" t="inlineStr">
        <is>
          <t>N/D</t>
        </is>
      </c>
      <c r="AH10" s="74" t="inlineStr">
        <is>
          <t>não encontrado</t>
        </is>
      </c>
      <c r="AI10" s="74" t="inlineStr">
        <is>
          <t>N/D</t>
        </is>
      </c>
      <c r="AJ10" s="74" t="inlineStr">
        <is>
          <t>N/D</t>
        </is>
      </c>
      <c r="AK10" s="74" t="inlineStr">
        <is>
          <t>N/D</t>
        </is>
      </c>
      <c r="AL10" s="74" t="inlineStr">
        <is>
          <t>N/D</t>
        </is>
      </c>
      <c r="AM10" s="74" t="inlineStr">
        <is>
          <t>N/D</t>
        </is>
      </c>
      <c r="AN10" s="74" t="inlineStr">
        <is>
          <t>N/D</t>
        </is>
      </c>
      <c r="AO10" s="74" t="inlineStr">
        <is>
          <t>N/D</t>
        </is>
      </c>
      <c r="AP10" s="74" t="inlineStr">
        <is>
          <t>não encontrado</t>
        </is>
      </c>
      <c r="AQ10" s="74" t="inlineStr">
        <is>
          <t>N/D</t>
        </is>
      </c>
      <c r="AR10" s="74" t="inlineStr">
        <is>
          <t>N/D</t>
        </is>
      </c>
      <c r="AS10" s="74" t="inlineStr">
        <is>
          <t>N/D</t>
        </is>
      </c>
      <c r="AT10" s="74" t="inlineStr">
        <is>
          <t>N/D</t>
        </is>
      </c>
      <c r="AU10" s="74" t="inlineStr">
        <is>
          <t>N/D</t>
        </is>
      </c>
      <c r="AV10" s="74" t="inlineStr">
        <is>
          <t>N/D</t>
        </is>
      </c>
      <c r="AW10" s="74" t="inlineStr">
        <is>
          <t>20%</t>
        </is>
      </c>
      <c r="AX10" s="74" t="inlineStr">
        <is>
          <t>aceito_payload</t>
        </is>
      </c>
      <c r="AY10" s="74" t="inlineStr">
        <is>
          <t>suporte_total_pl</t>
        </is>
      </c>
      <c r="AZ10" s="74" t="inlineStr">
        <is>
          <t>1239751</t>
        </is>
      </c>
      <c r="BA10" s="74" t="inlineStr">
        <is>
          <t>2026-06-30</t>
        </is>
      </c>
      <c r="BB10" s="74" t="inlineStr">
        <is>
          <t>49</t>
        </is>
      </c>
      <c r="BC10" s="74" t="inlineStr">
        <is>
          <t>https://fnet.bmfbovespa.com.br/fnet/publico/downloadDocumento?id=1239751</t>
        </is>
      </c>
      <c r="BD10" s="74" t="inlineStr">
        <is>
          <t>payload_documental</t>
        </is>
      </c>
      <c r="BE10" s="74" t="inlineStr">
        <is>
          <t>suporte_total_pl</t>
        </is>
      </c>
      <c r="BF10" s="74" t="inlineStr">
        <is>
          <t>aceito_payload</t>
        </is>
      </c>
      <c r="BG10" s="74" t="inlineStr">
        <is>
          <t>suporte_total_pl</t>
        </is>
      </c>
      <c r="BH10" s="74" t="inlineStr">
        <is>
          <t>1239751</t>
        </is>
      </c>
      <c r="BI10" s="74" t="inlineStr">
        <is>
          <t>2026-06-30</t>
        </is>
      </c>
      <c r="BJ10" s="74" t="inlineStr">
        <is>
          <t>49</t>
        </is>
      </c>
      <c r="BK10" s="74" t="inlineStr">
        <is>
          <t>https://fnet.bmfbovespa.com.br/fnet/publico/downloadDocumento?id=1239751</t>
        </is>
      </c>
      <c r="BL10" s="74" t="inlineStr">
        <is>
          <t>payload_documental</t>
        </is>
      </c>
    </row>
    <row r="11" ht="42" customHeight="1">
      <c r="A11" s="145" t="n">
        <v>7</v>
      </c>
      <c r="B11" s="142" t="n">
        <v>53577135000180</v>
      </c>
      <c r="C11" s="75" t="inlineStr">
        <is>
          <t>53.577.135/0001-80</t>
        </is>
      </c>
      <c r="D11" s="75" t="inlineStr">
        <is>
          <t>ANGÁ FGTS II FUNDO DE INVESTIMENTO EM DIREITOS CREDITÓRIOS - RESPONSABILIDADE LIMITADA</t>
        </is>
      </c>
      <c r="E11" s="75" t="inlineStr">
        <is>
          <t>concluído</t>
        </is>
      </c>
      <c r="F11" s="145" t="n">
        <v>6</v>
      </c>
      <c r="G11" s="75" t="inlineStr">
        <is>
          <t>consultado</t>
        </is>
      </c>
      <c r="H11" s="75" t="inlineStr">
        <is>
          <t>N/D</t>
        </is>
      </c>
      <c r="I11" s="75" t="inlineStr">
        <is>
          <t>N/D</t>
        </is>
      </c>
      <c r="J11" s="75" t="inlineStr">
        <is>
          <t>não encontrado</t>
        </is>
      </c>
      <c r="K11" s="75" t="inlineStr">
        <is>
          <t>N/D</t>
        </is>
      </c>
      <c r="L11" s="75" t="inlineStr">
        <is>
          <t>N/D</t>
        </is>
      </c>
      <c r="M11" s="75" t="inlineStr">
        <is>
          <t>N/D</t>
        </is>
      </c>
      <c r="N11" s="75" t="inlineStr">
        <is>
          <t>N/D</t>
        </is>
      </c>
      <c r="O11" s="75" t="inlineStr">
        <is>
          <t>N/D</t>
        </is>
      </c>
      <c r="P11" s="75" t="inlineStr">
        <is>
          <t>N/D</t>
        </is>
      </c>
      <c r="Q11" s="75" t="inlineStr">
        <is>
          <t>QI Tech</t>
        </is>
      </c>
      <c r="R11" s="75" t="inlineStr">
        <is>
          <t>aceito_payload</t>
        </is>
      </c>
      <c r="S11" s="75" t="inlineStr">
        <is>
          <t>N/D</t>
        </is>
      </c>
      <c r="T11" s="75" t="inlineStr">
        <is>
          <t>IMG_8704.JPG</t>
        </is>
      </c>
      <c r="U11" s="75" t="inlineStr">
        <is>
          <t>2026-06-18</t>
        </is>
      </c>
      <c r="V11" s="75" t="inlineStr">
        <is>
          <t>17</t>
        </is>
      </c>
      <c r="W11" s="75" t="inlineStr">
        <is>
          <t>N/D</t>
        </is>
      </c>
      <c r="X11" s="75" t="inlineStr">
        <is>
          <t>planilha_manual</t>
        </is>
      </c>
      <c r="Y11" s="75" t="inlineStr">
        <is>
          <t>N/D</t>
        </is>
      </c>
      <c r="Z11" s="75" t="inlineStr">
        <is>
          <t>não encontrado</t>
        </is>
      </c>
      <c r="AA11" s="75" t="inlineStr">
        <is>
          <t>N/D</t>
        </is>
      </c>
      <c r="AB11" s="75" t="inlineStr">
        <is>
          <t>N/D</t>
        </is>
      </c>
      <c r="AC11" s="75" t="inlineStr">
        <is>
          <t>N/D</t>
        </is>
      </c>
      <c r="AD11" s="75" t="inlineStr">
        <is>
          <t>N/D</t>
        </is>
      </c>
      <c r="AE11" s="75" t="inlineStr">
        <is>
          <t>N/D</t>
        </is>
      </c>
      <c r="AF11" s="75" t="inlineStr">
        <is>
          <t>N/D</t>
        </is>
      </c>
      <c r="AG11" s="75" t="inlineStr">
        <is>
          <t>Crédito FGTS</t>
        </is>
      </c>
      <c r="AH11" s="75" t="inlineStr">
        <is>
          <t>aceito_payload</t>
        </is>
      </c>
      <c r="AI11" s="75" t="inlineStr">
        <is>
          <t>N/D</t>
        </is>
      </c>
      <c r="AJ11" s="75" t="inlineStr">
        <is>
          <t>IMG_8704.JPG</t>
        </is>
      </c>
      <c r="AK11" s="75" t="inlineStr">
        <is>
          <t>2026-06-18</t>
        </is>
      </c>
      <c r="AL11" s="75" t="inlineStr">
        <is>
          <t>17</t>
        </is>
      </c>
      <c r="AM11" s="75" t="inlineStr">
        <is>
          <t>N/D</t>
        </is>
      </c>
      <c r="AN11" s="75" t="inlineStr">
        <is>
          <t>planilha_manual</t>
        </is>
      </c>
      <c r="AO11" s="75" t="inlineStr">
        <is>
          <t>15%</t>
        </is>
      </c>
      <c r="AP11" s="75" t="inlineStr">
        <is>
          <t>aceito_payload</t>
        </is>
      </c>
      <c r="AQ11" s="75" t="inlineStr">
        <is>
          <t>junior_pl</t>
        </is>
      </c>
      <c r="AR11" s="75" t="inlineStr">
        <is>
          <t>1224059</t>
        </is>
      </c>
      <c r="AS11" s="75" t="inlineStr">
        <is>
          <t>2026-06-18</t>
        </is>
      </c>
      <c r="AT11" s="75" t="inlineStr">
        <is>
          <t>17</t>
        </is>
      </c>
      <c r="AU11" s="75" t="inlineStr">
        <is>
          <t>https://fnet.bmfbovespa.com.br/fnet/publico/downloadDocumento?id=1224059</t>
        </is>
      </c>
      <c r="AV11" s="75" t="inlineStr">
        <is>
          <t>payload_documental</t>
        </is>
      </c>
      <c r="AW11" s="75" t="inlineStr">
        <is>
          <t>N/D</t>
        </is>
      </c>
      <c r="AX11" s="75" t="inlineStr">
        <is>
          <t>não encontrado</t>
        </is>
      </c>
      <c r="AY11" s="75" t="inlineStr">
        <is>
          <t>N/D</t>
        </is>
      </c>
      <c r="AZ11" s="75" t="inlineStr">
        <is>
          <t>N/D</t>
        </is>
      </c>
      <c r="BA11" s="75" t="inlineStr">
        <is>
          <t>N/D</t>
        </is>
      </c>
      <c r="BB11" s="75" t="inlineStr">
        <is>
          <t>N/D</t>
        </is>
      </c>
      <c r="BC11" s="75" t="inlineStr">
        <is>
          <t>N/D</t>
        </is>
      </c>
      <c r="BD11" s="75" t="inlineStr">
        <is>
          <t>N/D</t>
        </is>
      </c>
      <c r="BE11" s="75" t="inlineStr">
        <is>
          <t>junior_pl</t>
        </is>
      </c>
      <c r="BF11" s="75" t="inlineStr">
        <is>
          <t>aceito_payload</t>
        </is>
      </c>
      <c r="BG11" s="75" t="inlineStr">
        <is>
          <t>junior_pl</t>
        </is>
      </c>
      <c r="BH11" s="75" t="inlineStr">
        <is>
          <t>1224059</t>
        </is>
      </c>
      <c r="BI11" s="75" t="inlineStr">
        <is>
          <t>2026-06-18</t>
        </is>
      </c>
      <c r="BJ11" s="75" t="inlineStr">
        <is>
          <t>17</t>
        </is>
      </c>
      <c r="BK11" s="75" t="inlineStr">
        <is>
          <t>https://fnet.bmfbovespa.com.br/fnet/publico/downloadDocumento?id=1224059</t>
        </is>
      </c>
      <c r="BL11" s="75" t="inlineStr">
        <is>
          <t>payload_documental</t>
        </is>
      </c>
    </row>
    <row r="12" ht="42" customHeight="1">
      <c r="A12" s="141" t="n">
        <v>8</v>
      </c>
      <c r="B12" s="138" t="n">
        <v>62626887000185</v>
      </c>
      <c r="C12" s="74" t="inlineStr">
        <is>
          <t>62.626.887/0001-85</t>
        </is>
      </c>
      <c r="D12" s="74" t="inlineStr">
        <is>
          <t>SUMUP SMART IV FIDC SEGMENTO MEIOS DE PAGAMENTO DE RESPONSABILIDADE LIMITADA</t>
        </is>
      </c>
      <c r="E12" s="74" t="inlineStr">
        <is>
          <t>concluído</t>
        </is>
      </c>
      <c r="F12" s="141" t="n">
        <v>9</v>
      </c>
      <c r="G12" s="74" t="inlineStr">
        <is>
          <t>consultado</t>
        </is>
      </c>
      <c r="H12" s="74" t="inlineStr">
        <is>
          <t>N/D</t>
        </is>
      </c>
      <c r="I12" s="74" t="inlineStr">
        <is>
          <t>N/D</t>
        </is>
      </c>
      <c r="J12" s="74" t="inlineStr">
        <is>
          <t>não encontrado</t>
        </is>
      </c>
      <c r="K12" s="74" t="inlineStr">
        <is>
          <t>N/D</t>
        </is>
      </c>
      <c r="L12" s="74" t="inlineStr">
        <is>
          <t>N/D</t>
        </is>
      </c>
      <c r="M12" s="74" t="inlineStr">
        <is>
          <t>N/D</t>
        </is>
      </c>
      <c r="N12" s="74" t="inlineStr">
        <is>
          <t>N/D</t>
        </is>
      </c>
      <c r="O12" s="74" t="inlineStr">
        <is>
          <t>N/D</t>
        </is>
      </c>
      <c r="P12" s="74" t="inlineStr">
        <is>
          <t>N/D</t>
        </is>
      </c>
      <c r="Q12" s="74" t="inlineStr">
        <is>
          <t>a SUMUP INSTITUIÇÃO DE PAGAMENTO BRASIL LTDA., sociedade limitada com sede na Cidade e Estado de São Paulo, na Rua Gilberto Sabino, nº 215, 10º andar, Pinheiros, CEP: 05425-020, inscrita no CNPJ/MF sob o nº 16.668.076/0001-20</t>
        </is>
      </c>
      <c r="R12" s="74" t="inlineStr">
        <is>
          <t>encontrado_explicito</t>
        </is>
      </c>
      <c r="S12" s="74" t="inlineStr">
        <is>
          <t>N/D</t>
        </is>
      </c>
      <c r="T12" s="74" t="inlineStr">
        <is>
          <t>1152823</t>
        </is>
      </c>
      <c r="U12" s="74" t="inlineStr">
        <is>
          <t>2026-03-31</t>
        </is>
      </c>
      <c r="V12" s="74" t="inlineStr">
        <is>
          <t>89</t>
        </is>
      </c>
      <c r="W12" s="74" t="inlineStr">
        <is>
          <t>https://fnet.bmfbovespa.com.br/fnet/publico/downloadDocumento?id=1152823</t>
        </is>
      </c>
      <c r="X12" s="74" t="inlineStr">
        <is>
          <t>regulamento</t>
        </is>
      </c>
      <c r="Y12" s="74" t="inlineStr">
        <is>
          <t>os Emissores</t>
        </is>
      </c>
      <c r="Z12" s="74" t="inlineStr">
        <is>
          <t>encontrado_explicito</t>
        </is>
      </c>
      <c r="AA12" s="74" t="inlineStr">
        <is>
          <t>N/D</t>
        </is>
      </c>
      <c r="AB12" s="74" t="inlineStr">
        <is>
          <t>1152823</t>
        </is>
      </c>
      <c r="AC12" s="74" t="inlineStr">
        <is>
          <t>2026-03-31</t>
        </is>
      </c>
      <c r="AD12" s="74" t="inlineStr">
        <is>
          <t>92</t>
        </is>
      </c>
      <c r="AE12" s="74" t="inlineStr">
        <is>
          <t>https://fnet.bmfbovespa.com.br/fnet/publico/downloadDocumento?id=1152823</t>
        </is>
      </c>
      <c r="AF12" s="74" t="inlineStr">
        <is>
          <t>regulamento</t>
        </is>
      </c>
      <c r="AG12" s="74"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AH12" s="74" t="inlineStr">
        <is>
          <t>encontrado_explicito</t>
        </is>
      </c>
      <c r="AI12" s="74" t="inlineStr">
        <is>
          <t>N/D</t>
        </is>
      </c>
      <c r="AJ12" s="74" t="inlineStr">
        <is>
          <t>1152823</t>
        </is>
      </c>
      <c r="AK12" s="74" t="inlineStr">
        <is>
          <t>2026-03-31</t>
        </is>
      </c>
      <c r="AL12" s="74" t="inlineStr">
        <is>
          <t>93</t>
        </is>
      </c>
      <c r="AM12" s="74" t="inlineStr">
        <is>
          <t>https://fnet.bmfbovespa.com.br/fnet/publico/downloadDocumento?id=1152823</t>
        </is>
      </c>
      <c r="AN12" s="74" t="inlineStr">
        <is>
          <t>regulamento</t>
        </is>
      </c>
      <c r="AO12" s="74" t="inlineStr">
        <is>
          <t>2.9%</t>
        </is>
      </c>
      <c r="AP12" s="74" t="inlineStr">
        <is>
          <t>aceito_payload</t>
        </is>
      </c>
      <c r="AQ12" s="74" t="inlineStr">
        <is>
          <t>junior_pl</t>
        </is>
      </c>
      <c r="AR12" s="74" t="inlineStr">
        <is>
          <t>1152823</t>
        </is>
      </c>
      <c r="AS12" s="74" t="inlineStr">
        <is>
          <t>2026-03-31</t>
        </is>
      </c>
      <c r="AT12" s="74" t="inlineStr">
        <is>
          <t>96</t>
        </is>
      </c>
      <c r="AU12" s="74" t="inlineStr">
        <is>
          <t>https://fnet.bmfbovespa.com.br/fnet/publico/downloadDocumento?id=1152823</t>
        </is>
      </c>
      <c r="AV12" s="74" t="inlineStr">
        <is>
          <t>payload_documental</t>
        </is>
      </c>
      <c r="AW12" s="74" t="inlineStr">
        <is>
          <t>N/D</t>
        </is>
      </c>
      <c r="AX12" s="74" t="inlineStr">
        <is>
          <t>não encontrado</t>
        </is>
      </c>
      <c r="AY12" s="74" t="inlineStr">
        <is>
          <t>N/D</t>
        </is>
      </c>
      <c r="AZ12" s="74" t="inlineStr">
        <is>
          <t>N/D</t>
        </is>
      </c>
      <c r="BA12" s="74" t="inlineStr">
        <is>
          <t>N/D</t>
        </is>
      </c>
      <c r="BB12" s="74" t="inlineStr">
        <is>
          <t>N/D</t>
        </is>
      </c>
      <c r="BC12" s="74" t="inlineStr">
        <is>
          <t>N/D</t>
        </is>
      </c>
      <c r="BD12" s="74" t="inlineStr">
        <is>
          <t>N/D</t>
        </is>
      </c>
      <c r="BE12" s="74" t="inlineStr">
        <is>
          <t>junior_pl</t>
        </is>
      </c>
      <c r="BF12" s="74" t="inlineStr">
        <is>
          <t>aceito_payload</t>
        </is>
      </c>
      <c r="BG12" s="74" t="inlineStr">
        <is>
          <t>junior_pl</t>
        </is>
      </c>
      <c r="BH12" s="74" t="inlineStr">
        <is>
          <t>1152823</t>
        </is>
      </c>
      <c r="BI12" s="74" t="inlineStr">
        <is>
          <t>2026-03-31</t>
        </is>
      </c>
      <c r="BJ12" s="74" t="inlineStr">
        <is>
          <t>96</t>
        </is>
      </c>
      <c r="BK12" s="74" t="inlineStr">
        <is>
          <t>https://fnet.bmfbovespa.com.br/fnet/publico/downloadDocumento?id=1152823</t>
        </is>
      </c>
      <c r="BL12" s="74" t="inlineStr">
        <is>
          <t>payload_documental</t>
        </is>
      </c>
    </row>
    <row r="13" ht="42" customHeight="1">
      <c r="A13" s="145" t="n">
        <v>9</v>
      </c>
      <c r="B13" s="142" t="n">
        <v>50098465000103</v>
      </c>
      <c r="C13" s="75" t="inlineStr">
        <is>
          <t>50.098.465/0001-03</t>
        </is>
      </c>
      <c r="D13" s="75" t="inlineStr">
        <is>
          <t>CHEMICAL XIII - FUNDO DE INVESTIMENTO EM DIREITOS CREDITÓRIOS - INDÚSTRIA PETROQUÍMICA</t>
        </is>
      </c>
      <c r="E13" s="75" t="inlineStr">
        <is>
          <t>concluído</t>
        </is>
      </c>
      <c r="F13" s="145" t="n">
        <v>8</v>
      </c>
      <c r="G13" s="75" t="inlineStr">
        <is>
          <t>consultado</t>
        </is>
      </c>
      <c r="H13" s="75" t="inlineStr">
        <is>
          <t>N/D</t>
        </is>
      </c>
      <c r="I13" s="75" t="inlineStr">
        <is>
          <t>Braskem S .A.</t>
        </is>
      </c>
      <c r="J13" s="75" t="inlineStr">
        <is>
          <t>encontrado_explicito</t>
        </is>
      </c>
      <c r="K13" s="75" t="inlineStr">
        <is>
          <t>rótulo explícito de participante v2</t>
        </is>
      </c>
      <c r="L13" s="75" t="inlineStr">
        <is>
          <t>903310</t>
        </is>
      </c>
      <c r="M13" s="75" t="inlineStr">
        <is>
          <t>31/03/2025</t>
        </is>
      </c>
      <c r="N13" s="75" t="inlineStr">
        <is>
          <t>1</t>
        </is>
      </c>
      <c r="O13" s="75" t="inlineStr">
        <is>
          <t>https://fnet.bmfbovespa.com.br/fnet/publico/downloadDocumento?id=903310</t>
        </is>
      </c>
      <c r="P13" s="75" t="inlineStr">
        <is>
          <t>rating_report</t>
        </is>
      </c>
      <c r="Q13" s="75" t="inlineStr">
        <is>
          <t>Braskem</t>
        </is>
      </c>
      <c r="R13" s="75" t="inlineStr">
        <is>
          <t>aceito_payload</t>
        </is>
      </c>
      <c r="S13" s="75" t="inlineStr">
        <is>
          <t>N/D</t>
        </is>
      </c>
      <c r="T13" s="75" t="inlineStr">
        <is>
          <t>IMG_8704.JPG</t>
        </is>
      </c>
      <c r="U13" s="75" t="inlineStr">
        <is>
          <t>2024-07-01</t>
        </is>
      </c>
      <c r="V13" s="75" t="inlineStr">
        <is>
          <t>15</t>
        </is>
      </c>
      <c r="W13" s="75" t="inlineStr">
        <is>
          <t>N/D</t>
        </is>
      </c>
      <c r="X13" s="75" t="inlineStr">
        <is>
          <t>planilha_manual</t>
        </is>
      </c>
      <c r="Y13" s="75" t="inlineStr">
        <is>
          <t>N/D</t>
        </is>
      </c>
      <c r="Z13" s="75" t="inlineStr">
        <is>
          <t>não encontrado</t>
        </is>
      </c>
      <c r="AA13" s="75" t="inlineStr">
        <is>
          <t>N/D</t>
        </is>
      </c>
      <c r="AB13" s="75" t="inlineStr">
        <is>
          <t>N/D</t>
        </is>
      </c>
      <c r="AC13" s="75" t="inlineStr">
        <is>
          <t>N/D</t>
        </is>
      </c>
      <c r="AD13" s="75" t="inlineStr">
        <is>
          <t>N/D</t>
        </is>
      </c>
      <c r="AE13" s="75" t="inlineStr">
        <is>
          <t>N/D</t>
        </is>
      </c>
      <c r="AF13" s="75" t="inlineStr">
        <is>
          <t>N/D</t>
        </is>
      </c>
      <c r="AG13" s="75" t="inlineStr">
        <is>
          <t>N/D</t>
        </is>
      </c>
      <c r="AH13" s="75" t="inlineStr">
        <is>
          <t>não encontrado</t>
        </is>
      </c>
      <c r="AI13" s="75" t="inlineStr">
        <is>
          <t>N/D</t>
        </is>
      </c>
      <c r="AJ13" s="75" t="inlineStr">
        <is>
          <t>N/D</t>
        </is>
      </c>
      <c r="AK13" s="75" t="inlineStr">
        <is>
          <t>N/D</t>
        </is>
      </c>
      <c r="AL13" s="75" t="inlineStr">
        <is>
          <t>N/D</t>
        </is>
      </c>
      <c r="AM13" s="75" t="inlineStr">
        <is>
          <t>N/D</t>
        </is>
      </c>
      <c r="AN13" s="75" t="inlineStr">
        <is>
          <t>N/D</t>
        </is>
      </c>
      <c r="AO13" s="75" t="inlineStr">
        <is>
          <t>N/D</t>
        </is>
      </c>
      <c r="AP13" s="75" t="inlineStr">
        <is>
          <t>não encontrado</t>
        </is>
      </c>
      <c r="AQ13" s="75" t="inlineStr">
        <is>
          <t>N/D</t>
        </is>
      </c>
      <c r="AR13" s="75" t="inlineStr">
        <is>
          <t>N/D</t>
        </is>
      </c>
      <c r="AS13" s="75" t="inlineStr">
        <is>
          <t>N/D</t>
        </is>
      </c>
      <c r="AT13" s="75" t="inlineStr">
        <is>
          <t>N/D</t>
        </is>
      </c>
      <c r="AU13" s="75" t="inlineStr">
        <is>
          <t>N/D</t>
        </is>
      </c>
      <c r="AV13" s="75" t="inlineStr">
        <is>
          <t>N/D</t>
        </is>
      </c>
      <c r="AW13" s="75" t="inlineStr">
        <is>
          <t>9.2%</t>
        </is>
      </c>
      <c r="AX13" s="75" t="inlineStr">
        <is>
          <t>aceito_payload</t>
        </is>
      </c>
      <c r="AY13" s="75" t="inlineStr">
        <is>
          <t>suporte_combinado_pl</t>
        </is>
      </c>
      <c r="AZ13" s="75" t="inlineStr">
        <is>
          <t>690567</t>
        </is>
      </c>
      <c r="BA13" s="75" t="inlineStr">
        <is>
          <t>2024-07-01</t>
        </is>
      </c>
      <c r="BB13" s="75" t="inlineStr">
        <is>
          <t>15</t>
        </is>
      </c>
      <c r="BC13" s="75" t="inlineStr">
        <is>
          <t>https://fnet.bmfbovespa.com.br/fnet/publico/downloadDocumento?id=690567</t>
        </is>
      </c>
      <c r="BD13" s="75" t="inlineStr">
        <is>
          <t>payload_documental</t>
        </is>
      </c>
      <c r="BE13" s="75" t="inlineStr">
        <is>
          <t>suporte_combinado_pl</t>
        </is>
      </c>
      <c r="BF13" s="75" t="inlineStr">
        <is>
          <t>aceito_payload</t>
        </is>
      </c>
      <c r="BG13" s="75" t="inlineStr">
        <is>
          <t>suporte_combinado_pl</t>
        </is>
      </c>
      <c r="BH13" s="75" t="inlineStr">
        <is>
          <t>690567</t>
        </is>
      </c>
      <c r="BI13" s="75" t="inlineStr">
        <is>
          <t>2024-07-01</t>
        </is>
      </c>
      <c r="BJ13" s="75" t="inlineStr">
        <is>
          <t>15</t>
        </is>
      </c>
      <c r="BK13" s="75" t="inlineStr">
        <is>
          <t>https://fnet.bmfbovespa.com.br/fnet/publico/downloadDocumento?id=690567</t>
        </is>
      </c>
      <c r="BL13" s="75" t="inlineStr">
        <is>
          <t>payload_documental</t>
        </is>
      </c>
    </row>
    <row r="14" ht="42" customHeight="1">
      <c r="A14" s="141" t="n">
        <v>10</v>
      </c>
      <c r="B14" s="138" t="n">
        <v>48967719000122</v>
      </c>
      <c r="C14" s="74" t="inlineStr">
        <is>
          <t>48.967.719/0001-22</t>
        </is>
      </c>
      <c r="D14" s="74" t="inlineStr">
        <is>
          <t>SOULPAY FUNDO DE INVESTIMENTO EM DIREITOS CREDITÓRIOS</t>
        </is>
      </c>
      <c r="E14" s="74" t="inlineStr">
        <is>
          <t>concluído</t>
        </is>
      </c>
      <c r="F14" s="141" t="n">
        <v>7</v>
      </c>
      <c r="G14" s="74" t="inlineStr">
        <is>
          <t>consultado</t>
        </is>
      </c>
      <c r="H14" s="74" t="inlineStr">
        <is>
          <t>N/D</t>
        </is>
      </c>
      <c r="I14" s="74" t="inlineStr">
        <is>
          <t>N/D</t>
        </is>
      </c>
      <c r="J14" s="74" t="inlineStr">
        <is>
          <t>não encontrado</t>
        </is>
      </c>
      <c r="K14" s="74" t="inlineStr">
        <is>
          <t>N/D</t>
        </is>
      </c>
      <c r="L14" s="74" t="inlineStr">
        <is>
          <t>N/D</t>
        </is>
      </c>
      <c r="M14" s="74" t="inlineStr">
        <is>
          <t>N/D</t>
        </is>
      </c>
      <c r="N14" s="74" t="inlineStr">
        <is>
          <t>N/D</t>
        </is>
      </c>
      <c r="O14" s="74" t="inlineStr">
        <is>
          <t>N/D</t>
        </is>
      </c>
      <c r="P14" s="74" t="inlineStr">
        <is>
          <t>N/D</t>
        </is>
      </c>
      <c r="Q14" s="74" t="inlineStr">
        <is>
          <t>Soulpay Soluções de Pagamentos</t>
        </is>
      </c>
      <c r="R14" s="74" t="inlineStr">
        <is>
          <t>aceito_payload</t>
        </is>
      </c>
      <c r="S14" s="74" t="inlineStr">
        <is>
          <t>N/D</t>
        </is>
      </c>
      <c r="T14" s="74" t="inlineStr">
        <is>
          <t>IMG_8704.JPG</t>
        </is>
      </c>
      <c r="U14" s="74" t="inlineStr">
        <is>
          <t>2024-11-22</t>
        </is>
      </c>
      <c r="V14" s="74" t="inlineStr">
        <is>
          <t>82</t>
        </is>
      </c>
      <c r="W14" s="74" t="inlineStr">
        <is>
          <t>N/D</t>
        </is>
      </c>
      <c r="X14" s="74" t="inlineStr">
        <is>
          <t>planilha_manual</t>
        </is>
      </c>
      <c r="Y14" s="74" t="inlineStr">
        <is>
          <t>N/D</t>
        </is>
      </c>
      <c r="Z14" s="74" t="inlineStr">
        <is>
          <t>não encontrado</t>
        </is>
      </c>
      <c r="AA14" s="74" t="inlineStr">
        <is>
          <t>N/D</t>
        </is>
      </c>
      <c r="AB14" s="74" t="inlineStr">
        <is>
          <t>N/D</t>
        </is>
      </c>
      <c r="AC14" s="74" t="inlineStr">
        <is>
          <t>N/D</t>
        </is>
      </c>
      <c r="AD14" s="74" t="inlineStr">
        <is>
          <t>N/D</t>
        </is>
      </c>
      <c r="AE14" s="74" t="inlineStr">
        <is>
          <t>N/D</t>
        </is>
      </c>
      <c r="AF14" s="74" t="inlineStr">
        <is>
          <t>N/D</t>
        </is>
      </c>
      <c r="AG14" s="74" t="inlineStr">
        <is>
          <t>N/D</t>
        </is>
      </c>
      <c r="AH14" s="74" t="inlineStr">
        <is>
          <t>não encontrado</t>
        </is>
      </c>
      <c r="AI14" s="74" t="inlineStr">
        <is>
          <t>N/D</t>
        </is>
      </c>
      <c r="AJ14" s="74" t="inlineStr">
        <is>
          <t>N/D</t>
        </is>
      </c>
      <c r="AK14" s="74" t="inlineStr">
        <is>
          <t>N/D</t>
        </is>
      </c>
      <c r="AL14" s="74" t="inlineStr">
        <is>
          <t>N/D</t>
        </is>
      </c>
      <c r="AM14" s="74" t="inlineStr">
        <is>
          <t>N/D</t>
        </is>
      </c>
      <c r="AN14" s="74" t="inlineStr">
        <is>
          <t>N/D</t>
        </is>
      </c>
      <c r="AO14" s="74" t="inlineStr">
        <is>
          <t>5%</t>
        </is>
      </c>
      <c r="AP14" s="74" t="inlineStr">
        <is>
          <t>aceito_payload</t>
        </is>
      </c>
      <c r="AQ14" s="74" t="inlineStr">
        <is>
          <t>junior_pl</t>
        </is>
      </c>
      <c r="AR14" s="74" t="inlineStr">
        <is>
          <t>785770</t>
        </is>
      </c>
      <c r="AS14" s="74" t="inlineStr">
        <is>
          <t>2024-11-22</t>
        </is>
      </c>
      <c r="AT14" s="74" t="inlineStr">
        <is>
          <t>82</t>
        </is>
      </c>
      <c r="AU14" s="74" t="inlineStr">
        <is>
          <t>https://fnet.bmfbovespa.com.br/fnet/publico/downloadDocumento?id=785770</t>
        </is>
      </c>
      <c r="AV14" s="74" t="inlineStr">
        <is>
          <t>payload_documental</t>
        </is>
      </c>
      <c r="AW14" s="74" t="inlineStr">
        <is>
          <t>5%</t>
        </is>
      </c>
      <c r="AX14" s="74" t="inlineStr">
        <is>
          <t>aceito_payload</t>
        </is>
      </c>
      <c r="AY14" s="74" t="inlineStr">
        <is>
          <t>suporte_total_pl</t>
        </is>
      </c>
      <c r="AZ14" s="74" t="inlineStr">
        <is>
          <t>785770</t>
        </is>
      </c>
      <c r="BA14" s="74" t="inlineStr">
        <is>
          <t>2024-11-22</t>
        </is>
      </c>
      <c r="BB14" s="74" t="inlineStr">
        <is>
          <t>82</t>
        </is>
      </c>
      <c r="BC14" s="74" t="inlineStr">
        <is>
          <t>https://fnet.bmfbovespa.com.br/fnet/publico/downloadDocumento?id=785770</t>
        </is>
      </c>
      <c r="BD14" s="74" t="inlineStr">
        <is>
          <t>payload_documental</t>
        </is>
      </c>
      <c r="BE14" s="74" t="inlineStr">
        <is>
          <t>junior_pl</t>
        </is>
      </c>
      <c r="BF14" s="74" t="inlineStr">
        <is>
          <t>aceito_payload</t>
        </is>
      </c>
      <c r="BG14" s="74" t="inlineStr">
        <is>
          <t>junior_pl</t>
        </is>
      </c>
      <c r="BH14" s="74" t="inlineStr">
        <is>
          <t>785770</t>
        </is>
      </c>
      <c r="BI14" s="74" t="inlineStr">
        <is>
          <t>2024-11-22</t>
        </is>
      </c>
      <c r="BJ14" s="74" t="inlineStr">
        <is>
          <t>82</t>
        </is>
      </c>
      <c r="BK14" s="74" t="inlineStr">
        <is>
          <t>https://fnet.bmfbovespa.com.br/fnet/publico/downloadDocumento?id=785770</t>
        </is>
      </c>
      <c r="BL14" s="74" t="inlineStr">
        <is>
          <t>payload_documental</t>
        </is>
      </c>
    </row>
    <row r="15" ht="42" customHeight="1">
      <c r="A15" s="145" t="n">
        <v>11</v>
      </c>
      <c r="B15" s="142" t="n">
        <v>37645417000111</v>
      </c>
      <c r="C15" s="75" t="inlineStr">
        <is>
          <t>37.645.417/0001-11</t>
        </is>
      </c>
      <c r="D15" s="75" t="inlineStr">
        <is>
          <t>UBYFOL AGRO III FUNDO DE INVESTIMENTO NAS CADEIAS PRODUTIVAS DO AGRONEGÓCIO - RESP LIMITADA</t>
        </is>
      </c>
      <c r="E15" s="75" t="inlineStr">
        <is>
          <t>concluído</t>
        </is>
      </c>
      <c r="F15" s="145" t="n">
        <v>6</v>
      </c>
      <c r="G15" s="75" t="inlineStr">
        <is>
          <t>consultado</t>
        </is>
      </c>
      <c r="H15" s="75" t="inlineStr">
        <is>
          <t>N/D</t>
        </is>
      </c>
      <c r="I15" s="75" t="inlineStr">
        <is>
          <t>N/D</t>
        </is>
      </c>
      <c r="J15" s="75" t="inlineStr">
        <is>
          <t>não encontrado</t>
        </is>
      </c>
      <c r="K15" s="75" t="inlineStr">
        <is>
          <t>N/D</t>
        </is>
      </c>
      <c r="L15" s="75" t="inlineStr">
        <is>
          <t>N/D</t>
        </is>
      </c>
      <c r="M15" s="75" t="inlineStr">
        <is>
          <t>N/D</t>
        </is>
      </c>
      <c r="N15" s="75" t="inlineStr">
        <is>
          <t>N/D</t>
        </is>
      </c>
      <c r="O15" s="75" t="inlineStr">
        <is>
          <t>N/D</t>
        </is>
      </c>
      <c r="P15" s="75" t="inlineStr">
        <is>
          <t>N/D</t>
        </is>
      </c>
      <c r="Q15" s="75" t="inlineStr">
        <is>
          <t>Uby Agroquímica</t>
        </is>
      </c>
      <c r="R15" s="75" t="inlineStr">
        <is>
          <t>encontrado_explicito</t>
        </is>
      </c>
      <c r="S15" s="75" t="inlineStr">
        <is>
          <t>rótulo explícito de participante v2</t>
        </is>
      </c>
      <c r="T15" s="75" t="inlineStr">
        <is>
          <t>779236</t>
        </is>
      </c>
      <c r="U15" s="75" t="inlineStr">
        <is>
          <t>14/11/2024</t>
        </is>
      </c>
      <c r="V15" s="75" t="inlineStr">
        <is>
          <t>2</t>
        </is>
      </c>
      <c r="W15" s="75" t="inlineStr">
        <is>
          <t>https://fnet.bmfbovespa.com.br/fnet/publico/downloadDocumento?id=779236</t>
        </is>
      </c>
      <c r="X15" s="75" t="inlineStr">
        <is>
          <t>rating_report</t>
        </is>
      </c>
      <c r="Y15" s="75" t="inlineStr">
        <is>
          <t>N/D</t>
        </is>
      </c>
      <c r="Z15" s="75" t="inlineStr">
        <is>
          <t>não encontrado</t>
        </is>
      </c>
      <c r="AA15" s="75" t="inlineStr">
        <is>
          <t>N/D</t>
        </is>
      </c>
      <c r="AB15" s="75" t="inlineStr">
        <is>
          <t>N/D</t>
        </is>
      </c>
      <c r="AC15" s="75" t="inlineStr">
        <is>
          <t>N/D</t>
        </is>
      </c>
      <c r="AD15" s="75" t="inlineStr">
        <is>
          <t>N/D</t>
        </is>
      </c>
      <c r="AE15" s="75" t="inlineStr">
        <is>
          <t>N/D</t>
        </is>
      </c>
      <c r="AF15" s="75" t="inlineStr">
        <is>
          <t>N/D</t>
        </is>
      </c>
      <c r="AG15" s="75" t="inlineStr">
        <is>
          <t>Insumos Agrícolas - prazo Safra</t>
        </is>
      </c>
      <c r="AH15" s="75" t="inlineStr">
        <is>
          <t>aceito_payload</t>
        </is>
      </c>
      <c r="AI15" s="75" t="inlineStr">
        <is>
          <t>N/D</t>
        </is>
      </c>
      <c r="AJ15" s="75" t="inlineStr">
        <is>
          <t>IMG_8704.JPG</t>
        </is>
      </c>
      <c r="AK15" s="75" t="inlineStr">
        <is>
          <t>2025-10-16</t>
        </is>
      </c>
      <c r="AL15" s="75" t="inlineStr">
        <is>
          <t>12</t>
        </is>
      </c>
      <c r="AM15" s="75" t="inlineStr">
        <is>
          <t>N/D</t>
        </is>
      </c>
      <c r="AN15" s="75" t="inlineStr">
        <is>
          <t>planilha_manual</t>
        </is>
      </c>
      <c r="AO15" s="75" t="inlineStr">
        <is>
          <t>10%</t>
        </is>
      </c>
      <c r="AP15" s="75" t="inlineStr">
        <is>
          <t>aceito_payload</t>
        </is>
      </c>
      <c r="AQ15" s="75" t="inlineStr">
        <is>
          <t>junior_pl</t>
        </is>
      </c>
      <c r="AR15" s="75" t="inlineStr">
        <is>
          <t>1016909</t>
        </is>
      </c>
      <c r="AS15" s="75" t="inlineStr">
        <is>
          <t>2025-10-16</t>
        </is>
      </c>
      <c r="AT15" s="75" t="inlineStr">
        <is>
          <t>12</t>
        </is>
      </c>
      <c r="AU15" s="75" t="inlineStr">
        <is>
          <t>https://fnet.bmfbovespa.com.br/fnet/publico/downloadDocumento?id=1016909</t>
        </is>
      </c>
      <c r="AV15" s="75" t="inlineStr">
        <is>
          <t>payload_documental</t>
        </is>
      </c>
      <c r="AW15" s="75" t="inlineStr">
        <is>
          <t>N/D</t>
        </is>
      </c>
      <c r="AX15" s="75" t="inlineStr">
        <is>
          <t>não encontrado</t>
        </is>
      </c>
      <c r="AY15" s="75" t="inlineStr">
        <is>
          <t>N/D</t>
        </is>
      </c>
      <c r="AZ15" s="75" t="inlineStr">
        <is>
          <t>N/D</t>
        </is>
      </c>
      <c r="BA15" s="75" t="inlineStr">
        <is>
          <t>N/D</t>
        </is>
      </c>
      <c r="BB15" s="75" t="inlineStr">
        <is>
          <t>N/D</t>
        </is>
      </c>
      <c r="BC15" s="75" t="inlineStr">
        <is>
          <t>N/D</t>
        </is>
      </c>
      <c r="BD15" s="75" t="inlineStr">
        <is>
          <t>N/D</t>
        </is>
      </c>
      <c r="BE15" s="75" t="inlineStr">
        <is>
          <t>junior_pl</t>
        </is>
      </c>
      <c r="BF15" s="75" t="inlineStr">
        <is>
          <t>aceito_payload</t>
        </is>
      </c>
      <c r="BG15" s="75" t="inlineStr">
        <is>
          <t>junior_pl</t>
        </is>
      </c>
      <c r="BH15" s="75" t="inlineStr">
        <is>
          <t>1016909</t>
        </is>
      </c>
      <c r="BI15" s="75" t="inlineStr">
        <is>
          <t>2025-10-16</t>
        </is>
      </c>
      <c r="BJ15" s="75" t="inlineStr">
        <is>
          <t>12</t>
        </is>
      </c>
      <c r="BK15" s="75" t="inlineStr">
        <is>
          <t>https://fnet.bmfbovespa.com.br/fnet/publico/downloadDocumento?id=1016909</t>
        </is>
      </c>
      <c r="BL15" s="75" t="inlineStr">
        <is>
          <t>payload_documental</t>
        </is>
      </c>
    </row>
    <row r="16" ht="42" customHeight="1">
      <c r="A16" s="141" t="n">
        <v>12</v>
      </c>
      <c r="B16" s="138" t="n">
        <v>50832746000130</v>
      </c>
      <c r="C16" s="74" t="inlineStr">
        <is>
          <t>50.832.746/0001-30</t>
        </is>
      </c>
      <c r="D16" s="74" t="inlineStr">
        <is>
          <t>BOASAFRA FUNDO DE INVESTIMENTO EM DIREITOS CREDITÓRIOS DO AGRONEGÓCIO RESPONSABILIDADE LIMITADA</t>
        </is>
      </c>
      <c r="E16" s="74" t="inlineStr">
        <is>
          <t>concluído</t>
        </is>
      </c>
      <c r="F16" s="141" t="n">
        <v>8</v>
      </c>
      <c r="G16" s="74" t="inlineStr">
        <is>
          <t>consultado</t>
        </is>
      </c>
      <c r="H16" s="74" t="inlineStr">
        <is>
          <t>N/D</t>
        </is>
      </c>
      <c r="I16" s="74" t="inlineStr">
        <is>
          <t>N/D</t>
        </is>
      </c>
      <c r="J16" s="74" t="inlineStr">
        <is>
          <t>não encontrado</t>
        </is>
      </c>
      <c r="K16" s="74" t="inlineStr">
        <is>
          <t>N/D</t>
        </is>
      </c>
      <c r="L16" s="74" t="inlineStr">
        <is>
          <t>N/D</t>
        </is>
      </c>
      <c r="M16" s="74" t="inlineStr">
        <is>
          <t>N/D</t>
        </is>
      </c>
      <c r="N16" s="74" t="inlineStr">
        <is>
          <t>N/D</t>
        </is>
      </c>
      <c r="O16" s="74" t="inlineStr">
        <is>
          <t>N/D</t>
        </is>
      </c>
      <c r="P16" s="74" t="inlineStr">
        <is>
          <t>N/D</t>
        </is>
      </c>
      <c r="Q16" s="74" t="inlineStr">
        <is>
          <t>Boasafra</t>
        </is>
      </c>
      <c r="R16" s="74" t="inlineStr">
        <is>
          <t>encontrado_explicito</t>
        </is>
      </c>
      <c r="S16" s="74" t="inlineStr">
        <is>
          <t>rótulo explícito de participante v2</t>
        </is>
      </c>
      <c r="T16" s="74" t="inlineStr">
        <is>
          <t>932142</t>
        </is>
      </c>
      <c r="U16" s="74" t="inlineStr">
        <is>
          <t>16/06/2025</t>
        </is>
      </c>
      <c r="V16" s="74" t="inlineStr">
        <is>
          <t>5</t>
        </is>
      </c>
      <c r="W16" s="74" t="inlineStr">
        <is>
          <t>https://fnet.bmfbovespa.com.br/fnet/publico/downloadDocumento?id=932142</t>
        </is>
      </c>
      <c r="X16" s="74" t="inlineStr">
        <is>
          <t>rating_report</t>
        </is>
      </c>
      <c r="Y16" s="74" t="inlineStr">
        <is>
          <t>N/D</t>
        </is>
      </c>
      <c r="Z16" s="74" t="inlineStr">
        <is>
          <t>não encontrado</t>
        </is>
      </c>
      <c r="AA16" s="74" t="inlineStr">
        <is>
          <t>N/D</t>
        </is>
      </c>
      <c r="AB16" s="74" t="inlineStr">
        <is>
          <t>N/D</t>
        </is>
      </c>
      <c r="AC16" s="74" t="inlineStr">
        <is>
          <t>N/D</t>
        </is>
      </c>
      <c r="AD16" s="74" t="inlineStr">
        <is>
          <t>N/D</t>
        </is>
      </c>
      <c r="AE16" s="74" t="inlineStr">
        <is>
          <t>N/D</t>
        </is>
      </c>
      <c r="AF16" s="74" t="inlineStr">
        <is>
          <t>N/D</t>
        </is>
      </c>
      <c r="AG16" s="74" t="inlineStr">
        <is>
          <t>Insumos Agrícolas - prazo Safra</t>
        </is>
      </c>
      <c r="AH16" s="74" t="inlineStr">
        <is>
          <t>aceito_payload</t>
        </is>
      </c>
      <c r="AI16" s="74" t="inlineStr">
        <is>
          <t>N/D</t>
        </is>
      </c>
      <c r="AJ16" s="74" t="inlineStr">
        <is>
          <t>IMG_8704.JPG</t>
        </is>
      </c>
      <c r="AK16" s="74" t="inlineStr">
        <is>
          <t>2024-11-28</t>
        </is>
      </c>
      <c r="AL16" s="74" t="inlineStr">
        <is>
          <t>44</t>
        </is>
      </c>
      <c r="AM16" s="74" t="inlineStr">
        <is>
          <t>N/D</t>
        </is>
      </c>
      <c r="AN16" s="74" t="inlineStr">
        <is>
          <t>planilha_manual</t>
        </is>
      </c>
      <c r="AO16" s="74" t="inlineStr">
        <is>
          <t>20%</t>
        </is>
      </c>
      <c r="AP16" s="74" t="inlineStr">
        <is>
          <t>aceito_payload</t>
        </is>
      </c>
      <c r="AQ16" s="74" t="inlineStr">
        <is>
          <t>junior_pl</t>
        </is>
      </c>
      <c r="AR16" s="74" t="inlineStr">
        <is>
          <t>791780</t>
        </is>
      </c>
      <c r="AS16" s="74" t="inlineStr">
        <is>
          <t>2024-11-28</t>
        </is>
      </c>
      <c r="AT16" s="74" t="inlineStr">
        <is>
          <t>44</t>
        </is>
      </c>
      <c r="AU16" s="74" t="inlineStr">
        <is>
          <t>https://fnet.bmfbovespa.com.br/fnet/publico/downloadDocumento?id=791780</t>
        </is>
      </c>
      <c r="AV16" s="74" t="inlineStr">
        <is>
          <t>payload_documental</t>
        </is>
      </c>
      <c r="AW16" s="74" t="inlineStr">
        <is>
          <t>30%</t>
        </is>
      </c>
      <c r="AX16" s="74" t="inlineStr">
        <is>
          <t>aceito_payload</t>
        </is>
      </c>
      <c r="AY16" s="74" t="inlineStr">
        <is>
          <t>suporte_total_pl</t>
        </is>
      </c>
      <c r="AZ16" s="74" t="inlineStr">
        <is>
          <t>791780</t>
        </is>
      </c>
      <c r="BA16" s="74" t="inlineStr">
        <is>
          <t>2024-11-28</t>
        </is>
      </c>
      <c r="BB16" s="74" t="inlineStr">
        <is>
          <t>44</t>
        </is>
      </c>
      <c r="BC16" s="74" t="inlineStr">
        <is>
          <t>https://fnet.bmfbovespa.com.br/fnet/publico/downloadDocumento?id=791780</t>
        </is>
      </c>
      <c r="BD16" s="74" t="inlineStr">
        <is>
          <t>payload_documental</t>
        </is>
      </c>
      <c r="BE16" s="74" t="inlineStr">
        <is>
          <t>junior_pl</t>
        </is>
      </c>
      <c r="BF16" s="74" t="inlineStr">
        <is>
          <t>aceito_payload</t>
        </is>
      </c>
      <c r="BG16" s="74" t="inlineStr">
        <is>
          <t>junior_pl</t>
        </is>
      </c>
      <c r="BH16" s="74" t="inlineStr">
        <is>
          <t>791780</t>
        </is>
      </c>
      <c r="BI16" s="74" t="inlineStr">
        <is>
          <t>2024-11-28</t>
        </is>
      </c>
      <c r="BJ16" s="74" t="inlineStr">
        <is>
          <t>44</t>
        </is>
      </c>
      <c r="BK16" s="74" t="inlineStr">
        <is>
          <t>https://fnet.bmfbovespa.com.br/fnet/publico/downloadDocumento?id=791780</t>
        </is>
      </c>
      <c r="BL16" s="74" t="inlineStr">
        <is>
          <t>payload_documental</t>
        </is>
      </c>
    </row>
    <row r="17" ht="42" customHeight="1">
      <c r="A17" s="145" t="n">
        <v>13</v>
      </c>
      <c r="B17" s="142" t="n">
        <v>33076242000118</v>
      </c>
      <c r="C17" s="75" t="inlineStr">
        <is>
          <t>33.076.242/0001-18</t>
        </is>
      </c>
      <c r="D17" s="75" t="inlineStr">
        <is>
          <t>WORKCAP AGRO FUNDO DE INVESTIMENTO EM DIREITOS CREDITORIOS RESPONSABILIDADE LIMITADA</t>
        </is>
      </c>
      <c r="E17" s="75" t="inlineStr">
        <is>
          <t>concluído</t>
        </is>
      </c>
      <c r="F17" s="145" t="n">
        <v>8</v>
      </c>
      <c r="G17" s="75" t="inlineStr">
        <is>
          <t>consultado</t>
        </is>
      </c>
      <c r="H17" s="75" t="inlineStr">
        <is>
          <t>N/D</t>
        </is>
      </c>
      <c r="I17" s="75" t="inlineStr">
        <is>
          <t>N/D</t>
        </is>
      </c>
      <c r="J17" s="75" t="inlineStr">
        <is>
          <t>não encontrado</t>
        </is>
      </c>
      <c r="K17" s="75" t="inlineStr">
        <is>
          <t>N/D</t>
        </is>
      </c>
      <c r="L17" s="75" t="inlineStr">
        <is>
          <t>N/D</t>
        </is>
      </c>
      <c r="M17" s="75" t="inlineStr">
        <is>
          <t>N/D</t>
        </is>
      </c>
      <c r="N17" s="75" t="inlineStr">
        <is>
          <t>N/D</t>
        </is>
      </c>
      <c r="O17" s="75" t="inlineStr">
        <is>
          <t>N/D</t>
        </is>
      </c>
      <c r="P17" s="75" t="inlineStr">
        <is>
          <t>N/D</t>
        </is>
      </c>
      <c r="Q17" s="75" t="inlineStr">
        <is>
          <t>Albaugh Agro</t>
        </is>
      </c>
      <c r="R17" s="75" t="inlineStr">
        <is>
          <t>encontrado_explicito</t>
        </is>
      </c>
      <c r="S17" s="75" t="inlineStr">
        <is>
          <t>rótulo explícito de participante v2</t>
        </is>
      </c>
      <c r="T17" s="75" t="inlineStr">
        <is>
          <t>978141</t>
        </is>
      </c>
      <c r="U17" s="75" t="inlineStr">
        <is>
          <t>22/08/2025</t>
        </is>
      </c>
      <c r="V17" s="75" t="inlineStr">
        <is>
          <t>5</t>
        </is>
      </c>
      <c r="W17" s="75" t="inlineStr">
        <is>
          <t>https://fnet.bmfbovespa.com.br/fnet/publico/downloadDocumento?id=978141</t>
        </is>
      </c>
      <c r="X17" s="75" t="inlineStr">
        <is>
          <t>rating_report</t>
        </is>
      </c>
      <c r="Y17" s="75" t="inlineStr">
        <is>
          <t>N/D</t>
        </is>
      </c>
      <c r="Z17" s="75" t="inlineStr">
        <is>
          <t>não encontrado</t>
        </is>
      </c>
      <c r="AA17" s="75" t="inlineStr">
        <is>
          <t>N/D</t>
        </is>
      </c>
      <c r="AB17" s="75" t="inlineStr">
        <is>
          <t>N/D</t>
        </is>
      </c>
      <c r="AC17" s="75" t="inlineStr">
        <is>
          <t>N/D</t>
        </is>
      </c>
      <c r="AD17" s="75" t="inlineStr">
        <is>
          <t>N/D</t>
        </is>
      </c>
      <c r="AE17" s="75" t="inlineStr">
        <is>
          <t>N/D</t>
        </is>
      </c>
      <c r="AF17" s="75" t="inlineStr">
        <is>
          <t>N/D</t>
        </is>
      </c>
      <c r="AG17" s="75" t="inlineStr">
        <is>
          <t>N/D</t>
        </is>
      </c>
      <c r="AH17" s="75" t="inlineStr">
        <is>
          <t>não encontrado</t>
        </is>
      </c>
      <c r="AI17" s="75" t="inlineStr">
        <is>
          <t>N/D</t>
        </is>
      </c>
      <c r="AJ17" s="75" t="inlineStr">
        <is>
          <t>N/D</t>
        </is>
      </c>
      <c r="AK17" s="75" t="inlineStr">
        <is>
          <t>N/D</t>
        </is>
      </c>
      <c r="AL17" s="75" t="inlineStr">
        <is>
          <t>N/D</t>
        </is>
      </c>
      <c r="AM17" s="75" t="inlineStr">
        <is>
          <t>N/D</t>
        </is>
      </c>
      <c r="AN17" s="75" t="inlineStr">
        <is>
          <t>N/D</t>
        </is>
      </c>
      <c r="AO17" s="75" t="inlineStr">
        <is>
          <t>20%</t>
        </is>
      </c>
      <c r="AP17" s="75" t="inlineStr">
        <is>
          <t>aceito_payload</t>
        </is>
      </c>
      <c r="AQ17" s="75" t="inlineStr">
        <is>
          <t>junior_pl</t>
        </is>
      </c>
      <c r="AR17" s="75" t="inlineStr">
        <is>
          <t>1060211</t>
        </is>
      </c>
      <c r="AS17" s="75" t="inlineStr">
        <is>
          <t>2025-12-12</t>
        </is>
      </c>
      <c r="AT17" s="75" t="inlineStr">
        <is>
          <t>61</t>
        </is>
      </c>
      <c r="AU17" s="75" t="inlineStr">
        <is>
          <t>https://fnet.bmfbovespa.com.br/fnet/publico/downloadDocumento?id=1060211</t>
        </is>
      </c>
      <c r="AV17" s="75" t="inlineStr">
        <is>
          <t>payload_documental</t>
        </is>
      </c>
      <c r="AW17" s="75" t="inlineStr">
        <is>
          <t>20%</t>
        </is>
      </c>
      <c r="AX17" s="75" t="inlineStr">
        <is>
          <t>aceito_payload</t>
        </is>
      </c>
      <c r="AY17" s="75" t="inlineStr">
        <is>
          <t>suporte_total_pl</t>
        </is>
      </c>
      <c r="AZ17" s="75" t="inlineStr">
        <is>
          <t>1060211</t>
        </is>
      </c>
      <c r="BA17" s="75" t="inlineStr">
        <is>
          <t>2025-12-12</t>
        </is>
      </c>
      <c r="BB17" s="75" t="inlineStr">
        <is>
          <t>61</t>
        </is>
      </c>
      <c r="BC17" s="75" t="inlineStr">
        <is>
          <t>https://fnet.bmfbovespa.com.br/fnet/publico/downloadDocumento?id=1060211</t>
        </is>
      </c>
      <c r="BD17" s="75" t="inlineStr">
        <is>
          <t>payload_documental</t>
        </is>
      </c>
      <c r="BE17" s="75" t="inlineStr">
        <is>
          <t>junior_pl</t>
        </is>
      </c>
      <c r="BF17" s="75" t="inlineStr">
        <is>
          <t>aceito_payload</t>
        </is>
      </c>
      <c r="BG17" s="75" t="inlineStr">
        <is>
          <t>junior_pl</t>
        </is>
      </c>
      <c r="BH17" s="75" t="inlineStr">
        <is>
          <t>1060211</t>
        </is>
      </c>
      <c r="BI17" s="75" t="inlineStr">
        <is>
          <t>2025-12-12</t>
        </is>
      </c>
      <c r="BJ17" s="75" t="inlineStr">
        <is>
          <t>61</t>
        </is>
      </c>
      <c r="BK17" s="75" t="inlineStr">
        <is>
          <t>https://fnet.bmfbovespa.com.br/fnet/publico/downloadDocumento?id=1060211</t>
        </is>
      </c>
      <c r="BL17" s="75" t="inlineStr">
        <is>
          <t>payload_documental</t>
        </is>
      </c>
    </row>
    <row r="18" ht="42" customHeight="1">
      <c r="A18" s="141" t="n">
        <v>14</v>
      </c>
      <c r="B18" s="138" t="n">
        <v>44173467000109</v>
      </c>
      <c r="C18" s="74" t="inlineStr">
        <is>
          <t>44.173.467/0001-09</t>
        </is>
      </c>
      <c r="D18" s="74" t="inlineStr">
        <is>
          <t>MT INSS RECEIVABLES III FUNDO DE INVESTIMENTO EM DIREITOS CREDITÓRIOS RESPONSABILIDADE</t>
        </is>
      </c>
      <c r="E18" s="74" t="inlineStr">
        <is>
          <t>concluído</t>
        </is>
      </c>
      <c r="F18" s="141" t="n">
        <v>6</v>
      </c>
      <c r="G18" s="74" t="inlineStr">
        <is>
          <t>consultado</t>
        </is>
      </c>
      <c r="H18" s="74" t="inlineStr">
        <is>
          <t>N/D</t>
        </is>
      </c>
      <c r="I18" s="74" t="inlineStr">
        <is>
          <t>N/D</t>
        </is>
      </c>
      <c r="J18" s="74" t="inlineStr">
        <is>
          <t>não encontrado</t>
        </is>
      </c>
      <c r="K18" s="74" t="inlineStr">
        <is>
          <t>N/D</t>
        </is>
      </c>
      <c r="L18" s="74" t="inlineStr">
        <is>
          <t>N/D</t>
        </is>
      </c>
      <c r="M18" s="74" t="inlineStr">
        <is>
          <t>N/D</t>
        </is>
      </c>
      <c r="N18" s="74" t="inlineStr">
        <is>
          <t>N/D</t>
        </is>
      </c>
      <c r="O18" s="74" t="inlineStr">
        <is>
          <t>N/D</t>
        </is>
      </c>
      <c r="P18" s="74" t="inlineStr">
        <is>
          <t>N/D</t>
        </is>
      </c>
      <c r="Q18" s="74" t="inlineStr">
        <is>
          <t>Parati</t>
        </is>
      </c>
      <c r="R18" s="74" t="inlineStr">
        <is>
          <t>aceito_payload</t>
        </is>
      </c>
      <c r="S18" s="74" t="inlineStr">
        <is>
          <t>N/D</t>
        </is>
      </c>
      <c r="T18" s="74" t="inlineStr">
        <is>
          <t>IMG_8704.JPG</t>
        </is>
      </c>
      <c r="U18" s="74" t="inlineStr">
        <is>
          <t>2024-11-28</t>
        </is>
      </c>
      <c r="V18" s="74" t="inlineStr">
        <is>
          <t>19</t>
        </is>
      </c>
      <c r="W18" s="74" t="inlineStr">
        <is>
          <t>N/D</t>
        </is>
      </c>
      <c r="X18" s="74" t="inlineStr">
        <is>
          <t>planilha_manual</t>
        </is>
      </c>
      <c r="Y18" s="74" t="inlineStr">
        <is>
          <t>N/D</t>
        </is>
      </c>
      <c r="Z18" s="74" t="inlineStr">
        <is>
          <t>não encontrado</t>
        </is>
      </c>
      <c r="AA18" s="74" t="inlineStr">
        <is>
          <t>N/D</t>
        </is>
      </c>
      <c r="AB18" s="74" t="inlineStr">
        <is>
          <t>N/D</t>
        </is>
      </c>
      <c r="AC18" s="74" t="inlineStr">
        <is>
          <t>N/D</t>
        </is>
      </c>
      <c r="AD18" s="74" t="inlineStr">
        <is>
          <t>N/D</t>
        </is>
      </c>
      <c r="AE18" s="74" t="inlineStr">
        <is>
          <t>N/D</t>
        </is>
      </c>
      <c r="AF18" s="74" t="inlineStr">
        <is>
          <t>N/D</t>
        </is>
      </c>
      <c r="AG18" s="74" t="inlineStr">
        <is>
          <t>Crédito consignado INSS</t>
        </is>
      </c>
      <c r="AH18" s="74" t="inlineStr">
        <is>
          <t>aceito_payload</t>
        </is>
      </c>
      <c r="AI18" s="74" t="inlineStr">
        <is>
          <t>N/D</t>
        </is>
      </c>
      <c r="AJ18" s="74" t="inlineStr">
        <is>
          <t>IMG_8704.JPG</t>
        </is>
      </c>
      <c r="AK18" s="74" t="inlineStr">
        <is>
          <t>2024-11-28</t>
        </is>
      </c>
      <c r="AL18" s="74" t="inlineStr">
        <is>
          <t>19</t>
        </is>
      </c>
      <c r="AM18" s="74" t="inlineStr">
        <is>
          <t>N/D</t>
        </is>
      </c>
      <c r="AN18" s="74" t="inlineStr">
        <is>
          <t>planilha_manual</t>
        </is>
      </c>
      <c r="AO18" s="74" t="inlineStr">
        <is>
          <t>1%</t>
        </is>
      </c>
      <c r="AP18" s="74" t="inlineStr">
        <is>
          <t>aceito_payload</t>
        </is>
      </c>
      <c r="AQ18" s="74" t="inlineStr">
        <is>
          <t>junior_pl_calculado</t>
        </is>
      </c>
      <c r="AR18" s="74" t="inlineStr">
        <is>
          <t>791513</t>
        </is>
      </c>
      <c r="AS18" s="74" t="inlineStr">
        <is>
          <t>2024-11-28</t>
        </is>
      </c>
      <c r="AT18" s="74" t="inlineStr">
        <is>
          <t>19</t>
        </is>
      </c>
      <c r="AU18" s="74" t="inlineStr">
        <is>
          <t>https://fnet.bmfbovespa.com.br/fnet/publico/downloadDocumento?id=791513</t>
        </is>
      </c>
      <c r="AV18" s="74" t="inlineStr">
        <is>
          <t>payload_documental</t>
        </is>
      </c>
      <c r="AW18" s="74" t="inlineStr">
        <is>
          <t>10%</t>
        </is>
      </c>
      <c r="AX18" s="74" t="inlineStr">
        <is>
          <t>aceito_payload</t>
        </is>
      </c>
      <c r="AY18" s="74" t="inlineStr">
        <is>
          <t>suporte_total_pl</t>
        </is>
      </c>
      <c r="AZ18" s="74" t="inlineStr">
        <is>
          <t>791513</t>
        </is>
      </c>
      <c r="BA18" s="74" t="inlineStr">
        <is>
          <t>2024-11-28</t>
        </is>
      </c>
      <c r="BB18" s="74" t="inlineStr">
        <is>
          <t>19</t>
        </is>
      </c>
      <c r="BC18" s="74" t="inlineStr">
        <is>
          <t>https://fnet.bmfbovespa.com.br/fnet/publico/downloadDocumento?id=791513</t>
        </is>
      </c>
      <c r="BD18" s="74" t="inlineStr">
        <is>
          <t>payload_documental</t>
        </is>
      </c>
      <c r="BE18" s="74" t="inlineStr">
        <is>
          <t>junior_pl_calculado</t>
        </is>
      </c>
      <c r="BF18" s="74" t="inlineStr">
        <is>
          <t>aceito_payload</t>
        </is>
      </c>
      <c r="BG18" s="74" t="inlineStr">
        <is>
          <t>junior_pl_calculado</t>
        </is>
      </c>
      <c r="BH18" s="74" t="inlineStr">
        <is>
          <t>791513</t>
        </is>
      </c>
      <c r="BI18" s="74" t="inlineStr">
        <is>
          <t>2024-11-28</t>
        </is>
      </c>
      <c r="BJ18" s="74" t="inlineStr">
        <is>
          <t>19</t>
        </is>
      </c>
      <c r="BK18" s="74" t="inlineStr">
        <is>
          <t>https://fnet.bmfbovespa.com.br/fnet/publico/downloadDocumento?id=791513</t>
        </is>
      </c>
      <c r="BL18" s="74" t="inlineStr">
        <is>
          <t>payload_documental</t>
        </is>
      </c>
    </row>
    <row r="19" ht="42" customHeight="1">
      <c r="A19" s="145" t="n">
        <v>15</v>
      </c>
      <c r="B19" s="142" t="n">
        <v>54252144000164</v>
      </c>
      <c r="C19" s="75" t="inlineStr">
        <is>
          <t>54.252.144/0001-64</t>
        </is>
      </c>
      <c r="D19" s="75" t="inlineStr">
        <is>
          <t>J17 FGTS FUNDO DE INVESTIMENTO EM DIREITOS CREDITÓRIOS FINANCEIRO - RESPONSABILIDADE LIMITADA</t>
        </is>
      </c>
      <c r="E19" s="75" t="inlineStr">
        <is>
          <t>concluído</t>
        </is>
      </c>
      <c r="F19" s="145" t="n">
        <v>10</v>
      </c>
      <c r="G19" s="75" t="inlineStr">
        <is>
          <t>consultado</t>
        </is>
      </c>
      <c r="H19" s="75" t="inlineStr">
        <is>
          <t>N/D</t>
        </is>
      </c>
      <c r="I19" s="75" t="inlineStr">
        <is>
          <t>GRANDINO LTDA.</t>
        </is>
      </c>
      <c r="J19" s="75" t="inlineStr">
        <is>
          <t>encontrado_explicito</t>
        </is>
      </c>
      <c r="K19" s="75" t="inlineStr">
        <is>
          <t>rótulo explícito de participante v2</t>
        </is>
      </c>
      <c r="L19" s="75" t="inlineStr">
        <is>
          <t>990257</t>
        </is>
      </c>
      <c r="M19" s="75" t="inlineStr">
        <is>
          <t>30/06/2025</t>
        </is>
      </c>
      <c r="N19" s="75" t="inlineStr">
        <is>
          <t>1</t>
        </is>
      </c>
      <c r="O19" s="75" t="inlineStr">
        <is>
          <t>https://fnet.bmfbovespa.com.br/fnet/publico/downloadDocumento?id=990257</t>
        </is>
      </c>
      <c r="P19" s="75" t="inlineStr">
        <is>
          <t>rating_report</t>
        </is>
      </c>
      <c r="Q19" s="75" t="inlineStr">
        <is>
          <t>a J17 e, apenas para a s Aquisições Iniciais, o Metropolitana FIDC-NP</t>
        </is>
      </c>
      <c r="R19" s="75" t="inlineStr">
        <is>
          <t>encontrado_explicito</t>
        </is>
      </c>
      <c r="S19" s="75" t="inlineStr">
        <is>
          <t>N/D</t>
        </is>
      </c>
      <c r="T19" s="75" t="inlineStr">
        <is>
          <t>1072289</t>
        </is>
      </c>
      <c r="U19" s="75" t="inlineStr">
        <is>
          <t>2025-12-29</t>
        </is>
      </c>
      <c r="V19" s="75" t="inlineStr">
        <is>
          <t>47</t>
        </is>
      </c>
      <c r="W19" s="75" t="inlineStr">
        <is>
          <t>https://fnet.bmfbovespa.com.br/fnet/publico/downloadDocumento?id=1072289</t>
        </is>
      </c>
      <c r="X19" s="75" t="inlineStr">
        <is>
          <t>regulamento</t>
        </is>
      </c>
      <c r="Y19"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Z19" s="75" t="inlineStr">
        <is>
          <t>encontrado_explicito</t>
        </is>
      </c>
      <c r="AA19" s="75" t="inlineStr">
        <is>
          <t>N/D</t>
        </is>
      </c>
      <c r="AB19" s="75" t="inlineStr">
        <is>
          <t>1072289</t>
        </is>
      </c>
      <c r="AC19" s="75" t="inlineStr">
        <is>
          <t>2025-12-29</t>
        </is>
      </c>
      <c r="AD19" s="75" t="inlineStr">
        <is>
          <t>52</t>
        </is>
      </c>
      <c r="AE19" s="75" t="inlineStr">
        <is>
          <t>https://fnet.bmfbovespa.com.br/fnet/publico/downloadDocumento?id=1072289</t>
        </is>
      </c>
      <c r="AF19" s="75" t="inlineStr">
        <is>
          <t>regulamento</t>
        </is>
      </c>
      <c r="AG19" s="75" t="inlineStr">
        <is>
          <t>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t>
        </is>
      </c>
      <c r="AH19" s="75" t="inlineStr">
        <is>
          <t>encontrado_explicito</t>
        </is>
      </c>
      <c r="AI19" s="75" t="inlineStr">
        <is>
          <t>N/D</t>
        </is>
      </c>
      <c r="AJ19" s="75" t="inlineStr">
        <is>
          <t>1072289</t>
        </is>
      </c>
      <c r="AK19" s="75" t="inlineStr">
        <is>
          <t>2025-12-29</t>
        </is>
      </c>
      <c r="AL19" s="75" t="inlineStr">
        <is>
          <t>52</t>
        </is>
      </c>
      <c r="AM19" s="75" t="inlineStr">
        <is>
          <t>https://fnet.bmfbovespa.com.br/fnet/publico/downloadDocumento?id=1072289</t>
        </is>
      </c>
      <c r="AN19" s="75" t="inlineStr">
        <is>
          <t>regulamento</t>
        </is>
      </c>
      <c r="AO19" s="75" t="inlineStr">
        <is>
          <t>5%</t>
        </is>
      </c>
      <c r="AP19" s="75" t="inlineStr">
        <is>
          <t>aceito_payload</t>
        </is>
      </c>
      <c r="AQ19" s="75" t="inlineStr">
        <is>
          <t>junior_pl</t>
        </is>
      </c>
      <c r="AR19" s="75" t="inlineStr">
        <is>
          <t>1223382</t>
        </is>
      </c>
      <c r="AS19" s="75" t="inlineStr">
        <is>
          <t>2026-06-08</t>
        </is>
      </c>
      <c r="AT19" s="75" t="inlineStr">
        <is>
          <t>109</t>
        </is>
      </c>
      <c r="AU19" s="75" t="inlineStr">
        <is>
          <t>https://fnet.bmfbovespa.com.br/fnet/publico/downloadDocumento?id=1223382</t>
        </is>
      </c>
      <c r="AV19" s="75" t="inlineStr">
        <is>
          <t>payload_documental</t>
        </is>
      </c>
      <c r="AW19" s="75" t="inlineStr">
        <is>
          <t>15%</t>
        </is>
      </c>
      <c r="AX19" s="75" t="inlineStr">
        <is>
          <t>encontrado_explicito</t>
        </is>
      </c>
      <c r="AY19" s="75" t="inlineStr">
        <is>
          <t>suporte_total_pl</t>
        </is>
      </c>
      <c r="AZ19" s="75" t="inlineStr">
        <is>
          <t>1072289</t>
        </is>
      </c>
      <c r="BA19" s="75" t="inlineStr">
        <is>
          <t>2025-12-29</t>
        </is>
      </c>
      <c r="BB19" s="75" t="inlineStr">
        <is>
          <t>111</t>
        </is>
      </c>
      <c r="BC19" s="75" t="inlineStr">
        <is>
          <t>https://fnet.bmfbovespa.com.br/fnet/publico/downloadDocumento?id=1072289</t>
        </is>
      </c>
      <c r="BD19" s="75" t="inlineStr">
        <is>
          <t>regulamento</t>
        </is>
      </c>
      <c r="BE19" s="75" t="inlineStr">
        <is>
          <t>junior_pl</t>
        </is>
      </c>
      <c r="BF19" s="75" t="inlineStr">
        <is>
          <t>aceito_payload</t>
        </is>
      </c>
      <c r="BG19" s="75" t="inlineStr">
        <is>
          <t>junior_pl</t>
        </is>
      </c>
      <c r="BH19" s="75" t="inlineStr">
        <is>
          <t>1223382</t>
        </is>
      </c>
      <c r="BI19" s="75" t="inlineStr">
        <is>
          <t>2026-06-08</t>
        </is>
      </c>
      <c r="BJ19" s="75" t="inlineStr">
        <is>
          <t>109</t>
        </is>
      </c>
      <c r="BK19" s="75" t="inlineStr">
        <is>
          <t>https://fnet.bmfbovespa.com.br/fnet/publico/downloadDocumento?id=1223382</t>
        </is>
      </c>
      <c r="BL19" s="75" t="inlineStr">
        <is>
          <t>payload_documental</t>
        </is>
      </c>
    </row>
    <row r="20" ht="42" customHeight="1">
      <c r="A20" s="141" t="n">
        <v>16</v>
      </c>
      <c r="B20" s="138" t="n">
        <v>48313595000161</v>
      </c>
      <c r="C20" s="74" t="inlineStr">
        <is>
          <t>48.313.595/0001-61</t>
        </is>
      </c>
      <c r="D20" s="74" t="inlineStr">
        <is>
          <t>IBBA AGRO BR FUNDO DE INVESTIMENTO EM DIREITOS CREDITÓRIOS</t>
        </is>
      </c>
      <c r="E20" s="74" t="inlineStr">
        <is>
          <t>concluído</t>
        </is>
      </c>
      <c r="F20" s="141" t="n">
        <v>4</v>
      </c>
      <c r="G20" s="74" t="inlineStr">
        <is>
          <t>consultado</t>
        </is>
      </c>
      <c r="H20" s="74" t="inlineStr">
        <is>
          <t>N/D</t>
        </is>
      </c>
      <c r="I20" s="74" t="inlineStr">
        <is>
          <t>N/D</t>
        </is>
      </c>
      <c r="J20" s="74" t="inlineStr">
        <is>
          <t>não encontrado</t>
        </is>
      </c>
      <c r="K20" s="74" t="inlineStr">
        <is>
          <t>N/D</t>
        </is>
      </c>
      <c r="L20" s="74" t="inlineStr">
        <is>
          <t>N/D</t>
        </is>
      </c>
      <c r="M20" s="74" t="inlineStr">
        <is>
          <t>N/D</t>
        </is>
      </c>
      <c r="N20" s="74" t="inlineStr">
        <is>
          <t>N/D</t>
        </is>
      </c>
      <c r="O20" s="74" t="inlineStr">
        <is>
          <t>N/D</t>
        </is>
      </c>
      <c r="P20" s="74" t="inlineStr">
        <is>
          <t>N/D</t>
        </is>
      </c>
      <c r="Q20" s="74" t="inlineStr">
        <is>
          <t>as sociedades, identificadas nos respectivos Contratos de Cessão, que cedem, em caráter irrevogável e irretratável, os Direitos Creditórios Adquiridos listados nos respectivos Contratos de Cessão e Termos de Cessão, conforme aplicável, observados os requisitos da Política de Concessão de Créditos</t>
        </is>
      </c>
      <c r="R20" s="74" t="inlineStr">
        <is>
          <t>encontrado_explicito</t>
        </is>
      </c>
      <c r="S20" s="74" t="inlineStr">
        <is>
          <t>N/D</t>
        </is>
      </c>
      <c r="T20" s="74" t="inlineStr">
        <is>
          <t>976737</t>
        </is>
      </c>
      <c r="U20" s="74" t="inlineStr">
        <is>
          <t>22/08/2025</t>
        </is>
      </c>
      <c r="V20" s="74" t="inlineStr">
        <is>
          <t>14</t>
        </is>
      </c>
      <c r="W20" s="74" t="inlineStr">
        <is>
          <t>https://fnet.bmfbovespa.com.br/fnet/publico/downloadDocumento?id=976737</t>
        </is>
      </c>
      <c r="X20" s="74" t="inlineStr">
        <is>
          <t>regulamento</t>
        </is>
      </c>
      <c r="Y20" s="74" t="inlineStr">
        <is>
          <t>N/D</t>
        </is>
      </c>
      <c r="Z20" s="74" t="inlineStr">
        <is>
          <t>não encontrado</t>
        </is>
      </c>
      <c r="AA20" s="74" t="inlineStr">
        <is>
          <t>N/D</t>
        </is>
      </c>
      <c r="AB20" s="74" t="inlineStr">
        <is>
          <t>N/D</t>
        </is>
      </c>
      <c r="AC20" s="74" t="inlineStr">
        <is>
          <t>N/D</t>
        </is>
      </c>
      <c r="AD20" s="74" t="inlineStr">
        <is>
          <t>N/D</t>
        </is>
      </c>
      <c r="AE20" s="74" t="inlineStr">
        <is>
          <t>N/D</t>
        </is>
      </c>
      <c r="AF20" s="74" t="inlineStr">
        <is>
          <t>N/D</t>
        </is>
      </c>
      <c r="AG20" s="74" t="inlineStr">
        <is>
          <t>N/D</t>
        </is>
      </c>
      <c r="AH20" s="74" t="inlineStr">
        <is>
          <t>não encontrado</t>
        </is>
      </c>
      <c r="AI20" s="74" t="inlineStr">
        <is>
          <t>N/D</t>
        </is>
      </c>
      <c r="AJ20" s="74" t="inlineStr">
        <is>
          <t>N/D</t>
        </is>
      </c>
      <c r="AK20" s="74" t="inlineStr">
        <is>
          <t>N/D</t>
        </is>
      </c>
      <c r="AL20" s="74" t="inlineStr">
        <is>
          <t>N/D</t>
        </is>
      </c>
      <c r="AM20" s="74" t="inlineStr">
        <is>
          <t>N/D</t>
        </is>
      </c>
      <c r="AN20" s="74" t="inlineStr">
        <is>
          <t>N/D</t>
        </is>
      </c>
      <c r="AO20" s="74" t="inlineStr">
        <is>
          <t>N/D</t>
        </is>
      </c>
      <c r="AP20" s="74" t="inlineStr">
        <is>
          <t>não encontrado</t>
        </is>
      </c>
      <c r="AQ20" s="74" t="inlineStr">
        <is>
          <t>N/D</t>
        </is>
      </c>
      <c r="AR20" s="74" t="inlineStr">
        <is>
          <t>N/D</t>
        </is>
      </c>
      <c r="AS20" s="74" t="inlineStr">
        <is>
          <t>N/D</t>
        </is>
      </c>
      <c r="AT20" s="74" t="inlineStr">
        <is>
          <t>N/D</t>
        </is>
      </c>
      <c r="AU20" s="74" t="inlineStr">
        <is>
          <t>N/D</t>
        </is>
      </c>
      <c r="AV20" s="74" t="inlineStr">
        <is>
          <t>N/D</t>
        </is>
      </c>
      <c r="AW20" s="74" t="inlineStr">
        <is>
          <t>N/D</t>
        </is>
      </c>
      <c r="AX20" s="74" t="inlineStr">
        <is>
          <t>não encontrado</t>
        </is>
      </c>
      <c r="AY20" s="74" t="inlineStr">
        <is>
          <t>N/D</t>
        </is>
      </c>
      <c r="AZ20" s="74" t="inlineStr">
        <is>
          <t>N/D</t>
        </is>
      </c>
      <c r="BA20" s="74" t="inlineStr">
        <is>
          <t>N/D</t>
        </is>
      </c>
      <c r="BB20" s="74" t="inlineStr">
        <is>
          <t>N/D</t>
        </is>
      </c>
      <c r="BC20" s="74" t="inlineStr">
        <is>
          <t>N/D</t>
        </is>
      </c>
      <c r="BD20" s="74" t="inlineStr">
        <is>
          <t>N/D</t>
        </is>
      </c>
      <c r="BE20" s="74" t="inlineStr">
        <is>
          <t>sem_indice</t>
        </is>
      </c>
      <c r="BF20" s="74" t="inlineStr">
        <is>
          <t>aceito_payload</t>
        </is>
      </c>
      <c r="BG20" s="74" t="inlineStr">
        <is>
          <t>sem_indice</t>
        </is>
      </c>
      <c r="BH20" s="74" t="inlineStr">
        <is>
          <t>976737</t>
        </is>
      </c>
      <c r="BI20" s="74" t="inlineStr">
        <is>
          <t>2025-08-22</t>
        </is>
      </c>
      <c r="BJ20" s="74" t="inlineStr">
        <is>
          <t>42</t>
        </is>
      </c>
      <c r="BK20" s="74" t="inlineStr">
        <is>
          <t>https://fnet.bmfbovespa.com.br/fnet/publico/downloadDocumento?id=976737</t>
        </is>
      </c>
      <c r="BL20" s="74" t="inlineStr">
        <is>
          <t>payload_documental</t>
        </is>
      </c>
    </row>
    <row r="21" ht="42" customHeight="1">
      <c r="A21" s="145" t="n">
        <v>17</v>
      </c>
      <c r="B21" s="142" t="n">
        <v>32526025000110</v>
      </c>
      <c r="C21" s="75" t="inlineStr">
        <is>
          <t>32.526.025/0001-10</t>
        </is>
      </c>
      <c r="D21" s="75" t="inlineStr">
        <is>
          <t>COBUCCIO FUNDO DE INVESTIMENTO EM DIREITOS CREDITÓRIOS DE CLASSE ÚNICA FECHADA DE RESPONS LIMITADA</t>
        </is>
      </c>
      <c r="E21" s="75" t="inlineStr">
        <is>
          <t>concluído</t>
        </is>
      </c>
      <c r="F21" s="145" t="n">
        <v>6</v>
      </c>
      <c r="G21" s="75" t="inlineStr">
        <is>
          <t>consultado</t>
        </is>
      </c>
      <c r="H21" s="75" t="inlineStr">
        <is>
          <t>N/D</t>
        </is>
      </c>
      <c r="I21" s="75" t="inlineStr">
        <is>
          <t>N/D</t>
        </is>
      </c>
      <c r="J21" s="75" t="inlineStr">
        <is>
          <t>não encontrado</t>
        </is>
      </c>
      <c r="K21" s="75" t="inlineStr">
        <is>
          <t>N/D</t>
        </is>
      </c>
      <c r="L21" s="75" t="inlineStr">
        <is>
          <t>N/D</t>
        </is>
      </c>
      <c r="M21" s="75" t="inlineStr">
        <is>
          <t>N/D</t>
        </is>
      </c>
      <c r="N21" s="75" t="inlineStr">
        <is>
          <t>N/D</t>
        </is>
      </c>
      <c r="O21" s="75" t="inlineStr">
        <is>
          <t>N/D</t>
        </is>
      </c>
      <c r="P21" s="75" t="inlineStr">
        <is>
          <t>N/D</t>
        </is>
      </c>
      <c r="Q21" s="75" t="inlineStr">
        <is>
          <t>N/D</t>
        </is>
      </c>
      <c r="R21" s="75" t="inlineStr">
        <is>
          <t>não encontrado</t>
        </is>
      </c>
      <c r="S21" s="75" t="inlineStr">
        <is>
          <t>N/D</t>
        </is>
      </c>
      <c r="T21" s="75" t="inlineStr">
        <is>
          <t>N/D</t>
        </is>
      </c>
      <c r="U21" s="75" t="inlineStr">
        <is>
          <t>N/D</t>
        </is>
      </c>
      <c r="V21" s="75" t="inlineStr">
        <is>
          <t>N/D</t>
        </is>
      </c>
      <c r="W21" s="75" t="inlineStr">
        <is>
          <t>N/D</t>
        </is>
      </c>
      <c r="X21" s="75" t="inlineStr">
        <is>
          <t>N/D</t>
        </is>
      </c>
      <c r="Y21" s="75" t="inlineStr">
        <is>
          <t>N/D</t>
        </is>
      </c>
      <c r="Z21" s="75" t="inlineStr">
        <is>
          <t>não encontrado</t>
        </is>
      </c>
      <c r="AA21" s="75" t="inlineStr">
        <is>
          <t>N/D</t>
        </is>
      </c>
      <c r="AB21" s="75" t="inlineStr">
        <is>
          <t>N/D</t>
        </is>
      </c>
      <c r="AC21" s="75" t="inlineStr">
        <is>
          <t>N/D</t>
        </is>
      </c>
      <c r="AD21" s="75" t="inlineStr">
        <is>
          <t>N/D</t>
        </is>
      </c>
      <c r="AE21" s="75" t="inlineStr">
        <is>
          <t>N/D</t>
        </is>
      </c>
      <c r="AF21" s="75" t="inlineStr">
        <is>
          <t>N/D</t>
        </is>
      </c>
      <c r="AG21" s="75" t="inlineStr">
        <is>
          <t>N/D</t>
        </is>
      </c>
      <c r="AH21" s="75" t="inlineStr">
        <is>
          <t>não encontrado</t>
        </is>
      </c>
      <c r="AI21" s="75" t="inlineStr">
        <is>
          <t>N/D</t>
        </is>
      </c>
      <c r="AJ21" s="75" t="inlineStr">
        <is>
          <t>N/D</t>
        </is>
      </c>
      <c r="AK21" s="75" t="inlineStr">
        <is>
          <t>N/D</t>
        </is>
      </c>
      <c r="AL21" s="75" t="inlineStr">
        <is>
          <t>N/D</t>
        </is>
      </c>
      <c r="AM21" s="75" t="inlineStr">
        <is>
          <t>N/D</t>
        </is>
      </c>
      <c r="AN21" s="75" t="inlineStr">
        <is>
          <t>N/D</t>
        </is>
      </c>
      <c r="AO21" s="75" t="inlineStr">
        <is>
          <t>75%</t>
        </is>
      </c>
      <c r="AP21" s="75" t="inlineStr">
        <is>
          <t>aceito_payload</t>
        </is>
      </c>
      <c r="AQ21" s="75" t="inlineStr">
        <is>
          <t>junior_pl</t>
        </is>
      </c>
      <c r="AR21" s="75" t="inlineStr">
        <is>
          <t>1186789</t>
        </is>
      </c>
      <c r="AS21" s="75" t="inlineStr">
        <is>
          <t>2026-05-12</t>
        </is>
      </c>
      <c r="AT21" s="75" t="inlineStr">
        <is>
          <t>57</t>
        </is>
      </c>
      <c r="AU21" s="75" t="inlineStr">
        <is>
          <t>https://fnet.bmfbovespa.com.br/fnet/publico/downloadDocumento?id=1186789</t>
        </is>
      </c>
      <c r="AV21" s="75" t="inlineStr">
        <is>
          <t>payload_documental</t>
        </is>
      </c>
      <c r="AW21" s="75" t="inlineStr">
        <is>
          <t>N/D</t>
        </is>
      </c>
      <c r="AX21" s="75" t="inlineStr">
        <is>
          <t>não encontrado</t>
        </is>
      </c>
      <c r="AY21" s="75" t="inlineStr">
        <is>
          <t>N/D</t>
        </is>
      </c>
      <c r="AZ21" s="75" t="inlineStr">
        <is>
          <t>N/D</t>
        </is>
      </c>
      <c r="BA21" s="75" t="inlineStr">
        <is>
          <t>N/D</t>
        </is>
      </c>
      <c r="BB21" s="75" t="inlineStr">
        <is>
          <t>N/D</t>
        </is>
      </c>
      <c r="BC21" s="75" t="inlineStr">
        <is>
          <t>N/D</t>
        </is>
      </c>
      <c r="BD21" s="75" t="inlineStr">
        <is>
          <t>N/D</t>
        </is>
      </c>
      <c r="BE21" s="75" t="inlineStr">
        <is>
          <t>junior_pl</t>
        </is>
      </c>
      <c r="BF21" s="75" t="inlineStr">
        <is>
          <t>aceito_payload</t>
        </is>
      </c>
      <c r="BG21" s="75" t="inlineStr">
        <is>
          <t>junior_pl</t>
        </is>
      </c>
      <c r="BH21" s="75" t="inlineStr">
        <is>
          <t>1186789</t>
        </is>
      </c>
      <c r="BI21" s="75" t="inlineStr">
        <is>
          <t>2026-05-12</t>
        </is>
      </c>
      <c r="BJ21" s="75" t="inlineStr">
        <is>
          <t>57</t>
        </is>
      </c>
      <c r="BK21" s="75" t="inlineStr">
        <is>
          <t>https://fnet.bmfbovespa.com.br/fnet/publico/downloadDocumento?id=1186789</t>
        </is>
      </c>
      <c r="BL21" s="75" t="inlineStr">
        <is>
          <t>payload_documental</t>
        </is>
      </c>
    </row>
    <row r="22" ht="42" customHeight="1">
      <c r="A22" s="141" t="n">
        <v>18</v>
      </c>
      <c r="B22" s="138" t="n">
        <v>45523699000102</v>
      </c>
      <c r="C22" s="74" t="inlineStr">
        <is>
          <t>45.523.699/0001-02</t>
        </is>
      </c>
      <c r="D22" s="74" t="inlineStr">
        <is>
          <t>VIXTRA FUNDO DE INVESTIMENTO EM DIREITOS CREDITÓRIOS RESPONSABILIDADE LIMITADA</t>
        </is>
      </c>
      <c r="E22" s="74" t="inlineStr">
        <is>
          <t>concluído</t>
        </is>
      </c>
      <c r="F22" s="141" t="n">
        <v>9</v>
      </c>
      <c r="G22" s="74" t="inlineStr">
        <is>
          <t>consultado</t>
        </is>
      </c>
      <c r="H22" s="74" t="inlineStr">
        <is>
          <t>N/D</t>
        </is>
      </c>
      <c r="I22" s="74" t="inlineStr">
        <is>
          <t>N/D</t>
        </is>
      </c>
      <c r="J22" s="74" t="inlineStr">
        <is>
          <t>não encontrado</t>
        </is>
      </c>
      <c r="K22" s="74" t="inlineStr">
        <is>
          <t>N/D</t>
        </is>
      </c>
      <c r="L22" s="74" t="inlineStr">
        <is>
          <t>N/D</t>
        </is>
      </c>
      <c r="M22" s="74" t="inlineStr">
        <is>
          <t>N/D</t>
        </is>
      </c>
      <c r="N22" s="74" t="inlineStr">
        <is>
          <t>N/D</t>
        </is>
      </c>
      <c r="O22" s="74" t="inlineStr">
        <is>
          <t>N/D</t>
        </is>
      </c>
      <c r="P22" s="74" t="inlineStr">
        <is>
          <t>N/D</t>
        </is>
      </c>
      <c r="Q22" s="74" t="inlineStr">
        <is>
          <t>Vixtra Tecnologia e Serviços Financeiros</t>
        </is>
      </c>
      <c r="R22" s="74" t="inlineStr">
        <is>
          <t>aceito_payload</t>
        </is>
      </c>
      <c r="S22" s="74" t="inlineStr">
        <is>
          <t>N/D</t>
        </is>
      </c>
      <c r="T22" s="74" t="inlineStr">
        <is>
          <t>IMG_8704.JPG</t>
        </is>
      </c>
      <c r="U22" s="74" t="inlineStr">
        <is>
          <t>2025-10-30</t>
        </is>
      </c>
      <c r="V22" s="74" t="inlineStr">
        <is>
          <t>26</t>
        </is>
      </c>
      <c r="W22" s="74" t="inlineStr">
        <is>
          <t>N/D</t>
        </is>
      </c>
      <c r="X22" s="74" t="inlineStr">
        <is>
          <t>planilha_manual</t>
        </is>
      </c>
      <c r="Y22" s="74" t="inlineStr">
        <is>
          <t>N/D</t>
        </is>
      </c>
      <c r="Z22" s="74" t="inlineStr">
        <is>
          <t>não encontrado</t>
        </is>
      </c>
      <c r="AA22" s="74" t="inlineStr">
        <is>
          <t>N/D</t>
        </is>
      </c>
      <c r="AB22" s="74" t="inlineStr">
        <is>
          <t>N/D</t>
        </is>
      </c>
      <c r="AC22" s="74" t="inlineStr">
        <is>
          <t>N/D</t>
        </is>
      </c>
      <c r="AD22" s="74" t="inlineStr">
        <is>
          <t>N/D</t>
        </is>
      </c>
      <c r="AE22" s="74" t="inlineStr">
        <is>
          <t>N/D</t>
        </is>
      </c>
      <c r="AF22" s="74" t="inlineStr">
        <is>
          <t>N/D</t>
        </is>
      </c>
      <c r="AG22" s="74" t="inlineStr">
        <is>
          <t>FIDC Trading</t>
        </is>
      </c>
      <c r="AH22" s="74" t="inlineStr">
        <is>
          <t>aceito_payload</t>
        </is>
      </c>
      <c r="AI22" s="74" t="inlineStr">
        <is>
          <t>N/D</t>
        </is>
      </c>
      <c r="AJ22" s="74" t="inlineStr">
        <is>
          <t>IMG_8704.JPG</t>
        </is>
      </c>
      <c r="AK22" s="74" t="inlineStr">
        <is>
          <t>2025-10-30</t>
        </is>
      </c>
      <c r="AL22" s="74" t="inlineStr">
        <is>
          <t>26</t>
        </is>
      </c>
      <c r="AM22" s="74" t="inlineStr">
        <is>
          <t>N/D</t>
        </is>
      </c>
      <c r="AN22" s="74" t="inlineStr">
        <is>
          <t>planilha_manual</t>
        </is>
      </c>
      <c r="AO22" s="74" t="inlineStr">
        <is>
          <t>10%</t>
        </is>
      </c>
      <c r="AP22" s="74" t="inlineStr">
        <is>
          <t>aceito_payload</t>
        </is>
      </c>
      <c r="AQ22" s="74" t="inlineStr">
        <is>
          <t>junior_pl</t>
        </is>
      </c>
      <c r="AR22" s="74" t="inlineStr">
        <is>
          <t>1024756</t>
        </is>
      </c>
      <c r="AS22" s="74" t="inlineStr">
        <is>
          <t>2025-10-30</t>
        </is>
      </c>
      <c r="AT22" s="74" t="inlineStr">
        <is>
          <t>26</t>
        </is>
      </c>
      <c r="AU22" s="74" t="inlineStr">
        <is>
          <t>https://fnet.bmfbovespa.com.br/fnet/publico/downloadDocumento?id=1024756</t>
        </is>
      </c>
      <c r="AV22" s="74" t="inlineStr">
        <is>
          <t>payload_documental</t>
        </is>
      </c>
      <c r="AW22" s="74" t="inlineStr">
        <is>
          <t>N/D</t>
        </is>
      </c>
      <c r="AX22" s="74" t="inlineStr">
        <is>
          <t>não encontrado</t>
        </is>
      </c>
      <c r="AY22" s="74" t="inlineStr">
        <is>
          <t>N/D</t>
        </is>
      </c>
      <c r="AZ22" s="74" t="inlineStr">
        <is>
          <t>N/D</t>
        </is>
      </c>
      <c r="BA22" s="74" t="inlineStr">
        <is>
          <t>N/D</t>
        </is>
      </c>
      <c r="BB22" s="74" t="inlineStr">
        <is>
          <t>N/D</t>
        </is>
      </c>
      <c r="BC22" s="74" t="inlineStr">
        <is>
          <t>N/D</t>
        </is>
      </c>
      <c r="BD22" s="74" t="inlineStr">
        <is>
          <t>N/D</t>
        </is>
      </c>
      <c r="BE22" s="74" t="inlineStr">
        <is>
          <t>junior_pl</t>
        </is>
      </c>
      <c r="BF22" s="74" t="inlineStr">
        <is>
          <t>aceito_payload</t>
        </is>
      </c>
      <c r="BG22" s="74" t="inlineStr">
        <is>
          <t>junior_pl</t>
        </is>
      </c>
      <c r="BH22" s="74" t="inlineStr">
        <is>
          <t>1024756</t>
        </is>
      </c>
      <c r="BI22" s="74" t="inlineStr">
        <is>
          <t>2025-10-30</t>
        </is>
      </c>
      <c r="BJ22" s="74" t="inlineStr">
        <is>
          <t>26</t>
        </is>
      </c>
      <c r="BK22" s="74" t="inlineStr">
        <is>
          <t>https://fnet.bmfbovespa.com.br/fnet/publico/downloadDocumento?id=1024756</t>
        </is>
      </c>
      <c r="BL22" s="74" t="inlineStr">
        <is>
          <t>payload_documental</t>
        </is>
      </c>
    </row>
    <row r="23" ht="42" customHeight="1">
      <c r="A23" s="145" t="n">
        <v>19</v>
      </c>
      <c r="B23" s="142" t="n">
        <v>54083697000130</v>
      </c>
      <c r="C23" s="75" t="inlineStr">
        <is>
          <t>54.083.697/0001-30</t>
        </is>
      </c>
      <c r="D23" s="75" t="inlineStr">
        <is>
          <t>PERNAMBUCANAS FIDC DE RESPONSABILIDADE LIMITADA</t>
        </is>
      </c>
      <c r="E23" s="75" t="inlineStr">
        <is>
          <t>concluído</t>
        </is>
      </c>
      <c r="F23" s="145" t="n">
        <v>0</v>
      </c>
      <c r="G23" s="75" t="inlineStr">
        <is>
          <t>consultado</t>
        </is>
      </c>
      <c r="H23" s="75" t="inlineStr">
        <is>
          <t>Falha de rede ao acessar pesquisarGerenciadorDocumentosDados: The read operation timed out</t>
        </is>
      </c>
      <c r="I23" s="75" t="inlineStr">
        <is>
          <t>N/D</t>
        </is>
      </c>
      <c r="J23" s="75" t="inlineStr">
        <is>
          <t>não encontrado</t>
        </is>
      </c>
      <c r="K23" s="75" t="inlineStr">
        <is>
          <t>N/D</t>
        </is>
      </c>
      <c r="L23" s="75" t="inlineStr">
        <is>
          <t>N/D</t>
        </is>
      </c>
      <c r="M23" s="75" t="inlineStr">
        <is>
          <t>N/D</t>
        </is>
      </c>
      <c r="N23" s="75" t="inlineStr">
        <is>
          <t>N/D</t>
        </is>
      </c>
      <c r="O23" s="75" t="inlineStr">
        <is>
          <t>N/D</t>
        </is>
      </c>
      <c r="P23" s="75" t="inlineStr">
        <is>
          <t>N/D</t>
        </is>
      </c>
      <c r="Q23" s="75" t="inlineStr">
        <is>
          <t>a ARTHUR LUNDGREN TECIDOS S.A CASAS PERNAMBUCANAS, sociedade anônima, sem registro de companhia aberta perante à CVM, com sede na Cidade de São Paulo, Estado de São Paulo, na Rua da Consolação, 2.411, 2387, Consolação, CEP 01301-100, inscrita no CNPJ sob o nº 61.09 9.834/0001-90, sendo certo que transações realizadas sob o CNPJ de quaisquer filiais estão abrangidas nesta definição</t>
        </is>
      </c>
      <c r="R23" s="75" t="inlineStr">
        <is>
          <t>encontrado_explicito</t>
        </is>
      </c>
      <c r="S23" s="75" t="inlineStr">
        <is>
          <t>N/D</t>
        </is>
      </c>
      <c r="T23" s="75" t="inlineStr">
        <is>
          <t>628851</t>
        </is>
      </c>
      <c r="U23" s="75" t="inlineStr">
        <is>
          <t>27/03/2024</t>
        </is>
      </c>
      <c r="V23" s="75" t="inlineStr">
        <is>
          <t>5</t>
        </is>
      </c>
      <c r="W23" s="75" t="inlineStr">
        <is>
          <t>https://fnet.bmfbovespa.com.br/fnet/publico/downloadDocumento?id=628851</t>
        </is>
      </c>
      <c r="X23" s="75" t="inlineStr">
        <is>
          <t>regulamento</t>
        </is>
      </c>
      <c r="Y23" s="75" t="inlineStr">
        <is>
          <t>N/D</t>
        </is>
      </c>
      <c r="Z23" s="75" t="inlineStr">
        <is>
          <t>não encontrado</t>
        </is>
      </c>
      <c r="AA23" s="75" t="inlineStr">
        <is>
          <t>N/D</t>
        </is>
      </c>
      <c r="AB23" s="75" t="inlineStr">
        <is>
          <t>N/D</t>
        </is>
      </c>
      <c r="AC23" s="75" t="inlineStr">
        <is>
          <t>N/D</t>
        </is>
      </c>
      <c r="AD23" s="75" t="inlineStr">
        <is>
          <t>N/D</t>
        </is>
      </c>
      <c r="AE23" s="75" t="inlineStr">
        <is>
          <t>N/D</t>
        </is>
      </c>
      <c r="AF23" s="75" t="inlineStr">
        <is>
          <t>N/D</t>
        </is>
      </c>
      <c r="AG23" s="75" t="inlineStr">
        <is>
          <t>N/D</t>
        </is>
      </c>
      <c r="AH23" s="75" t="inlineStr">
        <is>
          <t>não encontrado</t>
        </is>
      </c>
      <c r="AI23" s="75" t="inlineStr">
        <is>
          <t>N/D</t>
        </is>
      </c>
      <c r="AJ23" s="75" t="inlineStr">
        <is>
          <t>N/D</t>
        </is>
      </c>
      <c r="AK23" s="75" t="inlineStr">
        <is>
          <t>N/D</t>
        </is>
      </c>
      <c r="AL23" s="75" t="inlineStr">
        <is>
          <t>N/D</t>
        </is>
      </c>
      <c r="AM23" s="75" t="inlineStr">
        <is>
          <t>N/D</t>
        </is>
      </c>
      <c r="AN23" s="75" t="inlineStr">
        <is>
          <t>N/D</t>
        </is>
      </c>
      <c r="AO23" s="75" t="inlineStr">
        <is>
          <t>10%</t>
        </is>
      </c>
      <c r="AP23" s="75" t="inlineStr">
        <is>
          <t>aceito_payload</t>
        </is>
      </c>
      <c r="AQ23" s="75" t="inlineStr">
        <is>
          <t>junior_pl</t>
        </is>
      </c>
      <c r="AR23" s="75" t="inlineStr">
        <is>
          <t>640301</t>
        </is>
      </c>
      <c r="AS23" s="75" t="inlineStr">
        <is>
          <t>2024-04-12</t>
        </is>
      </c>
      <c r="AT23" s="75" t="inlineStr">
        <is>
          <t>84</t>
        </is>
      </c>
      <c r="AU23" s="75" t="inlineStr">
        <is>
          <t>https://fnet.bmfbovespa.com.br/fnet/publico/downloadDocumento?id=640301</t>
        </is>
      </c>
      <c r="AV23" s="75" t="inlineStr">
        <is>
          <t>payload_documental</t>
        </is>
      </c>
      <c r="AW23" s="75" t="inlineStr">
        <is>
          <t>10%</t>
        </is>
      </c>
      <c r="AX23" s="75" t="inlineStr">
        <is>
          <t>aceito_payload</t>
        </is>
      </c>
      <c r="AY23" s="75" t="inlineStr">
        <is>
          <t>suporte_total_pl</t>
        </is>
      </c>
      <c r="AZ23" s="75" t="inlineStr">
        <is>
          <t>640301</t>
        </is>
      </c>
      <c r="BA23" s="75" t="inlineStr">
        <is>
          <t>2024-04-12</t>
        </is>
      </c>
      <c r="BB23" s="75" t="inlineStr">
        <is>
          <t>84</t>
        </is>
      </c>
      <c r="BC23" s="75" t="inlineStr">
        <is>
          <t>https://fnet.bmfbovespa.com.br/fnet/publico/downloadDocumento?id=640301</t>
        </is>
      </c>
      <c r="BD23" s="75" t="inlineStr">
        <is>
          <t>payload_documental</t>
        </is>
      </c>
      <c r="BE23" s="75" t="inlineStr">
        <is>
          <t>junior_pl</t>
        </is>
      </c>
      <c r="BF23" s="75" t="inlineStr">
        <is>
          <t>aceito_payload</t>
        </is>
      </c>
      <c r="BG23" s="75" t="inlineStr">
        <is>
          <t>junior_pl</t>
        </is>
      </c>
      <c r="BH23" s="75" t="inlineStr">
        <is>
          <t>640301</t>
        </is>
      </c>
      <c r="BI23" s="75" t="inlineStr">
        <is>
          <t>2024-04-12</t>
        </is>
      </c>
      <c r="BJ23" s="75" t="inlineStr">
        <is>
          <t>84</t>
        </is>
      </c>
      <c r="BK23" s="75" t="inlineStr">
        <is>
          <t>https://fnet.bmfbovespa.com.br/fnet/publico/downloadDocumento?id=640301</t>
        </is>
      </c>
      <c r="BL23" s="75" t="inlineStr">
        <is>
          <t>payload_documental</t>
        </is>
      </c>
    </row>
    <row r="24" ht="42" customHeight="1">
      <c r="A24" s="141" t="n">
        <v>20</v>
      </c>
      <c r="B24" s="138" t="n">
        <v>56936116000191</v>
      </c>
      <c r="C24" s="74" t="inlineStr">
        <is>
          <t>56.936.116/0001-91</t>
        </is>
      </c>
      <c r="D24" s="74" t="inlineStr">
        <is>
          <t>FATOR TARKEN FIAGRO</t>
        </is>
      </c>
      <c r="E24" s="74" t="inlineStr">
        <is>
          <t>concluído</t>
        </is>
      </c>
      <c r="F24" s="141" t="n">
        <v>7</v>
      </c>
      <c r="G24" s="74" t="inlineStr">
        <is>
          <t>consultado</t>
        </is>
      </c>
      <c r="H24" s="74" t="inlineStr">
        <is>
          <t>N/D</t>
        </is>
      </c>
      <c r="I24" s="74" t="inlineStr">
        <is>
          <t>N/D</t>
        </is>
      </c>
      <c r="J24" s="74" t="inlineStr">
        <is>
          <t>não encontrado</t>
        </is>
      </c>
      <c r="K24" s="74" t="inlineStr">
        <is>
          <t>N/D</t>
        </is>
      </c>
      <c r="L24" s="74" t="inlineStr">
        <is>
          <t>N/D</t>
        </is>
      </c>
      <c r="M24" s="74" t="inlineStr">
        <is>
          <t>N/D</t>
        </is>
      </c>
      <c r="N24" s="74" t="inlineStr">
        <is>
          <t>N/D</t>
        </is>
      </c>
      <c r="O24" s="74" t="inlineStr">
        <is>
          <t>N/D</t>
        </is>
      </c>
      <c r="P24" s="74" t="inlineStr">
        <is>
          <t>N/D</t>
        </is>
      </c>
      <c r="Q24" s="74" t="inlineStr">
        <is>
          <t>um titular de Direitos Creditórios , que realiza transferência do referido Direito Creditório ao Fundo</t>
        </is>
      </c>
      <c r="R24" s="74" t="inlineStr">
        <is>
          <t>encontrado_explicito</t>
        </is>
      </c>
      <c r="S24" s="74" t="inlineStr">
        <is>
          <t>N/D</t>
        </is>
      </c>
      <c r="T24" s="74" t="inlineStr">
        <is>
          <t>950915</t>
        </is>
      </c>
      <c r="U24" s="74" t="inlineStr">
        <is>
          <t>22/07/2025</t>
        </is>
      </c>
      <c r="V24" s="74" t="inlineStr">
        <is>
          <t>4</t>
        </is>
      </c>
      <c r="W24" s="74" t="inlineStr">
        <is>
          <t>https://fnet.bmfbovespa.com.br/fnet/publico/downloadDocumento?id=950915</t>
        </is>
      </c>
      <c r="X24" s="74" t="inlineStr">
        <is>
          <t>regulamento</t>
        </is>
      </c>
      <c r="Y24" s="74" t="inlineStr">
        <is>
          <t>os devedores dos Direitos Creditórios</t>
        </is>
      </c>
      <c r="Z24" s="74" t="inlineStr">
        <is>
          <t>encontrado_explicito</t>
        </is>
      </c>
      <c r="AA24" s="74" t="inlineStr">
        <is>
          <t>N/D</t>
        </is>
      </c>
      <c r="AB24" s="74" t="inlineStr">
        <is>
          <t>950915</t>
        </is>
      </c>
      <c r="AC24" s="74" t="inlineStr">
        <is>
          <t>22/07/2025</t>
        </is>
      </c>
      <c r="AD24" s="74" t="inlineStr">
        <is>
          <t>7</t>
        </is>
      </c>
      <c r="AE24" s="74" t="inlineStr">
        <is>
          <t>https://fnet.bmfbovespa.com.br/fnet/publico/downloadDocumento?id=950915</t>
        </is>
      </c>
      <c r="AF24" s="74" t="inlineStr">
        <is>
          <t>regulamento</t>
        </is>
      </c>
      <c r="AG24" s="74" t="inlineStr">
        <is>
          <t>N/D</t>
        </is>
      </c>
      <c r="AH24" s="74" t="inlineStr">
        <is>
          <t>não encontrado</t>
        </is>
      </c>
      <c r="AI24" s="74" t="inlineStr">
        <is>
          <t>N/D</t>
        </is>
      </c>
      <c r="AJ24" s="74" t="inlineStr">
        <is>
          <t>N/D</t>
        </is>
      </c>
      <c r="AK24" s="74" t="inlineStr">
        <is>
          <t>N/D</t>
        </is>
      </c>
      <c r="AL24" s="74" t="inlineStr">
        <is>
          <t>N/D</t>
        </is>
      </c>
      <c r="AM24" s="74" t="inlineStr">
        <is>
          <t>N/D</t>
        </is>
      </c>
      <c r="AN24" s="74" t="inlineStr">
        <is>
          <t>N/D</t>
        </is>
      </c>
      <c r="AO24" s="74" t="inlineStr">
        <is>
          <t>3%</t>
        </is>
      </c>
      <c r="AP24" s="74" t="inlineStr">
        <is>
          <t>aceito_payload</t>
        </is>
      </c>
      <c r="AQ24" s="74" t="inlineStr">
        <is>
          <t>junior_pl</t>
        </is>
      </c>
      <c r="AR24" s="74" t="inlineStr">
        <is>
          <t>1023213</t>
        </is>
      </c>
      <c r="AS24" s="74" t="inlineStr">
        <is>
          <t>2025-10-27</t>
        </is>
      </c>
      <c r="AT24" s="74" t="inlineStr">
        <is>
          <t>61</t>
        </is>
      </c>
      <c r="AU24" s="74" t="inlineStr">
        <is>
          <t>https://fnet.bmfbovespa.com.br/fnet/publico/downloadDocumento?id=1023213</t>
        </is>
      </c>
      <c r="AV24" s="74" t="inlineStr">
        <is>
          <t>payload_documental</t>
        </is>
      </c>
      <c r="AW24" s="74" t="inlineStr">
        <is>
          <t>N/D</t>
        </is>
      </c>
      <c r="AX24" s="74" t="inlineStr">
        <is>
          <t>não encontrado</t>
        </is>
      </c>
      <c r="AY24" s="74" t="inlineStr">
        <is>
          <t>N/D</t>
        </is>
      </c>
      <c r="AZ24" s="74" t="inlineStr">
        <is>
          <t>N/D</t>
        </is>
      </c>
      <c r="BA24" s="74" t="inlineStr">
        <is>
          <t>N/D</t>
        </is>
      </c>
      <c r="BB24" s="74" t="inlineStr">
        <is>
          <t>N/D</t>
        </is>
      </c>
      <c r="BC24" s="74" t="inlineStr">
        <is>
          <t>N/D</t>
        </is>
      </c>
      <c r="BD24" s="74" t="inlineStr">
        <is>
          <t>N/D</t>
        </is>
      </c>
      <c r="BE24" s="74" t="inlineStr">
        <is>
          <t>junior_pl</t>
        </is>
      </c>
      <c r="BF24" s="74" t="inlineStr">
        <is>
          <t>aceito_payload</t>
        </is>
      </c>
      <c r="BG24" s="74" t="inlineStr">
        <is>
          <t>junior_pl</t>
        </is>
      </c>
      <c r="BH24" s="74" t="inlineStr">
        <is>
          <t>1023213</t>
        </is>
      </c>
      <c r="BI24" s="74" t="inlineStr">
        <is>
          <t>2025-10-27</t>
        </is>
      </c>
      <c r="BJ24" s="74" t="inlineStr">
        <is>
          <t>61</t>
        </is>
      </c>
      <c r="BK24" s="74" t="inlineStr">
        <is>
          <t>https://fnet.bmfbovespa.com.br/fnet/publico/downloadDocumento?id=1023213</t>
        </is>
      </c>
      <c r="BL24" s="74" t="inlineStr">
        <is>
          <t>payload_documental</t>
        </is>
      </c>
    </row>
    <row r="25" ht="42" customHeight="1">
      <c r="A25" s="145" t="n">
        <v>21</v>
      </c>
      <c r="B25" s="142" t="n">
        <v>50089559000108</v>
      </c>
      <c r="C25" s="75" t="inlineStr">
        <is>
          <t>50.089.559/0001-08</t>
        </is>
      </c>
      <c r="D25" s="75" t="inlineStr">
        <is>
          <t>AGRICONNECTION FIAGRO</t>
        </is>
      </c>
      <c r="E25" s="75" t="inlineStr">
        <is>
          <t>concluído</t>
        </is>
      </c>
      <c r="F25" s="145" t="n">
        <v>8</v>
      </c>
      <c r="G25" s="75" t="inlineStr">
        <is>
          <t>consultado</t>
        </is>
      </c>
      <c r="H25" s="75" t="inlineStr">
        <is>
          <t>N/D</t>
        </is>
      </c>
      <c r="I25" s="75" t="inlineStr">
        <is>
          <t>N/D</t>
        </is>
      </c>
      <c r="J25" s="75" t="inlineStr">
        <is>
          <t>não encontrado</t>
        </is>
      </c>
      <c r="K25" s="75" t="inlineStr">
        <is>
          <t>N/D</t>
        </is>
      </c>
      <c r="L25" s="75" t="inlineStr">
        <is>
          <t>N/D</t>
        </is>
      </c>
      <c r="M25" s="75" t="inlineStr">
        <is>
          <t>N/D</t>
        </is>
      </c>
      <c r="N25" s="75" t="inlineStr">
        <is>
          <t>N/D</t>
        </is>
      </c>
      <c r="O25" s="75" t="inlineStr">
        <is>
          <t>N/D</t>
        </is>
      </c>
      <c r="P25" s="75" t="inlineStr">
        <is>
          <t>N/D</t>
        </is>
      </c>
      <c r="Q25" s="75" t="inlineStr">
        <is>
          <t>a Agriconnection e, as Empresas do Grupo Econômico da Agriconnection, os Cedentes Parceiros A e os Cedentes Parceiros B quando mencionados em conjunto</t>
        </is>
      </c>
      <c r="R25" s="75" t="inlineStr">
        <is>
          <t>encontrado_explicito</t>
        </is>
      </c>
      <c r="S25" s="75" t="inlineStr">
        <is>
          <t>N/D</t>
        </is>
      </c>
      <c r="T25" s="75" t="inlineStr">
        <is>
          <t>882388</t>
        </is>
      </c>
      <c r="U25" s="75" t="inlineStr">
        <is>
          <t>03/02/2025</t>
        </is>
      </c>
      <c r="V25" s="75" t="inlineStr">
        <is>
          <t>5</t>
        </is>
      </c>
      <c r="W25" s="75" t="inlineStr">
        <is>
          <t>https://fnet.bmfbovespa.com.br/fnet/publico/downloadDocumento?id=882388</t>
        </is>
      </c>
      <c r="X25" s="75" t="inlineStr">
        <is>
          <t>rating_report</t>
        </is>
      </c>
      <c r="Y25" s="75" t="inlineStr">
        <is>
          <t>os devedores dos Direitos Creditórios, os quais são clientes de uma das Cedentes</t>
        </is>
      </c>
      <c r="Z25" s="75" t="inlineStr">
        <is>
          <t>encontrado_explicito</t>
        </is>
      </c>
      <c r="AA25" s="75" t="inlineStr">
        <is>
          <t>N/D</t>
        </is>
      </c>
      <c r="AB25" s="75" t="inlineStr">
        <is>
          <t>999633</t>
        </is>
      </c>
      <c r="AC25" s="75" t="inlineStr">
        <is>
          <t>26/09/2025</t>
        </is>
      </c>
      <c r="AD25" s="75" t="inlineStr">
        <is>
          <t>47</t>
        </is>
      </c>
      <c r="AE25" s="75" t="inlineStr">
        <is>
          <t>https://fnet.bmfbovespa.com.br/fnet/publico/downloadDocumento?id=999633</t>
        </is>
      </c>
      <c r="AF25" s="75" t="inlineStr">
        <is>
          <t>regulamento</t>
        </is>
      </c>
      <c r="AG25" s="75" t="inlineStr">
        <is>
          <t>Insumos Agrícolas - prazo Safra</t>
        </is>
      </c>
      <c r="AH25" s="75" t="inlineStr">
        <is>
          <t>aceito_payload</t>
        </is>
      </c>
      <c r="AI25" s="75" t="inlineStr">
        <is>
          <t>N/D</t>
        </is>
      </c>
      <c r="AJ25" s="75" t="inlineStr">
        <is>
          <t>IMG_8704.JPG</t>
        </is>
      </c>
      <c r="AK25" s="75" t="inlineStr">
        <is>
          <t>2025-09-26</t>
        </is>
      </c>
      <c r="AL25" s="75" t="inlineStr">
        <is>
          <t>52</t>
        </is>
      </c>
      <c r="AM25" s="75" t="inlineStr">
        <is>
          <t>N/D</t>
        </is>
      </c>
      <c r="AN25" s="75" t="inlineStr">
        <is>
          <t>planilha_manual</t>
        </is>
      </c>
      <c r="AO25" s="75" t="inlineStr">
        <is>
          <t>15%</t>
        </is>
      </c>
      <c r="AP25" s="75" t="inlineStr">
        <is>
          <t>aceito_payload</t>
        </is>
      </c>
      <c r="AQ25" s="75" t="inlineStr">
        <is>
          <t>junior_pl</t>
        </is>
      </c>
      <c r="AR25" s="75" t="inlineStr">
        <is>
          <t>999633</t>
        </is>
      </c>
      <c r="AS25" s="75" t="inlineStr">
        <is>
          <t>2025-09-26</t>
        </is>
      </c>
      <c r="AT25" s="75" t="inlineStr">
        <is>
          <t>52</t>
        </is>
      </c>
      <c r="AU25" s="75" t="inlineStr">
        <is>
          <t>https://fnet.bmfbovespa.com.br/fnet/publico/downloadDocumento?id=999633</t>
        </is>
      </c>
      <c r="AV25" s="75" t="inlineStr">
        <is>
          <t>payload_documental</t>
        </is>
      </c>
      <c r="AW25" s="75" t="inlineStr">
        <is>
          <t>N/D</t>
        </is>
      </c>
      <c r="AX25" s="75" t="inlineStr">
        <is>
          <t>não encontrado</t>
        </is>
      </c>
      <c r="AY25" s="75" t="inlineStr">
        <is>
          <t>N/D</t>
        </is>
      </c>
      <c r="AZ25" s="75" t="inlineStr">
        <is>
          <t>N/D</t>
        </is>
      </c>
      <c r="BA25" s="75" t="inlineStr">
        <is>
          <t>N/D</t>
        </is>
      </c>
      <c r="BB25" s="75" t="inlineStr">
        <is>
          <t>N/D</t>
        </is>
      </c>
      <c r="BC25" s="75" t="inlineStr">
        <is>
          <t>N/D</t>
        </is>
      </c>
      <c r="BD25" s="75" t="inlineStr">
        <is>
          <t>N/D</t>
        </is>
      </c>
      <c r="BE25" s="75" t="inlineStr">
        <is>
          <t>junior_pl</t>
        </is>
      </c>
      <c r="BF25" s="75" t="inlineStr">
        <is>
          <t>aceito_payload</t>
        </is>
      </c>
      <c r="BG25" s="75" t="inlineStr">
        <is>
          <t>junior_pl</t>
        </is>
      </c>
      <c r="BH25" s="75" t="inlineStr">
        <is>
          <t>999633</t>
        </is>
      </c>
      <c r="BI25" s="75" t="inlineStr">
        <is>
          <t>2025-09-26</t>
        </is>
      </c>
      <c r="BJ25" s="75" t="inlineStr">
        <is>
          <t>52</t>
        </is>
      </c>
      <c r="BK25" s="75" t="inlineStr">
        <is>
          <t>https://fnet.bmfbovespa.com.br/fnet/publico/downloadDocumento?id=999633</t>
        </is>
      </c>
      <c r="BL25" s="75" t="inlineStr">
        <is>
          <t>payload_documental</t>
        </is>
      </c>
    </row>
    <row r="26" ht="42" customHeight="1">
      <c r="A26" s="141" t="n">
        <v>22</v>
      </c>
      <c r="B26" s="138" t="n">
        <v>57131490000182</v>
      </c>
      <c r="C26" s="74" t="inlineStr">
        <is>
          <t>57.131.490/0001-82</t>
        </is>
      </c>
      <c r="D26" s="74" t="inlineStr">
        <is>
          <t>PONTO RURAL FIAGRO RESPONSABILIDADE LIMITADA</t>
        </is>
      </c>
      <c r="E26" s="74" t="inlineStr">
        <is>
          <t>concluído</t>
        </is>
      </c>
      <c r="F26" s="141" t="n">
        <v>5</v>
      </c>
      <c r="G26" s="74" t="inlineStr">
        <is>
          <t>consultado</t>
        </is>
      </c>
      <c r="H26" s="74" t="inlineStr">
        <is>
          <t>N/D</t>
        </is>
      </c>
      <c r="I26" s="74" t="inlineStr">
        <is>
          <t>N/D</t>
        </is>
      </c>
      <c r="J26" s="74" t="inlineStr">
        <is>
          <t>não encontrado</t>
        </is>
      </c>
      <c r="K26" s="74" t="inlineStr">
        <is>
          <t>N/D</t>
        </is>
      </c>
      <c r="L26" s="74" t="inlineStr">
        <is>
          <t>N/D</t>
        </is>
      </c>
      <c r="M26" s="74" t="inlineStr">
        <is>
          <t>N/D</t>
        </is>
      </c>
      <c r="N26" s="74" t="inlineStr">
        <is>
          <t>N/D</t>
        </is>
      </c>
      <c r="O26" s="74" t="inlineStr">
        <is>
          <t>N/D</t>
        </is>
      </c>
      <c r="P26" s="74" t="inlineStr">
        <is>
          <t>N/D</t>
        </is>
      </c>
      <c r="Q26" s="74" t="inlineStr">
        <is>
          <t>a Ponto Rural e as Empresas do Grupo Econômico da Ponto Rural, quando mencionadas em conjunto</t>
        </is>
      </c>
      <c r="R26" s="74" t="inlineStr">
        <is>
          <t>encontrado_explicito</t>
        </is>
      </c>
      <c r="S26" s="74" t="inlineStr">
        <is>
          <t>N/D</t>
        </is>
      </c>
      <c r="T26" s="74" t="inlineStr">
        <is>
          <t>995970</t>
        </is>
      </c>
      <c r="U26" s="74" t="inlineStr">
        <is>
          <t>23/09/2025</t>
        </is>
      </c>
      <c r="V26" s="74" t="inlineStr">
        <is>
          <t>4</t>
        </is>
      </c>
      <c r="W26" s="74" t="inlineStr">
        <is>
          <t>https://fnet.bmfbovespa.com.br/fnet/publico/downloadDocumento?id=995970</t>
        </is>
      </c>
      <c r="X26" s="74" t="inlineStr">
        <is>
          <t>regulamento</t>
        </is>
      </c>
      <c r="Y26" s="74" t="inlineStr">
        <is>
          <t>os devedores dos Direitos Creditórios , os quais são clientes de uma das Cedentes</t>
        </is>
      </c>
      <c r="Z26" s="74" t="inlineStr">
        <is>
          <t>encontrado_explicito</t>
        </is>
      </c>
      <c r="AA26" s="74" t="inlineStr">
        <is>
          <t>N/D</t>
        </is>
      </c>
      <c r="AB26" s="74" t="inlineStr">
        <is>
          <t>995970</t>
        </is>
      </c>
      <c r="AC26" s="74" t="inlineStr">
        <is>
          <t>23/09/2025</t>
        </is>
      </c>
      <c r="AD26" s="74" t="inlineStr">
        <is>
          <t>6</t>
        </is>
      </c>
      <c r="AE26" s="74" t="inlineStr">
        <is>
          <t>https://fnet.bmfbovespa.com.br/fnet/publico/downloadDocumento?id=995970</t>
        </is>
      </c>
      <c r="AF26" s="74" t="inlineStr">
        <is>
          <t>regulamento</t>
        </is>
      </c>
      <c r="AG26" s="74" t="inlineStr">
        <is>
          <t>Insumos Agrícolas - prazo Safra</t>
        </is>
      </c>
      <c r="AH26" s="74" t="inlineStr">
        <is>
          <t>aceito_payload</t>
        </is>
      </c>
      <c r="AI26" s="74" t="inlineStr">
        <is>
          <t>N/D</t>
        </is>
      </c>
      <c r="AJ26" s="74" t="inlineStr">
        <is>
          <t>IMG_8704.JPG</t>
        </is>
      </c>
      <c r="AK26" s="74" t="inlineStr">
        <is>
          <t>2025-09-23</t>
        </is>
      </c>
      <c r="AL26" s="74" t="inlineStr">
        <is>
          <t>39</t>
        </is>
      </c>
      <c r="AM26" s="74" t="inlineStr">
        <is>
          <t>N/D</t>
        </is>
      </c>
      <c r="AN26" s="74" t="inlineStr">
        <is>
          <t>planilha_manual</t>
        </is>
      </c>
      <c r="AO26" s="74" t="inlineStr">
        <is>
          <t>N/D</t>
        </is>
      </c>
      <c r="AP26" s="74" t="inlineStr">
        <is>
          <t>não encontrado</t>
        </is>
      </c>
      <c r="AQ26" s="74" t="inlineStr">
        <is>
          <t>N/D</t>
        </is>
      </c>
      <c r="AR26" s="74" t="inlineStr">
        <is>
          <t>N/D</t>
        </is>
      </c>
      <c r="AS26" s="74" t="inlineStr">
        <is>
          <t>N/D</t>
        </is>
      </c>
      <c r="AT26" s="74" t="inlineStr">
        <is>
          <t>N/D</t>
        </is>
      </c>
      <c r="AU26" s="74" t="inlineStr">
        <is>
          <t>N/D</t>
        </is>
      </c>
      <c r="AV26" s="74" t="inlineStr">
        <is>
          <t>N/D</t>
        </is>
      </c>
      <c r="AW26" s="74" t="inlineStr">
        <is>
          <t>50%</t>
        </is>
      </c>
      <c r="AX26" s="74" t="inlineStr">
        <is>
          <t>aceito_payload</t>
        </is>
      </c>
      <c r="AY26" s="74" t="inlineStr">
        <is>
          <t>suporte_total_pl</t>
        </is>
      </c>
      <c r="AZ26" s="74" t="inlineStr">
        <is>
          <t>995970</t>
        </is>
      </c>
      <c r="BA26" s="74" t="inlineStr">
        <is>
          <t>2025-09-23</t>
        </is>
      </c>
      <c r="BB26" s="74" t="inlineStr">
        <is>
          <t>39</t>
        </is>
      </c>
      <c r="BC26" s="74" t="inlineStr">
        <is>
          <t>https://fnet.bmfbovespa.com.br/fnet/publico/downloadDocumento?id=995970</t>
        </is>
      </c>
      <c r="BD26" s="74" t="inlineStr">
        <is>
          <t>payload_documental</t>
        </is>
      </c>
      <c r="BE26" s="74" t="inlineStr">
        <is>
          <t>suporte_total_pl</t>
        </is>
      </c>
      <c r="BF26" s="74" t="inlineStr">
        <is>
          <t>aceito_payload</t>
        </is>
      </c>
      <c r="BG26" s="74" t="inlineStr">
        <is>
          <t>suporte_total_pl</t>
        </is>
      </c>
      <c r="BH26" s="74" t="inlineStr">
        <is>
          <t>995970</t>
        </is>
      </c>
      <c r="BI26" s="74" t="inlineStr">
        <is>
          <t>2025-09-23</t>
        </is>
      </c>
      <c r="BJ26" s="74" t="inlineStr">
        <is>
          <t>39</t>
        </is>
      </c>
      <c r="BK26" s="74" t="inlineStr">
        <is>
          <t>https://fnet.bmfbovespa.com.br/fnet/publico/downloadDocumento?id=995970</t>
        </is>
      </c>
      <c r="BL26" s="74" t="inlineStr">
        <is>
          <t>payload_documental</t>
        </is>
      </c>
    </row>
    <row r="27" ht="42" customHeight="1">
      <c r="A27" s="145" t="n">
        <v>23</v>
      </c>
      <c r="B27" s="142" t="n">
        <v>47151680000108</v>
      </c>
      <c r="C27" s="75" t="inlineStr">
        <is>
          <t>47.151.680/0001-08</t>
        </is>
      </c>
      <c r="D27" s="75" t="inlineStr">
        <is>
          <t>FARM TECH IBBA I FUNDO DE INVESTIMENTO EM DIREITOS CREDITÓRIOS RESPONSABILIDADE LIMITADA</t>
        </is>
      </c>
      <c r="E27" s="75" t="inlineStr">
        <is>
          <t>concluído</t>
        </is>
      </c>
      <c r="F27" s="145" t="n">
        <v>0</v>
      </c>
      <c r="G27" s="75" t="inlineStr">
        <is>
          <t>consultado</t>
        </is>
      </c>
      <c r="H27" s="75" t="inlineStr">
        <is>
          <t>Falha de rede ao acessar pesquisarGerenciadorDocumentosDados: The read operation timed out</t>
        </is>
      </c>
      <c r="I27" s="75" t="inlineStr">
        <is>
          <t>N/D</t>
        </is>
      </c>
      <c r="J27" s="75" t="inlineStr">
        <is>
          <t>não encontrado</t>
        </is>
      </c>
      <c r="K27" s="75" t="inlineStr">
        <is>
          <t>N/D</t>
        </is>
      </c>
      <c r="L27" s="75" t="inlineStr">
        <is>
          <t>N/D</t>
        </is>
      </c>
      <c r="M27" s="75" t="inlineStr">
        <is>
          <t>N/D</t>
        </is>
      </c>
      <c r="N27" s="75" t="inlineStr">
        <is>
          <t>N/D</t>
        </is>
      </c>
      <c r="O27" s="75" t="inlineStr">
        <is>
          <t>N/D</t>
        </is>
      </c>
      <c r="P27" s="75" t="inlineStr">
        <is>
          <t>N/D</t>
        </is>
      </c>
      <c r="Q27" s="75" t="inlineStr">
        <is>
          <t>Multicedentes</t>
        </is>
      </c>
      <c r="R27" s="75" t="inlineStr">
        <is>
          <t>aceito_payload</t>
        </is>
      </c>
      <c r="S27" s="75" t="inlineStr">
        <is>
          <t>N/D</t>
        </is>
      </c>
      <c r="T27" s="75" t="inlineStr">
        <is>
          <t>IMG_8704.JPG</t>
        </is>
      </c>
      <c r="U27" s="75" t="inlineStr">
        <is>
          <t>2025-07-22</t>
        </is>
      </c>
      <c r="V27" s="75" t="inlineStr">
        <is>
          <t>6</t>
        </is>
      </c>
      <c r="W27" s="75" t="inlineStr">
        <is>
          <t>N/D</t>
        </is>
      </c>
      <c r="X27" s="75" t="inlineStr">
        <is>
          <t>planilha_manual</t>
        </is>
      </c>
      <c r="Y27" s="75" t="inlineStr">
        <is>
          <t>N/D</t>
        </is>
      </c>
      <c r="Z27" s="75" t="inlineStr">
        <is>
          <t>não encontrado</t>
        </is>
      </c>
      <c r="AA27" s="75" t="inlineStr">
        <is>
          <t>N/D</t>
        </is>
      </c>
      <c r="AB27" s="75" t="inlineStr">
        <is>
          <t>N/D</t>
        </is>
      </c>
      <c r="AC27" s="75" t="inlineStr">
        <is>
          <t>N/D</t>
        </is>
      </c>
      <c r="AD27" s="75" t="inlineStr">
        <is>
          <t>N/D</t>
        </is>
      </c>
      <c r="AE27" s="75" t="inlineStr">
        <is>
          <t>N/D</t>
        </is>
      </c>
      <c r="AF27" s="75" t="inlineStr">
        <is>
          <t>N/D</t>
        </is>
      </c>
      <c r="AG27" s="75" t="inlineStr">
        <is>
          <t>N/D</t>
        </is>
      </c>
      <c r="AH27" s="75" t="inlineStr">
        <is>
          <t>não encontrado</t>
        </is>
      </c>
      <c r="AI27" s="75" t="inlineStr">
        <is>
          <t>N/D</t>
        </is>
      </c>
      <c r="AJ27" s="75" t="inlineStr">
        <is>
          <t>N/D</t>
        </is>
      </c>
      <c r="AK27" s="75" t="inlineStr">
        <is>
          <t>N/D</t>
        </is>
      </c>
      <c r="AL27" s="75" t="inlineStr">
        <is>
          <t>N/D</t>
        </is>
      </c>
      <c r="AM27" s="75" t="inlineStr">
        <is>
          <t>N/D</t>
        </is>
      </c>
      <c r="AN27" s="75" t="inlineStr">
        <is>
          <t>N/D</t>
        </is>
      </c>
      <c r="AO27" s="75" t="inlineStr">
        <is>
          <t>N/D</t>
        </is>
      </c>
      <c r="AP27" s="75" t="inlineStr">
        <is>
          <t>não encontrado</t>
        </is>
      </c>
      <c r="AQ27" s="75" t="inlineStr">
        <is>
          <t>N/D</t>
        </is>
      </c>
      <c r="AR27" s="75" t="inlineStr">
        <is>
          <t>N/D</t>
        </is>
      </c>
      <c r="AS27" s="75" t="inlineStr">
        <is>
          <t>N/D</t>
        </is>
      </c>
      <c r="AT27" s="75" t="inlineStr">
        <is>
          <t>N/D</t>
        </is>
      </c>
      <c r="AU27" s="75" t="inlineStr">
        <is>
          <t>N/D</t>
        </is>
      </c>
      <c r="AV27" s="75" t="inlineStr">
        <is>
          <t>N/D</t>
        </is>
      </c>
      <c r="AW27" s="75" t="inlineStr">
        <is>
          <t>20%</t>
        </is>
      </c>
      <c r="AX27" s="75" t="inlineStr">
        <is>
          <t>aceito_payload</t>
        </is>
      </c>
      <c r="AY27" s="75" t="inlineStr">
        <is>
          <t>suporte_total_pl</t>
        </is>
      </c>
      <c r="AZ27" s="75" t="inlineStr">
        <is>
          <t>993922</t>
        </is>
      </c>
      <c r="BA27" s="75" t="inlineStr">
        <is>
          <t>2025-07-22</t>
        </is>
      </c>
      <c r="BB27" s="75" t="inlineStr">
        <is>
          <t>6</t>
        </is>
      </c>
      <c r="BC27" s="75" t="inlineStr">
        <is>
          <t>https://fnet.bmfbovespa.com.br/fnet/publico/downloadDocumento?id=993922</t>
        </is>
      </c>
      <c r="BD27" s="75" t="inlineStr">
        <is>
          <t>payload_documental</t>
        </is>
      </c>
      <c r="BE27" s="75" t="inlineStr">
        <is>
          <t>suporte_total_pl</t>
        </is>
      </c>
      <c r="BF27" s="75" t="inlineStr">
        <is>
          <t>aceito_payload</t>
        </is>
      </c>
      <c r="BG27" s="75" t="inlineStr">
        <is>
          <t>suporte_total_pl</t>
        </is>
      </c>
      <c r="BH27" s="75" t="inlineStr">
        <is>
          <t>993922</t>
        </is>
      </c>
      <c r="BI27" s="75" t="inlineStr">
        <is>
          <t>2025-07-22</t>
        </is>
      </c>
      <c r="BJ27" s="75" t="inlineStr">
        <is>
          <t>6</t>
        </is>
      </c>
      <c r="BK27" s="75" t="inlineStr">
        <is>
          <t>https://fnet.bmfbovespa.com.br/fnet/publico/downloadDocumento?id=993922</t>
        </is>
      </c>
      <c r="BL27" s="75" t="inlineStr">
        <is>
          <t>payload_documental</t>
        </is>
      </c>
    </row>
    <row r="28" ht="42" customHeight="1">
      <c r="A28" s="141" t="n">
        <v>24</v>
      </c>
      <c r="B28" s="138" t="n">
        <v>43309233000183</v>
      </c>
      <c r="C28" s="74" t="inlineStr">
        <is>
          <t>43.309.233/0001-83</t>
        </is>
      </c>
      <c r="D28" s="74" t="inlineStr">
        <is>
          <t>FUNDO DE INVESTIMENTO EM DIREITOS CREDITÓRIOS LIVERPOOL RESPONSABILIDADE LIMITADA</t>
        </is>
      </c>
      <c r="E28" s="74" t="inlineStr">
        <is>
          <t>concluído</t>
        </is>
      </c>
      <c r="F28" s="141" t="n">
        <v>4</v>
      </c>
      <c r="G28" s="74" t="inlineStr">
        <is>
          <t>consultado</t>
        </is>
      </c>
      <c r="H28" s="74" t="inlineStr">
        <is>
          <t>N/D</t>
        </is>
      </c>
      <c r="I28" s="74" t="inlineStr">
        <is>
          <t>a Adama e/ou qualquer outro originador indicado pelo Gestor e aprovado pela Assembleia de Cotistas na forma do presente Regulamento</t>
        </is>
      </c>
      <c r="J28" s="74" t="inlineStr">
        <is>
          <t>encontrado_explicito</t>
        </is>
      </c>
      <c r="K28" s="74" t="inlineStr">
        <is>
          <t>N/D</t>
        </is>
      </c>
      <c r="L28" s="74" t="inlineStr">
        <is>
          <t>943032</t>
        </is>
      </c>
      <c r="M28" s="74" t="inlineStr">
        <is>
          <t>09/07/2025</t>
        </is>
      </c>
      <c r="N28" s="74" t="inlineStr">
        <is>
          <t>27</t>
        </is>
      </c>
      <c r="O28" s="74" t="inlineStr">
        <is>
          <t>https://fnet.bmfbovespa.com.br/fnet/publico/downloadDocumento?id=943032</t>
        </is>
      </c>
      <c r="P28" s="74" t="inlineStr">
        <is>
          <t>regulamento</t>
        </is>
      </c>
      <c r="Q28" s="74" t="inlineStr">
        <is>
          <t>(i) a Adama, cujas cessões não contarão com coobrigação</t>
        </is>
      </c>
      <c r="R28" s="74" t="inlineStr">
        <is>
          <t>encontrado_explicito</t>
        </is>
      </c>
      <c r="S28" s="74" t="inlineStr">
        <is>
          <t>N/D</t>
        </is>
      </c>
      <c r="T28" s="74" t="inlineStr">
        <is>
          <t>943032</t>
        </is>
      </c>
      <c r="U28" s="74" t="inlineStr">
        <is>
          <t>09/07/2025</t>
        </is>
      </c>
      <c r="V28" s="74" t="inlineStr">
        <is>
          <t>9</t>
        </is>
      </c>
      <c r="W28" s="74" t="inlineStr">
        <is>
          <t>https://fnet.bmfbovespa.com.br/fnet/publico/downloadDocumento?id=943032</t>
        </is>
      </c>
      <c r="X28" s="74" t="inlineStr">
        <is>
          <t>regulamento</t>
        </is>
      </c>
      <c r="Y28" s="74" t="inlineStr">
        <is>
          <t>(i) no caso das CPR -F, os produtores rurais, pessoas físicas e/ou jurídicas, cooperativas de produtores rurais e a associação de produtores rurais que tenha por objeto a produção, comercialização e a industrialização dos produtos rurais, indicados pelo Origina dor ou por um Distribuidor de Produtos, nos termos dos Contratos de Cessão, e que sejam, em ambos os casos, previamente aprovados pelo Gestor; (ii) no caso de CDCA, os Emissores que são os Distribuidores de Produtos, indicados pelo Origin</t>
        </is>
      </c>
      <c r="Z28" s="74" t="inlineStr">
        <is>
          <t>encontrado_explicito</t>
        </is>
      </c>
      <c r="AA28" s="74" t="inlineStr">
        <is>
          <t>N/D</t>
        </is>
      </c>
      <c r="AB28" s="74" t="inlineStr">
        <is>
          <t>943032</t>
        </is>
      </c>
      <c r="AC28" s="74" t="inlineStr">
        <is>
          <t>09/07/2025</t>
        </is>
      </c>
      <c r="AD28" s="74" t="inlineStr">
        <is>
          <t>17</t>
        </is>
      </c>
      <c r="AE28" s="74" t="inlineStr">
        <is>
          <t>https://fnet.bmfbovespa.com.br/fnet/publico/downloadDocumento?id=943032</t>
        </is>
      </c>
      <c r="AF28" s="74" t="inlineStr">
        <is>
          <t>regulamento</t>
        </is>
      </c>
      <c r="AG28" s="74" t="inlineStr">
        <is>
          <t>os CDCA, as CPR -F, os Direitos Creditórios Distribuidores e os Direitos Creditórios Adama, incluindo todos os valores devidos a título de contraprestação, reajustes monetários, indexações à moeda estrangeira (somente caso permitido na forma da legislação e regulamentação aplicáveis), juros, encargos e quaisquer multas ou penalidades de qualquer natureza devidos pelos Devedores, bem como todos e quaisquer direitos, eventuais garantias que sejam soli citadas pelo Gestor, nos termos previstos neste Regulamento, nos Contratos de Cessão, na CPR-F ou CDCA, conforme o caso, privilégios, preferências, prerrogativas e ações relacionados aos Direitos Creditórios, sem prejuízo dos procedimentos de cob</t>
        </is>
      </c>
      <c r="AH28" s="74" t="inlineStr">
        <is>
          <t>encontrado_explicito</t>
        </is>
      </c>
      <c r="AI28" s="74" t="inlineStr">
        <is>
          <t>N/D</t>
        </is>
      </c>
      <c r="AJ28" s="74" t="inlineStr">
        <is>
          <t>943032</t>
        </is>
      </c>
      <c r="AK28" s="74" t="inlineStr">
        <is>
          <t>09/07/2025</t>
        </is>
      </c>
      <c r="AL28" s="74" t="inlineStr">
        <is>
          <t>19</t>
        </is>
      </c>
      <c r="AM28" s="74" t="inlineStr">
        <is>
          <t>https://fnet.bmfbovespa.com.br/fnet/publico/downloadDocumento?id=943032</t>
        </is>
      </c>
      <c r="AN28" s="74" t="inlineStr">
        <is>
          <t>regulamento</t>
        </is>
      </c>
      <c r="AO28" s="74" t="inlineStr">
        <is>
          <t>N/D</t>
        </is>
      </c>
      <c r="AP28" s="74" t="inlineStr">
        <is>
          <t>não encontrado</t>
        </is>
      </c>
      <c r="AQ28" s="74" t="inlineStr">
        <is>
          <t>N/D</t>
        </is>
      </c>
      <c r="AR28" s="74" t="inlineStr">
        <is>
          <t>N/D</t>
        </is>
      </c>
      <c r="AS28" s="74" t="inlineStr">
        <is>
          <t>N/D</t>
        </is>
      </c>
      <c r="AT28" s="74" t="inlineStr">
        <is>
          <t>N/D</t>
        </is>
      </c>
      <c r="AU28" s="74" t="inlineStr">
        <is>
          <t>N/D</t>
        </is>
      </c>
      <c r="AV28" s="74" t="inlineStr">
        <is>
          <t>N/D</t>
        </is>
      </c>
      <c r="AW28" s="74" t="inlineStr">
        <is>
          <t>15%</t>
        </is>
      </c>
      <c r="AX28" s="74" t="inlineStr">
        <is>
          <t>aceito_payload</t>
        </is>
      </c>
      <c r="AY28" s="74" t="inlineStr">
        <is>
          <t>suporte_total_pl</t>
        </is>
      </c>
      <c r="AZ28" s="74" t="inlineStr">
        <is>
          <t>943032</t>
        </is>
      </c>
      <c r="BA28" s="74" t="inlineStr">
        <is>
          <t>2025-07-09</t>
        </is>
      </c>
      <c r="BB28" s="74" t="inlineStr">
        <is>
          <t>30</t>
        </is>
      </c>
      <c r="BC28" s="74" t="inlineStr">
        <is>
          <t>https://fnet.bmfbovespa.com.br/fnet/publico/downloadDocumento?id=943032</t>
        </is>
      </c>
      <c r="BD28" s="74" t="inlineStr">
        <is>
          <t>payload_documental</t>
        </is>
      </c>
      <c r="BE28" s="74" t="inlineStr">
        <is>
          <t>suporte_total_pl</t>
        </is>
      </c>
      <c r="BF28" s="74" t="inlineStr">
        <is>
          <t>aceito_payload</t>
        </is>
      </c>
      <c r="BG28" s="74" t="inlineStr">
        <is>
          <t>suporte_total_pl</t>
        </is>
      </c>
      <c r="BH28" s="74" t="inlineStr">
        <is>
          <t>943032</t>
        </is>
      </c>
      <c r="BI28" s="74" t="inlineStr">
        <is>
          <t>2025-07-09</t>
        </is>
      </c>
      <c r="BJ28" s="74" t="inlineStr">
        <is>
          <t>30</t>
        </is>
      </c>
      <c r="BK28" s="74" t="inlineStr">
        <is>
          <t>https://fnet.bmfbovespa.com.br/fnet/publico/downloadDocumento?id=943032</t>
        </is>
      </c>
      <c r="BL28" s="74" t="inlineStr">
        <is>
          <t>payload_documental</t>
        </is>
      </c>
    </row>
    <row r="29" ht="42" customHeight="1">
      <c r="A29" s="145" t="n">
        <v>25</v>
      </c>
      <c r="B29" s="142" t="n">
        <v>43616659000180</v>
      </c>
      <c r="C29" s="75" t="inlineStr">
        <is>
          <t>43.616.659/0001-80</t>
        </is>
      </c>
      <c r="D29" s="75" t="inlineStr">
        <is>
          <t>TALÓ 1 FUNDO DE INVESTIMENTO EM DIREITOS CREDITÓRIOS RESPONSABILIDADE LIMITADA</t>
        </is>
      </c>
      <c r="E29" s="75" t="inlineStr">
        <is>
          <t>concluído</t>
        </is>
      </c>
      <c r="F29" s="145" t="n">
        <v>6</v>
      </c>
      <c r="G29" s="75" t="inlineStr">
        <is>
          <t>consultado</t>
        </is>
      </c>
      <c r="H29" s="75" t="inlineStr">
        <is>
          <t>N/D</t>
        </is>
      </c>
      <c r="I29" s="75" t="inlineStr">
        <is>
          <t>Yara Fertilizantes/Yara</t>
        </is>
      </c>
      <c r="J29" s="75" t="inlineStr">
        <is>
          <t>encontrado_explicito</t>
        </is>
      </c>
      <c r="K29" s="75" t="inlineStr">
        <is>
          <t>rótulo explícito de participante v2</t>
        </is>
      </c>
      <c r="L29" s="75" t="inlineStr">
        <is>
          <t>851085</t>
        </is>
      </c>
      <c r="M29" s="75" t="inlineStr">
        <is>
          <t>27/02/2025</t>
        </is>
      </c>
      <c r="N29" s="75" t="inlineStr">
        <is>
          <t>1</t>
        </is>
      </c>
      <c r="O29" s="75" t="inlineStr">
        <is>
          <t>https://fnet.bmfbovespa.com.br/fnet/publico/downloadDocumento?id=851085</t>
        </is>
      </c>
      <c r="P29" s="75" t="inlineStr">
        <is>
          <t>rating_report</t>
        </is>
      </c>
      <c r="Q29" s="75" t="inlineStr">
        <is>
          <t>(i) a Yara, cujas cessões não contarão com coobrigação</t>
        </is>
      </c>
      <c r="R29" s="75" t="inlineStr">
        <is>
          <t>encontrado_explicito</t>
        </is>
      </c>
      <c r="S29" s="75" t="inlineStr">
        <is>
          <t>N/D</t>
        </is>
      </c>
      <c r="T29" s="75" t="inlineStr">
        <is>
          <t>400836</t>
        </is>
      </c>
      <c r="U29" s="75" t="inlineStr">
        <is>
          <t>10/01/2023</t>
        </is>
      </c>
      <c r="V29" s="75" t="inlineStr">
        <is>
          <t>7</t>
        </is>
      </c>
      <c r="W29" s="75" t="inlineStr">
        <is>
          <t>https://fnet.bmfbovespa.com.br/fnet/publico/downloadDocumento?id=400836</t>
        </is>
      </c>
      <c r="X29" s="75" t="inlineStr">
        <is>
          <t>regulamento</t>
        </is>
      </c>
      <c r="Y29" s="75" t="inlineStr">
        <is>
          <t>N/D</t>
        </is>
      </c>
      <c r="Z29" s="75" t="inlineStr">
        <is>
          <t>não encontrado</t>
        </is>
      </c>
      <c r="AA29" s="75" t="inlineStr">
        <is>
          <t>N/D</t>
        </is>
      </c>
      <c r="AB29" s="75" t="inlineStr">
        <is>
          <t>N/D</t>
        </is>
      </c>
      <c r="AC29" s="75" t="inlineStr">
        <is>
          <t>N/D</t>
        </is>
      </c>
      <c r="AD29" s="75" t="inlineStr">
        <is>
          <t>N/D</t>
        </is>
      </c>
      <c r="AE29" s="75" t="inlineStr">
        <is>
          <t>N/D</t>
        </is>
      </c>
      <c r="AF29" s="75" t="inlineStr">
        <is>
          <t>N/D</t>
        </is>
      </c>
      <c r="AG29" s="75" t="inlineStr">
        <is>
          <t>N/D</t>
        </is>
      </c>
      <c r="AH29" s="75" t="inlineStr">
        <is>
          <t>não encontrado</t>
        </is>
      </c>
      <c r="AI29" s="75" t="inlineStr">
        <is>
          <t>N/D</t>
        </is>
      </c>
      <c r="AJ29" s="75" t="inlineStr">
        <is>
          <t>N/D</t>
        </is>
      </c>
      <c r="AK29" s="75" t="inlineStr">
        <is>
          <t>N/D</t>
        </is>
      </c>
      <c r="AL29" s="75" t="inlineStr">
        <is>
          <t>N/D</t>
        </is>
      </c>
      <c r="AM29" s="75" t="inlineStr">
        <is>
          <t>N/D</t>
        </is>
      </c>
      <c r="AN29" s="75" t="inlineStr">
        <is>
          <t>N/D</t>
        </is>
      </c>
      <c r="AO29" s="75" t="inlineStr">
        <is>
          <t>N/D</t>
        </is>
      </c>
      <c r="AP29" s="75" t="inlineStr">
        <is>
          <t>não encontrado</t>
        </is>
      </c>
      <c r="AQ29" s="75" t="inlineStr">
        <is>
          <t>N/D</t>
        </is>
      </c>
      <c r="AR29" s="75" t="inlineStr">
        <is>
          <t>N/D</t>
        </is>
      </c>
      <c r="AS29" s="75" t="inlineStr">
        <is>
          <t>N/D</t>
        </is>
      </c>
      <c r="AT29" s="75" t="inlineStr">
        <is>
          <t>N/D</t>
        </is>
      </c>
      <c r="AU29" s="75" t="inlineStr">
        <is>
          <t>N/D</t>
        </is>
      </c>
      <c r="AV29" s="75" t="inlineStr">
        <is>
          <t>N/D</t>
        </is>
      </c>
      <c r="AW29" s="75" t="inlineStr">
        <is>
          <t>25%</t>
        </is>
      </c>
      <c r="AX29" s="75" t="inlineStr">
        <is>
          <t>aceito_payload</t>
        </is>
      </c>
      <c r="AY29" s="75" t="inlineStr">
        <is>
          <t>suporte_total_pl</t>
        </is>
      </c>
      <c r="AZ29" s="75" t="inlineStr">
        <is>
          <t>791844</t>
        </is>
      </c>
      <c r="BA29" s="75" t="inlineStr">
        <is>
          <t>2024-11-28</t>
        </is>
      </c>
      <c r="BB29" s="75" t="inlineStr">
        <is>
          <t>7</t>
        </is>
      </c>
      <c r="BC29" s="75" t="inlineStr">
        <is>
          <t>https://fnet.bmfbovespa.com.br/fnet/publico/downloadDocumento?id=791844</t>
        </is>
      </c>
      <c r="BD29" s="75" t="inlineStr">
        <is>
          <t>payload_documental</t>
        </is>
      </c>
      <c r="BE29" s="75" t="inlineStr">
        <is>
          <t>suporte_total_pl</t>
        </is>
      </c>
      <c r="BF29" s="75" t="inlineStr">
        <is>
          <t>aceito_payload</t>
        </is>
      </c>
      <c r="BG29" s="75" t="inlineStr">
        <is>
          <t>suporte_total_pl</t>
        </is>
      </c>
      <c r="BH29" s="75" t="inlineStr">
        <is>
          <t>791844</t>
        </is>
      </c>
      <c r="BI29" s="75" t="inlineStr">
        <is>
          <t>2024-11-28</t>
        </is>
      </c>
      <c r="BJ29" s="75" t="inlineStr">
        <is>
          <t>7</t>
        </is>
      </c>
      <c r="BK29" s="75" t="inlineStr">
        <is>
          <t>https://fnet.bmfbovespa.com.br/fnet/publico/downloadDocumento?id=791844</t>
        </is>
      </c>
      <c r="BL29" s="75" t="inlineStr">
        <is>
          <t>payload_documental</t>
        </is>
      </c>
    </row>
    <row r="30" ht="42" customHeight="1">
      <c r="A30" s="141" t="n">
        <v>26</v>
      </c>
      <c r="B30" s="138" t="n">
        <v>52343195000176</v>
      </c>
      <c r="C30" s="74" t="inlineStr">
        <is>
          <t>52.343.195/0001-76</t>
        </is>
      </c>
      <c r="D30" s="74" t="inlineStr">
        <is>
          <t>FARMTECH SYNGENTA FUNDO DE INVESTIMENTO EM DIREITOS CREDITÓRIOS RESPONSABILIDADE LIMITADA</t>
        </is>
      </c>
      <c r="E30" s="74" t="inlineStr">
        <is>
          <t>concluído</t>
        </is>
      </c>
      <c r="F30" s="141" t="n">
        <v>5</v>
      </c>
      <c r="G30" s="74" t="inlineStr">
        <is>
          <t>consultado</t>
        </is>
      </c>
      <c r="H30" s="74" t="inlineStr">
        <is>
          <t>N/D</t>
        </is>
      </c>
      <c r="I30" s="74" t="inlineStr">
        <is>
          <t>N/D</t>
        </is>
      </c>
      <c r="J30" s="74" t="inlineStr">
        <is>
          <t>não encontrado</t>
        </is>
      </c>
      <c r="K30" s="74" t="inlineStr">
        <is>
          <t>N/D</t>
        </is>
      </c>
      <c r="L30" s="74" t="inlineStr">
        <is>
          <t>N/D</t>
        </is>
      </c>
      <c r="M30" s="74" t="inlineStr">
        <is>
          <t>N/D</t>
        </is>
      </c>
      <c r="N30" s="74" t="inlineStr">
        <is>
          <t>N/D</t>
        </is>
      </c>
      <c r="O30" s="74" t="inlineStr">
        <is>
          <t>N/D</t>
        </is>
      </c>
      <c r="P30" s="74" t="inlineStr">
        <is>
          <t>N/D</t>
        </is>
      </c>
      <c r="Q30" s="74" t="inlineStr">
        <is>
          <t>Multicedentes</t>
        </is>
      </c>
      <c r="R30" s="74" t="inlineStr">
        <is>
          <t>aceito_payload</t>
        </is>
      </c>
      <c r="S30" s="74" t="inlineStr">
        <is>
          <t>N/D</t>
        </is>
      </c>
      <c r="T30" s="74" t="inlineStr">
        <is>
          <t>IMG_8704.JPG</t>
        </is>
      </c>
      <c r="U30" s="74" t="inlineStr">
        <is>
          <t>2024-11-27</t>
        </is>
      </c>
      <c r="V30" s="74" t="inlineStr">
        <is>
          <t>7</t>
        </is>
      </c>
      <c r="W30" s="74" t="inlineStr">
        <is>
          <t>N/D</t>
        </is>
      </c>
      <c r="X30" s="74" t="inlineStr">
        <is>
          <t>planilha_manual</t>
        </is>
      </c>
      <c r="Y30" s="74" t="inlineStr">
        <is>
          <t>N/D</t>
        </is>
      </c>
      <c r="Z30" s="74" t="inlineStr">
        <is>
          <t>não encontrado</t>
        </is>
      </c>
      <c r="AA30" s="74" t="inlineStr">
        <is>
          <t>N/D</t>
        </is>
      </c>
      <c r="AB30" s="74" t="inlineStr">
        <is>
          <t>N/D</t>
        </is>
      </c>
      <c r="AC30" s="74" t="inlineStr">
        <is>
          <t>N/D</t>
        </is>
      </c>
      <c r="AD30" s="74" t="inlineStr">
        <is>
          <t>N/D</t>
        </is>
      </c>
      <c r="AE30" s="74" t="inlineStr">
        <is>
          <t>N/D</t>
        </is>
      </c>
      <c r="AF30" s="74" t="inlineStr">
        <is>
          <t>N/D</t>
        </is>
      </c>
      <c r="AG30" s="74" t="inlineStr">
        <is>
          <t>N/D</t>
        </is>
      </c>
      <c r="AH30" s="74" t="inlineStr">
        <is>
          <t>não encontrado</t>
        </is>
      </c>
      <c r="AI30" s="74" t="inlineStr">
        <is>
          <t>N/D</t>
        </is>
      </c>
      <c r="AJ30" s="74" t="inlineStr">
        <is>
          <t>N/D</t>
        </is>
      </c>
      <c r="AK30" s="74" t="inlineStr">
        <is>
          <t>N/D</t>
        </is>
      </c>
      <c r="AL30" s="74" t="inlineStr">
        <is>
          <t>N/D</t>
        </is>
      </c>
      <c r="AM30" s="74" t="inlineStr">
        <is>
          <t>N/D</t>
        </is>
      </c>
      <c r="AN30" s="74" t="inlineStr">
        <is>
          <t>N/D</t>
        </is>
      </c>
      <c r="AO30" s="74" t="inlineStr">
        <is>
          <t>N/D</t>
        </is>
      </c>
      <c r="AP30" s="74" t="inlineStr">
        <is>
          <t>não encontrado</t>
        </is>
      </c>
      <c r="AQ30" s="74" t="inlineStr">
        <is>
          <t>N/D</t>
        </is>
      </c>
      <c r="AR30" s="74" t="inlineStr">
        <is>
          <t>N/D</t>
        </is>
      </c>
      <c r="AS30" s="74" t="inlineStr">
        <is>
          <t>N/D</t>
        </is>
      </c>
      <c r="AT30" s="74" t="inlineStr">
        <is>
          <t>N/D</t>
        </is>
      </c>
      <c r="AU30" s="74" t="inlineStr">
        <is>
          <t>N/D</t>
        </is>
      </c>
      <c r="AV30" s="74" t="inlineStr">
        <is>
          <t>N/D</t>
        </is>
      </c>
      <c r="AW30" s="74" t="inlineStr">
        <is>
          <t>15%</t>
        </is>
      </c>
      <c r="AX30" s="74" t="inlineStr">
        <is>
          <t>aceito_payload</t>
        </is>
      </c>
      <c r="AY30" s="74" t="inlineStr">
        <is>
          <t>suporte_total_pl</t>
        </is>
      </c>
      <c r="AZ30" s="74" t="inlineStr">
        <is>
          <t>791944</t>
        </is>
      </c>
      <c r="BA30" s="74" t="inlineStr">
        <is>
          <t>2024-11-27</t>
        </is>
      </c>
      <c r="BB30" s="74" t="inlineStr">
        <is>
          <t>7</t>
        </is>
      </c>
      <c r="BC30" s="74" t="inlineStr">
        <is>
          <t>https://fnet.bmfbovespa.com.br/fnet/publico/downloadDocumento?id=791944</t>
        </is>
      </c>
      <c r="BD30" s="74" t="inlineStr">
        <is>
          <t>payload_documental</t>
        </is>
      </c>
      <c r="BE30" s="74" t="inlineStr">
        <is>
          <t>suporte_total_pl</t>
        </is>
      </c>
      <c r="BF30" s="74" t="inlineStr">
        <is>
          <t>aceito_payload</t>
        </is>
      </c>
      <c r="BG30" s="74" t="inlineStr">
        <is>
          <t>suporte_total_pl</t>
        </is>
      </c>
      <c r="BH30" s="74" t="inlineStr">
        <is>
          <t>791944</t>
        </is>
      </c>
      <c r="BI30" s="74" t="inlineStr">
        <is>
          <t>2024-11-27</t>
        </is>
      </c>
      <c r="BJ30" s="74" t="inlineStr">
        <is>
          <t>7</t>
        </is>
      </c>
      <c r="BK30" s="74" t="inlineStr">
        <is>
          <t>https://fnet.bmfbovespa.com.br/fnet/publico/downloadDocumento?id=791944</t>
        </is>
      </c>
      <c r="BL30" s="74" t="inlineStr">
        <is>
          <t>payload_documental</t>
        </is>
      </c>
    </row>
    <row r="31" ht="42" customHeight="1">
      <c r="A31" s="145" t="n">
        <v>27</v>
      </c>
      <c r="B31" s="142" t="n">
        <v>44574361000117</v>
      </c>
      <c r="C31" s="75" t="inlineStr">
        <is>
          <t>44.574.361/0001-17</t>
        </is>
      </c>
      <c r="D31" s="75" t="inlineStr">
        <is>
          <t>FUNDO DE INVESTIMENTO EM DIREITOS CREDITORIOS UPL 02 - RESPONSABILIDADE LIMITADA</t>
        </is>
      </c>
      <c r="E31" s="75" t="inlineStr">
        <is>
          <t>concluído</t>
        </is>
      </c>
      <c r="F31" s="145" t="n">
        <v>6</v>
      </c>
      <c r="G31" s="75" t="inlineStr">
        <is>
          <t>consultado</t>
        </is>
      </c>
      <c r="H31" s="75" t="inlineStr">
        <is>
          <t>N/D</t>
        </is>
      </c>
      <c r="I31" s="75" t="inlineStr">
        <is>
          <t>UPL Brasil/UPL</t>
        </is>
      </c>
      <c r="J31" s="75" t="inlineStr">
        <is>
          <t>encontrado_explicito</t>
        </is>
      </c>
      <c r="K31" s="75" t="inlineStr">
        <is>
          <t>rótulo explícito de participante v2</t>
        </is>
      </c>
      <c r="L31" s="75" t="inlineStr">
        <is>
          <t>1126517</t>
        </is>
      </c>
      <c r="M31" s="75" t="inlineStr">
        <is>
          <t>25/02/2026</t>
        </is>
      </c>
      <c r="N31" s="75" t="inlineStr">
        <is>
          <t>1</t>
        </is>
      </c>
      <c r="O31" s="75" t="inlineStr">
        <is>
          <t>https://fnet.bmfbovespa.com.br/fnet/publico/downloadDocumento?id=1126517</t>
        </is>
      </c>
      <c r="P31" s="75" t="inlineStr">
        <is>
          <t>rating_report</t>
        </is>
      </c>
      <c r="Q31" s="75" t="inlineStr">
        <is>
          <t>UPL</t>
        </is>
      </c>
      <c r="R31" s="75" t="inlineStr">
        <is>
          <t>aceito_payload</t>
        </is>
      </c>
      <c r="S31" s="75" t="inlineStr">
        <is>
          <t>N/D</t>
        </is>
      </c>
      <c r="T31" s="75" t="inlineStr">
        <is>
          <t>IMG_8704.JPG</t>
        </is>
      </c>
      <c r="U31" s="75" t="inlineStr">
        <is>
          <t>2025-06-12</t>
        </is>
      </c>
      <c r="V31" s="75" t="inlineStr">
        <is>
          <t>133</t>
        </is>
      </c>
      <c r="W31" s="75" t="inlineStr">
        <is>
          <t>N/D</t>
        </is>
      </c>
      <c r="X31" s="75" t="inlineStr">
        <is>
          <t>planilha_manual</t>
        </is>
      </c>
      <c r="Y31" s="75" t="inlineStr">
        <is>
          <t>N/D</t>
        </is>
      </c>
      <c r="Z31" s="75" t="inlineStr">
        <is>
          <t>não encontrado</t>
        </is>
      </c>
      <c r="AA31" s="75" t="inlineStr">
        <is>
          <t>N/D</t>
        </is>
      </c>
      <c r="AB31" s="75" t="inlineStr">
        <is>
          <t>N/D</t>
        </is>
      </c>
      <c r="AC31" s="75" t="inlineStr">
        <is>
          <t>N/D</t>
        </is>
      </c>
      <c r="AD31" s="75" t="inlineStr">
        <is>
          <t>N/D</t>
        </is>
      </c>
      <c r="AE31" s="75" t="inlineStr">
        <is>
          <t>N/D</t>
        </is>
      </c>
      <c r="AF31" s="75" t="inlineStr">
        <is>
          <t>N/D</t>
        </is>
      </c>
      <c r="AG31" s="75" t="inlineStr">
        <is>
          <t>Insumos Agrícolas - prazo Safra</t>
        </is>
      </c>
      <c r="AH31" s="75" t="inlineStr">
        <is>
          <t>aceito_payload</t>
        </is>
      </c>
      <c r="AI31" s="75" t="inlineStr">
        <is>
          <t>N/D</t>
        </is>
      </c>
      <c r="AJ31" s="75" t="inlineStr">
        <is>
          <t>IMG_8704.JPG</t>
        </is>
      </c>
      <c r="AK31" s="75" t="inlineStr">
        <is>
          <t>2025-06-12</t>
        </is>
      </c>
      <c r="AL31" s="75" t="inlineStr">
        <is>
          <t>133</t>
        </is>
      </c>
      <c r="AM31" s="75" t="inlineStr">
        <is>
          <t>N/D</t>
        </is>
      </c>
      <c r="AN31" s="75" t="inlineStr">
        <is>
          <t>planilha_manual</t>
        </is>
      </c>
      <c r="AO31" s="75" t="inlineStr">
        <is>
          <t>N/D</t>
        </is>
      </c>
      <c r="AP31" s="75" t="inlineStr">
        <is>
          <t>não encontrado</t>
        </is>
      </c>
      <c r="AQ31" s="75" t="inlineStr">
        <is>
          <t>N/D</t>
        </is>
      </c>
      <c r="AR31" s="75" t="inlineStr">
        <is>
          <t>N/D</t>
        </is>
      </c>
      <c r="AS31" s="75" t="inlineStr">
        <is>
          <t>N/D</t>
        </is>
      </c>
      <c r="AT31" s="75" t="inlineStr">
        <is>
          <t>N/D</t>
        </is>
      </c>
      <c r="AU31" s="75" t="inlineStr">
        <is>
          <t>N/D</t>
        </is>
      </c>
      <c r="AV31" s="75" t="inlineStr">
        <is>
          <t>N/D</t>
        </is>
      </c>
      <c r="AW31" s="75" t="inlineStr">
        <is>
          <t>15%</t>
        </is>
      </c>
      <c r="AX31" s="75" t="inlineStr">
        <is>
          <t>aceito_payload</t>
        </is>
      </c>
      <c r="AY31" s="75" t="inlineStr">
        <is>
          <t>suporte_total_pl</t>
        </is>
      </c>
      <c r="AZ31" s="75" t="inlineStr">
        <is>
          <t>928360</t>
        </is>
      </c>
      <c r="BA31" s="75" t="inlineStr">
        <is>
          <t>2025-06-12</t>
        </is>
      </c>
      <c r="BB31" s="75" t="inlineStr">
        <is>
          <t>133</t>
        </is>
      </c>
      <c r="BC31" s="75" t="inlineStr">
        <is>
          <t>https://fnet.bmfbovespa.com.br/fnet/publico/downloadDocumento?id=928360</t>
        </is>
      </c>
      <c r="BD31" s="75" t="inlineStr">
        <is>
          <t>payload_documental</t>
        </is>
      </c>
      <c r="BE31" s="75" t="inlineStr">
        <is>
          <t>suporte_total_pl</t>
        </is>
      </c>
      <c r="BF31" s="75" t="inlineStr">
        <is>
          <t>aceito_payload</t>
        </is>
      </c>
      <c r="BG31" s="75" t="inlineStr">
        <is>
          <t>suporte_total_pl</t>
        </is>
      </c>
      <c r="BH31" s="75" t="inlineStr">
        <is>
          <t>928360</t>
        </is>
      </c>
      <c r="BI31" s="75" t="inlineStr">
        <is>
          <t>2025-06-12</t>
        </is>
      </c>
      <c r="BJ31" s="75" t="inlineStr">
        <is>
          <t>133</t>
        </is>
      </c>
      <c r="BK31" s="75" t="inlineStr">
        <is>
          <t>https://fnet.bmfbovespa.com.br/fnet/publico/downloadDocumento?id=928360</t>
        </is>
      </c>
      <c r="BL31" s="75" t="inlineStr">
        <is>
          <t>payload_documental</t>
        </is>
      </c>
    </row>
    <row r="32" ht="42" customHeight="1">
      <c r="A32" s="141" t="n">
        <v>28</v>
      </c>
      <c r="B32" s="138" t="n">
        <v>45123558000100</v>
      </c>
      <c r="C32" s="74" t="inlineStr">
        <is>
          <t>45.123.558/0001-00</t>
        </is>
      </c>
      <c r="D32" s="74" t="inlineStr">
        <is>
          <t>N/D</t>
        </is>
      </c>
      <c r="E32" s="74" t="inlineStr">
        <is>
          <t>concluído</t>
        </is>
      </c>
      <c r="F32" s="141" t="n">
        <v>0</v>
      </c>
      <c r="G32" s="74" t="inlineStr">
        <is>
          <t>sem_documentos</t>
        </is>
      </c>
      <c r="H32" s="74" t="inlineStr">
        <is>
          <t>N/D</t>
        </is>
      </c>
      <c r="I32" s="74" t="inlineStr">
        <is>
          <t>N/D</t>
        </is>
      </c>
      <c r="J32" s="74" t="inlineStr">
        <is>
          <t>não encontrado</t>
        </is>
      </c>
      <c r="K32" s="74" t="inlineStr">
        <is>
          <t>N/D</t>
        </is>
      </c>
      <c r="L32" s="74" t="inlineStr">
        <is>
          <t>N/D</t>
        </is>
      </c>
      <c r="M32" s="74" t="inlineStr">
        <is>
          <t>N/D</t>
        </is>
      </c>
      <c r="N32" s="74" t="inlineStr">
        <is>
          <t>N/D</t>
        </is>
      </c>
      <c r="O32" s="74" t="inlineStr">
        <is>
          <t>N/D</t>
        </is>
      </c>
      <c r="P32" s="74" t="inlineStr">
        <is>
          <t>N/D</t>
        </is>
      </c>
      <c r="Q32" s="74" t="inlineStr">
        <is>
          <t>N/D</t>
        </is>
      </c>
      <c r="R32" s="74" t="inlineStr">
        <is>
          <t>não encontrado</t>
        </is>
      </c>
      <c r="S32" s="74" t="inlineStr">
        <is>
          <t>N/D</t>
        </is>
      </c>
      <c r="T32" s="74" t="inlineStr">
        <is>
          <t>N/D</t>
        </is>
      </c>
      <c r="U32" s="74" t="inlineStr">
        <is>
          <t>N/D</t>
        </is>
      </c>
      <c r="V32" s="74" t="inlineStr">
        <is>
          <t>N/D</t>
        </is>
      </c>
      <c r="W32" s="74" t="inlineStr">
        <is>
          <t>N/D</t>
        </is>
      </c>
      <c r="X32" s="74" t="inlineStr">
        <is>
          <t>N/D</t>
        </is>
      </c>
      <c r="Y32" s="74" t="inlineStr">
        <is>
          <t>N/D</t>
        </is>
      </c>
      <c r="Z32" s="74" t="inlineStr">
        <is>
          <t>não encontrado</t>
        </is>
      </c>
      <c r="AA32" s="74" t="inlineStr">
        <is>
          <t>N/D</t>
        </is>
      </c>
      <c r="AB32" s="74" t="inlineStr">
        <is>
          <t>N/D</t>
        </is>
      </c>
      <c r="AC32" s="74" t="inlineStr">
        <is>
          <t>N/D</t>
        </is>
      </c>
      <c r="AD32" s="74" t="inlineStr">
        <is>
          <t>N/D</t>
        </is>
      </c>
      <c r="AE32" s="74" t="inlineStr">
        <is>
          <t>N/D</t>
        </is>
      </c>
      <c r="AF32" s="74" t="inlineStr">
        <is>
          <t>N/D</t>
        </is>
      </c>
      <c r="AG32" s="74" t="inlineStr">
        <is>
          <t>N/D</t>
        </is>
      </c>
      <c r="AH32" s="74" t="inlineStr">
        <is>
          <t>não encontrado</t>
        </is>
      </c>
      <c r="AI32" s="74" t="inlineStr">
        <is>
          <t>N/D</t>
        </is>
      </c>
      <c r="AJ32" s="74" t="inlineStr">
        <is>
          <t>N/D</t>
        </is>
      </c>
      <c r="AK32" s="74" t="inlineStr">
        <is>
          <t>N/D</t>
        </is>
      </c>
      <c r="AL32" s="74" t="inlineStr">
        <is>
          <t>N/D</t>
        </is>
      </c>
      <c r="AM32" s="74" t="inlineStr">
        <is>
          <t>N/D</t>
        </is>
      </c>
      <c r="AN32" s="74" t="inlineStr">
        <is>
          <t>N/D</t>
        </is>
      </c>
      <c r="AO32" s="74" t="inlineStr">
        <is>
          <t>N/D</t>
        </is>
      </c>
      <c r="AP32" s="74" t="inlineStr">
        <is>
          <t>não encontrado</t>
        </is>
      </c>
      <c r="AQ32" s="74" t="inlineStr">
        <is>
          <t>N/D</t>
        </is>
      </c>
      <c r="AR32" s="74" t="inlineStr">
        <is>
          <t>N/D</t>
        </is>
      </c>
      <c r="AS32" s="74" t="inlineStr">
        <is>
          <t>N/D</t>
        </is>
      </c>
      <c r="AT32" s="74" t="inlineStr">
        <is>
          <t>N/D</t>
        </is>
      </c>
      <c r="AU32" s="74" t="inlineStr">
        <is>
          <t>N/D</t>
        </is>
      </c>
      <c r="AV32" s="74" t="inlineStr">
        <is>
          <t>N/D</t>
        </is>
      </c>
      <c r="AW32" s="74" t="inlineStr">
        <is>
          <t>N/D</t>
        </is>
      </c>
      <c r="AX32" s="74" t="inlineStr">
        <is>
          <t>não encontrado</t>
        </is>
      </c>
      <c r="AY32" s="74" t="inlineStr">
        <is>
          <t>N/D</t>
        </is>
      </c>
      <c r="AZ32" s="74" t="inlineStr">
        <is>
          <t>N/D</t>
        </is>
      </c>
      <c r="BA32" s="74" t="inlineStr">
        <is>
          <t>N/D</t>
        </is>
      </c>
      <c r="BB32" s="74" t="inlineStr">
        <is>
          <t>N/D</t>
        </is>
      </c>
      <c r="BC32" s="74" t="inlineStr">
        <is>
          <t>N/D</t>
        </is>
      </c>
      <c r="BD32" s="74" t="inlineStr">
        <is>
          <t>N/D</t>
        </is>
      </c>
      <c r="BE32" s="74" t="inlineStr">
        <is>
          <t>fora_perimetro</t>
        </is>
      </c>
      <c r="BF32" s="74" t="inlineStr">
        <is>
          <t>aceito_payload</t>
        </is>
      </c>
      <c r="BG32" s="74" t="inlineStr">
        <is>
          <t>fora_perimetro</t>
        </is>
      </c>
      <c r="BH32" s="74" t="inlineStr">
        <is>
          <t>N/D</t>
        </is>
      </c>
      <c r="BI32" s="74" t="inlineStr">
        <is>
          <t>N/D</t>
        </is>
      </c>
      <c r="BJ32" s="74" t="inlineStr">
        <is>
          <t>N/D</t>
        </is>
      </c>
      <c r="BK32" s="74" t="inlineStr">
        <is>
          <t>N/D</t>
        </is>
      </c>
      <c r="BL32" s="74" t="inlineStr">
        <is>
          <t>payload_documental</t>
        </is>
      </c>
    </row>
    <row r="33" ht="42" customHeight="1">
      <c r="A33" s="145" t="n">
        <v>29</v>
      </c>
      <c r="B33" s="142" t="n">
        <v>50857998000113</v>
      </c>
      <c r="C33" s="75" t="inlineStr">
        <is>
          <t>50.857.998/0001-13</t>
        </is>
      </c>
      <c r="D33" s="75" t="inlineStr">
        <is>
          <t>LEO MADEIRAS FIDC SEGMENTO MEIOS DE PAGAMENTO DE RESPONSABILIDADE LIMITADA</t>
        </is>
      </c>
      <c r="E33" s="75" t="inlineStr">
        <is>
          <t>concluído</t>
        </is>
      </c>
      <c r="F33" s="145" t="n">
        <v>6</v>
      </c>
      <c r="G33" s="75" t="inlineStr">
        <is>
          <t>consultado</t>
        </is>
      </c>
      <c r="H33" s="75" t="inlineStr">
        <is>
          <t>N/D</t>
        </is>
      </c>
      <c r="I33" s="75" t="inlineStr">
        <is>
          <t>N/D</t>
        </is>
      </c>
      <c r="J33" s="75" t="inlineStr">
        <is>
          <t>não encontrado</t>
        </is>
      </c>
      <c r="K33" s="75" t="inlineStr">
        <is>
          <t>N/D</t>
        </is>
      </c>
      <c r="L33" s="75" t="inlineStr">
        <is>
          <t>N/D</t>
        </is>
      </c>
      <c r="M33" s="75" t="inlineStr">
        <is>
          <t>N/D</t>
        </is>
      </c>
      <c r="N33" s="75" t="inlineStr">
        <is>
          <t>N/D</t>
        </is>
      </c>
      <c r="O33" s="75" t="inlineStr">
        <is>
          <t>N/D</t>
        </is>
      </c>
      <c r="P33" s="75" t="inlineStr">
        <is>
          <t>N/D</t>
        </is>
      </c>
      <c r="Q33" s="75" t="inlineStr">
        <is>
          <t>os Marceneiros e as Entidades da Rede Leo, que, a seu exclusivo critério, cedem a totalidade ou parte de seus respectivos Direitos Creditórios Elegíveis à Classe e, para tanto, tenham realizado e/ou venham a realizar Formalização(ões) Eletrônica(s) de Cessão com a Classe, sendo os Marceneiros e as Entidades da Rede Leo (que não a Leo Madeiras) representados pelo Agente de Formalização, na qualidade de sua mandatária, nos termos dos Termos do Sistema Leo</t>
        </is>
      </c>
      <c r="R33" s="75" t="inlineStr">
        <is>
          <t>encontrado_explicito</t>
        </is>
      </c>
      <c r="S33" s="75" t="inlineStr">
        <is>
          <t>N/D</t>
        </is>
      </c>
      <c r="T33" s="75" t="inlineStr">
        <is>
          <t>910444</t>
        </is>
      </c>
      <c r="U33" s="75" t="inlineStr">
        <is>
          <t>22/05/2025</t>
        </is>
      </c>
      <c r="V33" s="75" t="inlineStr">
        <is>
          <t>56</t>
        </is>
      </c>
      <c r="W33" s="75" t="inlineStr">
        <is>
          <t>https://fnet.bmfbovespa.com.br/fnet/publico/downloadDocumento?id=910444</t>
        </is>
      </c>
      <c r="X33" s="75" t="inlineStr">
        <is>
          <t>regulamento</t>
        </is>
      </c>
      <c r="Y33" s="75" t="inlineStr">
        <is>
          <t>a Subcredenciadora, na qualidade de devedora dos Direitos Creditórios</t>
        </is>
      </c>
      <c r="Z33" s="75" t="inlineStr">
        <is>
          <t>encontrado_explicito</t>
        </is>
      </c>
      <c r="AA33" s="75" t="inlineStr">
        <is>
          <t>N/D</t>
        </is>
      </c>
      <c r="AB33" s="75" t="inlineStr">
        <is>
          <t>910444</t>
        </is>
      </c>
      <c r="AC33" s="75" t="inlineStr">
        <is>
          <t>22/05/2025</t>
        </is>
      </c>
      <c r="AD33" s="75" t="inlineStr">
        <is>
          <t>59</t>
        </is>
      </c>
      <c r="AE33" s="75" t="inlineStr">
        <is>
          <t>https://fnet.bmfbovespa.com.br/fnet/publico/downloadDocumento?id=910444</t>
        </is>
      </c>
      <c r="AF33" s="75" t="inlineStr">
        <is>
          <t>regulamento</t>
        </is>
      </c>
      <c r="AG33" s="75" t="inlineStr">
        <is>
          <t>N/D</t>
        </is>
      </c>
      <c r="AH33" s="75" t="inlineStr">
        <is>
          <t>não encontrado</t>
        </is>
      </c>
      <c r="AI33" s="75" t="inlineStr">
        <is>
          <t>N/D</t>
        </is>
      </c>
      <c r="AJ33" s="75" t="inlineStr">
        <is>
          <t>N/D</t>
        </is>
      </c>
      <c r="AK33" s="75" t="inlineStr">
        <is>
          <t>N/D</t>
        </is>
      </c>
      <c r="AL33" s="75" t="inlineStr">
        <is>
          <t>N/D</t>
        </is>
      </c>
      <c r="AM33" s="75" t="inlineStr">
        <is>
          <t>N/D</t>
        </is>
      </c>
      <c r="AN33" s="75" t="inlineStr">
        <is>
          <t>N/D</t>
        </is>
      </c>
      <c r="AO33" s="75" t="inlineStr">
        <is>
          <t>5%</t>
        </is>
      </c>
      <c r="AP33" s="75" t="inlineStr">
        <is>
          <t>aceito_payload</t>
        </is>
      </c>
      <c r="AQ33" s="75" t="inlineStr">
        <is>
          <t>junior_pl</t>
        </is>
      </c>
      <c r="AR33" s="75" t="inlineStr">
        <is>
          <t>1017825</t>
        </is>
      </c>
      <c r="AS33" s="75" t="inlineStr">
        <is>
          <t>2025-10-06</t>
        </is>
      </c>
      <c r="AT33" s="75" t="inlineStr">
        <is>
          <t>62</t>
        </is>
      </c>
      <c r="AU33" s="75" t="inlineStr">
        <is>
          <t>https://fnet.bmfbovespa.com.br/fnet/publico/downloadDocumento?id=1017825</t>
        </is>
      </c>
      <c r="AV33" s="75" t="inlineStr">
        <is>
          <t>payload_documental</t>
        </is>
      </c>
      <c r="AW33" s="75" t="inlineStr">
        <is>
          <t>N/D</t>
        </is>
      </c>
      <c r="AX33" s="75" t="inlineStr">
        <is>
          <t>não encontrado</t>
        </is>
      </c>
      <c r="AY33" s="75" t="inlineStr">
        <is>
          <t>N/D</t>
        </is>
      </c>
      <c r="AZ33" s="75" t="inlineStr">
        <is>
          <t>N/D</t>
        </is>
      </c>
      <c r="BA33" s="75" t="inlineStr">
        <is>
          <t>N/D</t>
        </is>
      </c>
      <c r="BB33" s="75" t="inlineStr">
        <is>
          <t>N/D</t>
        </is>
      </c>
      <c r="BC33" s="75" t="inlineStr">
        <is>
          <t>N/D</t>
        </is>
      </c>
      <c r="BD33" s="75" t="inlineStr">
        <is>
          <t>N/D</t>
        </is>
      </c>
      <c r="BE33" s="75" t="inlineStr">
        <is>
          <t>junior_pl</t>
        </is>
      </c>
      <c r="BF33" s="75" t="inlineStr">
        <is>
          <t>aceito_payload</t>
        </is>
      </c>
      <c r="BG33" s="75" t="inlineStr">
        <is>
          <t>junior_pl</t>
        </is>
      </c>
      <c r="BH33" s="75" t="inlineStr">
        <is>
          <t>1017825</t>
        </is>
      </c>
      <c r="BI33" s="75" t="inlineStr">
        <is>
          <t>2025-10-06</t>
        </is>
      </c>
      <c r="BJ33" s="75" t="inlineStr">
        <is>
          <t>62</t>
        </is>
      </c>
      <c r="BK33" s="75" t="inlineStr">
        <is>
          <t>https://fnet.bmfbovespa.com.br/fnet/publico/downloadDocumento?id=1017825</t>
        </is>
      </c>
      <c r="BL33" s="75" t="inlineStr">
        <is>
          <t>payload_documental</t>
        </is>
      </c>
    </row>
    <row r="34" ht="42" customHeight="1">
      <c r="A34" s="141" t="n">
        <v>30</v>
      </c>
      <c r="B34" s="138" t="n">
        <v>38376526000143</v>
      </c>
      <c r="C34" s="74" t="inlineStr">
        <is>
          <t>38.376.526/0001-43</t>
        </is>
      </c>
      <c r="D34" s="74" t="inlineStr">
        <is>
          <t>HOTFUND FUNDO DE INVESTIMENTO EM DIREITOS CREDITÓRIOS SEGMENTO MEIOS DE PAGAMENTO DE RESPONSABILIDAD</t>
        </is>
      </c>
      <c r="E34" s="74" t="inlineStr">
        <is>
          <t>concluído</t>
        </is>
      </c>
      <c r="F34" s="141" t="n">
        <v>8</v>
      </c>
      <c r="G34" s="74" t="inlineStr">
        <is>
          <t>consultado</t>
        </is>
      </c>
      <c r="H34" s="74" t="inlineStr">
        <is>
          <t>N/D</t>
        </is>
      </c>
      <c r="I34" s="74" t="inlineStr">
        <is>
          <t>N/D</t>
        </is>
      </c>
      <c r="J34" s="74" t="inlineStr">
        <is>
          <t>não encontrado</t>
        </is>
      </c>
      <c r="K34" s="74" t="inlineStr">
        <is>
          <t>N/D</t>
        </is>
      </c>
      <c r="L34" s="74" t="inlineStr">
        <is>
          <t>N/D</t>
        </is>
      </c>
      <c r="M34" s="74" t="inlineStr">
        <is>
          <t>N/D</t>
        </is>
      </c>
      <c r="N34" s="74" t="inlineStr">
        <is>
          <t>N/D</t>
        </is>
      </c>
      <c r="O34" s="74" t="inlineStr">
        <is>
          <t>N/D</t>
        </is>
      </c>
      <c r="P34" s="74" t="inlineStr">
        <is>
          <t>N/D</t>
        </is>
      </c>
      <c r="Q34" s="74" t="inlineStr">
        <is>
          <t>os Produtores, que, a seu exclusivo critério, cedem a totalidade ou parte de seus respectivos Direitos Creditórios Elegíveis à Classe e, para tanto, tenham realizado e/ou venham a realizar Formalização(ões) Eletrônica(s) de Cessão com a Classe, representados pela Hotmart, na qualidade de sua mandatária, nos termos dos Termos de Uso Hotmart</t>
        </is>
      </c>
      <c r="R34" s="74" t="inlineStr">
        <is>
          <t>encontrado_explicito</t>
        </is>
      </c>
      <c r="S34" s="74" t="inlineStr">
        <is>
          <t>N/D</t>
        </is>
      </c>
      <c r="T34" s="74" t="inlineStr">
        <is>
          <t>948252</t>
        </is>
      </c>
      <c r="U34" s="74" t="inlineStr">
        <is>
          <t>02/07/2025</t>
        </is>
      </c>
      <c r="V34" s="74" t="inlineStr">
        <is>
          <t>61</t>
        </is>
      </c>
      <c r="W34" s="74" t="inlineStr">
        <is>
          <t>https://fnet.bmfbovespa.com.br/fnet/publico/downloadDocumento?id=948252</t>
        </is>
      </c>
      <c r="X34" s="74" t="inlineStr">
        <is>
          <t>regulamento</t>
        </is>
      </c>
      <c r="Y34" s="74" t="inlineStr">
        <is>
          <t>a Hotmart, na qualidade de devedora dos Direitos Creditórios Cartões</t>
        </is>
      </c>
      <c r="Z34" s="74" t="inlineStr">
        <is>
          <t>encontrado_explicito</t>
        </is>
      </c>
      <c r="AA34" s="74" t="inlineStr">
        <is>
          <t>N/D</t>
        </is>
      </c>
      <c r="AB34" s="74" t="inlineStr">
        <is>
          <t>948252</t>
        </is>
      </c>
      <c r="AC34" s="74" t="inlineStr">
        <is>
          <t>02/07/2025</t>
        </is>
      </c>
      <c r="AD34" s="74" t="inlineStr">
        <is>
          <t>65</t>
        </is>
      </c>
      <c r="AE34" s="74" t="inlineStr">
        <is>
          <t>https://fnet.bmfbovespa.com.br/fnet/publico/downloadDocumento?id=948252</t>
        </is>
      </c>
      <c r="AF34" s="74" t="inlineStr">
        <is>
          <t>regulamento</t>
        </is>
      </c>
      <c r="AG34" s="74" t="inlineStr">
        <is>
          <t>os Direitos Creditórios Cartões e os Direitos Creditórios Recebíveis a Prazo, quando referidos em conjunto ou indistintamente</t>
        </is>
      </c>
      <c r="AH34" s="74" t="inlineStr">
        <is>
          <t>encontrado_explicito</t>
        </is>
      </c>
      <c r="AI34" s="74" t="inlineStr">
        <is>
          <t>N/D</t>
        </is>
      </c>
      <c r="AJ34" s="74" t="inlineStr">
        <is>
          <t>948252</t>
        </is>
      </c>
      <c r="AK34" s="74" t="inlineStr">
        <is>
          <t>02/07/2025</t>
        </is>
      </c>
      <c r="AL34" s="74" t="inlineStr">
        <is>
          <t>65</t>
        </is>
      </c>
      <c r="AM34" s="74" t="inlineStr">
        <is>
          <t>https://fnet.bmfbovespa.com.br/fnet/publico/downloadDocumento?id=948252</t>
        </is>
      </c>
      <c r="AN34" s="74" t="inlineStr">
        <is>
          <t>regulamento</t>
        </is>
      </c>
      <c r="AO34" s="74" t="inlineStr">
        <is>
          <t>21%</t>
        </is>
      </c>
      <c r="AP34" s="74" t="inlineStr">
        <is>
          <t>aceito_payload</t>
        </is>
      </c>
      <c r="AQ34" s="74" t="inlineStr">
        <is>
          <t>junior_pl</t>
        </is>
      </c>
      <c r="AR34" s="74" t="inlineStr">
        <is>
          <t>948252</t>
        </is>
      </c>
      <c r="AS34" s="74" t="inlineStr">
        <is>
          <t>2025-07-02</t>
        </is>
      </c>
      <c r="AT34" s="74" t="inlineStr">
        <is>
          <t>68</t>
        </is>
      </c>
      <c r="AU34" s="74" t="inlineStr">
        <is>
          <t>https://fnet.bmfbovespa.com.br/fnet/publico/downloadDocumento?id=948252</t>
        </is>
      </c>
      <c r="AV34" s="74" t="inlineStr">
        <is>
          <t>payload_documental</t>
        </is>
      </c>
      <c r="AW34" s="74" t="inlineStr">
        <is>
          <t>N/D</t>
        </is>
      </c>
      <c r="AX34" s="74" t="inlineStr">
        <is>
          <t>não encontrado</t>
        </is>
      </c>
      <c r="AY34" s="74" t="inlineStr">
        <is>
          <t>N/D</t>
        </is>
      </c>
      <c r="AZ34" s="74" t="inlineStr">
        <is>
          <t>N/D</t>
        </is>
      </c>
      <c r="BA34" s="74" t="inlineStr">
        <is>
          <t>N/D</t>
        </is>
      </c>
      <c r="BB34" s="74" t="inlineStr">
        <is>
          <t>N/D</t>
        </is>
      </c>
      <c r="BC34" s="74" t="inlineStr">
        <is>
          <t>N/D</t>
        </is>
      </c>
      <c r="BD34" s="74" t="inlineStr">
        <is>
          <t>N/D</t>
        </is>
      </c>
      <c r="BE34" s="74" t="inlineStr">
        <is>
          <t>junior_pl</t>
        </is>
      </c>
      <c r="BF34" s="74" t="inlineStr">
        <is>
          <t>aceito_payload</t>
        </is>
      </c>
      <c r="BG34" s="74" t="inlineStr">
        <is>
          <t>junior_pl</t>
        </is>
      </c>
      <c r="BH34" s="74" t="inlineStr">
        <is>
          <t>948252</t>
        </is>
      </c>
      <c r="BI34" s="74" t="inlineStr">
        <is>
          <t>2025-07-02</t>
        </is>
      </c>
      <c r="BJ34" s="74" t="inlineStr">
        <is>
          <t>68</t>
        </is>
      </c>
      <c r="BK34" s="74" t="inlineStr">
        <is>
          <t>https://fnet.bmfbovespa.com.br/fnet/publico/downloadDocumento?id=948252</t>
        </is>
      </c>
      <c r="BL34" s="74" t="inlineStr">
        <is>
          <t>payload_documental</t>
        </is>
      </c>
    </row>
    <row r="35" ht="42" customHeight="1">
      <c r="A35" s="145" t="n">
        <v>31</v>
      </c>
      <c r="B35" s="142" t="n">
        <v>45598747000121</v>
      </c>
      <c r="C35" s="75" t="inlineStr">
        <is>
          <t>45.598.747/0001-21</t>
        </is>
      </c>
      <c r="D35" s="75" t="inlineStr">
        <is>
          <t>SUMUP SOLO FUNDO DE INVESTIMENTO EM DIREITOS CREDITÓRIOS SEGMENTO MEIOS DE PAGAMENTO DE RESPONSABILI</t>
        </is>
      </c>
      <c r="E35" s="75" t="inlineStr">
        <is>
          <t>concluído</t>
        </is>
      </c>
      <c r="F35" s="145" t="n">
        <v>9</v>
      </c>
      <c r="G35" s="75" t="inlineStr">
        <is>
          <t>consultado</t>
        </is>
      </c>
      <c r="H35" s="75" t="inlineStr">
        <is>
          <t>N/D</t>
        </is>
      </c>
      <c r="I35" s="75" t="inlineStr">
        <is>
          <t>N/D</t>
        </is>
      </c>
      <c r="J35" s="75" t="inlineStr">
        <is>
          <t>não encontrado</t>
        </is>
      </c>
      <c r="K35" s="75" t="inlineStr">
        <is>
          <t>N/D</t>
        </is>
      </c>
      <c r="L35" s="75" t="inlineStr">
        <is>
          <t>N/D</t>
        </is>
      </c>
      <c r="M35" s="75" t="inlineStr">
        <is>
          <t>N/D</t>
        </is>
      </c>
      <c r="N35" s="75" t="inlineStr">
        <is>
          <t>N/D</t>
        </is>
      </c>
      <c r="O35" s="75" t="inlineStr">
        <is>
          <t>N/D</t>
        </is>
      </c>
      <c r="P35" s="75" t="inlineStr">
        <is>
          <t>N/D</t>
        </is>
      </c>
      <c r="Q35" s="75" t="inlineStr">
        <is>
          <t>a SUMUP INSTITUIÇÃO DE PAGAMENTO BRASIL LTDA., sociedade limitada com sede na Cidade e Estado de São Paulo, na Rua Gilberto Sabino, nº 215, 10º andar, Pinheiros, CEP: 05425-020, inscrita no CNPJ/MF sob o nº 16.668.076/0001-20</t>
        </is>
      </c>
      <c r="R35" s="75" t="inlineStr">
        <is>
          <t>encontrado_explicito</t>
        </is>
      </c>
      <c r="S35" s="75" t="inlineStr">
        <is>
          <t>N/D</t>
        </is>
      </c>
      <c r="T35" s="75" t="inlineStr">
        <is>
          <t>883977</t>
        </is>
      </c>
      <c r="U35" s="75" t="inlineStr">
        <is>
          <t>2025-04-22</t>
        </is>
      </c>
      <c r="V35" s="75" t="inlineStr">
        <is>
          <t>N/D</t>
        </is>
      </c>
      <c r="W35" s="75" t="inlineStr">
        <is>
          <t>https://fnet.bmfbovespa.com.br/fnet/publico/downloadDocumento?id=883977</t>
        </is>
      </c>
      <c r="X35" s="75" t="inlineStr">
        <is>
          <t>regulamento</t>
        </is>
      </c>
      <c r="Y35" s="75" t="inlineStr">
        <is>
          <t>os Emissores</t>
        </is>
      </c>
      <c r="Z35" s="75" t="inlineStr">
        <is>
          <t>encontrado_explicito</t>
        </is>
      </c>
      <c r="AA35" s="75" t="inlineStr">
        <is>
          <t>N/D</t>
        </is>
      </c>
      <c r="AB35" s="75" t="inlineStr">
        <is>
          <t>883977</t>
        </is>
      </c>
      <c r="AC35" s="75" t="inlineStr">
        <is>
          <t>2025-04-22</t>
        </is>
      </c>
      <c r="AD35" s="75" t="inlineStr">
        <is>
          <t>N/D</t>
        </is>
      </c>
      <c r="AE35" s="75" t="inlineStr">
        <is>
          <t>https://fnet.bmfbovespa.com.br/fnet/publico/downloadDocumento?id=883977</t>
        </is>
      </c>
      <c r="AF35" s="75" t="inlineStr">
        <is>
          <t>regulamento</t>
        </is>
      </c>
      <c r="AG35" s="75"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AH35" s="75" t="inlineStr">
        <is>
          <t>encontrado_explicito</t>
        </is>
      </c>
      <c r="AI35" s="75" t="inlineStr">
        <is>
          <t>N/D</t>
        </is>
      </c>
      <c r="AJ35" s="75" t="inlineStr">
        <is>
          <t>883977</t>
        </is>
      </c>
      <c r="AK35" s="75" t="inlineStr">
        <is>
          <t>2025-04-22</t>
        </is>
      </c>
      <c r="AL35" s="75" t="inlineStr">
        <is>
          <t>N/D</t>
        </is>
      </c>
      <c r="AM35" s="75" t="inlineStr">
        <is>
          <t>https://fnet.bmfbovespa.com.br/fnet/publico/downloadDocumento?id=883977</t>
        </is>
      </c>
      <c r="AN35" s="75" t="inlineStr">
        <is>
          <t>regulamento</t>
        </is>
      </c>
      <c r="AO35" s="75" t="inlineStr">
        <is>
          <t>4.7619%</t>
        </is>
      </c>
      <c r="AP35" s="75" t="inlineStr">
        <is>
          <t>aceito_payload</t>
        </is>
      </c>
      <c r="AQ35" s="75" t="inlineStr">
        <is>
          <t>junior_pl_calculado</t>
        </is>
      </c>
      <c r="AR35" s="75" t="inlineStr">
        <is>
          <t>883977</t>
        </is>
      </c>
      <c r="AS35" s="75" t="inlineStr">
        <is>
          <t>2025-04-22</t>
        </is>
      </c>
      <c r="AT35" s="75" t="inlineStr">
        <is>
          <t>95</t>
        </is>
      </c>
      <c r="AU35" s="75" t="inlineStr">
        <is>
          <t>https://fnet.bmfbovespa.com.br/fnet/publico/downloadDocumento?id=883977</t>
        </is>
      </c>
      <c r="AV35" s="75" t="inlineStr">
        <is>
          <t>payload_documental</t>
        </is>
      </c>
      <c r="AW35" s="75" t="inlineStr">
        <is>
          <t>4.7619%</t>
        </is>
      </c>
      <c r="AX35" s="75" t="inlineStr">
        <is>
          <t>aceito_payload</t>
        </is>
      </c>
      <c r="AY35" s="75" t="inlineStr">
        <is>
          <t>suporte_total_pl</t>
        </is>
      </c>
      <c r="AZ35" s="75" t="inlineStr">
        <is>
          <t>883977</t>
        </is>
      </c>
      <c r="BA35" s="75" t="inlineStr">
        <is>
          <t>2025-04-22</t>
        </is>
      </c>
      <c r="BB35" s="75" t="inlineStr">
        <is>
          <t>95</t>
        </is>
      </c>
      <c r="BC35" s="75" t="inlineStr">
        <is>
          <t>https://fnet.bmfbovespa.com.br/fnet/publico/downloadDocumento?id=883977</t>
        </is>
      </c>
      <c r="BD35" s="75" t="inlineStr">
        <is>
          <t>payload_documental</t>
        </is>
      </c>
      <c r="BE35" s="75" t="inlineStr">
        <is>
          <t>junior_pl_calculado</t>
        </is>
      </c>
      <c r="BF35" s="75" t="inlineStr">
        <is>
          <t>aceito_payload</t>
        </is>
      </c>
      <c r="BG35" s="75" t="inlineStr">
        <is>
          <t>junior_pl_calculado</t>
        </is>
      </c>
      <c r="BH35" s="75" t="inlineStr">
        <is>
          <t>883977</t>
        </is>
      </c>
      <c r="BI35" s="75" t="inlineStr">
        <is>
          <t>2025-04-22</t>
        </is>
      </c>
      <c r="BJ35" s="75" t="inlineStr">
        <is>
          <t>95</t>
        </is>
      </c>
      <c r="BK35" s="75" t="inlineStr">
        <is>
          <t>https://fnet.bmfbovespa.com.br/fnet/publico/downloadDocumento?id=883977</t>
        </is>
      </c>
      <c r="BL35" s="75" t="inlineStr">
        <is>
          <t>payload_documental</t>
        </is>
      </c>
    </row>
    <row r="36" ht="42" customHeight="1">
      <c r="A36" s="141" t="n">
        <v>32</v>
      </c>
      <c r="B36" s="138" t="n">
        <v>41197066000109</v>
      </c>
      <c r="C36" s="74" t="inlineStr">
        <is>
          <t>41.197.066/0001-09</t>
        </is>
      </c>
      <c r="D36" s="74" t="inlineStr">
        <is>
          <t>IFOOD PAGO CRÉDITO I FUNDO DE INVESTIMENTO EM DIREITOS CREDITÓRIOS FINANCEIRO DE RESP LIMITADA</t>
        </is>
      </c>
      <c r="E36" s="74" t="inlineStr">
        <is>
          <t>concluído</t>
        </is>
      </c>
      <c r="F36" s="141" t="n">
        <v>9</v>
      </c>
      <c r="G36" s="74" t="inlineStr">
        <is>
          <t>consultado</t>
        </is>
      </c>
      <c r="H36" s="74" t="inlineStr">
        <is>
          <t>N/D</t>
        </is>
      </c>
      <c r="I36" s="74" t="inlineStr">
        <is>
          <t>N/D</t>
        </is>
      </c>
      <c r="J36" s="74" t="inlineStr">
        <is>
          <t>não encontrado</t>
        </is>
      </c>
      <c r="K36" s="74" t="inlineStr">
        <is>
          <t>N/D</t>
        </is>
      </c>
      <c r="L36" s="74" t="inlineStr">
        <is>
          <t>N/D</t>
        </is>
      </c>
      <c r="M36" s="74" t="inlineStr">
        <is>
          <t>N/D</t>
        </is>
      </c>
      <c r="N36" s="74" t="inlineStr">
        <is>
          <t>N/D</t>
        </is>
      </c>
      <c r="O36" s="74" t="inlineStr">
        <is>
          <t>N/D</t>
        </is>
      </c>
      <c r="P36" s="74" t="inlineStr">
        <is>
          <t>N/D</t>
        </is>
      </c>
      <c r="Q36" s="74" t="inlineStr">
        <is>
          <t>MovilePay / iFood</t>
        </is>
      </c>
      <c r="R36" s="74" t="inlineStr">
        <is>
          <t>aceito_payload</t>
        </is>
      </c>
      <c r="S36" s="74" t="inlineStr">
        <is>
          <t>N/D</t>
        </is>
      </c>
      <c r="T36" s="74" t="inlineStr">
        <is>
          <t>IMG_8705.JPG</t>
        </is>
      </c>
      <c r="U36" s="74" t="inlineStr">
        <is>
          <t>2025-12-30</t>
        </is>
      </c>
      <c r="V36" s="74" t="inlineStr">
        <is>
          <t>89</t>
        </is>
      </c>
      <c r="W36" s="74" t="inlineStr">
        <is>
          <t>N/D</t>
        </is>
      </c>
      <c r="X36" s="74" t="inlineStr">
        <is>
          <t>planilha_manual</t>
        </is>
      </c>
      <c r="Y36" s="74" t="inlineStr">
        <is>
          <t>a pessoa que assume a responsabilidade solidária pelo cumprimento de quaisquer das obrigações principais, acessórias e/ou moratórias, presentes e/ou futuras, no seu vencimento original ou antecipado, assumidas ou que venham a ser assumidas Docusign Envelope ID: 68026EB4-05F6-4277-97D7-D8C28DC37303</t>
        </is>
      </c>
      <c r="Z36" s="74" t="inlineStr">
        <is>
          <t>encontrado_explicito</t>
        </is>
      </c>
      <c r="AA36" s="74" t="inlineStr">
        <is>
          <t>N/D</t>
        </is>
      </c>
      <c r="AB36" s="74" t="inlineStr">
        <is>
          <t>1076481</t>
        </is>
      </c>
      <c r="AC36" s="74" t="inlineStr">
        <is>
          <t>2025-12-30</t>
        </is>
      </c>
      <c r="AD36" s="74" t="inlineStr">
        <is>
          <t>84</t>
        </is>
      </c>
      <c r="AE36" s="74" t="inlineStr">
        <is>
          <t>https://fnet.bmfbovespa.com.br/fnet/publico/downloadDocumento?id=1076481</t>
        </is>
      </c>
      <c r="AF36" s="74" t="inlineStr">
        <is>
          <t>regulamento</t>
        </is>
      </c>
      <c r="AG36" s="74" t="inlineStr">
        <is>
          <t>todos os direitos creditórios originários de operações de crédito contratadas pelos Devedores Elegíveis, na qualidade de Devedores, com as Instituições Financeiras Parceiras, formalizadas por meio da emissão de CCBs pelos respectivos Devedores Elegíveis em favor das Instituições Financeiras Parceiras</t>
        </is>
      </c>
      <c r="AH36" s="74" t="inlineStr">
        <is>
          <t>encontrado_explicito</t>
        </is>
      </c>
      <c r="AI36" s="74" t="inlineStr">
        <is>
          <t>N/D</t>
        </is>
      </c>
      <c r="AJ36" s="74" t="inlineStr">
        <is>
          <t>1076481</t>
        </is>
      </c>
      <c r="AK36" s="74" t="inlineStr">
        <is>
          <t>2025-12-30</t>
        </is>
      </c>
      <c r="AL36" s="74" t="inlineStr">
        <is>
          <t>85</t>
        </is>
      </c>
      <c r="AM36" s="74" t="inlineStr">
        <is>
          <t>https://fnet.bmfbovespa.com.br/fnet/publico/downloadDocumento?id=1076481</t>
        </is>
      </c>
      <c r="AN36" s="74" t="inlineStr">
        <is>
          <t>regulamento</t>
        </is>
      </c>
      <c r="AO36" s="74" t="inlineStr">
        <is>
          <t>10%</t>
        </is>
      </c>
      <c r="AP36" s="74" t="inlineStr">
        <is>
          <t>aceito_payload</t>
        </is>
      </c>
      <c r="AQ36" s="74" t="inlineStr">
        <is>
          <t>junior_pl</t>
        </is>
      </c>
      <c r="AR36" s="74" t="inlineStr">
        <is>
          <t>1076481</t>
        </is>
      </c>
      <c r="AS36" s="74" t="inlineStr">
        <is>
          <t>2025-12-30</t>
        </is>
      </c>
      <c r="AT36" s="74" t="inlineStr">
        <is>
          <t>89</t>
        </is>
      </c>
      <c r="AU36" s="74" t="inlineStr">
        <is>
          <t>https://fnet.bmfbovespa.com.br/fnet/publico/downloadDocumento?id=1076481</t>
        </is>
      </c>
      <c r="AV36" s="74" t="inlineStr">
        <is>
          <t>payload_documental</t>
        </is>
      </c>
      <c r="AW36" s="74" t="inlineStr">
        <is>
          <t>N/D</t>
        </is>
      </c>
      <c r="AX36" s="74" t="inlineStr">
        <is>
          <t>não encontrado</t>
        </is>
      </c>
      <c r="AY36" s="74" t="inlineStr">
        <is>
          <t>N/D</t>
        </is>
      </c>
      <c r="AZ36" s="74" t="inlineStr">
        <is>
          <t>N/D</t>
        </is>
      </c>
      <c r="BA36" s="74" t="inlineStr">
        <is>
          <t>N/D</t>
        </is>
      </c>
      <c r="BB36" s="74" t="inlineStr">
        <is>
          <t>N/D</t>
        </is>
      </c>
      <c r="BC36" s="74" t="inlineStr">
        <is>
          <t>N/D</t>
        </is>
      </c>
      <c r="BD36" s="74" t="inlineStr">
        <is>
          <t>N/D</t>
        </is>
      </c>
      <c r="BE36" s="74" t="inlineStr">
        <is>
          <t>junior_pl</t>
        </is>
      </c>
      <c r="BF36" s="74" t="inlineStr">
        <is>
          <t>aceito_payload</t>
        </is>
      </c>
      <c r="BG36" s="74" t="inlineStr">
        <is>
          <t>junior_pl</t>
        </is>
      </c>
      <c r="BH36" s="74" t="inlineStr">
        <is>
          <t>1076481</t>
        </is>
      </c>
      <c r="BI36" s="74" t="inlineStr">
        <is>
          <t>2025-12-30</t>
        </is>
      </c>
      <c r="BJ36" s="74" t="inlineStr">
        <is>
          <t>89</t>
        </is>
      </c>
      <c r="BK36" s="74" t="inlineStr">
        <is>
          <t>https://fnet.bmfbovespa.com.br/fnet/publico/downloadDocumento?id=1076481</t>
        </is>
      </c>
      <c r="BL36" s="74" t="inlineStr">
        <is>
          <t>payload_documental</t>
        </is>
      </c>
    </row>
    <row r="37" ht="42" customHeight="1">
      <c r="A37" s="145" t="n">
        <v>33</v>
      </c>
      <c r="B37" s="142" t="n">
        <v>44124617000194</v>
      </c>
      <c r="C37" s="75" t="inlineStr">
        <is>
          <t>44.124.617/0001-94</t>
        </is>
      </c>
      <c r="D37" s="75" t="inlineStr">
        <is>
          <t>CLOUDWALK AKIRA II FIDC SEGMENTO MEIOS DE PAGAMENTO</t>
        </is>
      </c>
      <c r="E37" s="75" t="inlineStr">
        <is>
          <t>concluído</t>
        </is>
      </c>
      <c r="F37" s="145" t="n">
        <v>8</v>
      </c>
      <c r="G37" s="75" t="inlineStr">
        <is>
          <t>consultado</t>
        </is>
      </c>
      <c r="H37" s="75" t="inlineStr">
        <is>
          <t>N/D</t>
        </is>
      </c>
      <c r="I37" s="75" t="inlineStr">
        <is>
          <t>N/D</t>
        </is>
      </c>
      <c r="J37" s="75" t="inlineStr">
        <is>
          <t>não encontrado</t>
        </is>
      </c>
      <c r="K37" s="75" t="inlineStr">
        <is>
          <t>N/D</t>
        </is>
      </c>
      <c r="L37" s="75" t="inlineStr">
        <is>
          <t>N/D</t>
        </is>
      </c>
      <c r="M37" s="75" t="inlineStr">
        <is>
          <t>N/D</t>
        </is>
      </c>
      <c r="N37" s="75" t="inlineStr">
        <is>
          <t>N/D</t>
        </is>
      </c>
      <c r="O37" s="75" t="inlineStr">
        <is>
          <t>N/D</t>
        </is>
      </c>
      <c r="P37" s="75" t="inlineStr">
        <is>
          <t>N/D</t>
        </is>
      </c>
      <c r="Q37" s="75" t="inlineStr">
        <is>
          <t>a CloudWalk que, de tempos em tempos, nos termos do Contrato de Cessão, cede seus respectivos Direitos Creditórios Elegíveis ao Fundo</t>
        </is>
      </c>
      <c r="R37" s="75" t="inlineStr">
        <is>
          <t>encontrado_explicito</t>
        </is>
      </c>
      <c r="S37" s="75" t="inlineStr">
        <is>
          <t>N/D</t>
        </is>
      </c>
      <c r="T37" s="75" t="inlineStr">
        <is>
          <t>851798</t>
        </is>
      </c>
      <c r="U37" s="75" t="inlineStr">
        <is>
          <t>2025-02-28</t>
        </is>
      </c>
      <c r="V37" s="75" t="inlineStr">
        <is>
          <t>94</t>
        </is>
      </c>
      <c r="W37" s="75" t="inlineStr">
        <is>
          <t>https://fnet.bmfbovespa.com.br/fnet/publico/downloadDocumento?id=851798</t>
        </is>
      </c>
      <c r="X37" s="75" t="inlineStr">
        <is>
          <t>regulamento</t>
        </is>
      </c>
      <c r="Y37" s="75" t="inlineStr">
        <is>
          <t>cada Devedor de Direitos Creditórios Cedidos que represente 5% ( cinco por cento) ou mais do Patrimônio Líquido do Fundo</t>
        </is>
      </c>
      <c r="Z37" s="75" t="inlineStr">
        <is>
          <t>encontrado_explicito</t>
        </is>
      </c>
      <c r="AA37" s="75" t="inlineStr">
        <is>
          <t>N/D</t>
        </is>
      </c>
      <c r="AB37" s="75" t="inlineStr">
        <is>
          <t>851798</t>
        </is>
      </c>
      <c r="AC37" s="75" t="inlineStr">
        <is>
          <t>2025-02-28</t>
        </is>
      </c>
      <c r="AD37" s="75" t="inlineStr">
        <is>
          <t>98</t>
        </is>
      </c>
      <c r="AE37" s="75" t="inlineStr">
        <is>
          <t>https://fnet.bmfbovespa.com.br/fnet/publico/downloadDocumento?id=851798</t>
        </is>
      </c>
      <c r="AF37" s="75" t="inlineStr">
        <is>
          <t>regulamento</t>
        </is>
      </c>
      <c r="AG37" s="75" t="inlineStr">
        <is>
          <t>os direitos creditórios de tempos em tempos detidos pela Cedente em face dos Devedores, conforme as regras dos Arranjos de Pagamentos, decorrentes de Transações de Pagamento realizadas por Usuários-Finais com a utilização de Instrumentos de Pagamento, operacionalizadas pelo Sistema CloudWalk , para a aquisição de bens ou serviços no s Estabelecimentos Credenciados, equivalentes ao valor remanescente das Transações de Pagamento após o desconto das Taxas Aplicáveis</t>
        </is>
      </c>
      <c r="AH37" s="75" t="inlineStr">
        <is>
          <t>encontrado_explicito</t>
        </is>
      </c>
      <c r="AI37" s="75" t="inlineStr">
        <is>
          <t>N/D</t>
        </is>
      </c>
      <c r="AJ37" s="75" t="inlineStr">
        <is>
          <t>851798</t>
        </is>
      </c>
      <c r="AK37" s="75" t="inlineStr">
        <is>
          <t>2025-02-28</t>
        </is>
      </c>
      <c r="AL37" s="75" t="inlineStr">
        <is>
          <t>99</t>
        </is>
      </c>
      <c r="AM37" s="75" t="inlineStr">
        <is>
          <t>https://fnet.bmfbovespa.com.br/fnet/publico/downloadDocumento?id=851798</t>
        </is>
      </c>
      <c r="AN37" s="75" t="inlineStr">
        <is>
          <t>regulamento</t>
        </is>
      </c>
      <c r="AO37" s="75" t="inlineStr">
        <is>
          <t>5%</t>
        </is>
      </c>
      <c r="AP37" s="75" t="inlineStr">
        <is>
          <t>aceito_payload</t>
        </is>
      </c>
      <c r="AQ37" s="75" t="inlineStr">
        <is>
          <t>junior_pl</t>
        </is>
      </c>
      <c r="AR37" s="75" t="inlineStr">
        <is>
          <t>851798</t>
        </is>
      </c>
      <c r="AS37" s="75" t="inlineStr">
        <is>
          <t>2025-02-28</t>
        </is>
      </c>
      <c r="AT37" s="75" t="inlineStr">
        <is>
          <t>101–102</t>
        </is>
      </c>
      <c r="AU37" s="75" t="inlineStr">
        <is>
          <t>https://fnet.bmfbovespa.com.br/fnet/publico/downloadDocumento?id=851798</t>
        </is>
      </c>
      <c r="AV37" s="75" t="inlineStr">
        <is>
          <t>payload_documental</t>
        </is>
      </c>
      <c r="AW37" s="75" t="inlineStr">
        <is>
          <t>5%</t>
        </is>
      </c>
      <c r="AX37" s="75" t="inlineStr">
        <is>
          <t>aceito_payload</t>
        </is>
      </c>
      <c r="AY37" s="75" t="inlineStr">
        <is>
          <t>suporte_total_pl</t>
        </is>
      </c>
      <c r="AZ37" s="75" t="inlineStr">
        <is>
          <t>851798</t>
        </is>
      </c>
      <c r="BA37" s="75" t="inlineStr">
        <is>
          <t>2025-02-28</t>
        </is>
      </c>
      <c r="BB37" s="75" t="inlineStr">
        <is>
          <t>101–102</t>
        </is>
      </c>
      <c r="BC37" s="75" t="inlineStr">
        <is>
          <t>https://fnet.bmfbovespa.com.br/fnet/publico/downloadDocumento?id=851798</t>
        </is>
      </c>
      <c r="BD37" s="75" t="inlineStr">
        <is>
          <t>payload_documental</t>
        </is>
      </c>
      <c r="BE37" s="75" t="inlineStr">
        <is>
          <t>junior_pl</t>
        </is>
      </c>
      <c r="BF37" s="75" t="inlineStr">
        <is>
          <t>aceito_payload</t>
        </is>
      </c>
      <c r="BG37" s="75" t="inlineStr">
        <is>
          <t>junior_pl</t>
        </is>
      </c>
      <c r="BH37" s="75" t="inlineStr">
        <is>
          <t>851798</t>
        </is>
      </c>
      <c r="BI37" s="75" t="inlineStr">
        <is>
          <t>2025-02-28</t>
        </is>
      </c>
      <c r="BJ37" s="75" t="inlineStr">
        <is>
          <t>101–102</t>
        </is>
      </c>
      <c r="BK37" s="75" t="inlineStr">
        <is>
          <t>https://fnet.bmfbovespa.com.br/fnet/publico/downloadDocumento?id=851798</t>
        </is>
      </c>
      <c r="BL37" s="75" t="inlineStr">
        <is>
          <t>payload_documental</t>
        </is>
      </c>
    </row>
    <row r="38" ht="42" customHeight="1">
      <c r="A38" s="141" t="n">
        <v>34</v>
      </c>
      <c r="B38" s="138" t="n">
        <v>42085816000105</v>
      </c>
      <c r="C38" s="74" t="inlineStr">
        <is>
          <t>42.085.816/0001-05</t>
        </is>
      </c>
      <c r="D38" s="74" t="inlineStr">
        <is>
          <t>CLOUDWALK KICK ASS I FUNDO DE INVESTIMENTO EM DIREITOS CREDITÓRIOS SEGMENTO MEIOS DE PAGAMENTO</t>
        </is>
      </c>
      <c r="E38" s="74" t="inlineStr">
        <is>
          <t>concluído</t>
        </is>
      </c>
      <c r="F38" s="141" t="n">
        <v>9</v>
      </c>
      <c r="G38" s="74" t="inlineStr">
        <is>
          <t>consultado</t>
        </is>
      </c>
      <c r="H38" s="74" t="inlineStr">
        <is>
          <t>N/D</t>
        </is>
      </c>
      <c r="I38" s="74" t="inlineStr">
        <is>
          <t>N/D</t>
        </is>
      </c>
      <c r="J38" s="74" t="inlineStr">
        <is>
          <t>não encontrado</t>
        </is>
      </c>
      <c r="K38" s="74" t="inlineStr">
        <is>
          <t>N/D</t>
        </is>
      </c>
      <c r="L38" s="74" t="inlineStr">
        <is>
          <t>N/D</t>
        </is>
      </c>
      <c r="M38" s="74" t="inlineStr">
        <is>
          <t>N/D</t>
        </is>
      </c>
      <c r="N38" s="74" t="inlineStr">
        <is>
          <t>N/D</t>
        </is>
      </c>
      <c r="O38" s="74" t="inlineStr">
        <is>
          <t>N/D</t>
        </is>
      </c>
      <c r="P38" s="74" t="inlineStr">
        <is>
          <t>N/D</t>
        </is>
      </c>
      <c r="Q38" s="74" t="inlineStr">
        <is>
          <t>a CloudWalk que, de tempos em tempos, nos termos do Contrato de Cessão, cede seus respectivos Direitos Creditórios Elegíveis ao Fundo</t>
        </is>
      </c>
      <c r="R38" s="74" t="inlineStr">
        <is>
          <t>encontrado_explicito</t>
        </is>
      </c>
      <c r="S38" s="74" t="inlineStr">
        <is>
          <t>N/D</t>
        </is>
      </c>
      <c r="T38" s="74" t="inlineStr">
        <is>
          <t>513540</t>
        </is>
      </c>
      <c r="U38" s="74" t="inlineStr">
        <is>
          <t>28/08/2023</t>
        </is>
      </c>
      <c r="V38" s="74" t="inlineStr">
        <is>
          <t>62</t>
        </is>
      </c>
      <c r="W38" s="74" t="inlineStr">
        <is>
          <t>https://fnet.bmfbovespa.com.br/fnet/publico/downloadDocumento?id=513540</t>
        </is>
      </c>
      <c r="X38" s="74" t="inlineStr">
        <is>
          <t>regulamento</t>
        </is>
      </c>
      <c r="Y38" s="74" t="inlineStr">
        <is>
          <t>os Emissores Qualificados</t>
        </is>
      </c>
      <c r="Z38" s="74" t="inlineStr">
        <is>
          <t>encontrado_explicito</t>
        </is>
      </c>
      <c r="AA38" s="74" t="inlineStr">
        <is>
          <t>N/D</t>
        </is>
      </c>
      <c r="AB38" s="74" t="inlineStr">
        <is>
          <t>513540</t>
        </is>
      </c>
      <c r="AC38" s="74" t="inlineStr">
        <is>
          <t>28/08/2023</t>
        </is>
      </c>
      <c r="AD38" s="74" t="inlineStr">
        <is>
          <t>66</t>
        </is>
      </c>
      <c r="AE38" s="74" t="inlineStr">
        <is>
          <t>https://fnet.bmfbovespa.com.br/fnet/publico/downloadDocumento?id=513540</t>
        </is>
      </c>
      <c r="AF38" s="74" t="inlineStr">
        <is>
          <t>regulamento</t>
        </is>
      </c>
      <c r="AG38" s="74" t="inlineStr">
        <is>
          <t>os direitos creditórios de tempos em tempos detidos pela Cedente em face dos Devedores, conforme as regras dos Arranjos de Pagamentos, decorrentes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Aplicáveis</t>
        </is>
      </c>
      <c r="AH38" s="74" t="inlineStr">
        <is>
          <t>encontrado_explicito</t>
        </is>
      </c>
      <c r="AI38" s="74" t="inlineStr">
        <is>
          <t>N/D</t>
        </is>
      </c>
      <c r="AJ38" s="74" t="inlineStr">
        <is>
          <t>513540</t>
        </is>
      </c>
      <c r="AK38" s="74" t="inlineStr">
        <is>
          <t>28/08/2023</t>
        </is>
      </c>
      <c r="AL38" s="74" t="inlineStr">
        <is>
          <t>66</t>
        </is>
      </c>
      <c r="AM38" s="74" t="inlineStr">
        <is>
          <t>https://fnet.bmfbovespa.com.br/fnet/publico/downloadDocumento?id=513540</t>
        </is>
      </c>
      <c r="AN38" s="74" t="inlineStr">
        <is>
          <t>regulamento</t>
        </is>
      </c>
      <c r="AO38" s="74" t="inlineStr">
        <is>
          <t>4.8%</t>
        </is>
      </c>
      <c r="AP38" s="74" t="inlineStr">
        <is>
          <t>aceito_payload</t>
        </is>
      </c>
      <c r="AQ38" s="74" t="inlineStr">
        <is>
          <t>junior_pl</t>
        </is>
      </c>
      <c r="AR38" s="74" t="inlineStr">
        <is>
          <t>733165</t>
        </is>
      </c>
      <c r="AS38" s="74" t="inlineStr">
        <is>
          <t>2024-09-05</t>
        </is>
      </c>
      <c r="AT38" s="74" t="inlineStr">
        <is>
          <t>98</t>
        </is>
      </c>
      <c r="AU38" s="74" t="inlineStr">
        <is>
          <t>https://fnet.bmfbovespa.com.br/fnet/publico/downloadDocumento?id=733165</t>
        </is>
      </c>
      <c r="AV38" s="74" t="inlineStr">
        <is>
          <t>payload_documental</t>
        </is>
      </c>
      <c r="AW38" s="74" t="inlineStr">
        <is>
          <t>4.8%</t>
        </is>
      </c>
      <c r="AX38" s="74" t="inlineStr">
        <is>
          <t>aceito_payload</t>
        </is>
      </c>
      <c r="AY38" s="74" t="inlineStr">
        <is>
          <t>suporte_total_pl</t>
        </is>
      </c>
      <c r="AZ38" s="74" t="inlineStr">
        <is>
          <t>733165</t>
        </is>
      </c>
      <c r="BA38" s="74" t="inlineStr">
        <is>
          <t>2024-09-05</t>
        </is>
      </c>
      <c r="BB38" s="74" t="inlineStr">
        <is>
          <t>98</t>
        </is>
      </c>
      <c r="BC38" s="74" t="inlineStr">
        <is>
          <t>https://fnet.bmfbovespa.com.br/fnet/publico/downloadDocumento?id=733165</t>
        </is>
      </c>
      <c r="BD38" s="74" t="inlineStr">
        <is>
          <t>payload_documental</t>
        </is>
      </c>
      <c r="BE38" s="74" t="inlineStr">
        <is>
          <t>junior_pl</t>
        </is>
      </c>
      <c r="BF38" s="74" t="inlineStr">
        <is>
          <t>aceito_payload</t>
        </is>
      </c>
      <c r="BG38" s="74" t="inlineStr">
        <is>
          <t>junior_pl</t>
        </is>
      </c>
      <c r="BH38" s="74" t="inlineStr">
        <is>
          <t>733165</t>
        </is>
      </c>
      <c r="BI38" s="74" t="inlineStr">
        <is>
          <t>2024-09-05</t>
        </is>
      </c>
      <c r="BJ38" s="74" t="inlineStr">
        <is>
          <t>98</t>
        </is>
      </c>
      <c r="BK38" s="74" t="inlineStr">
        <is>
          <t>https://fnet.bmfbovespa.com.br/fnet/publico/downloadDocumento?id=733165</t>
        </is>
      </c>
      <c r="BL38" s="74" t="inlineStr">
        <is>
          <t>payload_documental</t>
        </is>
      </c>
    </row>
    <row r="39" ht="42" customHeight="1">
      <c r="A39" s="145" t="n">
        <v>35</v>
      </c>
      <c r="B39" s="142" t="n">
        <v>38385876000176</v>
      </c>
      <c r="C39" s="75" t="inlineStr">
        <is>
          <t>38.385.876/0001-76</t>
        </is>
      </c>
      <c r="D39" s="75" t="inlineStr">
        <is>
          <t>ESTRATÉGIA EDUCACIONAL FUNDO DE INVESTIMENTO EM DIREITOS CREDITÓRIOS</t>
        </is>
      </c>
      <c r="E39" s="75" t="inlineStr">
        <is>
          <t>concluído</t>
        </is>
      </c>
      <c r="F39" s="145" t="n">
        <v>7</v>
      </c>
      <c r="G39" s="75" t="inlineStr">
        <is>
          <t>consultado</t>
        </is>
      </c>
      <c r="H39" s="75" t="inlineStr">
        <is>
          <t>N/D</t>
        </is>
      </c>
      <c r="I39" s="75" t="inlineStr">
        <is>
          <t>N/D</t>
        </is>
      </c>
      <c r="J39" s="75" t="inlineStr">
        <is>
          <t>não encontrado</t>
        </is>
      </c>
      <c r="K39" s="75" t="inlineStr">
        <is>
          <t>N/D</t>
        </is>
      </c>
      <c r="L39" s="75" t="inlineStr">
        <is>
          <t>N/D</t>
        </is>
      </c>
      <c r="M39" s="75" t="inlineStr">
        <is>
          <t>N/D</t>
        </is>
      </c>
      <c r="N39" s="75" t="inlineStr">
        <is>
          <t>N/D</t>
        </is>
      </c>
      <c r="O39" s="75" t="inlineStr">
        <is>
          <t>N/D</t>
        </is>
      </c>
      <c r="P39" s="75" t="inlineStr">
        <is>
          <t>N/D</t>
        </is>
      </c>
      <c r="Q39" s="75" t="inlineStr">
        <is>
          <t>Estratégia Concursos</t>
        </is>
      </c>
      <c r="R39" s="75" t="inlineStr">
        <is>
          <t>aceito_payload</t>
        </is>
      </c>
      <c r="S39" s="75" t="inlineStr">
        <is>
          <t>N/D</t>
        </is>
      </c>
      <c r="T39" s="75" t="inlineStr">
        <is>
          <t>IMG_8705.JPG</t>
        </is>
      </c>
      <c r="U39" s="75" t="inlineStr">
        <is>
          <t>2024-08-14</t>
        </is>
      </c>
      <c r="V39" s="75" t="inlineStr">
        <is>
          <t>11</t>
        </is>
      </c>
      <c r="W39" s="75" t="inlineStr">
        <is>
          <t>N/D</t>
        </is>
      </c>
      <c r="X39" s="75" t="inlineStr">
        <is>
          <t>planilha_manual</t>
        </is>
      </c>
      <c r="Y39" s="75" t="inlineStr">
        <is>
          <t>N/D</t>
        </is>
      </c>
      <c r="Z39" s="75" t="inlineStr">
        <is>
          <t>não encontrado</t>
        </is>
      </c>
      <c r="AA39" s="75" t="inlineStr">
        <is>
          <t>N/D</t>
        </is>
      </c>
      <c r="AB39" s="75" t="inlineStr">
        <is>
          <t>N/D</t>
        </is>
      </c>
      <c r="AC39" s="75" t="inlineStr">
        <is>
          <t>N/D</t>
        </is>
      </c>
      <c r="AD39" s="75" t="inlineStr">
        <is>
          <t>N/D</t>
        </is>
      </c>
      <c r="AE39" s="75" t="inlineStr">
        <is>
          <t>N/D</t>
        </is>
      </c>
      <c r="AF39" s="75" t="inlineStr">
        <is>
          <t>N/D</t>
        </is>
      </c>
      <c r="AG39" s="75" t="inlineStr">
        <is>
          <t>os direitos creditórios constantes da Agenda de Recebíveis que, d e tempos em tempos, o Cedente detém em face das Devedoras em decorrência das Transações de Pagamento, no âmbito dos Arranjos de Pagamento em que as Devedoras e o Cedente sejam participantes, os quais serão identificados pelo seguinte conjunto de informaçõe s, conforme registrados nos Sistemas de Registro: (i) CNPJ do Cedente; (ii) Devedora; (iii) Bandeira; (iv) data de liquidação (vencimento)</t>
        </is>
      </c>
      <c r="AH39" s="75" t="inlineStr">
        <is>
          <t>encontrado_explicito</t>
        </is>
      </c>
      <c r="AI39" s="75" t="inlineStr">
        <is>
          <t>N/D</t>
        </is>
      </c>
      <c r="AJ39" s="75" t="inlineStr">
        <is>
          <t>719764</t>
        </is>
      </c>
      <c r="AK39" s="75" t="inlineStr">
        <is>
          <t>14/08/2024</t>
        </is>
      </c>
      <c r="AL39" s="75" t="inlineStr">
        <is>
          <t>49</t>
        </is>
      </c>
      <c r="AM39" s="75" t="inlineStr">
        <is>
          <t>https://fnet.bmfbovespa.com.br/fnet/publico/downloadDocumento?id=719764</t>
        </is>
      </c>
      <c r="AN39" s="75" t="inlineStr">
        <is>
          <t>regulamento</t>
        </is>
      </c>
      <c r="AO39" s="75" t="inlineStr">
        <is>
          <t>10%</t>
        </is>
      </c>
      <c r="AP39" s="75" t="inlineStr">
        <is>
          <t>aceito_payload</t>
        </is>
      </c>
      <c r="AQ39" s="75" t="inlineStr">
        <is>
          <t>junior_pl</t>
        </is>
      </c>
      <c r="AR39" s="75" t="inlineStr">
        <is>
          <t>719764</t>
        </is>
      </c>
      <c r="AS39" s="75" t="inlineStr">
        <is>
          <t>2024-08-14</t>
        </is>
      </c>
      <c r="AT39" s="75" t="inlineStr">
        <is>
          <t>11</t>
        </is>
      </c>
      <c r="AU39" s="75" t="inlineStr">
        <is>
          <t>https://fnet.bmfbovespa.com.br/fnet/publico/downloadDocumento?id=719764</t>
        </is>
      </c>
      <c r="AV39" s="75" t="inlineStr">
        <is>
          <t>payload_documental</t>
        </is>
      </c>
      <c r="AW39" s="75" t="inlineStr">
        <is>
          <t>N/D</t>
        </is>
      </c>
      <c r="AX39" s="75" t="inlineStr">
        <is>
          <t>não encontrado</t>
        </is>
      </c>
      <c r="AY39" s="75" t="inlineStr">
        <is>
          <t>N/D</t>
        </is>
      </c>
      <c r="AZ39" s="75" t="inlineStr">
        <is>
          <t>N/D</t>
        </is>
      </c>
      <c r="BA39" s="75" t="inlineStr">
        <is>
          <t>N/D</t>
        </is>
      </c>
      <c r="BB39" s="75" t="inlineStr">
        <is>
          <t>N/D</t>
        </is>
      </c>
      <c r="BC39" s="75" t="inlineStr">
        <is>
          <t>N/D</t>
        </is>
      </c>
      <c r="BD39" s="75" t="inlineStr">
        <is>
          <t>N/D</t>
        </is>
      </c>
      <c r="BE39" s="75" t="inlineStr">
        <is>
          <t>junior_pl</t>
        </is>
      </c>
      <c r="BF39" s="75" t="inlineStr">
        <is>
          <t>aceito_payload</t>
        </is>
      </c>
      <c r="BG39" s="75" t="inlineStr">
        <is>
          <t>junior_pl</t>
        </is>
      </c>
      <c r="BH39" s="75" t="inlineStr">
        <is>
          <t>719764</t>
        </is>
      </c>
      <c r="BI39" s="75" t="inlineStr">
        <is>
          <t>2024-08-14</t>
        </is>
      </c>
      <c r="BJ39" s="75" t="inlineStr">
        <is>
          <t>11</t>
        </is>
      </c>
      <c r="BK39" s="75" t="inlineStr">
        <is>
          <t>https://fnet.bmfbovespa.com.br/fnet/publico/downloadDocumento?id=719764</t>
        </is>
      </c>
      <c r="BL39" s="75" t="inlineStr">
        <is>
          <t>payload_documental</t>
        </is>
      </c>
    </row>
    <row r="40" ht="42" customHeight="1">
      <c r="A40" s="141" t="n">
        <v>36</v>
      </c>
      <c r="B40" s="138" t="n">
        <v>40919667000107</v>
      </c>
      <c r="C40" s="74" t="inlineStr">
        <is>
          <t>40.919.667/0001-07</t>
        </is>
      </c>
      <c r="D40" s="74" t="inlineStr">
        <is>
          <t>RECARGAPAY I FUNDO DE INVESTIMENTO EM DIREITOS CREDITÓRIOS</t>
        </is>
      </c>
      <c r="E40" s="74" t="inlineStr">
        <is>
          <t>concluído</t>
        </is>
      </c>
      <c r="F40" s="141" t="n">
        <v>8</v>
      </c>
      <c r="G40" s="74" t="inlineStr">
        <is>
          <t>consultado</t>
        </is>
      </c>
      <c r="H40" s="74" t="inlineStr">
        <is>
          <t>N/D</t>
        </is>
      </c>
      <c r="I40" s="74" t="inlineStr">
        <is>
          <t>N/D</t>
        </is>
      </c>
      <c r="J40" s="74" t="inlineStr">
        <is>
          <t>não encontrado</t>
        </is>
      </c>
      <c r="K40" s="74" t="inlineStr">
        <is>
          <t>N/D</t>
        </is>
      </c>
      <c r="L40" s="74" t="inlineStr">
        <is>
          <t>N/D</t>
        </is>
      </c>
      <c r="M40" s="74" t="inlineStr">
        <is>
          <t>N/D</t>
        </is>
      </c>
      <c r="N40" s="74" t="inlineStr">
        <is>
          <t>N/D</t>
        </is>
      </c>
      <c r="O40" s="74" t="inlineStr">
        <is>
          <t>N/D</t>
        </is>
      </c>
      <c r="P40" s="74" t="inlineStr">
        <is>
          <t>N/D</t>
        </is>
      </c>
      <c r="Q40" s="74" t="inlineStr">
        <is>
          <t>RecargaPay</t>
        </is>
      </c>
      <c r="R40" s="74" t="inlineStr">
        <is>
          <t>aceito_payload</t>
        </is>
      </c>
      <c r="S40" s="74" t="inlineStr">
        <is>
          <t>N/D</t>
        </is>
      </c>
      <c r="T40" s="74" t="inlineStr">
        <is>
          <t>IMG_8705.JPG</t>
        </is>
      </c>
      <c r="U40" s="74" t="inlineStr">
        <is>
          <t>2026-02-12</t>
        </is>
      </c>
      <c r="V40" s="74" t="inlineStr">
        <is>
          <t>31</t>
        </is>
      </c>
      <c r="W40" s="74" t="inlineStr">
        <is>
          <t>N/D</t>
        </is>
      </c>
      <c r="X40" s="74" t="inlineStr">
        <is>
          <t>planilha_manual</t>
        </is>
      </c>
      <c r="Y40" s="74" t="inlineStr">
        <is>
          <t>N/D</t>
        </is>
      </c>
      <c r="Z40" s="74" t="inlineStr">
        <is>
          <t>não encontrado</t>
        </is>
      </c>
      <c r="AA40" s="74" t="inlineStr">
        <is>
          <t>N/D</t>
        </is>
      </c>
      <c r="AB40" s="74" t="inlineStr">
        <is>
          <t>N/D</t>
        </is>
      </c>
      <c r="AC40" s="74" t="inlineStr">
        <is>
          <t>N/D</t>
        </is>
      </c>
      <c r="AD40" s="74" t="inlineStr">
        <is>
          <t>N/D</t>
        </is>
      </c>
      <c r="AE40" s="74" t="inlineStr">
        <is>
          <t>N/D</t>
        </is>
      </c>
      <c r="AF40" s="74" t="inlineStr">
        <is>
          <t>N/D</t>
        </is>
      </c>
      <c r="AG40" s="74" t="inlineStr">
        <is>
          <t>recebíveis de cartão</t>
        </is>
      </c>
      <c r="AH40" s="74" t="inlineStr">
        <is>
          <t>aceito_payload</t>
        </is>
      </c>
      <c r="AI40" s="74" t="inlineStr">
        <is>
          <t>N/D</t>
        </is>
      </c>
      <c r="AJ40" s="74" t="inlineStr">
        <is>
          <t>IMG_8705.JPG</t>
        </is>
      </c>
      <c r="AK40" s="74" t="inlineStr">
        <is>
          <t>2026-02-12</t>
        </is>
      </c>
      <c r="AL40" s="74" t="inlineStr">
        <is>
          <t>31</t>
        </is>
      </c>
      <c r="AM40" s="74" t="inlineStr">
        <is>
          <t>N/D</t>
        </is>
      </c>
      <c r="AN40" s="74" t="inlineStr">
        <is>
          <t>planilha_manual</t>
        </is>
      </c>
      <c r="AO40" s="74" t="inlineStr">
        <is>
          <t>50%</t>
        </is>
      </c>
      <c r="AP40" s="74" t="inlineStr">
        <is>
          <t>aceito_payload</t>
        </is>
      </c>
      <c r="AQ40" s="74" t="inlineStr">
        <is>
          <t>junior_pl</t>
        </is>
      </c>
      <c r="AR40" s="74" t="inlineStr">
        <is>
          <t>1118056</t>
        </is>
      </c>
      <c r="AS40" s="74" t="inlineStr">
        <is>
          <t>2026-02-12</t>
        </is>
      </c>
      <c r="AT40" s="74" t="inlineStr">
        <is>
          <t>31</t>
        </is>
      </c>
      <c r="AU40" s="74" t="inlineStr">
        <is>
          <t>https://fnet.bmfbovespa.com.br/fnet/publico/downloadDocumento?id=1118056</t>
        </is>
      </c>
      <c r="AV40" s="74" t="inlineStr">
        <is>
          <t>payload_documental</t>
        </is>
      </c>
      <c r="AW40" s="74" t="inlineStr">
        <is>
          <t>50%</t>
        </is>
      </c>
      <c r="AX40" s="74" t="inlineStr">
        <is>
          <t>aceito_payload</t>
        </is>
      </c>
      <c r="AY40" s="74" t="inlineStr">
        <is>
          <t>suporte_total_pl</t>
        </is>
      </c>
      <c r="AZ40" s="74" t="inlineStr">
        <is>
          <t>1118056</t>
        </is>
      </c>
      <c r="BA40" s="74" t="inlineStr">
        <is>
          <t>2026-02-12</t>
        </is>
      </c>
      <c r="BB40" s="74" t="inlineStr">
        <is>
          <t>31</t>
        </is>
      </c>
      <c r="BC40" s="74" t="inlineStr">
        <is>
          <t>https://fnet.bmfbovespa.com.br/fnet/publico/downloadDocumento?id=1118056</t>
        </is>
      </c>
      <c r="BD40" s="74" t="inlineStr">
        <is>
          <t>payload_documental</t>
        </is>
      </c>
      <c r="BE40" s="74" t="inlineStr">
        <is>
          <t>junior_pl</t>
        </is>
      </c>
      <c r="BF40" s="74" t="inlineStr">
        <is>
          <t>aceito_payload</t>
        </is>
      </c>
      <c r="BG40" s="74" t="inlineStr">
        <is>
          <t>junior_pl</t>
        </is>
      </c>
      <c r="BH40" s="74" t="inlineStr">
        <is>
          <t>1118056</t>
        </is>
      </c>
      <c r="BI40" s="74" t="inlineStr">
        <is>
          <t>2026-02-12</t>
        </is>
      </c>
      <c r="BJ40" s="74" t="inlineStr">
        <is>
          <t>31</t>
        </is>
      </c>
      <c r="BK40" s="74" t="inlineStr">
        <is>
          <t>https://fnet.bmfbovespa.com.br/fnet/publico/downloadDocumento?id=1118056</t>
        </is>
      </c>
      <c r="BL40" s="74" t="inlineStr">
        <is>
          <t>payload_documental</t>
        </is>
      </c>
    </row>
    <row r="41" ht="42" customHeight="1">
      <c r="A41" s="145" t="n">
        <v>37</v>
      </c>
      <c r="B41" s="142" t="n">
        <v>42102603000144</v>
      </c>
      <c r="C41" s="75" t="inlineStr">
        <is>
          <t>42.102.603/0001-44</t>
        </is>
      </c>
      <c r="D41" s="75" t="inlineStr">
        <is>
          <t>CLOUDWALK KICK ASS II FUNDO DE INVESTIMENTO EM DIREITOS CREDITÓRIOS SEGMENTO MEIOS DE PAGAMENTO</t>
        </is>
      </c>
      <c r="E41" s="75" t="inlineStr">
        <is>
          <t>concluído</t>
        </is>
      </c>
      <c r="F41" s="145" t="n">
        <v>11</v>
      </c>
      <c r="G41" s="75" t="inlineStr">
        <is>
          <t>consultado</t>
        </is>
      </c>
      <c r="H41" s="75" t="inlineStr">
        <is>
          <t>N/D</t>
        </is>
      </c>
      <c r="I41" s="75" t="inlineStr">
        <is>
          <t>N/D</t>
        </is>
      </c>
      <c r="J41" s="75" t="inlineStr">
        <is>
          <t>não encontrado</t>
        </is>
      </c>
      <c r="K41" s="75" t="inlineStr">
        <is>
          <t>N/D</t>
        </is>
      </c>
      <c r="L41" s="75" t="inlineStr">
        <is>
          <t>N/D</t>
        </is>
      </c>
      <c r="M41" s="75" t="inlineStr">
        <is>
          <t>N/D</t>
        </is>
      </c>
      <c r="N41" s="75" t="inlineStr">
        <is>
          <t>N/D</t>
        </is>
      </c>
      <c r="O41" s="75" t="inlineStr">
        <is>
          <t>N/D</t>
        </is>
      </c>
      <c r="P41" s="75" t="inlineStr">
        <is>
          <t>N/D</t>
        </is>
      </c>
      <c r="Q41" s="75" t="inlineStr">
        <is>
          <t>a CloudWalk que, de tempos em tempos, nos termos do Contrato de Cessão, cede seus respectivos Direitos Creditórios Elegíveis ao Fundo</t>
        </is>
      </c>
      <c r="R41" s="75" t="inlineStr">
        <is>
          <t>encontrado_explicito</t>
        </is>
      </c>
      <c r="S41" s="75" t="inlineStr">
        <is>
          <t>N/D</t>
        </is>
      </c>
      <c r="T41" s="75" t="inlineStr">
        <is>
          <t>733239</t>
        </is>
      </c>
      <c r="U41" s="75" t="inlineStr">
        <is>
          <t>2024-09-05</t>
        </is>
      </c>
      <c r="V41" s="75" t="inlineStr">
        <is>
          <t>92</t>
        </is>
      </c>
      <c r="W41" s="75" t="inlineStr">
        <is>
          <t>https://fnet.bmfbovespa.com.br/fnet/publico/downloadDocumento?id=733239</t>
        </is>
      </c>
      <c r="X41" s="75" t="inlineStr">
        <is>
          <t>regulamento</t>
        </is>
      </c>
      <c r="Y41" s="75" t="inlineStr">
        <is>
          <t>cada Devedor de Direitos Creditórios Cedidos que represente 6,8% (seis inteiros e oito décimos por cento) ou mais do Patrimônio Líquido do Fundo</t>
        </is>
      </c>
      <c r="Z41" s="75" t="inlineStr">
        <is>
          <t>encontrado_explicito</t>
        </is>
      </c>
      <c r="AA41" s="75" t="inlineStr">
        <is>
          <t>N/D</t>
        </is>
      </c>
      <c r="AB41" s="75" t="inlineStr">
        <is>
          <t>733239</t>
        </is>
      </c>
      <c r="AC41" s="75" t="inlineStr">
        <is>
          <t>2024-09-05</t>
        </is>
      </c>
      <c r="AD41" s="75" t="inlineStr">
        <is>
          <t>96</t>
        </is>
      </c>
      <c r="AE41" s="75" t="inlineStr">
        <is>
          <t>https://fnet.bmfbovespa.com.br/fnet/publico/downloadDocumento?id=733239</t>
        </is>
      </c>
      <c r="AF41" s="75" t="inlineStr">
        <is>
          <t>regulamento</t>
        </is>
      </c>
      <c r="AG41" s="75" t="inlineStr">
        <is>
          <t>os direitos creditórios de tempos em tempos detidos pela Cedente em face dos Devedores , conforme as regras dos Arranjos de Pagamentos, decorrentes de Docusign Envelope ID: C7A68EEF-E1CC-4C50-9460-07F207F1899B</t>
        </is>
      </c>
      <c r="AH41" s="75" t="inlineStr">
        <is>
          <t>encontrado_explicito</t>
        </is>
      </c>
      <c r="AI41" s="75" t="inlineStr">
        <is>
          <t>N/D</t>
        </is>
      </c>
      <c r="AJ41" s="75" t="inlineStr">
        <is>
          <t>733239</t>
        </is>
      </c>
      <c r="AK41" s="75" t="inlineStr">
        <is>
          <t>2024-09-05</t>
        </is>
      </c>
      <c r="AL41" s="75" t="inlineStr">
        <is>
          <t>96</t>
        </is>
      </c>
      <c r="AM41" s="75" t="inlineStr">
        <is>
          <t>https://fnet.bmfbovespa.com.br/fnet/publico/downloadDocumento?id=733239</t>
        </is>
      </c>
      <c r="AN41" s="75" t="inlineStr">
        <is>
          <t>regulamento</t>
        </is>
      </c>
      <c r="AO41" s="75" t="inlineStr">
        <is>
          <t>6.8%</t>
        </is>
      </c>
      <c r="AP41" s="75" t="inlineStr">
        <is>
          <t>aceito_payload</t>
        </is>
      </c>
      <c r="AQ41" s="75" t="inlineStr">
        <is>
          <t>junior_pl</t>
        </is>
      </c>
      <c r="AR41" s="75" t="inlineStr">
        <is>
          <t>733239</t>
        </is>
      </c>
      <c r="AS41" s="75" t="inlineStr">
        <is>
          <t>2024-09-05</t>
        </is>
      </c>
      <c r="AT41" s="75" t="inlineStr">
        <is>
          <t>99</t>
        </is>
      </c>
      <c r="AU41" s="75" t="inlineStr">
        <is>
          <t>https://fnet.bmfbovespa.com.br/fnet/publico/downloadDocumento?id=733239</t>
        </is>
      </c>
      <c r="AV41" s="75" t="inlineStr">
        <is>
          <t>payload_documental</t>
        </is>
      </c>
      <c r="AW41" s="75" t="inlineStr">
        <is>
          <t>6.8%</t>
        </is>
      </c>
      <c r="AX41" s="75" t="inlineStr">
        <is>
          <t>aceito_payload</t>
        </is>
      </c>
      <c r="AY41" s="75" t="inlineStr">
        <is>
          <t>suporte_total_pl</t>
        </is>
      </c>
      <c r="AZ41" s="75" t="inlineStr">
        <is>
          <t>733239</t>
        </is>
      </c>
      <c r="BA41" s="75" t="inlineStr">
        <is>
          <t>2024-09-05</t>
        </is>
      </c>
      <c r="BB41" s="75" t="inlineStr">
        <is>
          <t>99</t>
        </is>
      </c>
      <c r="BC41" s="75" t="inlineStr">
        <is>
          <t>https://fnet.bmfbovespa.com.br/fnet/publico/downloadDocumento?id=733239</t>
        </is>
      </c>
      <c r="BD41" s="75" t="inlineStr">
        <is>
          <t>payload_documental</t>
        </is>
      </c>
      <c r="BE41" s="75" t="inlineStr">
        <is>
          <t>junior_pl</t>
        </is>
      </c>
      <c r="BF41" s="75" t="inlineStr">
        <is>
          <t>aceito_payload</t>
        </is>
      </c>
      <c r="BG41" s="75" t="inlineStr">
        <is>
          <t>junior_pl</t>
        </is>
      </c>
      <c r="BH41" s="75" t="inlineStr">
        <is>
          <t>733239</t>
        </is>
      </c>
      <c r="BI41" s="75" t="inlineStr">
        <is>
          <t>2024-09-05</t>
        </is>
      </c>
      <c r="BJ41" s="75" t="inlineStr">
        <is>
          <t>99</t>
        </is>
      </c>
      <c r="BK41" s="75" t="inlineStr">
        <is>
          <t>https://fnet.bmfbovespa.com.br/fnet/publico/downloadDocumento?id=733239</t>
        </is>
      </c>
      <c r="BL41" s="75" t="inlineStr">
        <is>
          <t>payload_documental</t>
        </is>
      </c>
    </row>
    <row r="42" ht="42" customHeight="1">
      <c r="A42" s="141" t="n">
        <v>38</v>
      </c>
      <c r="B42" s="138" t="n">
        <v>28169275000172</v>
      </c>
      <c r="C42" s="74" t="inlineStr">
        <is>
          <t>28.169.275/0001-72</t>
        </is>
      </c>
      <c r="D42" s="74" t="inlineStr">
        <is>
          <t>FUNDO DE INVESTIMENTO EM DIREITOS CREDITÓRIOS PAGSEGURO I</t>
        </is>
      </c>
      <c r="E42" s="74" t="inlineStr">
        <is>
          <t>concluído</t>
        </is>
      </c>
      <c r="F42" s="141" t="n">
        <v>8</v>
      </c>
      <c r="G42" s="74" t="inlineStr">
        <is>
          <t>consultado</t>
        </is>
      </c>
      <c r="H42" s="74" t="inlineStr">
        <is>
          <t>N/D</t>
        </is>
      </c>
      <c r="I42" s="74" t="inlineStr">
        <is>
          <t>N/D</t>
        </is>
      </c>
      <c r="J42" s="74" t="inlineStr">
        <is>
          <t>não encontrado</t>
        </is>
      </c>
      <c r="K42" s="74" t="inlineStr">
        <is>
          <t>N/D</t>
        </is>
      </c>
      <c r="L42" s="74" t="inlineStr">
        <is>
          <t>N/D</t>
        </is>
      </c>
      <c r="M42" s="74" t="inlineStr">
        <is>
          <t>N/D</t>
        </is>
      </c>
      <c r="N42" s="74" t="inlineStr">
        <is>
          <t>N/D</t>
        </is>
      </c>
      <c r="O42" s="74" t="inlineStr">
        <is>
          <t>N/D</t>
        </is>
      </c>
      <c r="P42" s="74" t="inlineStr">
        <is>
          <t>N/D</t>
        </is>
      </c>
      <c r="Q42" s="74" t="inlineStr">
        <is>
          <t>PagSeguro</t>
        </is>
      </c>
      <c r="R42" s="74" t="inlineStr">
        <is>
          <t>aceito_payload</t>
        </is>
      </c>
      <c r="S42" s="74" t="inlineStr">
        <is>
          <t>N/D</t>
        </is>
      </c>
      <c r="T42" s="74" t="inlineStr">
        <is>
          <t>IMG_8705.JPG</t>
        </is>
      </c>
      <c r="U42" s="74" t="inlineStr">
        <is>
          <t>2026-03-25</t>
        </is>
      </c>
      <c r="V42" s="74" t="inlineStr">
        <is>
          <t>44</t>
        </is>
      </c>
      <c r="W42" s="74" t="inlineStr">
        <is>
          <t>N/D</t>
        </is>
      </c>
      <c r="X42" s="74" t="inlineStr">
        <is>
          <t>planilha_manual</t>
        </is>
      </c>
      <c r="Y42" s="74" t="inlineStr">
        <is>
          <t>N/D</t>
        </is>
      </c>
      <c r="Z42" s="74" t="inlineStr">
        <is>
          <t>não encontrado</t>
        </is>
      </c>
      <c r="AA42" s="74" t="inlineStr">
        <is>
          <t>N/D</t>
        </is>
      </c>
      <c r="AB42" s="74" t="inlineStr">
        <is>
          <t>N/D</t>
        </is>
      </c>
      <c r="AC42" s="74" t="inlineStr">
        <is>
          <t>N/D</t>
        </is>
      </c>
      <c r="AD42" s="74" t="inlineStr">
        <is>
          <t>N/D</t>
        </is>
      </c>
      <c r="AE42" s="74" t="inlineStr">
        <is>
          <t>N/D</t>
        </is>
      </c>
      <c r="AF42" s="74" t="inlineStr">
        <is>
          <t>N/D</t>
        </is>
      </c>
      <c r="AG42" s="74" t="inlineStr">
        <is>
          <t>as U.R.s compostas por direitos creditórios detidos pelo Estabelecimento Credenciado em face do Devedor em decorrência de Transações de Pagamento, na modalidade de crédito pós -pago à vista, e/ou crédito pós -pago parcelado sem juros, e débito, realizad as pelos Usuários Finais com a utilização de Instrumentos de Pagamento para a aquisição de bens, produtos, mercadorias ou serviços nos Estabelecimentos Credenciados e devidos pelo Devedor, conforme aplicável, após o desconto das taxas que constituem a remuneração dos Arranjos de Pagamento, dos Emissores e das Credenciadoras, bem como de outras eventuais retenções previstas nas regras do Arranjo de Pagamento, as quais serão Docusign Envelope I</t>
        </is>
      </c>
      <c r="AH42" s="74" t="inlineStr">
        <is>
          <t>encontrado_explicito</t>
        </is>
      </c>
      <c r="AI42" s="74" t="inlineStr">
        <is>
          <t>N/D</t>
        </is>
      </c>
      <c r="AJ42" s="74" t="inlineStr">
        <is>
          <t>1147067</t>
        </is>
      </c>
      <c r="AK42" s="74" t="inlineStr">
        <is>
          <t>2026-03-25</t>
        </is>
      </c>
      <c r="AL42" s="74" t="inlineStr">
        <is>
          <t>88</t>
        </is>
      </c>
      <c r="AM42" s="74" t="inlineStr">
        <is>
          <t>https://fnet.bmfbovespa.com.br/fnet/publico/downloadDocumento?id=1147067</t>
        </is>
      </c>
      <c r="AN42" s="74" t="inlineStr">
        <is>
          <t>assembleia</t>
        </is>
      </c>
      <c r="AO42" s="74" t="inlineStr">
        <is>
          <t>50%</t>
        </is>
      </c>
      <c r="AP42" s="74" t="inlineStr">
        <is>
          <t>aceito_payload</t>
        </is>
      </c>
      <c r="AQ42" s="74" t="inlineStr">
        <is>
          <t>junior_pl</t>
        </is>
      </c>
      <c r="AR42" s="74" t="inlineStr">
        <is>
          <t>1149521</t>
        </is>
      </c>
      <c r="AS42" s="74" t="inlineStr">
        <is>
          <t>2026-03-25</t>
        </is>
      </c>
      <c r="AT42" s="74" t="inlineStr">
        <is>
          <t>44</t>
        </is>
      </c>
      <c r="AU42" s="74" t="inlineStr">
        <is>
          <t>https://fnet.bmfbovespa.com.br/fnet/publico/downloadDocumento?id=1149521</t>
        </is>
      </c>
      <c r="AV42" s="74" t="inlineStr">
        <is>
          <t>payload_documental</t>
        </is>
      </c>
      <c r="AW42" s="74" t="inlineStr">
        <is>
          <t>N/D</t>
        </is>
      </c>
      <c r="AX42" s="74" t="inlineStr">
        <is>
          <t>não encontrado</t>
        </is>
      </c>
      <c r="AY42" s="74" t="inlineStr">
        <is>
          <t>N/D</t>
        </is>
      </c>
      <c r="AZ42" s="74" t="inlineStr">
        <is>
          <t>N/D</t>
        </is>
      </c>
      <c r="BA42" s="74" t="inlineStr">
        <is>
          <t>N/D</t>
        </is>
      </c>
      <c r="BB42" s="74" t="inlineStr">
        <is>
          <t>N/D</t>
        </is>
      </c>
      <c r="BC42" s="74" t="inlineStr">
        <is>
          <t>N/D</t>
        </is>
      </c>
      <c r="BD42" s="74" t="inlineStr">
        <is>
          <t>N/D</t>
        </is>
      </c>
      <c r="BE42" s="74" t="inlineStr">
        <is>
          <t>junior_pl</t>
        </is>
      </c>
      <c r="BF42" s="74" t="inlineStr">
        <is>
          <t>aceito_payload</t>
        </is>
      </c>
      <c r="BG42" s="74" t="inlineStr">
        <is>
          <t>junior_pl</t>
        </is>
      </c>
      <c r="BH42" s="74" t="inlineStr">
        <is>
          <t>1149521</t>
        </is>
      </c>
      <c r="BI42" s="74" t="inlineStr">
        <is>
          <t>2026-03-25</t>
        </is>
      </c>
      <c r="BJ42" s="74" t="inlineStr">
        <is>
          <t>44</t>
        </is>
      </c>
      <c r="BK42" s="74" t="inlineStr">
        <is>
          <t>https://fnet.bmfbovespa.com.br/fnet/publico/downloadDocumento?id=1149521</t>
        </is>
      </c>
      <c r="BL42" s="74" t="inlineStr">
        <is>
          <t>payload_documental</t>
        </is>
      </c>
    </row>
    <row r="43" ht="42" customHeight="1">
      <c r="A43" s="145" t="n">
        <v>39</v>
      </c>
      <c r="B43" s="142" t="n">
        <v>38658727000133</v>
      </c>
      <c r="C43" s="75" t="inlineStr">
        <is>
          <t>38.658.727/0001-33</t>
        </is>
      </c>
      <c r="D43" s="75" t="inlineStr">
        <is>
          <t>FUNDO DE INVESTIMENTO EM DIREITOS CREDITÓRIOS FORNECEDORES MADEIRA MADEIRA I</t>
        </is>
      </c>
      <c r="E43" s="75" t="inlineStr">
        <is>
          <t>concluído</t>
        </is>
      </c>
      <c r="F43" s="145" t="n">
        <v>13</v>
      </c>
      <c r="G43" s="75" t="inlineStr">
        <is>
          <t>consultado</t>
        </is>
      </c>
      <c r="H43" s="75" t="inlineStr">
        <is>
          <t>N/D</t>
        </is>
      </c>
      <c r="I43" s="75" t="inlineStr">
        <is>
          <t>N/D</t>
        </is>
      </c>
      <c r="J43" s="75" t="inlineStr">
        <is>
          <t>não encontrado</t>
        </is>
      </c>
      <c r="K43" s="75" t="inlineStr">
        <is>
          <t>N/D</t>
        </is>
      </c>
      <c r="L43" s="75" t="inlineStr">
        <is>
          <t>N/D</t>
        </is>
      </c>
      <c r="M43" s="75" t="inlineStr">
        <is>
          <t>N/D</t>
        </is>
      </c>
      <c r="N43" s="75" t="inlineStr">
        <is>
          <t>N/D</t>
        </is>
      </c>
      <c r="O43" s="75" t="inlineStr">
        <is>
          <t>N/D</t>
        </is>
      </c>
      <c r="P43" s="75" t="inlineStr">
        <is>
          <t>N/D</t>
        </is>
      </c>
      <c r="Q43" s="75" t="inlineStr">
        <is>
          <t>Fornecedores: Madeira/Madeira</t>
        </is>
      </c>
      <c r="R43" s="75" t="inlineStr">
        <is>
          <t>aceito_payload</t>
        </is>
      </c>
      <c r="S43" s="75" t="inlineStr">
        <is>
          <t>N/D</t>
        </is>
      </c>
      <c r="T43" s="75" t="inlineStr">
        <is>
          <t>IMG_8705.JPG</t>
        </is>
      </c>
      <c r="U43" s="75" t="inlineStr">
        <is>
          <t>2026-06-05</t>
        </is>
      </c>
      <c r="V43" s="75" t="inlineStr">
        <is>
          <t>62</t>
        </is>
      </c>
      <c r="W43" s="75" t="inlineStr">
        <is>
          <t>N/D</t>
        </is>
      </c>
      <c r="X43" s="75" t="inlineStr">
        <is>
          <t>planilha_manual</t>
        </is>
      </c>
      <c r="Y43" s="75" t="inlineStr">
        <is>
          <t>Madeira/Madeira</t>
        </is>
      </c>
      <c r="Z43" s="75" t="inlineStr">
        <is>
          <t>aceito_payload</t>
        </is>
      </c>
      <c r="AA43" s="75" t="inlineStr">
        <is>
          <t>N/D</t>
        </is>
      </c>
      <c r="AB43" s="75" t="inlineStr">
        <is>
          <t>IMG_8705.JPG</t>
        </is>
      </c>
      <c r="AC43" s="75" t="inlineStr">
        <is>
          <t>2026-06-05</t>
        </is>
      </c>
      <c r="AD43" s="75" t="inlineStr">
        <is>
          <t>62</t>
        </is>
      </c>
      <c r="AE43" s="75" t="inlineStr">
        <is>
          <t>N/D</t>
        </is>
      </c>
      <c r="AF43" s="75" t="inlineStr">
        <is>
          <t>planilha_manual</t>
        </is>
      </c>
      <c r="AG43" s="75" t="inlineStr">
        <is>
          <t>os direitos creditórios, representados pelos Contratos Comerciais, incluindo a totalidade dos respectivos acessórios, tais como atualização monetária, juros remuneratórios, encargos moratórios, multas, penalidades, seguros, indenizações, despesa s, custas, honorários, garantias e demais encargos contratuais e legais previstos nos Contratos Comerciais</t>
        </is>
      </c>
      <c r="AH43" s="75" t="inlineStr">
        <is>
          <t>encontrado_explicito</t>
        </is>
      </c>
      <c r="AI43" s="75" t="inlineStr">
        <is>
          <t>N/D</t>
        </is>
      </c>
      <c r="AJ43" s="75" t="inlineStr">
        <is>
          <t>691063</t>
        </is>
      </c>
      <c r="AK43" s="75" t="inlineStr">
        <is>
          <t>2024-06-13</t>
        </is>
      </c>
      <c r="AL43" s="75" t="inlineStr">
        <is>
          <t>8</t>
        </is>
      </c>
      <c r="AM43" s="75" t="inlineStr">
        <is>
          <t>https://fnet.bmfbovespa.com.br/fnet/publico/downloadDocumento?id=691063</t>
        </is>
      </c>
      <c r="AN43" s="75" t="inlineStr">
        <is>
          <t>regulamento</t>
        </is>
      </c>
      <c r="AO43" s="75" t="inlineStr">
        <is>
          <t>26.665%</t>
        </is>
      </c>
      <c r="AP43" s="75" t="inlineStr">
        <is>
          <t>aceito_payload</t>
        </is>
      </c>
      <c r="AQ43" s="75" t="inlineStr">
        <is>
          <t>junior_pl_calculado</t>
        </is>
      </c>
      <c r="AR43" s="75" t="inlineStr">
        <is>
          <t>1216296</t>
        </is>
      </c>
      <c r="AS43" s="75" t="inlineStr">
        <is>
          <t>2026-06-05</t>
        </is>
      </c>
      <c r="AT43" s="75" t="inlineStr">
        <is>
          <t>62</t>
        </is>
      </c>
      <c r="AU43" s="75" t="inlineStr">
        <is>
          <t>https://fnet.bmfbovespa.com.br/fnet/publico/downloadDocumento?id=1216296</t>
        </is>
      </c>
      <c r="AV43" s="75" t="inlineStr">
        <is>
          <t>payload_documental</t>
        </is>
      </c>
      <c r="AW43" s="75" t="inlineStr">
        <is>
          <t>26.665%</t>
        </is>
      </c>
      <c r="AX43" s="75" t="inlineStr">
        <is>
          <t>aceito_payload</t>
        </is>
      </c>
      <c r="AY43" s="75" t="inlineStr">
        <is>
          <t>suporte_total_pl</t>
        </is>
      </c>
      <c r="AZ43" s="75" t="inlineStr">
        <is>
          <t>1216296</t>
        </is>
      </c>
      <c r="BA43" s="75" t="inlineStr">
        <is>
          <t>2026-06-05</t>
        </is>
      </c>
      <c r="BB43" s="75" t="inlineStr">
        <is>
          <t>62</t>
        </is>
      </c>
      <c r="BC43" s="75" t="inlineStr">
        <is>
          <t>https://fnet.bmfbovespa.com.br/fnet/publico/downloadDocumento?id=1216296</t>
        </is>
      </c>
      <c r="BD43" s="75" t="inlineStr">
        <is>
          <t>payload_documental</t>
        </is>
      </c>
      <c r="BE43" s="75" t="inlineStr">
        <is>
          <t>junior_pl_calculado</t>
        </is>
      </c>
      <c r="BF43" s="75" t="inlineStr">
        <is>
          <t>aceito_payload</t>
        </is>
      </c>
      <c r="BG43" s="75" t="inlineStr">
        <is>
          <t>junior_pl_calculado</t>
        </is>
      </c>
      <c r="BH43" s="75" t="inlineStr">
        <is>
          <t>1216296</t>
        </is>
      </c>
      <c r="BI43" s="75" t="inlineStr">
        <is>
          <t>2026-06-05</t>
        </is>
      </c>
      <c r="BJ43" s="75" t="inlineStr">
        <is>
          <t>62</t>
        </is>
      </c>
      <c r="BK43" s="75" t="inlineStr">
        <is>
          <t>https://fnet.bmfbovespa.com.br/fnet/publico/downloadDocumento?id=1216296</t>
        </is>
      </c>
      <c r="BL43" s="75" t="inlineStr">
        <is>
          <t>payload_documental</t>
        </is>
      </c>
    </row>
    <row r="44" ht="42" customHeight="1">
      <c r="A44" s="141" t="n">
        <v>40</v>
      </c>
      <c r="B44" s="138" t="n">
        <v>52271464000136</v>
      </c>
      <c r="C44" s="74" t="inlineStr">
        <is>
          <t>52.271.464/0001-36</t>
        </is>
      </c>
      <c r="D44" s="74" t="inlineStr">
        <is>
          <t>KIWIFY FUNDO DE INVESTIMENTO EM DIREITOS CREDITÓRIOS SEGMENTO MEIOS DE PAGAMENTO DE RESPONSABILIDADE</t>
        </is>
      </c>
      <c r="E44" s="74" t="inlineStr">
        <is>
          <t>concluído</t>
        </is>
      </c>
      <c r="F44" s="141" t="n">
        <v>6</v>
      </c>
      <c r="G44" s="74" t="inlineStr">
        <is>
          <t>consultado</t>
        </is>
      </c>
      <c r="H44" s="74" t="inlineStr">
        <is>
          <t>N/D</t>
        </is>
      </c>
      <c r="I44" s="74" t="inlineStr">
        <is>
          <t>N/D</t>
        </is>
      </c>
      <c r="J44" s="74" t="inlineStr">
        <is>
          <t>não encontrado</t>
        </is>
      </c>
      <c r="K44" s="74" t="inlineStr">
        <is>
          <t>N/D</t>
        </is>
      </c>
      <c r="L44" s="74" t="inlineStr">
        <is>
          <t>N/D</t>
        </is>
      </c>
      <c r="M44" s="74" t="inlineStr">
        <is>
          <t>N/D</t>
        </is>
      </c>
      <c r="N44" s="74" t="inlineStr">
        <is>
          <t>N/D</t>
        </is>
      </c>
      <c r="O44" s="74" t="inlineStr">
        <is>
          <t>N/D</t>
        </is>
      </c>
      <c r="P44" s="74" t="inlineStr">
        <is>
          <t>N/D</t>
        </is>
      </c>
      <c r="Q44" s="74" t="inlineStr">
        <is>
          <t>a Subcredenciadora</t>
        </is>
      </c>
      <c r="R44" s="74" t="inlineStr">
        <is>
          <t>encontrado_explicito</t>
        </is>
      </c>
      <c r="S44" s="74" t="inlineStr">
        <is>
          <t>N/D</t>
        </is>
      </c>
      <c r="T44" s="74" t="inlineStr">
        <is>
          <t>1155755</t>
        </is>
      </c>
      <c r="U44" s="74" t="inlineStr">
        <is>
          <t>18/03/2026</t>
        </is>
      </c>
      <c r="V44" s="74" t="inlineStr">
        <is>
          <t>7</t>
        </is>
      </c>
      <c r="W44" s="74" t="inlineStr">
        <is>
          <t>https://fnet.bmfbovespa.com.br/fnet/publico/downloadDocumento?id=1155755</t>
        </is>
      </c>
      <c r="X44" s="74" t="inlineStr">
        <is>
          <t>regulamento</t>
        </is>
      </c>
      <c r="Y44" s="74" t="inlineStr">
        <is>
          <t>a Credenciadora, na qualidade de devedora dos Direitos Creditórios</t>
        </is>
      </c>
      <c r="Z44" s="74" t="inlineStr">
        <is>
          <t>encontrado_explicito</t>
        </is>
      </c>
      <c r="AA44" s="74" t="inlineStr">
        <is>
          <t>N/D</t>
        </is>
      </c>
      <c r="AB44" s="74" t="inlineStr">
        <is>
          <t>1155755</t>
        </is>
      </c>
      <c r="AC44" s="74" t="inlineStr">
        <is>
          <t>18/03/2026</t>
        </is>
      </c>
      <c r="AD44" s="74" t="inlineStr">
        <is>
          <t>13</t>
        </is>
      </c>
      <c r="AE44" s="74" t="inlineStr">
        <is>
          <t>https://fnet.bmfbovespa.com.br/fnet/publico/downloadDocumento?id=1155755</t>
        </is>
      </c>
      <c r="AF44" s="74" t="inlineStr">
        <is>
          <t>regulamento</t>
        </is>
      </c>
      <c r="AG44" s="74" t="inlineStr">
        <is>
          <t>os direitos creditórios performados, de tempos em tempos detidos pela Subcredenciadora em face da Credenciadora, originários de Transações de Pagamento realizadas pelos Compradores dos Infoprodutores com a utilização de Instrumentos de Pagamento, à vista ou parceladas, para a aquisição de cursos e/ou outros conteúdos oferecidos pelo Infoprodutores na Plataforma Kiwify aos Compradores dos Infoprodutores, conforme aplicável, após o descont o das taxas que constituem a remuneração das Bandeiras, dos Emissores e da Credenciadora, conforme o caso, bem como de outras eventuais retenções previstas nas regras do Arranjo de Pagamento e/ou no respectivo contrato de credenciamento e adesão, conforme ap</t>
        </is>
      </c>
      <c r="AH44" s="74" t="inlineStr">
        <is>
          <t>encontrado_explicito</t>
        </is>
      </c>
      <c r="AI44" s="74" t="inlineStr">
        <is>
          <t>N/D</t>
        </is>
      </c>
      <c r="AJ44" s="74" t="inlineStr">
        <is>
          <t>1155755</t>
        </is>
      </c>
      <c r="AK44" s="74" t="inlineStr">
        <is>
          <t>18/03/2026</t>
        </is>
      </c>
      <c r="AL44" s="74" t="inlineStr">
        <is>
          <t>13</t>
        </is>
      </c>
      <c r="AM44" s="74" t="inlineStr">
        <is>
          <t>https://fnet.bmfbovespa.com.br/fnet/publico/downloadDocumento?id=1155755</t>
        </is>
      </c>
      <c r="AN44" s="74" t="inlineStr">
        <is>
          <t>regulamento</t>
        </is>
      </c>
      <c r="AO44" s="74" t="inlineStr">
        <is>
          <t>6%</t>
        </is>
      </c>
      <c r="AP44" s="74" t="inlineStr">
        <is>
          <t>aceito_payload</t>
        </is>
      </c>
      <c r="AQ44" s="74" t="inlineStr">
        <is>
          <t>junior_pl</t>
        </is>
      </c>
      <c r="AR44" s="74" t="inlineStr">
        <is>
          <t>1155755</t>
        </is>
      </c>
      <c r="AS44" s="74" t="inlineStr">
        <is>
          <t>2026-03-18</t>
        </is>
      </c>
      <c r="AT44" s="74" t="inlineStr">
        <is>
          <t>18</t>
        </is>
      </c>
      <c r="AU44" s="74" t="inlineStr">
        <is>
          <t>https://fnet.bmfbovespa.com.br/fnet/publico/downloadDocumento?id=1155755</t>
        </is>
      </c>
      <c r="AV44" s="74" t="inlineStr">
        <is>
          <t>payload_documental</t>
        </is>
      </c>
      <c r="AW44" s="74" t="inlineStr">
        <is>
          <t>N/D</t>
        </is>
      </c>
      <c r="AX44" s="74" t="inlineStr">
        <is>
          <t>não encontrado</t>
        </is>
      </c>
      <c r="AY44" s="74" t="inlineStr">
        <is>
          <t>N/D</t>
        </is>
      </c>
      <c r="AZ44" s="74" t="inlineStr">
        <is>
          <t>N/D</t>
        </is>
      </c>
      <c r="BA44" s="74" t="inlineStr">
        <is>
          <t>N/D</t>
        </is>
      </c>
      <c r="BB44" s="74" t="inlineStr">
        <is>
          <t>N/D</t>
        </is>
      </c>
      <c r="BC44" s="74" t="inlineStr">
        <is>
          <t>N/D</t>
        </is>
      </c>
      <c r="BD44" s="74" t="inlineStr">
        <is>
          <t>N/D</t>
        </is>
      </c>
      <c r="BE44" s="74" t="inlineStr">
        <is>
          <t>junior_pl</t>
        </is>
      </c>
      <c r="BF44" s="74" t="inlineStr">
        <is>
          <t>aceito_payload</t>
        </is>
      </c>
      <c r="BG44" s="74" t="inlineStr">
        <is>
          <t>junior_pl</t>
        </is>
      </c>
      <c r="BH44" s="74" t="inlineStr">
        <is>
          <t>1155755</t>
        </is>
      </c>
      <c r="BI44" s="74" t="inlineStr">
        <is>
          <t>2026-03-18</t>
        </is>
      </c>
      <c r="BJ44" s="74" t="inlineStr">
        <is>
          <t>18</t>
        </is>
      </c>
      <c r="BK44" s="74" t="inlineStr">
        <is>
          <t>https://fnet.bmfbovespa.com.br/fnet/publico/downloadDocumento?id=1155755</t>
        </is>
      </c>
      <c r="BL44" s="74" t="inlineStr">
        <is>
          <t>payload_documental</t>
        </is>
      </c>
    </row>
    <row r="45" ht="42" customHeight="1">
      <c r="A45" s="145" t="n">
        <v>41</v>
      </c>
      <c r="B45" s="142" t="n">
        <v>29226654000110</v>
      </c>
      <c r="C45" s="75" t="inlineStr">
        <is>
          <t>29.226.654/0001-10</t>
        </is>
      </c>
      <c r="D45" s="75" t="inlineStr">
        <is>
          <t>INVESTCRED FUNDO DE INVESTIMENTO EM DIREITOS CREDITÓRIOS</t>
        </is>
      </c>
      <c r="E45" s="75" t="inlineStr">
        <is>
          <t>concluído</t>
        </is>
      </c>
      <c r="F45" s="145" t="n">
        <v>8</v>
      </c>
      <c r="G45" s="75" t="inlineStr">
        <is>
          <t>consultado</t>
        </is>
      </c>
      <c r="H45" s="75" t="inlineStr">
        <is>
          <t>N/D</t>
        </is>
      </c>
      <c r="I45" s="75" t="inlineStr">
        <is>
          <t>N/D</t>
        </is>
      </c>
      <c r="J45" s="75" t="inlineStr">
        <is>
          <t>não encontrado</t>
        </is>
      </c>
      <c r="K45" s="75" t="inlineStr">
        <is>
          <t>N/D</t>
        </is>
      </c>
      <c r="L45" s="75" t="inlineStr">
        <is>
          <t>N/D</t>
        </is>
      </c>
      <c r="M45" s="75" t="inlineStr">
        <is>
          <t>N/D</t>
        </is>
      </c>
      <c r="N45" s="75" t="inlineStr">
        <is>
          <t>N/D</t>
        </is>
      </c>
      <c r="O45" s="75" t="inlineStr">
        <is>
          <t>N/D</t>
        </is>
      </c>
      <c r="P45" s="75" t="inlineStr">
        <is>
          <t>N/D</t>
        </is>
      </c>
      <c r="Q45" s="75" t="inlineStr">
        <is>
          <t>CredSystem</t>
        </is>
      </c>
      <c r="R45" s="75" t="inlineStr">
        <is>
          <t>aceito_payload</t>
        </is>
      </c>
      <c r="S45" s="75" t="inlineStr">
        <is>
          <t>N/D</t>
        </is>
      </c>
      <c r="T45" s="75" t="inlineStr">
        <is>
          <t>IMG_8705.JPG</t>
        </is>
      </c>
      <c r="U45" s="75" t="inlineStr">
        <is>
          <t>2025-10-28</t>
        </is>
      </c>
      <c r="V45" s="75" t="inlineStr">
        <is>
          <t>3–4; 9–10</t>
        </is>
      </c>
      <c r="W45" s="75" t="inlineStr">
        <is>
          <t>N/D</t>
        </is>
      </c>
      <c r="X45" s="75" t="inlineStr">
        <is>
          <t>planilha_manual</t>
        </is>
      </c>
      <c r="Y45" s="75" t="inlineStr">
        <is>
          <t>N/D</t>
        </is>
      </c>
      <c r="Z45" s="75" t="inlineStr">
        <is>
          <t>não encontrado</t>
        </is>
      </c>
      <c r="AA45" s="75" t="inlineStr">
        <is>
          <t>N/D</t>
        </is>
      </c>
      <c r="AB45" s="75" t="inlineStr">
        <is>
          <t>N/D</t>
        </is>
      </c>
      <c r="AC45" s="75" t="inlineStr">
        <is>
          <t>N/D</t>
        </is>
      </c>
      <c r="AD45" s="75" t="inlineStr">
        <is>
          <t>N/D</t>
        </is>
      </c>
      <c r="AE45" s="75" t="inlineStr">
        <is>
          <t>N/D</t>
        </is>
      </c>
      <c r="AF45" s="75" t="inlineStr">
        <is>
          <t>N/D</t>
        </is>
      </c>
      <c r="AG45" s="75" t="inlineStr">
        <is>
          <t>Cartão de Crédito - ecossistema Credsystem</t>
        </is>
      </c>
      <c r="AH45" s="75" t="inlineStr">
        <is>
          <t>aceito_payload</t>
        </is>
      </c>
      <c r="AI45" s="75" t="inlineStr">
        <is>
          <t>N/D</t>
        </is>
      </c>
      <c r="AJ45" s="75" t="inlineStr">
        <is>
          <t>IMG_8705.JPG</t>
        </is>
      </c>
      <c r="AK45" s="75" t="inlineStr">
        <is>
          <t>2025-10-28</t>
        </is>
      </c>
      <c r="AL45" s="75" t="inlineStr">
        <is>
          <t>3–4; 9–10</t>
        </is>
      </c>
      <c r="AM45" s="75" t="inlineStr">
        <is>
          <t>N/D</t>
        </is>
      </c>
      <c r="AN45" s="75" t="inlineStr">
        <is>
          <t>planilha_manual</t>
        </is>
      </c>
      <c r="AO45" s="75" t="inlineStr">
        <is>
          <t>67.4267%</t>
        </is>
      </c>
      <c r="AP45" s="75" t="inlineStr">
        <is>
          <t>aceito_payload</t>
        </is>
      </c>
      <c r="AQ45" s="75" t="inlineStr">
        <is>
          <t>junior_pl_calculado</t>
        </is>
      </c>
      <c r="AR45" s="75" t="inlineStr">
        <is>
          <t>1023848</t>
        </is>
      </c>
      <c r="AS45" s="75" t="inlineStr">
        <is>
          <t>2025-10-28</t>
        </is>
      </c>
      <c r="AT45" s="75" t="inlineStr">
        <is>
          <t>3–4; 9–10</t>
        </is>
      </c>
      <c r="AU45" s="75" t="inlineStr">
        <is>
          <t>https://fnet.bmfbovespa.com.br/fnet/publico/downloadDocumento?id=1023848</t>
        </is>
      </c>
      <c r="AV45" s="75" t="inlineStr">
        <is>
          <t>payload_documental</t>
        </is>
      </c>
      <c r="AW45" s="75" t="inlineStr">
        <is>
          <t>67.4267%</t>
        </is>
      </c>
      <c r="AX45" s="75" t="inlineStr">
        <is>
          <t>aceito_payload</t>
        </is>
      </c>
      <c r="AY45" s="75" t="inlineStr">
        <is>
          <t>suporte_total_pl</t>
        </is>
      </c>
      <c r="AZ45" s="75" t="inlineStr">
        <is>
          <t>1023848</t>
        </is>
      </c>
      <c r="BA45" s="75" t="inlineStr">
        <is>
          <t>2025-10-28</t>
        </is>
      </c>
      <c r="BB45" s="75" t="inlineStr">
        <is>
          <t>3–4; 9–10</t>
        </is>
      </c>
      <c r="BC45" s="75" t="inlineStr">
        <is>
          <t>https://fnet.bmfbovespa.com.br/fnet/publico/downloadDocumento?id=1023848</t>
        </is>
      </c>
      <c r="BD45" s="75" t="inlineStr">
        <is>
          <t>payload_documental</t>
        </is>
      </c>
      <c r="BE45" s="75" t="inlineStr">
        <is>
          <t>junior_pl_calculado</t>
        </is>
      </c>
      <c r="BF45" s="75" t="inlineStr">
        <is>
          <t>aceito_payload</t>
        </is>
      </c>
      <c r="BG45" s="75" t="inlineStr">
        <is>
          <t>junior_pl_calculado</t>
        </is>
      </c>
      <c r="BH45" s="75" t="inlineStr">
        <is>
          <t>1023848</t>
        </is>
      </c>
      <c r="BI45" s="75" t="inlineStr">
        <is>
          <t>2025-10-28</t>
        </is>
      </c>
      <c r="BJ45" s="75" t="inlineStr">
        <is>
          <t>3–4; 9–10</t>
        </is>
      </c>
      <c r="BK45" s="75" t="inlineStr">
        <is>
          <t>https://fnet.bmfbovespa.com.br/fnet/publico/downloadDocumento?id=1023848</t>
        </is>
      </c>
      <c r="BL45" s="75" t="inlineStr">
        <is>
          <t>payload_documental</t>
        </is>
      </c>
    </row>
    <row r="46" ht="42" customHeight="1">
      <c r="A46" s="141" t="n">
        <v>42</v>
      </c>
      <c r="B46" s="138" t="n">
        <v>54857414000160</v>
      </c>
      <c r="C46" s="74" t="inlineStr">
        <is>
          <t>54.857.414/0001-60</t>
        </is>
      </c>
      <c r="D46" s="74" t="inlineStr">
        <is>
          <t>INDIE MERX RAIZ I CRÉDITO AGRO FIDC DO AGRONEGÓCIO - RESPONSABILIDADE LIMITADA</t>
        </is>
      </c>
      <c r="E46" s="74" t="inlineStr">
        <is>
          <t>concluído</t>
        </is>
      </c>
      <c r="F46" s="141" t="n">
        <v>6</v>
      </c>
      <c r="G46" s="74" t="inlineStr">
        <is>
          <t>consultado</t>
        </is>
      </c>
      <c r="H46" s="74" t="inlineStr">
        <is>
          <t>N/D</t>
        </is>
      </c>
      <c r="I46" s="74" t="inlineStr">
        <is>
          <t>N/D</t>
        </is>
      </c>
      <c r="J46" s="74" t="inlineStr">
        <is>
          <t>não encontrado</t>
        </is>
      </c>
      <c r="K46" s="74" t="inlineStr">
        <is>
          <t>N/D</t>
        </is>
      </c>
      <c r="L46" s="74" t="inlineStr">
        <is>
          <t>N/D</t>
        </is>
      </c>
      <c r="M46" s="74" t="inlineStr">
        <is>
          <t>N/D</t>
        </is>
      </c>
      <c r="N46" s="74" t="inlineStr">
        <is>
          <t>N/D</t>
        </is>
      </c>
      <c r="O46" s="74" t="inlineStr">
        <is>
          <t>N/D</t>
        </is>
      </c>
      <c r="P46" s="74" t="inlineStr">
        <is>
          <t>N/D</t>
        </is>
      </c>
      <c r="Q46" s="74" t="inlineStr">
        <is>
          <t>Emissão direta de produtor rural</t>
        </is>
      </c>
      <c r="R46" s="74" t="inlineStr">
        <is>
          <t>aceito_payload</t>
        </is>
      </c>
      <c r="S46" s="74" t="inlineStr">
        <is>
          <t>N/D</t>
        </is>
      </c>
      <c r="T46" s="74" t="inlineStr">
        <is>
          <t>IMG_8705.JPG</t>
        </is>
      </c>
      <c r="U46" s="74" t="inlineStr">
        <is>
          <t>2026-06-01</t>
        </is>
      </c>
      <c r="V46" s="74" t="inlineStr">
        <is>
          <t>74</t>
        </is>
      </c>
      <c r="W46" s="74" t="inlineStr">
        <is>
          <t>N/D</t>
        </is>
      </c>
      <c r="X46" s="74" t="inlineStr">
        <is>
          <t>planilha_manual</t>
        </is>
      </c>
      <c r="Y46" s="74" t="inlineStr">
        <is>
          <t>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t>
        </is>
      </c>
      <c r="Z46" s="74" t="inlineStr">
        <is>
          <t>encontrado_explicito</t>
        </is>
      </c>
      <c r="AA46" s="74" t="inlineStr">
        <is>
          <t>N/D</t>
        </is>
      </c>
      <c r="AB46" s="74" t="inlineStr">
        <is>
          <t>975459</t>
        </is>
      </c>
      <c r="AC46" s="74" t="inlineStr">
        <is>
          <t>20/08/2025</t>
        </is>
      </c>
      <c r="AD46" s="74" t="inlineStr">
        <is>
          <t>66</t>
        </is>
      </c>
      <c r="AE46" s="74" t="inlineStr">
        <is>
          <t>https://fnet.bmfbovespa.com.br/fnet/publico/downloadDocumento?id=975459</t>
        </is>
      </c>
      <c r="AF46" s="74" t="inlineStr">
        <is>
          <t>regulamento</t>
        </is>
      </c>
      <c r="AG46" s="74" t="inlineStr">
        <is>
          <t>risco produtor rural com passagem SIPAL e Fazendão</t>
        </is>
      </c>
      <c r="AH46" s="74" t="inlineStr">
        <is>
          <t>aceito_payload</t>
        </is>
      </c>
      <c r="AI46" s="74" t="inlineStr">
        <is>
          <t>N/D</t>
        </is>
      </c>
      <c r="AJ46" s="74" t="inlineStr">
        <is>
          <t>IMG_8705.JPG</t>
        </is>
      </c>
      <c r="AK46" s="74" t="inlineStr">
        <is>
          <t>2026-06-01</t>
        </is>
      </c>
      <c r="AL46" s="74" t="inlineStr">
        <is>
          <t>74</t>
        </is>
      </c>
      <c r="AM46" s="74" t="inlineStr">
        <is>
          <t>N/D</t>
        </is>
      </c>
      <c r="AN46" s="74" t="inlineStr">
        <is>
          <t>planilha_manual</t>
        </is>
      </c>
      <c r="AO46" s="74" t="inlineStr">
        <is>
          <t>15%</t>
        </is>
      </c>
      <c r="AP46" s="74" t="inlineStr">
        <is>
          <t>aceito_payload</t>
        </is>
      </c>
      <c r="AQ46" s="74" t="inlineStr">
        <is>
          <t>junior_pl</t>
        </is>
      </c>
      <c r="AR46" s="74" t="inlineStr">
        <is>
          <t>1263627</t>
        </is>
      </c>
      <c r="AS46" s="74" t="inlineStr">
        <is>
          <t>2026-06-01</t>
        </is>
      </c>
      <c r="AT46" s="74" t="inlineStr">
        <is>
          <t>74</t>
        </is>
      </c>
      <c r="AU46" s="74" t="inlineStr">
        <is>
          <t>https://fnet.bmfbovespa.com.br/fnet/publico/downloadDocumento?id=1263627</t>
        </is>
      </c>
      <c r="AV46" s="74" t="inlineStr">
        <is>
          <t>payload_documental</t>
        </is>
      </c>
      <c r="AW46" s="74" t="inlineStr">
        <is>
          <t>N/D</t>
        </is>
      </c>
      <c r="AX46" s="74" t="inlineStr">
        <is>
          <t>não encontrado</t>
        </is>
      </c>
      <c r="AY46" s="74" t="inlineStr">
        <is>
          <t>N/D</t>
        </is>
      </c>
      <c r="AZ46" s="74" t="inlineStr">
        <is>
          <t>N/D</t>
        </is>
      </c>
      <c r="BA46" s="74" t="inlineStr">
        <is>
          <t>N/D</t>
        </is>
      </c>
      <c r="BB46" s="74" t="inlineStr">
        <is>
          <t>N/D</t>
        </is>
      </c>
      <c r="BC46" s="74" t="inlineStr">
        <is>
          <t>N/D</t>
        </is>
      </c>
      <c r="BD46" s="74" t="inlineStr">
        <is>
          <t>N/D</t>
        </is>
      </c>
      <c r="BE46" s="74" t="inlineStr">
        <is>
          <t>junior_pl</t>
        </is>
      </c>
      <c r="BF46" s="74" t="inlineStr">
        <is>
          <t>aceito_payload</t>
        </is>
      </c>
      <c r="BG46" s="74" t="inlineStr">
        <is>
          <t>junior_pl</t>
        </is>
      </c>
      <c r="BH46" s="74" t="inlineStr">
        <is>
          <t>1263627</t>
        </is>
      </c>
      <c r="BI46" s="74" t="inlineStr">
        <is>
          <t>2026-06-01</t>
        </is>
      </c>
      <c r="BJ46" s="74" t="inlineStr">
        <is>
          <t>74</t>
        </is>
      </c>
      <c r="BK46" s="74" t="inlineStr">
        <is>
          <t>https://fnet.bmfbovespa.com.br/fnet/publico/downloadDocumento?id=1263627</t>
        </is>
      </c>
      <c r="BL46" s="74" t="inlineStr">
        <is>
          <t>payload_documental</t>
        </is>
      </c>
    </row>
    <row r="47" ht="42" customHeight="1">
      <c r="A47" s="145" t="n">
        <v>43</v>
      </c>
      <c r="B47" s="142" t="n">
        <v>44124465000120</v>
      </c>
      <c r="C47" s="75" t="inlineStr">
        <is>
          <t>44.124.465/0001-20</t>
        </is>
      </c>
      <c r="D47" s="75" t="inlineStr">
        <is>
          <t>TMAQ 21 FUNDO DE INVESTIMENTO EM DIREITOS CREDITÓRIOS DE ARRANJOS DE PAGAMENTO DE RESPONSABILIDADE L</t>
        </is>
      </c>
      <c r="E47" s="75" t="inlineStr">
        <is>
          <t>concluído</t>
        </is>
      </c>
      <c r="F47" s="145" t="n">
        <v>6</v>
      </c>
      <c r="G47" s="75" t="inlineStr">
        <is>
          <t>consultado</t>
        </is>
      </c>
      <c r="H47" s="75" t="inlineStr">
        <is>
          <t>N/D</t>
        </is>
      </c>
      <c r="I47" s="75" t="inlineStr">
        <is>
          <t>ACQIO</t>
        </is>
      </c>
      <c r="J47" s="75" t="inlineStr">
        <is>
          <t>encontrado_explicito</t>
        </is>
      </c>
      <c r="K47" s="75" t="inlineStr">
        <is>
          <t>rótulo explícito de participante v2</t>
        </is>
      </c>
      <c r="L47" s="75" t="inlineStr">
        <is>
          <t>1048506</t>
        </is>
      </c>
      <c r="M47" s="75" t="inlineStr">
        <is>
          <t>30/09/2025</t>
        </is>
      </c>
      <c r="N47" s="75" t="inlineStr">
        <is>
          <t>2</t>
        </is>
      </c>
      <c r="O47" s="75" t="inlineStr">
        <is>
          <t>https://fnet.bmfbovespa.com.br/fnet/publico/downloadDocumento?id=1048506</t>
        </is>
      </c>
      <c r="P47" s="75" t="inlineStr">
        <is>
          <t>rating_report</t>
        </is>
      </c>
      <c r="Q47" s="75" t="inlineStr">
        <is>
          <t>ACQIO</t>
        </is>
      </c>
      <c r="R47" s="75" t="inlineStr">
        <is>
          <t>encontrado_explicito</t>
        </is>
      </c>
      <c r="S47" s="75" t="inlineStr">
        <is>
          <t>rótulo explícito de participante v2</t>
        </is>
      </c>
      <c r="T47" s="75" t="inlineStr">
        <is>
          <t>1048506</t>
        </is>
      </c>
      <c r="U47" s="75" t="inlineStr">
        <is>
          <t>30/09/2025</t>
        </is>
      </c>
      <c r="V47" s="75" t="inlineStr">
        <is>
          <t>2</t>
        </is>
      </c>
      <c r="W47" s="75" t="inlineStr">
        <is>
          <t>https://fnet.bmfbovespa.com.br/fnet/publico/downloadDocumento?id=1048506</t>
        </is>
      </c>
      <c r="X47" s="75" t="inlineStr">
        <is>
          <t>rating_report</t>
        </is>
      </c>
      <c r="Y47" s="75" t="inlineStr">
        <is>
          <t>os Devedores I -A, os Devedores I -B e os Devedores II quando mencionados em conjunto e indistintamente</t>
        </is>
      </c>
      <c r="Z47" s="75" t="inlineStr">
        <is>
          <t>encontrado_explicito</t>
        </is>
      </c>
      <c r="AA47" s="75" t="inlineStr">
        <is>
          <t>N/D</t>
        </is>
      </c>
      <c r="AB47" s="75" t="inlineStr">
        <is>
          <t>737326</t>
        </is>
      </c>
      <c r="AC47" s="75" t="inlineStr">
        <is>
          <t>09/09/2024</t>
        </is>
      </c>
      <c r="AD47" s="75" t="inlineStr">
        <is>
          <t>83</t>
        </is>
      </c>
      <c r="AE47" s="75" t="inlineStr">
        <is>
          <t>https://fnet.bmfbovespa.com.br/fnet/publico/downloadDocumento?id=737326</t>
        </is>
      </c>
      <c r="AF47" s="75" t="inlineStr">
        <is>
          <t>regulamento</t>
        </is>
      </c>
      <c r="AG47" s="75" t="inlineStr">
        <is>
          <t>Risco Bancos Emissores Diversos</t>
        </is>
      </c>
      <c r="AH47" s="75" t="inlineStr">
        <is>
          <t>aceito_payload</t>
        </is>
      </c>
      <c r="AI47" s="75" t="inlineStr">
        <is>
          <t>N/D</t>
        </is>
      </c>
      <c r="AJ47" s="75" t="inlineStr">
        <is>
          <t>IMG_8705.JPG</t>
        </is>
      </c>
      <c r="AK47" s="75" t="inlineStr">
        <is>
          <t>2025-07-08</t>
        </is>
      </c>
      <c r="AL47" s="75" t="inlineStr">
        <is>
          <t>85</t>
        </is>
      </c>
      <c r="AM47" s="75" t="inlineStr">
        <is>
          <t>N/D</t>
        </is>
      </c>
      <c r="AN47" s="75" t="inlineStr">
        <is>
          <t>planilha_manual</t>
        </is>
      </c>
      <c r="AO47" s="75" t="inlineStr">
        <is>
          <t>3%</t>
        </is>
      </c>
      <c r="AP47" s="75" t="inlineStr">
        <is>
          <t>aceito_payload</t>
        </is>
      </c>
      <c r="AQ47" s="75" t="inlineStr">
        <is>
          <t>junior_pl</t>
        </is>
      </c>
      <c r="AR47" s="75" t="inlineStr">
        <is>
          <t>951239</t>
        </is>
      </c>
      <c r="AS47" s="75" t="inlineStr">
        <is>
          <t>2025-07-08</t>
        </is>
      </c>
      <c r="AT47" s="75" t="inlineStr">
        <is>
          <t>85</t>
        </is>
      </c>
      <c r="AU47" s="75" t="inlineStr">
        <is>
          <t>https://fnet.bmfbovespa.com.br/fnet/publico/downloadDocumento?id=951239</t>
        </is>
      </c>
      <c r="AV47" s="75" t="inlineStr">
        <is>
          <t>payload_documental</t>
        </is>
      </c>
      <c r="AW47" s="75" t="inlineStr">
        <is>
          <t>22.15%</t>
        </is>
      </c>
      <c r="AX47" s="75" t="inlineStr">
        <is>
          <t>encontrado_explicito</t>
        </is>
      </c>
      <c r="AY47" s="75" t="inlineStr">
        <is>
          <t>suporte_total_pl</t>
        </is>
      </c>
      <c r="AZ47" s="75" t="inlineStr">
        <is>
          <t>1048506</t>
        </is>
      </c>
      <c r="BA47" s="75" t="inlineStr">
        <is>
          <t>30/09/2025</t>
        </is>
      </c>
      <c r="BB47" s="75" t="inlineStr">
        <is>
          <t>1</t>
        </is>
      </c>
      <c r="BC47" s="75" t="inlineStr">
        <is>
          <t>https://fnet.bmfbovespa.com.br/fnet/publico/downloadDocumento?id=1048506</t>
        </is>
      </c>
      <c r="BD47" s="75" t="inlineStr">
        <is>
          <t>rating_report</t>
        </is>
      </c>
      <c r="BE47" s="75" t="inlineStr">
        <is>
          <t>junior_pl</t>
        </is>
      </c>
      <c r="BF47" s="75" t="inlineStr">
        <is>
          <t>aceito_payload</t>
        </is>
      </c>
      <c r="BG47" s="75" t="inlineStr">
        <is>
          <t>junior_pl</t>
        </is>
      </c>
      <c r="BH47" s="75" t="inlineStr">
        <is>
          <t>951239</t>
        </is>
      </c>
      <c r="BI47" s="75" t="inlineStr">
        <is>
          <t>2025-07-08</t>
        </is>
      </c>
      <c r="BJ47" s="75" t="inlineStr">
        <is>
          <t>85</t>
        </is>
      </c>
      <c r="BK47" s="75" t="inlineStr">
        <is>
          <t>https://fnet.bmfbovespa.com.br/fnet/publico/downloadDocumento?id=951239</t>
        </is>
      </c>
      <c r="BL47" s="75" t="inlineStr">
        <is>
          <t>payload_documental</t>
        </is>
      </c>
    </row>
    <row r="48" ht="42" customHeight="1">
      <c r="A48" s="141" t="n">
        <v>44</v>
      </c>
      <c r="B48" s="138" t="n">
        <v>55401645000128</v>
      </c>
      <c r="C48" s="74" t="inlineStr">
        <is>
          <t>55.401.645/0001-28</t>
        </is>
      </c>
      <c r="D48" s="74" t="inlineStr">
        <is>
          <t>QUATÁ FDC FGTS FUNDO DE INVESTIMENTO EM DIREITOS CREDITÓRIOS</t>
        </is>
      </c>
      <c r="E48" s="74" t="inlineStr">
        <is>
          <t>concluído</t>
        </is>
      </c>
      <c r="F48" s="141" t="n">
        <v>8</v>
      </c>
      <c r="G48" s="74" t="inlineStr">
        <is>
          <t>consultado</t>
        </is>
      </c>
      <c r="H48" s="74" t="inlineStr">
        <is>
          <t>N/D</t>
        </is>
      </c>
      <c r="I48" s="74" t="inlineStr">
        <is>
          <t>a FINTECH DO CORBAN LTDA., sociedade limitada com sede na cidade de Cássia, estado de Minas Gerais, na Rua Comendador Antenor Machado, nº 295, sala virtual 2, Centro, CEP 37980-000, inscrita no CNPJ sob o nº 48.672.821/0001-09 ou outro parceiro do Endossante Instituição Financeria que acesse uma plataforma eletrônica e Interfaces de Programação de Aplicação (“APIs”) do Endossante Instituição Financeria que permite a criação de estruturas para a concessão de crédito por meio do Endossante Institu</t>
        </is>
      </c>
      <c r="J48" s="74" t="inlineStr">
        <is>
          <t>encontrado_explicito</t>
        </is>
      </c>
      <c r="K48" s="74" t="inlineStr">
        <is>
          <t>N/D</t>
        </is>
      </c>
      <c r="L48" s="74" t="inlineStr">
        <is>
          <t>1051890</t>
        </is>
      </c>
      <c r="M48" s="74" t="inlineStr">
        <is>
          <t>2025-12-01</t>
        </is>
      </c>
      <c r="N48" s="74" t="inlineStr">
        <is>
          <t>N/D</t>
        </is>
      </c>
      <c r="O48" s="74" t="inlineStr">
        <is>
          <t>https://fnet.bmfbovespa.com.br/fnet/publico/downloadDocumento?id=1051890</t>
        </is>
      </c>
      <c r="P48" s="74" t="inlineStr">
        <is>
          <t>regulamento</t>
        </is>
      </c>
      <c r="Q48" s="74" t="inlineStr">
        <is>
          <t>QI Tech</t>
        </is>
      </c>
      <c r="R48" s="74" t="inlineStr">
        <is>
          <t>aceito_payload</t>
        </is>
      </c>
      <c r="S48" s="74" t="inlineStr">
        <is>
          <t>N/D</t>
        </is>
      </c>
      <c r="T48" s="74" t="inlineStr">
        <is>
          <t>IMG_8705.JPG</t>
        </is>
      </c>
      <c r="U48" s="74" t="inlineStr">
        <is>
          <t>2025-12-01</t>
        </is>
      </c>
      <c r="V48" s="74" t="inlineStr">
        <is>
          <t>17</t>
        </is>
      </c>
      <c r="W48" s="74" t="inlineStr">
        <is>
          <t>N/D</t>
        </is>
      </c>
      <c r="X48" s="74" t="inlineStr">
        <is>
          <t>planilha_manual</t>
        </is>
      </c>
      <c r="Y48" s="74" t="inlineStr">
        <is>
          <t>N/D</t>
        </is>
      </c>
      <c r="Z48" s="74" t="inlineStr">
        <is>
          <t>não encontrado</t>
        </is>
      </c>
      <c r="AA48" s="74" t="inlineStr">
        <is>
          <t>N/D</t>
        </is>
      </c>
      <c r="AB48" s="74" t="inlineStr">
        <is>
          <t>N/D</t>
        </is>
      </c>
      <c r="AC48" s="74" t="inlineStr">
        <is>
          <t>N/D</t>
        </is>
      </c>
      <c r="AD48" s="74" t="inlineStr">
        <is>
          <t>N/D</t>
        </is>
      </c>
      <c r="AE48" s="74" t="inlineStr">
        <is>
          <t>N/D</t>
        </is>
      </c>
      <c r="AF48" s="74" t="inlineStr">
        <is>
          <t>N/D</t>
        </is>
      </c>
      <c r="AG48" s="74" t="inlineStr">
        <is>
          <t>Crédito FGTS</t>
        </is>
      </c>
      <c r="AH48" s="74" t="inlineStr">
        <is>
          <t>aceito_payload</t>
        </is>
      </c>
      <c r="AI48" s="74" t="inlineStr">
        <is>
          <t>N/D</t>
        </is>
      </c>
      <c r="AJ48" s="74" t="inlineStr">
        <is>
          <t>IMG_8705.JPG</t>
        </is>
      </c>
      <c r="AK48" s="74" t="inlineStr">
        <is>
          <t>2025-12-01</t>
        </is>
      </c>
      <c r="AL48" s="74" t="inlineStr">
        <is>
          <t>17</t>
        </is>
      </c>
      <c r="AM48" s="74" t="inlineStr">
        <is>
          <t>N/D</t>
        </is>
      </c>
      <c r="AN48" s="74" t="inlineStr">
        <is>
          <t>planilha_manual</t>
        </is>
      </c>
      <c r="AO48" s="74" t="inlineStr">
        <is>
          <t>3%</t>
        </is>
      </c>
      <c r="AP48" s="74" t="inlineStr">
        <is>
          <t>aceito_payload</t>
        </is>
      </c>
      <c r="AQ48" s="74" t="inlineStr">
        <is>
          <t>junior_pl</t>
        </is>
      </c>
      <c r="AR48" s="74" t="inlineStr">
        <is>
          <t>1051890</t>
        </is>
      </c>
      <c r="AS48" s="74" t="inlineStr">
        <is>
          <t>2025-12-01</t>
        </is>
      </c>
      <c r="AT48" s="74" t="inlineStr">
        <is>
          <t>17</t>
        </is>
      </c>
      <c r="AU48" s="74" t="inlineStr">
        <is>
          <t>https://fnet.bmfbovespa.com.br/fnet/publico/downloadDocumento?id=1051890</t>
        </is>
      </c>
      <c r="AV48" s="74" t="inlineStr">
        <is>
          <t>payload_documental</t>
        </is>
      </c>
      <c r="AW48" s="74" t="inlineStr">
        <is>
          <t>15%</t>
        </is>
      </c>
      <c r="AX48" s="74" t="inlineStr">
        <is>
          <t>encontrado_explicito</t>
        </is>
      </c>
      <c r="AY48" s="74" t="inlineStr">
        <is>
          <t>suporte_total_pl</t>
        </is>
      </c>
      <c r="AZ48" s="74" t="inlineStr">
        <is>
          <t>823271</t>
        </is>
      </c>
      <c r="BA48" s="74" t="inlineStr">
        <is>
          <t>2025-01-20</t>
        </is>
      </c>
      <c r="BB48" s="74" t="inlineStr">
        <is>
          <t>2</t>
        </is>
      </c>
      <c r="BC48" s="74" t="inlineStr">
        <is>
          <t>https://fnet.bmfbovespa.com.br/fnet/publico/downloadDocumento?id=823271</t>
        </is>
      </c>
      <c r="BD48" s="74" t="inlineStr">
        <is>
          <t>assembleia</t>
        </is>
      </c>
      <c r="BE48" s="74" t="inlineStr">
        <is>
          <t>junior_pl</t>
        </is>
      </c>
      <c r="BF48" s="74" t="inlineStr">
        <is>
          <t>aceito_payload</t>
        </is>
      </c>
      <c r="BG48" s="74" t="inlineStr">
        <is>
          <t>junior_pl</t>
        </is>
      </c>
      <c r="BH48" s="74" t="inlineStr">
        <is>
          <t>1051890</t>
        </is>
      </c>
      <c r="BI48" s="74" t="inlineStr">
        <is>
          <t>2025-12-01</t>
        </is>
      </c>
      <c r="BJ48" s="74" t="inlineStr">
        <is>
          <t>17</t>
        </is>
      </c>
      <c r="BK48" s="74" t="inlineStr">
        <is>
          <t>https://fnet.bmfbovespa.com.br/fnet/publico/downloadDocumento?id=1051890</t>
        </is>
      </c>
      <c r="BL48" s="74" t="inlineStr">
        <is>
          <t>payload_documental</t>
        </is>
      </c>
    </row>
    <row r="49" ht="42" customHeight="1">
      <c r="A49" s="145" t="n">
        <v>45</v>
      </c>
      <c r="B49" s="142" t="n">
        <v>63622842000103</v>
      </c>
      <c r="C49" s="75" t="inlineStr">
        <is>
          <t>63.622.842/0001-03</t>
        </is>
      </c>
      <c r="D49" s="75" t="inlineStr">
        <is>
          <t>DESBRAVA UNO ARTIGOS ESPORTIVOS FUNDO DE INVESTIMENTO EM DIREITOS CREDITÓRIOS RESP LIMITADA</t>
        </is>
      </c>
      <c r="E49" s="75" t="inlineStr">
        <is>
          <t>concluído</t>
        </is>
      </c>
      <c r="F49" s="145" t="n">
        <v>7</v>
      </c>
      <c r="G49" s="75" t="inlineStr">
        <is>
          <t>consultado</t>
        </is>
      </c>
      <c r="H49" s="75" t="inlineStr">
        <is>
          <t>N/D</t>
        </is>
      </c>
      <c r="I49" s="75" t="inlineStr">
        <is>
          <t>N/D</t>
        </is>
      </c>
      <c r="J49" s="75" t="inlineStr">
        <is>
          <t>não encontrado</t>
        </is>
      </c>
      <c r="K49" s="75" t="inlineStr">
        <is>
          <t>N/D</t>
        </is>
      </c>
      <c r="L49" s="75" t="inlineStr">
        <is>
          <t>N/D</t>
        </is>
      </c>
      <c r="M49" s="75" t="inlineStr">
        <is>
          <t>N/D</t>
        </is>
      </c>
      <c r="N49" s="75" t="inlineStr">
        <is>
          <t>N/D</t>
        </is>
      </c>
      <c r="O49" s="75" t="inlineStr">
        <is>
          <t>N/D</t>
        </is>
      </c>
      <c r="P49" s="75" t="inlineStr">
        <is>
          <t>N/D</t>
        </is>
      </c>
      <c r="Q49" s="75" t="inlineStr">
        <is>
          <t>Empresas grupo Dass</t>
        </is>
      </c>
      <c r="R49" s="75" t="inlineStr">
        <is>
          <t>aceito_payload</t>
        </is>
      </c>
      <c r="S49" s="75" t="inlineStr">
        <is>
          <t>N/D</t>
        </is>
      </c>
      <c r="T49" s="75" t="inlineStr">
        <is>
          <t>IMG_8705.JPG</t>
        </is>
      </c>
      <c r="U49" s="75" t="inlineStr">
        <is>
          <t>2025-12-01</t>
        </is>
      </c>
      <c r="V49" s="75" t="inlineStr">
        <is>
          <t>69</t>
        </is>
      </c>
      <c r="W49" s="75" t="inlineStr">
        <is>
          <t>N/D</t>
        </is>
      </c>
      <c r="X49" s="75" t="inlineStr">
        <is>
          <t>planilha_manual</t>
        </is>
      </c>
      <c r="Y49" s="75" t="inlineStr">
        <is>
          <t>N/D</t>
        </is>
      </c>
      <c r="Z49" s="75" t="inlineStr">
        <is>
          <t>não encontrado</t>
        </is>
      </c>
      <c r="AA49" s="75" t="inlineStr">
        <is>
          <t>N/D</t>
        </is>
      </c>
      <c r="AB49" s="75" t="inlineStr">
        <is>
          <t>N/D</t>
        </is>
      </c>
      <c r="AC49" s="75" t="inlineStr">
        <is>
          <t>N/D</t>
        </is>
      </c>
      <c r="AD49" s="75" t="inlineStr">
        <is>
          <t>N/D</t>
        </is>
      </c>
      <c r="AE49" s="75" t="inlineStr">
        <is>
          <t>N/D</t>
        </is>
      </c>
      <c r="AF49" s="75" t="inlineStr">
        <is>
          <t>N/D</t>
        </is>
      </c>
      <c r="AG49" s="75" t="inlineStr">
        <is>
          <t>N/D</t>
        </is>
      </c>
      <c r="AH49" s="75" t="inlineStr">
        <is>
          <t>não encontrado</t>
        </is>
      </c>
      <c r="AI49" s="75" t="inlineStr">
        <is>
          <t>N/D</t>
        </is>
      </c>
      <c r="AJ49" s="75" t="inlineStr">
        <is>
          <t>N/D</t>
        </is>
      </c>
      <c r="AK49" s="75" t="inlineStr">
        <is>
          <t>N/D</t>
        </is>
      </c>
      <c r="AL49" s="75" t="inlineStr">
        <is>
          <t>N/D</t>
        </is>
      </c>
      <c r="AM49" s="75" t="inlineStr">
        <is>
          <t>N/D</t>
        </is>
      </c>
      <c r="AN49" s="75" t="inlineStr">
        <is>
          <t>N/D</t>
        </is>
      </c>
      <c r="AO49" s="75" t="inlineStr">
        <is>
          <t>50%</t>
        </is>
      </c>
      <c r="AP49" s="75" t="inlineStr">
        <is>
          <t>aceito_payload</t>
        </is>
      </c>
      <c r="AQ49" s="75" t="inlineStr">
        <is>
          <t>junior_pl</t>
        </is>
      </c>
      <c r="AR49" s="75" t="inlineStr">
        <is>
          <t>1051646</t>
        </is>
      </c>
      <c r="AS49" s="75" t="inlineStr">
        <is>
          <t>2025-12-01</t>
        </is>
      </c>
      <c r="AT49" s="75" t="inlineStr">
        <is>
          <t>69</t>
        </is>
      </c>
      <c r="AU49" s="75" t="inlineStr">
        <is>
          <t>https://fnet.bmfbovespa.com.br/fnet/publico/downloadDocumento?id=1051646</t>
        </is>
      </c>
      <c r="AV49" s="75" t="inlineStr">
        <is>
          <t>payload_documental</t>
        </is>
      </c>
      <c r="AW49" s="75" t="inlineStr">
        <is>
          <t>50%</t>
        </is>
      </c>
      <c r="AX49" s="75" t="inlineStr">
        <is>
          <t>aceito_payload</t>
        </is>
      </c>
      <c r="AY49" s="75" t="inlineStr">
        <is>
          <t>suporte_total_pl</t>
        </is>
      </c>
      <c r="AZ49" s="75" t="inlineStr">
        <is>
          <t>1051646</t>
        </is>
      </c>
      <c r="BA49" s="75" t="inlineStr">
        <is>
          <t>2025-12-01</t>
        </is>
      </c>
      <c r="BB49" s="75" t="inlineStr">
        <is>
          <t>69</t>
        </is>
      </c>
      <c r="BC49" s="75" t="inlineStr">
        <is>
          <t>https://fnet.bmfbovespa.com.br/fnet/publico/downloadDocumento?id=1051646</t>
        </is>
      </c>
      <c r="BD49" s="75" t="inlineStr">
        <is>
          <t>payload_documental</t>
        </is>
      </c>
      <c r="BE49" s="75" t="inlineStr">
        <is>
          <t>junior_pl</t>
        </is>
      </c>
      <c r="BF49" s="75" t="inlineStr">
        <is>
          <t>aceito_payload</t>
        </is>
      </c>
      <c r="BG49" s="75" t="inlineStr">
        <is>
          <t>junior_pl</t>
        </is>
      </c>
      <c r="BH49" s="75" t="inlineStr">
        <is>
          <t>1051646</t>
        </is>
      </c>
      <c r="BI49" s="75" t="inlineStr">
        <is>
          <t>2025-12-01</t>
        </is>
      </c>
      <c r="BJ49" s="75" t="inlineStr">
        <is>
          <t>69</t>
        </is>
      </c>
      <c r="BK49" s="75" t="inlineStr">
        <is>
          <t>https://fnet.bmfbovespa.com.br/fnet/publico/downloadDocumento?id=1051646</t>
        </is>
      </c>
      <c r="BL49" s="75" t="inlineStr">
        <is>
          <t>payload_documental</t>
        </is>
      </c>
    </row>
    <row r="50" ht="42" customHeight="1">
      <c r="A50" s="141" t="n">
        <v>46</v>
      </c>
      <c r="B50" s="138" t="n">
        <v>44272584000120</v>
      </c>
      <c r="C50" s="74" t="inlineStr">
        <is>
          <t>44.272.584/0001-20</t>
        </is>
      </c>
      <c r="D50" s="74" t="inlineStr">
        <is>
          <t>LAVORO AGRO FIAGRO - DIREITOS CREDITÓRIOS - RESPONSABILIDADE LIMITADA</t>
        </is>
      </c>
      <c r="E50" s="74" t="inlineStr">
        <is>
          <t>concluído</t>
        </is>
      </c>
      <c r="F50" s="141" t="n">
        <v>6</v>
      </c>
      <c r="G50" s="74" t="inlineStr">
        <is>
          <t>consultado</t>
        </is>
      </c>
      <c r="H50" s="74" t="inlineStr">
        <is>
          <t>N/D</t>
        </is>
      </c>
      <c r="I50" s="74" t="inlineStr">
        <is>
          <t>N/D</t>
        </is>
      </c>
      <c r="J50" s="74" t="inlineStr">
        <is>
          <t>não encontrado</t>
        </is>
      </c>
      <c r="K50" s="74" t="inlineStr">
        <is>
          <t>N/D</t>
        </is>
      </c>
      <c r="L50" s="74" t="inlineStr">
        <is>
          <t>N/D</t>
        </is>
      </c>
      <c r="M50" s="74" t="inlineStr">
        <is>
          <t>N/D</t>
        </is>
      </c>
      <c r="N50" s="74" t="inlineStr">
        <is>
          <t>N/D</t>
        </is>
      </c>
      <c r="O50" s="74" t="inlineStr">
        <is>
          <t>N/D</t>
        </is>
      </c>
      <c r="P50" s="74" t="inlineStr">
        <is>
          <t>N/D</t>
        </is>
      </c>
      <c r="Q50" s="74" t="inlineStr">
        <is>
          <t>Lavoro Agrocomercial S.A., Agrocontato Comércio e Representações de Produtos Agropecuários S.A., Agrovenci - Comércio, Importação, Exportação e Agropecuário Ltda. e Distribuidora Pitangueiras de Produtos Agropecuários S.A. (em conjunto, Grupo Lavoro)</t>
        </is>
      </c>
      <c r="R50" s="74" t="inlineStr">
        <is>
          <t>encontrado_explicito</t>
        </is>
      </c>
      <c r="S50" s="74" t="inlineStr">
        <is>
          <t>rótulo explícito de participante v2</t>
        </is>
      </c>
      <c r="T50" s="74" t="inlineStr">
        <is>
          <t>798158</t>
        </is>
      </c>
      <c r="U50" s="74" t="inlineStr">
        <is>
          <t>30/09/2024</t>
        </is>
      </c>
      <c r="V50" s="74" t="inlineStr">
        <is>
          <t>1</t>
        </is>
      </c>
      <c r="W50" s="74" t="inlineStr">
        <is>
          <t>https://fnet.bmfbovespa.com.br/fnet/publico/downloadDocumento?id=798158</t>
        </is>
      </c>
      <c r="X50" s="74" t="inlineStr">
        <is>
          <t>rating_report</t>
        </is>
      </c>
      <c r="Y50" s="74" t="inlineStr">
        <is>
          <t>N/D</t>
        </is>
      </c>
      <c r="Z50" s="74" t="inlineStr">
        <is>
          <t>não encontrado</t>
        </is>
      </c>
      <c r="AA50" s="74" t="inlineStr">
        <is>
          <t>N/D</t>
        </is>
      </c>
      <c r="AB50" s="74" t="inlineStr">
        <is>
          <t>N/D</t>
        </is>
      </c>
      <c r="AC50" s="74" t="inlineStr">
        <is>
          <t>N/D</t>
        </is>
      </c>
      <c r="AD50" s="74" t="inlineStr">
        <is>
          <t>N/D</t>
        </is>
      </c>
      <c r="AE50" s="74" t="inlineStr">
        <is>
          <t>N/D</t>
        </is>
      </c>
      <c r="AF50" s="74" t="inlineStr">
        <is>
          <t>N/D</t>
        </is>
      </c>
      <c r="AG50" s="74" t="inlineStr">
        <is>
          <t>N/D</t>
        </is>
      </c>
      <c r="AH50" s="74" t="inlineStr">
        <is>
          <t>não encontrado</t>
        </is>
      </c>
      <c r="AI50" s="74" t="inlineStr">
        <is>
          <t>N/D</t>
        </is>
      </c>
      <c r="AJ50" s="74" t="inlineStr">
        <is>
          <t>N/D</t>
        </is>
      </c>
      <c r="AK50" s="74" t="inlineStr">
        <is>
          <t>N/D</t>
        </is>
      </c>
      <c r="AL50" s="74" t="inlineStr">
        <is>
          <t>N/D</t>
        </is>
      </c>
      <c r="AM50" s="74" t="inlineStr">
        <is>
          <t>N/D</t>
        </is>
      </c>
      <c r="AN50" s="74" t="inlineStr">
        <is>
          <t>N/D</t>
        </is>
      </c>
      <c r="AO50" s="74" t="inlineStr">
        <is>
          <t>5%</t>
        </is>
      </c>
      <c r="AP50" s="74" t="inlineStr">
        <is>
          <t>aceito_payload</t>
        </is>
      </c>
      <c r="AQ50" s="74" t="inlineStr">
        <is>
          <t>junior_pl</t>
        </is>
      </c>
      <c r="AR50" s="74" t="inlineStr">
        <is>
          <t>1003378</t>
        </is>
      </c>
      <c r="AS50" s="74" t="inlineStr">
        <is>
          <t>2025-09-30</t>
        </is>
      </c>
      <c r="AT50" s="74" t="inlineStr">
        <is>
          <t>133</t>
        </is>
      </c>
      <c r="AU50" s="74" t="inlineStr">
        <is>
          <t>https://fnet.bmfbovespa.com.br/fnet/publico/downloadDocumento?id=1003378</t>
        </is>
      </c>
      <c r="AV50" s="74" t="inlineStr">
        <is>
          <t>payload_documental</t>
        </is>
      </c>
      <c r="AW50" s="74" t="inlineStr">
        <is>
          <t>N/D</t>
        </is>
      </c>
      <c r="AX50" s="74" t="inlineStr">
        <is>
          <t>não encontrado</t>
        </is>
      </c>
      <c r="AY50" s="74" t="inlineStr">
        <is>
          <t>N/D</t>
        </is>
      </c>
      <c r="AZ50" s="74" t="inlineStr">
        <is>
          <t>N/D</t>
        </is>
      </c>
      <c r="BA50" s="74" t="inlineStr">
        <is>
          <t>N/D</t>
        </is>
      </c>
      <c r="BB50" s="74" t="inlineStr">
        <is>
          <t>N/D</t>
        </is>
      </c>
      <c r="BC50" s="74" t="inlineStr">
        <is>
          <t>N/D</t>
        </is>
      </c>
      <c r="BD50" s="74" t="inlineStr">
        <is>
          <t>N/D</t>
        </is>
      </c>
      <c r="BE50" s="74" t="inlineStr">
        <is>
          <t>junior_pl</t>
        </is>
      </c>
      <c r="BF50" s="74" t="inlineStr">
        <is>
          <t>aceito_payload</t>
        </is>
      </c>
      <c r="BG50" s="74" t="inlineStr">
        <is>
          <t>junior_pl</t>
        </is>
      </c>
      <c r="BH50" s="74" t="inlineStr">
        <is>
          <t>1003378</t>
        </is>
      </c>
      <c r="BI50" s="74" t="inlineStr">
        <is>
          <t>2025-09-30</t>
        </is>
      </c>
      <c r="BJ50" s="74" t="inlineStr">
        <is>
          <t>133</t>
        </is>
      </c>
      <c r="BK50" s="74" t="inlineStr">
        <is>
          <t>https://fnet.bmfbovespa.com.br/fnet/publico/downloadDocumento?id=1003378</t>
        </is>
      </c>
      <c r="BL50" s="74" t="inlineStr">
        <is>
          <t>payload_documental</t>
        </is>
      </c>
    </row>
    <row r="51" ht="42" customHeight="1">
      <c r="A51" s="145" t="n">
        <v>47</v>
      </c>
      <c r="B51" s="142" t="n">
        <v>62838025000116</v>
      </c>
      <c r="C51" s="75" t="inlineStr">
        <is>
          <t>62.838.025/0001-16</t>
        </is>
      </c>
      <c r="D51" s="75" t="inlineStr">
        <is>
          <t>ENDURANCE FUNDO DE INVESTIMENTO EM DIREITOS CREDITÓRIOS RESPONSABILIDADE LIMITADA</t>
        </is>
      </c>
      <c r="E51" s="75" t="inlineStr">
        <is>
          <t>concluído</t>
        </is>
      </c>
      <c r="F51" s="145" t="n">
        <v>7</v>
      </c>
      <c r="G51" s="75" t="inlineStr">
        <is>
          <t>consultado</t>
        </is>
      </c>
      <c r="H51" s="75" t="inlineStr">
        <is>
          <t>N/D</t>
        </is>
      </c>
      <c r="I51" s="75" t="inlineStr">
        <is>
          <t>N/D</t>
        </is>
      </c>
      <c r="J51" s="75" t="inlineStr">
        <is>
          <t>não encontrado</t>
        </is>
      </c>
      <c r="K51" s="75" t="inlineStr">
        <is>
          <t>N/D</t>
        </is>
      </c>
      <c r="L51" s="75" t="inlineStr">
        <is>
          <t>N/D</t>
        </is>
      </c>
      <c r="M51" s="75" t="inlineStr">
        <is>
          <t>N/D</t>
        </is>
      </c>
      <c r="N51" s="75" t="inlineStr">
        <is>
          <t>N/D</t>
        </is>
      </c>
      <c r="O51" s="75" t="inlineStr">
        <is>
          <t>N/D</t>
        </is>
      </c>
      <c r="P51" s="75" t="inlineStr">
        <is>
          <t>N/D</t>
        </is>
      </c>
      <c r="Q51" s="75" t="inlineStr">
        <is>
          <t>Pague Veloz / Serasa</t>
        </is>
      </c>
      <c r="R51" s="75" t="inlineStr">
        <is>
          <t>aceito_payload</t>
        </is>
      </c>
      <c r="S51" s="75" t="inlineStr">
        <is>
          <t>N/D</t>
        </is>
      </c>
      <c r="T51" s="75" t="inlineStr">
        <is>
          <t>IMG_8705.JPG</t>
        </is>
      </c>
      <c r="U51" s="75" t="inlineStr">
        <is>
          <t>2025-12-10</t>
        </is>
      </c>
      <c r="V51" s="75" t="inlineStr">
        <is>
          <t>39</t>
        </is>
      </c>
      <c r="W51" s="75" t="inlineStr">
        <is>
          <t>N/D</t>
        </is>
      </c>
      <c r="X51" s="75" t="inlineStr">
        <is>
          <t>planilha_manual</t>
        </is>
      </c>
      <c r="Y51" s="75" t="inlineStr">
        <is>
          <t>os emissores, devedores e/ou garantidores dos Direitos Creditórios, conforme o caso</t>
        </is>
      </c>
      <c r="Z51" s="75" t="inlineStr">
        <is>
          <t>encontrado_explicito</t>
        </is>
      </c>
      <c r="AA51" s="75" t="inlineStr">
        <is>
          <t>N/D</t>
        </is>
      </c>
      <c r="AB51" s="75" t="inlineStr">
        <is>
          <t>1058234</t>
        </is>
      </c>
      <c r="AC51" s="75" t="inlineStr">
        <is>
          <t>2025-12-10</t>
        </is>
      </c>
      <c r="AD51" s="75" t="inlineStr">
        <is>
          <t>5</t>
        </is>
      </c>
      <c r="AE51" s="75" t="inlineStr">
        <is>
          <t>https://fnet.bmfbovespa.com.br/fnet/publico/downloadDocumento?id=1058234</t>
        </is>
      </c>
      <c r="AF51" s="75" t="inlineStr">
        <is>
          <t>regulamento</t>
        </is>
      </c>
      <c r="AG51" s="75" t="inlineStr">
        <is>
          <t>recebíveis de Rede, GetNet, Cielo e Pag</t>
        </is>
      </c>
      <c r="AH51" s="75" t="inlineStr">
        <is>
          <t>aceito_payload</t>
        </is>
      </c>
      <c r="AI51" s="75" t="inlineStr">
        <is>
          <t>N/D</t>
        </is>
      </c>
      <c r="AJ51" s="75" t="inlineStr">
        <is>
          <t>IMG_8705.JPG</t>
        </is>
      </c>
      <c r="AK51" s="75" t="inlineStr">
        <is>
          <t>2025-12-10</t>
        </is>
      </c>
      <c r="AL51" s="75" t="inlineStr">
        <is>
          <t>39</t>
        </is>
      </c>
      <c r="AM51" s="75" t="inlineStr">
        <is>
          <t>N/D</t>
        </is>
      </c>
      <c r="AN51" s="75" t="inlineStr">
        <is>
          <t>planilha_manual</t>
        </is>
      </c>
      <c r="AO51" s="75" t="inlineStr">
        <is>
          <t>10%</t>
        </is>
      </c>
      <c r="AP51" s="75" t="inlineStr">
        <is>
          <t>aceito_payload</t>
        </is>
      </c>
      <c r="AQ51" s="75" t="inlineStr">
        <is>
          <t>junior_pl</t>
        </is>
      </c>
      <c r="AR51" s="75" t="inlineStr">
        <is>
          <t>1058234</t>
        </is>
      </c>
      <c r="AS51" s="75" t="inlineStr">
        <is>
          <t>2025-12-10</t>
        </is>
      </c>
      <c r="AT51" s="75" t="inlineStr">
        <is>
          <t>39</t>
        </is>
      </c>
      <c r="AU51" s="75" t="inlineStr">
        <is>
          <t>https://fnet.bmfbovespa.com.br/fnet/publico/downloadDocumento?id=1058234</t>
        </is>
      </c>
      <c r="AV51" s="75" t="inlineStr">
        <is>
          <t>payload_documental</t>
        </is>
      </c>
      <c r="AW51" s="75" t="inlineStr">
        <is>
          <t>N/D</t>
        </is>
      </c>
      <c r="AX51" s="75" t="inlineStr">
        <is>
          <t>não encontrado</t>
        </is>
      </c>
      <c r="AY51" s="75" t="inlineStr">
        <is>
          <t>N/D</t>
        </is>
      </c>
      <c r="AZ51" s="75" t="inlineStr">
        <is>
          <t>N/D</t>
        </is>
      </c>
      <c r="BA51" s="75" t="inlineStr">
        <is>
          <t>N/D</t>
        </is>
      </c>
      <c r="BB51" s="75" t="inlineStr">
        <is>
          <t>N/D</t>
        </is>
      </c>
      <c r="BC51" s="75" t="inlineStr">
        <is>
          <t>N/D</t>
        </is>
      </c>
      <c r="BD51" s="75" t="inlineStr">
        <is>
          <t>N/D</t>
        </is>
      </c>
      <c r="BE51" s="75" t="inlineStr">
        <is>
          <t>junior_pl</t>
        </is>
      </c>
      <c r="BF51" s="75" t="inlineStr">
        <is>
          <t>aceito_payload</t>
        </is>
      </c>
      <c r="BG51" s="75" t="inlineStr">
        <is>
          <t>junior_pl</t>
        </is>
      </c>
      <c r="BH51" s="75" t="inlineStr">
        <is>
          <t>1058234</t>
        </is>
      </c>
      <c r="BI51" s="75" t="inlineStr">
        <is>
          <t>2025-12-10</t>
        </is>
      </c>
      <c r="BJ51" s="75" t="inlineStr">
        <is>
          <t>39</t>
        </is>
      </c>
      <c r="BK51" s="75" t="inlineStr">
        <is>
          <t>https://fnet.bmfbovespa.com.br/fnet/publico/downloadDocumento?id=1058234</t>
        </is>
      </c>
      <c r="BL51" s="75" t="inlineStr">
        <is>
          <t>payload_documental</t>
        </is>
      </c>
    </row>
    <row r="52" ht="42" customHeight="1">
      <c r="A52" s="141" t="n">
        <v>48</v>
      </c>
      <c r="B52" s="138" t="n">
        <v>47280025000150</v>
      </c>
      <c r="C52" s="74" t="inlineStr">
        <is>
          <t>47.280.025/0001-50</t>
        </is>
      </c>
      <c r="D52" s="74" t="inlineStr">
        <is>
          <t>FIDC AGRO CAPITAL FINANCE RESPONSABILIDADE LIMITADA</t>
        </is>
      </c>
      <c r="E52" s="74" t="inlineStr">
        <is>
          <t>concluído</t>
        </is>
      </c>
      <c r="F52" s="141" t="n">
        <v>9</v>
      </c>
      <c r="G52" s="74" t="inlineStr">
        <is>
          <t>consultado</t>
        </is>
      </c>
      <c r="H52" s="74" t="inlineStr">
        <is>
          <t>N/D</t>
        </is>
      </c>
      <c r="I52" s="74" t="inlineStr">
        <is>
          <t>N/D</t>
        </is>
      </c>
      <c r="J52" s="74" t="inlineStr">
        <is>
          <t>não encontrado</t>
        </is>
      </c>
      <c r="K52" s="74" t="inlineStr">
        <is>
          <t>N/D</t>
        </is>
      </c>
      <c r="L52" s="74" t="inlineStr">
        <is>
          <t>N/D</t>
        </is>
      </c>
      <c r="M52" s="74" t="inlineStr">
        <is>
          <t>N/D</t>
        </is>
      </c>
      <c r="N52" s="74" t="inlineStr">
        <is>
          <t>N/D</t>
        </is>
      </c>
      <c r="O52" s="74" t="inlineStr">
        <is>
          <t>N/D</t>
        </is>
      </c>
      <c r="P52" s="74" t="inlineStr">
        <is>
          <t>N/D</t>
        </is>
      </c>
      <c r="Q52" s="74" t="inlineStr">
        <is>
          <t>Albaugh</t>
        </is>
      </c>
      <c r="R52" s="74" t="inlineStr">
        <is>
          <t>aceito_payload</t>
        </is>
      </c>
      <c r="S52" s="74" t="inlineStr">
        <is>
          <t>N/D</t>
        </is>
      </c>
      <c r="T52" s="74" t="inlineStr">
        <is>
          <t>IMG_8705.JPG</t>
        </is>
      </c>
      <c r="U52" s="74" t="inlineStr">
        <is>
          <t>2025-12-23</t>
        </is>
      </c>
      <c r="V52" s="74" t="inlineStr">
        <is>
          <t>10; 34</t>
        </is>
      </c>
      <c r="W52" s="74" t="inlineStr">
        <is>
          <t>N/D</t>
        </is>
      </c>
      <c r="X52" s="74" t="inlineStr">
        <is>
          <t>planilha_manual</t>
        </is>
      </c>
      <c r="Y52" s="74" t="inlineStr">
        <is>
          <t>N/D</t>
        </is>
      </c>
      <c r="Z52" s="74" t="inlineStr">
        <is>
          <t>não encontrado</t>
        </is>
      </c>
      <c r="AA52" s="74" t="inlineStr">
        <is>
          <t>N/D</t>
        </is>
      </c>
      <c r="AB52" s="74" t="inlineStr">
        <is>
          <t>N/D</t>
        </is>
      </c>
      <c r="AC52" s="74" t="inlineStr">
        <is>
          <t>N/D</t>
        </is>
      </c>
      <c r="AD52" s="74" t="inlineStr">
        <is>
          <t>N/D</t>
        </is>
      </c>
      <c r="AE52" s="74" t="inlineStr">
        <is>
          <t>N/D</t>
        </is>
      </c>
      <c r="AF52" s="74" t="inlineStr">
        <is>
          <t>N/D</t>
        </is>
      </c>
      <c r="AG52" s="74" t="inlineStr">
        <is>
          <t>N/D</t>
        </is>
      </c>
      <c r="AH52" s="74" t="inlineStr">
        <is>
          <t>não encontrado</t>
        </is>
      </c>
      <c r="AI52" s="74" t="inlineStr">
        <is>
          <t>N/D</t>
        </is>
      </c>
      <c r="AJ52" s="74" t="inlineStr">
        <is>
          <t>N/D</t>
        </is>
      </c>
      <c r="AK52" s="74" t="inlineStr">
        <is>
          <t>N/D</t>
        </is>
      </c>
      <c r="AL52" s="74" t="inlineStr">
        <is>
          <t>N/D</t>
        </is>
      </c>
      <c r="AM52" s="74" t="inlineStr">
        <is>
          <t>N/D</t>
        </is>
      </c>
      <c r="AN52" s="74" t="inlineStr">
        <is>
          <t>N/D</t>
        </is>
      </c>
      <c r="AO52" s="74" t="inlineStr">
        <is>
          <t>30%</t>
        </is>
      </c>
      <c r="AP52" s="74" t="inlineStr">
        <is>
          <t>aceito_payload</t>
        </is>
      </c>
      <c r="AQ52" s="74" t="inlineStr">
        <is>
          <t>junior_pl</t>
        </is>
      </c>
      <c r="AR52" s="74" t="inlineStr">
        <is>
          <t>1074880</t>
        </is>
      </c>
      <c r="AS52" s="74" t="inlineStr">
        <is>
          <t>2025-12-23</t>
        </is>
      </c>
      <c r="AT52" s="74" t="inlineStr">
        <is>
          <t>10; 34</t>
        </is>
      </c>
      <c r="AU52" s="74" t="inlineStr">
        <is>
          <t>https://fnet.bmfbovespa.com.br/fnet/publico/downloadDocumento?id=1074880</t>
        </is>
      </c>
      <c r="AV52" s="74" t="inlineStr">
        <is>
          <t>payload_documental</t>
        </is>
      </c>
      <c r="AW52" s="74" t="inlineStr">
        <is>
          <t>30%</t>
        </is>
      </c>
      <c r="AX52" s="74" t="inlineStr">
        <is>
          <t>aceito_payload</t>
        </is>
      </c>
      <c r="AY52" s="74" t="inlineStr">
        <is>
          <t>suporte_total_pl</t>
        </is>
      </c>
      <c r="AZ52" s="74" t="inlineStr">
        <is>
          <t>1074880</t>
        </is>
      </c>
      <c r="BA52" s="74" t="inlineStr">
        <is>
          <t>2025-12-23</t>
        </is>
      </c>
      <c r="BB52" s="74" t="inlineStr">
        <is>
          <t>10; 34</t>
        </is>
      </c>
      <c r="BC52" s="74" t="inlineStr">
        <is>
          <t>https://fnet.bmfbovespa.com.br/fnet/publico/downloadDocumento?id=1074880</t>
        </is>
      </c>
      <c r="BD52" s="74" t="inlineStr">
        <is>
          <t>payload_documental</t>
        </is>
      </c>
      <c r="BE52" s="74" t="inlineStr">
        <is>
          <t>junior_pl</t>
        </is>
      </c>
      <c r="BF52" s="74" t="inlineStr">
        <is>
          <t>aceito_payload</t>
        </is>
      </c>
      <c r="BG52" s="74" t="inlineStr">
        <is>
          <t>junior_pl</t>
        </is>
      </c>
      <c r="BH52" s="74" t="inlineStr">
        <is>
          <t>1074880</t>
        </is>
      </c>
      <c r="BI52" s="74" t="inlineStr">
        <is>
          <t>2025-12-23</t>
        </is>
      </c>
      <c r="BJ52" s="74" t="inlineStr">
        <is>
          <t>10; 34</t>
        </is>
      </c>
      <c r="BK52" s="74" t="inlineStr">
        <is>
          <t>https://fnet.bmfbovespa.com.br/fnet/publico/downloadDocumento?id=1074880</t>
        </is>
      </c>
      <c r="BL52" s="74" t="inlineStr">
        <is>
          <t>payload_documental</t>
        </is>
      </c>
    </row>
    <row r="53" ht="42" customHeight="1">
      <c r="A53" s="145" t="n">
        <v>49</v>
      </c>
      <c r="B53" s="142" t="n">
        <v>57270666000187</v>
      </c>
      <c r="C53" s="75" t="inlineStr">
        <is>
          <t>57.270.666/0001-87</t>
        </is>
      </c>
      <c r="D53" s="75" t="inlineStr">
        <is>
          <t>MOBILITAS FUNDO DE INVESTIMENTO EM DIREITOS CREDITÓRIOS - RESPONSABILIDADE LIMITADA</t>
        </is>
      </c>
      <c r="E53" s="75" t="inlineStr">
        <is>
          <t>concluído</t>
        </is>
      </c>
      <c r="F53" s="145" t="n">
        <v>6</v>
      </c>
      <c r="G53" s="75" t="inlineStr">
        <is>
          <t>consultado</t>
        </is>
      </c>
      <c r="H53" s="75" t="inlineStr">
        <is>
          <t>N/D</t>
        </is>
      </c>
      <c r="I53" s="75" t="inlineStr">
        <is>
          <t>N/D</t>
        </is>
      </c>
      <c r="J53" s="75" t="inlineStr">
        <is>
          <t>não encontrado</t>
        </is>
      </c>
      <c r="K53" s="75" t="inlineStr">
        <is>
          <t>N/D</t>
        </is>
      </c>
      <c r="L53" s="75" t="inlineStr">
        <is>
          <t>N/D</t>
        </is>
      </c>
      <c r="M53" s="75" t="inlineStr">
        <is>
          <t>N/D</t>
        </is>
      </c>
      <c r="N53" s="75" t="inlineStr">
        <is>
          <t>N/D</t>
        </is>
      </c>
      <c r="O53" s="75" t="inlineStr">
        <is>
          <t>N/D</t>
        </is>
      </c>
      <c r="P53" s="75" t="inlineStr">
        <is>
          <t>N/D</t>
        </is>
      </c>
      <c r="Q53" s="75" t="inlineStr">
        <is>
          <t>N/D</t>
        </is>
      </c>
      <c r="R53" s="75" t="inlineStr">
        <is>
          <t>não encontrado</t>
        </is>
      </c>
      <c r="S53" s="75" t="inlineStr">
        <is>
          <t>N/D</t>
        </is>
      </c>
      <c r="T53" s="75" t="inlineStr">
        <is>
          <t>N/D</t>
        </is>
      </c>
      <c r="U53" s="75" t="inlineStr">
        <is>
          <t>N/D</t>
        </is>
      </c>
      <c r="V53" s="75" t="inlineStr">
        <is>
          <t>N/D</t>
        </is>
      </c>
      <c r="W53" s="75" t="inlineStr">
        <is>
          <t>N/D</t>
        </is>
      </c>
      <c r="X53" s="75" t="inlineStr">
        <is>
          <t>N/D</t>
        </is>
      </c>
      <c r="Y53" s="75" t="inlineStr">
        <is>
          <t>N/D</t>
        </is>
      </c>
      <c r="Z53" s="75" t="inlineStr">
        <is>
          <t>não encontrado</t>
        </is>
      </c>
      <c r="AA53" s="75" t="inlineStr">
        <is>
          <t>N/D</t>
        </is>
      </c>
      <c r="AB53" s="75" t="inlineStr">
        <is>
          <t>N/D</t>
        </is>
      </c>
      <c r="AC53" s="75" t="inlineStr">
        <is>
          <t>N/D</t>
        </is>
      </c>
      <c r="AD53" s="75" t="inlineStr">
        <is>
          <t>N/D</t>
        </is>
      </c>
      <c r="AE53" s="75" t="inlineStr">
        <is>
          <t>N/D</t>
        </is>
      </c>
      <c r="AF53" s="75" t="inlineStr">
        <is>
          <t>N/D</t>
        </is>
      </c>
      <c r="AG53" s="75" t="inlineStr">
        <is>
          <t>Direitos Creditórios performados; REDE como adquirente</t>
        </is>
      </c>
      <c r="AH53" s="75" t="inlineStr">
        <is>
          <t>aceito_payload</t>
        </is>
      </c>
      <c r="AI53" s="75" t="inlineStr">
        <is>
          <t>N/D</t>
        </is>
      </c>
      <c r="AJ53" s="75" t="inlineStr">
        <is>
          <t>IMG_8705.JPG</t>
        </is>
      </c>
      <c r="AK53" s="75" t="inlineStr">
        <is>
          <t>2024-10-31</t>
        </is>
      </c>
      <c r="AL53" s="75" t="inlineStr">
        <is>
          <t>49</t>
        </is>
      </c>
      <c r="AM53" s="75" t="inlineStr">
        <is>
          <t>N/D</t>
        </is>
      </c>
      <c r="AN53" s="75" t="inlineStr">
        <is>
          <t>planilha_manual</t>
        </is>
      </c>
      <c r="AO53" s="75" t="inlineStr">
        <is>
          <t>10%</t>
        </is>
      </c>
      <c r="AP53" s="75" t="inlineStr">
        <is>
          <t>aceito_payload</t>
        </is>
      </c>
      <c r="AQ53" s="75" t="inlineStr">
        <is>
          <t>junior_pl</t>
        </is>
      </c>
      <c r="AR53" s="75" t="inlineStr">
        <is>
          <t>769277</t>
        </is>
      </c>
      <c r="AS53" s="75" t="inlineStr">
        <is>
          <t>2024-10-31</t>
        </is>
      </c>
      <c r="AT53" s="75" t="inlineStr">
        <is>
          <t>49</t>
        </is>
      </c>
      <c r="AU53" s="75" t="inlineStr">
        <is>
          <t>https://fnet.bmfbovespa.com.br/fnet/publico/downloadDocumento?id=769277</t>
        </is>
      </c>
      <c r="AV53" s="75" t="inlineStr">
        <is>
          <t>payload_documental</t>
        </is>
      </c>
      <c r="AW53" s="75" t="inlineStr">
        <is>
          <t>N/D</t>
        </is>
      </c>
      <c r="AX53" s="75" t="inlineStr">
        <is>
          <t>não encontrado</t>
        </is>
      </c>
      <c r="AY53" s="75" t="inlineStr">
        <is>
          <t>N/D</t>
        </is>
      </c>
      <c r="AZ53" s="75" t="inlineStr">
        <is>
          <t>N/D</t>
        </is>
      </c>
      <c r="BA53" s="75" t="inlineStr">
        <is>
          <t>N/D</t>
        </is>
      </c>
      <c r="BB53" s="75" t="inlineStr">
        <is>
          <t>N/D</t>
        </is>
      </c>
      <c r="BC53" s="75" t="inlineStr">
        <is>
          <t>N/D</t>
        </is>
      </c>
      <c r="BD53" s="75" t="inlineStr">
        <is>
          <t>N/D</t>
        </is>
      </c>
      <c r="BE53" s="75" t="inlineStr">
        <is>
          <t>junior_pl</t>
        </is>
      </c>
      <c r="BF53" s="75" t="inlineStr">
        <is>
          <t>aceito_payload</t>
        </is>
      </c>
      <c r="BG53" s="75" t="inlineStr">
        <is>
          <t>junior_pl</t>
        </is>
      </c>
      <c r="BH53" s="75" t="inlineStr">
        <is>
          <t>769277</t>
        </is>
      </c>
      <c r="BI53" s="75" t="inlineStr">
        <is>
          <t>2024-10-31</t>
        </is>
      </c>
      <c r="BJ53" s="75" t="inlineStr">
        <is>
          <t>49</t>
        </is>
      </c>
      <c r="BK53" s="75" t="inlineStr">
        <is>
          <t>https://fnet.bmfbovespa.com.br/fnet/publico/downloadDocumento?id=769277</t>
        </is>
      </c>
      <c r="BL53" s="75" t="inlineStr">
        <is>
          <t>payload_documental</t>
        </is>
      </c>
    </row>
    <row r="54" ht="42" customHeight="1">
      <c r="A54" s="141" t="n">
        <v>50</v>
      </c>
      <c r="B54" s="138" t="n">
        <v>58288437000152</v>
      </c>
      <c r="C54" s="74" t="inlineStr">
        <is>
          <t>58.288.437/0001-52</t>
        </is>
      </c>
      <c r="D54" s="74" t="inlineStr">
        <is>
          <t>ALTOMAX FUNDO DE INVESTIMENTO EM DIREITOS CREDITÓRIOS SEGMENTO RECEBÍVEIS COMERCIAIS DE RESP LTDA</t>
        </is>
      </c>
      <c r="E54" s="74" t="inlineStr">
        <is>
          <t>concluído</t>
        </is>
      </c>
      <c r="F54" s="141" t="n">
        <v>10</v>
      </c>
      <c r="G54" s="74" t="inlineStr">
        <is>
          <t>consultado</t>
        </is>
      </c>
      <c r="H54" s="74" t="inlineStr">
        <is>
          <t>N/D</t>
        </is>
      </c>
      <c r="I54" s="74" t="inlineStr">
        <is>
          <t>N/D</t>
        </is>
      </c>
      <c r="J54" s="74" t="inlineStr">
        <is>
          <t>não encontrado</t>
        </is>
      </c>
      <c r="K54" s="74" t="inlineStr">
        <is>
          <t>N/D</t>
        </is>
      </c>
      <c r="L54" s="74" t="inlineStr">
        <is>
          <t>N/D</t>
        </is>
      </c>
      <c r="M54" s="74" t="inlineStr">
        <is>
          <t>N/D</t>
        </is>
      </c>
      <c r="N54" s="74" t="inlineStr">
        <is>
          <t>N/D</t>
        </is>
      </c>
      <c r="O54" s="74" t="inlineStr">
        <is>
          <t>N/D</t>
        </is>
      </c>
      <c r="P54" s="74" t="inlineStr">
        <is>
          <t>N/D</t>
        </is>
      </c>
      <c r="Q54" s="74" t="inlineStr">
        <is>
          <t>a ALTOMAX COMÉRCIO DE MEIAS E COBERTORES, IMPORTAÇÃO E EXPORTAÇÃO LTDA, sociedade limitada, com sede na cidade de Foz do Iguaçu, estado do Paraná, na Av</t>
        </is>
      </c>
      <c r="R54" s="74" t="inlineStr">
        <is>
          <t>encontrado_explicito</t>
        </is>
      </c>
      <c r="S54" s="74" t="inlineStr">
        <is>
          <t>N/D</t>
        </is>
      </c>
      <c r="T54" s="74" t="inlineStr">
        <is>
          <t>1240668</t>
        </is>
      </c>
      <c r="U54" s="74" t="inlineStr">
        <is>
          <t>24/02/2026</t>
        </is>
      </c>
      <c r="V54" s="74" t="inlineStr">
        <is>
          <t>83</t>
        </is>
      </c>
      <c r="W54" s="74" t="inlineStr">
        <is>
          <t>https://fnet.bmfbovespa.com.br/fnet/publico/downloadDocumento?id=1240668</t>
        </is>
      </c>
      <c r="X54" s="74" t="inlineStr">
        <is>
          <t>regulamento</t>
        </is>
      </c>
      <c r="Y54" s="74" t="inlineStr">
        <is>
          <t>os devedores dos Direitos Creditórios – Adicionais, cedidos ao Fundo pelos Cedentes Adicionais ou emitidos diretamente em face do Fundo, conforme aplicável, os quais serão pessoas fí sicas e jurídicas integrantes do Grupo Econômico da Cedente Altomax.</t>
        </is>
      </c>
      <c r="Z54" s="74" t="inlineStr">
        <is>
          <t>encontrado_explicito</t>
        </is>
      </c>
      <c r="AA54" s="74" t="inlineStr">
        <is>
          <t>N/D</t>
        </is>
      </c>
      <c r="AB54" s="74" t="inlineStr">
        <is>
          <t>1240668</t>
        </is>
      </c>
      <c r="AC54" s="74" t="inlineStr">
        <is>
          <t>24/02/2026</t>
        </is>
      </c>
      <c r="AD54" s="74" t="inlineStr">
        <is>
          <t>87</t>
        </is>
      </c>
      <c r="AE54" s="74" t="inlineStr">
        <is>
          <t>https://fnet.bmfbovespa.com.br/fnet/publico/downloadDocumento?id=1240668</t>
        </is>
      </c>
      <c r="AF54" s="74" t="inlineStr">
        <is>
          <t>regulamento</t>
        </is>
      </c>
      <c r="AG54" s="74" t="inlineStr">
        <is>
          <t>N/D</t>
        </is>
      </c>
      <c r="AH54" s="74" t="inlineStr">
        <is>
          <t>não encontrado</t>
        </is>
      </c>
      <c r="AI54" s="74" t="inlineStr">
        <is>
          <t>N/D</t>
        </is>
      </c>
      <c r="AJ54" s="74" t="inlineStr">
        <is>
          <t>N/D</t>
        </is>
      </c>
      <c r="AK54" s="74" t="inlineStr">
        <is>
          <t>N/D</t>
        </is>
      </c>
      <c r="AL54" s="74" t="inlineStr">
        <is>
          <t>N/D</t>
        </is>
      </c>
      <c r="AM54" s="74" t="inlineStr">
        <is>
          <t>N/D</t>
        </is>
      </c>
      <c r="AN54" s="74" t="inlineStr">
        <is>
          <t>N/D</t>
        </is>
      </c>
      <c r="AO54" s="74" t="inlineStr">
        <is>
          <t>20%</t>
        </is>
      </c>
      <c r="AP54" s="74" t="inlineStr">
        <is>
          <t>aceito_payload</t>
        </is>
      </c>
      <c r="AQ54" s="74" t="inlineStr">
        <is>
          <t>junior_pl</t>
        </is>
      </c>
      <c r="AR54" s="74" t="inlineStr">
        <is>
          <t>1240668</t>
        </is>
      </c>
      <c r="AS54" s="74" t="inlineStr">
        <is>
          <t>2026-02-24</t>
        </is>
      </c>
      <c r="AT54" s="74" t="inlineStr">
        <is>
          <t>94</t>
        </is>
      </c>
      <c r="AU54" s="74" t="inlineStr">
        <is>
          <t>https://fnet.bmfbovespa.com.br/fnet/publico/downloadDocumento?id=1240668</t>
        </is>
      </c>
      <c r="AV54" s="74" t="inlineStr">
        <is>
          <t>payload_documental</t>
        </is>
      </c>
      <c r="AW54" s="74" t="inlineStr">
        <is>
          <t>N/D</t>
        </is>
      </c>
      <c r="AX54" s="74" t="inlineStr">
        <is>
          <t>não encontrado</t>
        </is>
      </c>
      <c r="AY54" s="74" t="inlineStr">
        <is>
          <t>N/D</t>
        </is>
      </c>
      <c r="AZ54" s="74" t="inlineStr">
        <is>
          <t>N/D</t>
        </is>
      </c>
      <c r="BA54" s="74" t="inlineStr">
        <is>
          <t>N/D</t>
        </is>
      </c>
      <c r="BB54" s="74" t="inlineStr">
        <is>
          <t>N/D</t>
        </is>
      </c>
      <c r="BC54" s="74" t="inlineStr">
        <is>
          <t>N/D</t>
        </is>
      </c>
      <c r="BD54" s="74" t="inlineStr">
        <is>
          <t>N/D</t>
        </is>
      </c>
      <c r="BE54" s="74" t="inlineStr">
        <is>
          <t>junior_pl</t>
        </is>
      </c>
      <c r="BF54" s="74" t="inlineStr">
        <is>
          <t>aceito_payload</t>
        </is>
      </c>
      <c r="BG54" s="74" t="inlineStr">
        <is>
          <t>junior_pl</t>
        </is>
      </c>
      <c r="BH54" s="74" t="inlineStr">
        <is>
          <t>1240668</t>
        </is>
      </c>
      <c r="BI54" s="74" t="inlineStr">
        <is>
          <t>2026-02-24</t>
        </is>
      </c>
      <c r="BJ54" s="74" t="inlineStr">
        <is>
          <t>94</t>
        </is>
      </c>
      <c r="BK54" s="74" t="inlineStr">
        <is>
          <t>https://fnet.bmfbovespa.com.br/fnet/publico/downloadDocumento?id=1240668</t>
        </is>
      </c>
      <c r="BL54" s="74" t="inlineStr">
        <is>
          <t>payload_documental</t>
        </is>
      </c>
    </row>
    <row r="55" ht="42" customHeight="1">
      <c r="A55" s="145" t="n">
        <v>51</v>
      </c>
      <c r="B55" s="142" t="n">
        <v>55476342000174</v>
      </c>
      <c r="C55" s="75" t="inlineStr">
        <is>
          <t>55.476.342/0001-74</t>
        </is>
      </c>
      <c r="D55" s="75" t="inlineStr">
        <is>
          <t>LAVORO AGRO II FIAGRO - DIREITOS CREDITÓRIOS - RESPONSABILIDADE LIMITADA</t>
        </is>
      </c>
      <c r="E55" s="75" t="inlineStr">
        <is>
          <t>concluído</t>
        </is>
      </c>
      <c r="F55" s="145" t="n">
        <v>6</v>
      </c>
      <c r="G55" s="75" t="inlineStr">
        <is>
          <t>consultado</t>
        </is>
      </c>
      <c r="H55" s="75" t="inlineStr">
        <is>
          <t>N/D</t>
        </is>
      </c>
      <c r="I55" s="75" t="inlineStr">
        <is>
          <t>N/D</t>
        </is>
      </c>
      <c r="J55" s="75" t="inlineStr">
        <is>
          <t>não encontrado</t>
        </is>
      </c>
      <c r="K55" s="75" t="inlineStr">
        <is>
          <t>N/D</t>
        </is>
      </c>
      <c r="L55" s="75" t="inlineStr">
        <is>
          <t>N/D</t>
        </is>
      </c>
      <c r="M55" s="75" t="inlineStr">
        <is>
          <t>N/D</t>
        </is>
      </c>
      <c r="N55" s="75" t="inlineStr">
        <is>
          <t>N/D</t>
        </is>
      </c>
      <c r="O55" s="75" t="inlineStr">
        <is>
          <t>N/D</t>
        </is>
      </c>
      <c r="P55" s="75" t="inlineStr">
        <is>
          <t>N/D</t>
        </is>
      </c>
      <c r="Q55" s="75" t="inlineStr">
        <is>
          <t>Lavoro</t>
        </is>
      </c>
      <c r="R55" s="75" t="inlineStr">
        <is>
          <t>aceito_payload</t>
        </is>
      </c>
      <c r="S55" s="75" t="inlineStr">
        <is>
          <t>N/D</t>
        </is>
      </c>
      <c r="T55" s="75" t="inlineStr">
        <is>
          <t>IMG_8705.JPG</t>
        </is>
      </c>
      <c r="U55" s="75" t="inlineStr">
        <is>
          <t>2025-09-30</t>
        </is>
      </c>
      <c r="V55" s="75" t="inlineStr">
        <is>
          <t>107; 122</t>
        </is>
      </c>
      <c r="W55" s="75" t="inlineStr">
        <is>
          <t>N/D</t>
        </is>
      </c>
      <c r="X55" s="75" t="inlineStr">
        <is>
          <t>planilha_manual</t>
        </is>
      </c>
      <c r="Y55" s="75" t="inlineStr">
        <is>
          <t>N/D</t>
        </is>
      </c>
      <c r="Z55" s="75" t="inlineStr">
        <is>
          <t>não encontrado</t>
        </is>
      </c>
      <c r="AA55" s="75" t="inlineStr">
        <is>
          <t>N/D</t>
        </is>
      </c>
      <c r="AB55" s="75" t="inlineStr">
        <is>
          <t>N/D</t>
        </is>
      </c>
      <c r="AC55" s="75" t="inlineStr">
        <is>
          <t>N/D</t>
        </is>
      </c>
      <c r="AD55" s="75" t="inlineStr">
        <is>
          <t>N/D</t>
        </is>
      </c>
      <c r="AE55" s="75" t="inlineStr">
        <is>
          <t>N/D</t>
        </is>
      </c>
      <c r="AF55" s="75" t="inlineStr">
        <is>
          <t>N/D</t>
        </is>
      </c>
      <c r="AG55" s="75" t="inlineStr">
        <is>
          <t>N/D</t>
        </is>
      </c>
      <c r="AH55" s="75" t="inlineStr">
        <is>
          <t>não encontrado</t>
        </is>
      </c>
      <c r="AI55" s="75" t="inlineStr">
        <is>
          <t>N/D</t>
        </is>
      </c>
      <c r="AJ55" s="75" t="inlineStr">
        <is>
          <t>N/D</t>
        </is>
      </c>
      <c r="AK55" s="75" t="inlineStr">
        <is>
          <t>N/D</t>
        </is>
      </c>
      <c r="AL55" s="75" t="inlineStr">
        <is>
          <t>N/D</t>
        </is>
      </c>
      <c r="AM55" s="75" t="inlineStr">
        <is>
          <t>N/D</t>
        </is>
      </c>
      <c r="AN55" s="75" t="inlineStr">
        <is>
          <t>N/D</t>
        </is>
      </c>
      <c r="AO55" s="75" t="inlineStr">
        <is>
          <t>20%</t>
        </is>
      </c>
      <c r="AP55" s="75" t="inlineStr">
        <is>
          <t>aceito_payload</t>
        </is>
      </c>
      <c r="AQ55" s="75" t="inlineStr">
        <is>
          <t>junior_pl</t>
        </is>
      </c>
      <c r="AR55" s="75" t="inlineStr">
        <is>
          <t>1003108</t>
        </is>
      </c>
      <c r="AS55" s="75" t="inlineStr">
        <is>
          <t>2025-09-30</t>
        </is>
      </c>
      <c r="AT55" s="75" t="inlineStr">
        <is>
          <t>107; 122</t>
        </is>
      </c>
      <c r="AU55" s="75" t="inlineStr">
        <is>
          <t>https://fnet.bmfbovespa.com.br/fnet/publico/downloadDocumento?id=1003108</t>
        </is>
      </c>
      <c r="AV55" s="75" t="inlineStr">
        <is>
          <t>payload_documental</t>
        </is>
      </c>
      <c r="AW55" s="75" t="inlineStr">
        <is>
          <t>20%</t>
        </is>
      </c>
      <c r="AX55" s="75" t="inlineStr">
        <is>
          <t>aceito_payload</t>
        </is>
      </c>
      <c r="AY55" s="75" t="inlineStr">
        <is>
          <t>suporte_total_pl</t>
        </is>
      </c>
      <c r="AZ55" s="75" t="inlineStr">
        <is>
          <t>1003108</t>
        </is>
      </c>
      <c r="BA55" s="75" t="inlineStr">
        <is>
          <t>2025-09-30</t>
        </is>
      </c>
      <c r="BB55" s="75" t="inlineStr">
        <is>
          <t>107; 122</t>
        </is>
      </c>
      <c r="BC55" s="75" t="inlineStr">
        <is>
          <t>https://fnet.bmfbovespa.com.br/fnet/publico/downloadDocumento?id=1003108</t>
        </is>
      </c>
      <c r="BD55" s="75" t="inlineStr">
        <is>
          <t>payload_documental</t>
        </is>
      </c>
      <c r="BE55" s="75" t="inlineStr">
        <is>
          <t>junior_pl</t>
        </is>
      </c>
      <c r="BF55" s="75" t="inlineStr">
        <is>
          <t>aceito_payload</t>
        </is>
      </c>
      <c r="BG55" s="75" t="inlineStr">
        <is>
          <t>junior_pl</t>
        </is>
      </c>
      <c r="BH55" s="75" t="inlineStr">
        <is>
          <t>1003108</t>
        </is>
      </c>
      <c r="BI55" s="75" t="inlineStr">
        <is>
          <t>2025-09-30</t>
        </is>
      </c>
      <c r="BJ55" s="75" t="inlineStr">
        <is>
          <t>107; 122</t>
        </is>
      </c>
      <c r="BK55" s="75" t="inlineStr">
        <is>
          <t>https://fnet.bmfbovespa.com.br/fnet/publico/downloadDocumento?id=1003108</t>
        </is>
      </c>
      <c r="BL55" s="75" t="inlineStr">
        <is>
          <t>payload_documental</t>
        </is>
      </c>
    </row>
    <row r="56" ht="42" customHeight="1">
      <c r="A56" s="141" t="n">
        <v>52</v>
      </c>
      <c r="B56" s="138" t="n">
        <v>63679792000192</v>
      </c>
      <c r="C56" s="74" t="inlineStr">
        <is>
          <t>63.679.792/0001-92</t>
        </is>
      </c>
      <c r="D56" s="74" t="inlineStr">
        <is>
          <t>BLUE HEALTH FIDC RECEBÍVEIS COMERCIAIS DE RESPONSABILIDADE LIMITADA</t>
        </is>
      </c>
      <c r="E56" s="74" t="inlineStr">
        <is>
          <t>concluído</t>
        </is>
      </c>
      <c r="F56" s="141" t="n">
        <v>6</v>
      </c>
      <c r="G56" s="74" t="inlineStr">
        <is>
          <t>consultado</t>
        </is>
      </c>
      <c r="H56" s="74" t="inlineStr">
        <is>
          <t>N/D</t>
        </is>
      </c>
      <c r="I56" s="74" t="inlineStr">
        <is>
          <t>N/D</t>
        </is>
      </c>
      <c r="J56" s="74" t="inlineStr">
        <is>
          <t>não encontrado</t>
        </is>
      </c>
      <c r="K56" s="74" t="inlineStr">
        <is>
          <t>N/D</t>
        </is>
      </c>
      <c r="L56" s="74" t="inlineStr">
        <is>
          <t>N/D</t>
        </is>
      </c>
      <c r="M56" s="74" t="inlineStr">
        <is>
          <t>N/D</t>
        </is>
      </c>
      <c r="N56" s="74" t="inlineStr">
        <is>
          <t>N/D</t>
        </is>
      </c>
      <c r="O56" s="74" t="inlineStr">
        <is>
          <t>N/D</t>
        </is>
      </c>
      <c r="P56" s="74" t="inlineStr">
        <is>
          <t>N/D</t>
        </is>
      </c>
      <c r="Q56" s="74" t="inlineStr">
        <is>
          <t>a (i) Ultra-Som Equipamentos Médicos Ltda., sociedade limitada com sede na Cidade de Ribeirão Preto, Estado de São Paulo, na Rua Paschoal Bardaro, nº 2.005, 1º andar, Jardim Botânico, CEP 14.021-655, inscrita no CNPJ/MF sob o nº 07.149.505/0001-61, com filial na Cidade de Feira de Santana, Estado da Bahia, na Estrada Velha de Humildes, nº 9.984, Sala “Blue”, Humildes, CEP 44.135 -000, inscrita no CNPJ/MF sob o nº 07.149.505/0003 -23; (ii) Brazil 3 Business Participações Ltda. , sociedade limitad</t>
        </is>
      </c>
      <c r="R56" s="74" t="inlineStr">
        <is>
          <t>encontrado_explicito</t>
        </is>
      </c>
      <c r="S56" s="74" t="inlineStr">
        <is>
          <t>N/D</t>
        </is>
      </c>
      <c r="T56" s="74" t="inlineStr">
        <is>
          <t>1101558</t>
        </is>
      </c>
      <c r="U56" s="74" t="inlineStr">
        <is>
          <t>26/01/2026</t>
        </is>
      </c>
      <c r="V56" s="74" t="inlineStr">
        <is>
          <t>85</t>
        </is>
      </c>
      <c r="W56" s="74" t="inlineStr">
        <is>
          <t>https://fnet.bmfbovespa.com.br/fnet/publico/downloadDocumento?id=1101558</t>
        </is>
      </c>
      <c r="X56" s="74" t="inlineStr">
        <is>
          <t>regulamento</t>
        </is>
      </c>
      <c r="Y56" s="74" t="inlineStr">
        <is>
          <t>N/D</t>
        </is>
      </c>
      <c r="Z56" s="74" t="inlineStr">
        <is>
          <t>não encontrado</t>
        </is>
      </c>
      <c r="AA56" s="74" t="inlineStr">
        <is>
          <t>N/D</t>
        </is>
      </c>
      <c r="AB56" s="74" t="inlineStr">
        <is>
          <t>N/D</t>
        </is>
      </c>
      <c r="AC56" s="74" t="inlineStr">
        <is>
          <t>N/D</t>
        </is>
      </c>
      <c r="AD56" s="74" t="inlineStr">
        <is>
          <t>N/D</t>
        </is>
      </c>
      <c r="AE56" s="74" t="inlineStr">
        <is>
          <t>N/D</t>
        </is>
      </c>
      <c r="AF56" s="74" t="inlineStr">
        <is>
          <t>N/D</t>
        </is>
      </c>
      <c r="AG56" s="74" t="inlineStr">
        <is>
          <t>os direitos creditórios, de titularidade dos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representados pelos Documentos Comprobatórios e pelos Documentos Adicionais, qu e atendam aos Critérios de Elegibilidade e as Condições de Cessão previstos neste Regulamento</t>
        </is>
      </c>
      <c r="AH56" s="74" t="inlineStr">
        <is>
          <t>encontrado_explicito</t>
        </is>
      </c>
      <c r="AI56" s="74" t="inlineStr">
        <is>
          <t>N/D</t>
        </is>
      </c>
      <c r="AJ56" s="74" t="inlineStr">
        <is>
          <t>1101558</t>
        </is>
      </c>
      <c r="AK56" s="74" t="inlineStr">
        <is>
          <t>26/01/2026</t>
        </is>
      </c>
      <c r="AL56" s="74" t="inlineStr">
        <is>
          <t>88</t>
        </is>
      </c>
      <c r="AM56" s="74" t="inlineStr">
        <is>
          <t>https://fnet.bmfbovespa.com.br/fnet/publico/downloadDocumento?id=1101558</t>
        </is>
      </c>
      <c r="AN56" s="74" t="inlineStr">
        <is>
          <t>regulamento</t>
        </is>
      </c>
      <c r="AO56" s="74" t="inlineStr">
        <is>
          <t>20%</t>
        </is>
      </c>
      <c r="AP56" s="74" t="inlineStr">
        <is>
          <t>aceito_payload</t>
        </is>
      </c>
      <c r="AQ56" s="74" t="inlineStr">
        <is>
          <t>junior_pl</t>
        </is>
      </c>
      <c r="AR56" s="74" t="inlineStr">
        <is>
          <t>1101558</t>
        </is>
      </c>
      <c r="AS56" s="74" t="inlineStr">
        <is>
          <t>2026-01-26</t>
        </is>
      </c>
      <c r="AT56" s="74" t="inlineStr">
        <is>
          <t>92</t>
        </is>
      </c>
      <c r="AU56" s="74" t="inlineStr">
        <is>
          <t>https://fnet.bmfbovespa.com.br/fnet/publico/downloadDocumento?id=1101558</t>
        </is>
      </c>
      <c r="AV56" s="74" t="inlineStr">
        <is>
          <t>payload_documental</t>
        </is>
      </c>
      <c r="AW56" s="74" t="inlineStr">
        <is>
          <t>N/D</t>
        </is>
      </c>
      <c r="AX56" s="74" t="inlineStr">
        <is>
          <t>não encontrado</t>
        </is>
      </c>
      <c r="AY56" s="74" t="inlineStr">
        <is>
          <t>N/D</t>
        </is>
      </c>
      <c r="AZ56" s="74" t="inlineStr">
        <is>
          <t>N/D</t>
        </is>
      </c>
      <c r="BA56" s="74" t="inlineStr">
        <is>
          <t>N/D</t>
        </is>
      </c>
      <c r="BB56" s="74" t="inlineStr">
        <is>
          <t>N/D</t>
        </is>
      </c>
      <c r="BC56" s="74" t="inlineStr">
        <is>
          <t>N/D</t>
        </is>
      </c>
      <c r="BD56" s="74" t="inlineStr">
        <is>
          <t>N/D</t>
        </is>
      </c>
      <c r="BE56" s="74" t="inlineStr">
        <is>
          <t>junior_pl</t>
        </is>
      </c>
      <c r="BF56" s="74" t="inlineStr">
        <is>
          <t>aceito_payload</t>
        </is>
      </c>
      <c r="BG56" s="74" t="inlineStr">
        <is>
          <t>junior_pl</t>
        </is>
      </c>
      <c r="BH56" s="74" t="inlineStr">
        <is>
          <t>1101558</t>
        </is>
      </c>
      <c r="BI56" s="74" t="inlineStr">
        <is>
          <t>2026-01-26</t>
        </is>
      </c>
      <c r="BJ56" s="74" t="inlineStr">
        <is>
          <t>92</t>
        </is>
      </c>
      <c r="BK56" s="74" t="inlineStr">
        <is>
          <t>https://fnet.bmfbovespa.com.br/fnet/publico/downloadDocumento?id=1101558</t>
        </is>
      </c>
      <c r="BL56" s="74" t="inlineStr">
        <is>
          <t>payload_documental</t>
        </is>
      </c>
    </row>
    <row r="57" ht="42" customHeight="1">
      <c r="A57" s="145" t="n">
        <v>53</v>
      </c>
      <c r="B57" s="142" t="n">
        <v>42154687000160</v>
      </c>
      <c r="C57" s="75" t="inlineStr">
        <is>
          <t>42.154.687/0001-60</t>
        </is>
      </c>
      <c r="D57" s="75" t="inlineStr">
        <is>
          <t>MULTIPLIKE PLUS FUNDO DE INVESTIMENTO EM DIREITOS CREDITÓRIOS</t>
        </is>
      </c>
      <c r="E57" s="75" t="inlineStr">
        <is>
          <t>concluído</t>
        </is>
      </c>
      <c r="F57" s="145" t="n">
        <v>13</v>
      </c>
      <c r="G57" s="75" t="inlineStr">
        <is>
          <t>consultado</t>
        </is>
      </c>
      <c r="H57" s="75" t="inlineStr">
        <is>
          <t>N/D</t>
        </is>
      </c>
      <c r="I57" s="75" t="inlineStr">
        <is>
          <t>N/D</t>
        </is>
      </c>
      <c r="J57" s="75" t="inlineStr">
        <is>
          <t>não encontrado</t>
        </is>
      </c>
      <c r="K57" s="75" t="inlineStr">
        <is>
          <t>N/D</t>
        </is>
      </c>
      <c r="L57" s="75" t="inlineStr">
        <is>
          <t>N/D</t>
        </is>
      </c>
      <c r="M57" s="75" t="inlineStr">
        <is>
          <t>N/D</t>
        </is>
      </c>
      <c r="N57" s="75" t="inlineStr">
        <is>
          <t>N/D</t>
        </is>
      </c>
      <c r="O57" s="75" t="inlineStr">
        <is>
          <t>N/D</t>
        </is>
      </c>
      <c r="P57" s="75" t="inlineStr">
        <is>
          <t>N/D</t>
        </is>
      </c>
      <c r="Q57" s="75" t="inlineStr">
        <is>
          <t>Multicedentes &amp; Multisacados</t>
        </is>
      </c>
      <c r="R57" s="75" t="inlineStr">
        <is>
          <t>aceito_payload</t>
        </is>
      </c>
      <c r="S57" s="75" t="inlineStr">
        <is>
          <t>N/D</t>
        </is>
      </c>
      <c r="T57" s="75" t="inlineStr">
        <is>
          <t>IMG_8705.JPG</t>
        </is>
      </c>
      <c r="U57" s="75" t="inlineStr">
        <is>
          <t>2026-06-08</t>
        </is>
      </c>
      <c r="V57" s="75" t="inlineStr">
        <is>
          <t>54</t>
        </is>
      </c>
      <c r="W57" s="75" t="inlineStr">
        <is>
          <t>N/D</t>
        </is>
      </c>
      <c r="X57" s="75" t="inlineStr">
        <is>
          <t>planilha_manual</t>
        </is>
      </c>
      <c r="Y57" s="75" t="inlineStr">
        <is>
          <t>N/D</t>
        </is>
      </c>
      <c r="Z57" s="75" t="inlineStr">
        <is>
          <t>não encontrado</t>
        </is>
      </c>
      <c r="AA57" s="75" t="inlineStr">
        <is>
          <t>N/D</t>
        </is>
      </c>
      <c r="AB57" s="75" t="inlineStr">
        <is>
          <t>N/D</t>
        </is>
      </c>
      <c r="AC57" s="75" t="inlineStr">
        <is>
          <t>N/D</t>
        </is>
      </c>
      <c r="AD57" s="75" t="inlineStr">
        <is>
          <t>N/D</t>
        </is>
      </c>
      <c r="AE57" s="75" t="inlineStr">
        <is>
          <t>N/D</t>
        </is>
      </c>
      <c r="AF57" s="75" t="inlineStr">
        <is>
          <t>N/D</t>
        </is>
      </c>
      <c r="AG57" s="75" t="inlineStr">
        <is>
          <t>FIDC MultiCedente / Multisacado</t>
        </is>
      </c>
      <c r="AH57" s="75" t="inlineStr">
        <is>
          <t>aceito_payload</t>
        </is>
      </c>
      <c r="AI57" s="75" t="inlineStr">
        <is>
          <t>N/D</t>
        </is>
      </c>
      <c r="AJ57" s="75" t="inlineStr">
        <is>
          <t>IMG_8705.JPG</t>
        </is>
      </c>
      <c r="AK57" s="75" t="inlineStr">
        <is>
          <t>2026-06-08</t>
        </is>
      </c>
      <c r="AL57" s="75" t="inlineStr">
        <is>
          <t>54</t>
        </is>
      </c>
      <c r="AM57" s="75" t="inlineStr">
        <is>
          <t>N/D</t>
        </is>
      </c>
      <c r="AN57" s="75" t="inlineStr">
        <is>
          <t>planilha_manual</t>
        </is>
      </c>
      <c r="AO57" s="75" t="inlineStr">
        <is>
          <t>20%</t>
        </is>
      </c>
      <c r="AP57" s="75" t="inlineStr">
        <is>
          <t>aceito_payload</t>
        </is>
      </c>
      <c r="AQ57" s="75" t="inlineStr">
        <is>
          <t>junior_pl</t>
        </is>
      </c>
      <c r="AR57" s="75" t="inlineStr">
        <is>
          <t>1223029</t>
        </is>
      </c>
      <c r="AS57" s="75" t="inlineStr">
        <is>
          <t>2026-06-08</t>
        </is>
      </c>
      <c r="AT57" s="75" t="inlineStr">
        <is>
          <t>54</t>
        </is>
      </c>
      <c r="AU57" s="75" t="inlineStr">
        <is>
          <t>https://fnet.bmfbovespa.com.br/fnet/publico/downloadDocumento?id=1223029</t>
        </is>
      </c>
      <c r="AV57" s="75" t="inlineStr">
        <is>
          <t>payload_documental</t>
        </is>
      </c>
      <c r="AW57" s="75" t="inlineStr">
        <is>
          <t>N/D</t>
        </is>
      </c>
      <c r="AX57" s="75" t="inlineStr">
        <is>
          <t>não encontrado</t>
        </is>
      </c>
      <c r="AY57" s="75" t="inlineStr">
        <is>
          <t>N/D</t>
        </is>
      </c>
      <c r="AZ57" s="75" t="inlineStr">
        <is>
          <t>N/D</t>
        </is>
      </c>
      <c r="BA57" s="75" t="inlineStr">
        <is>
          <t>N/D</t>
        </is>
      </c>
      <c r="BB57" s="75" t="inlineStr">
        <is>
          <t>N/D</t>
        </is>
      </c>
      <c r="BC57" s="75" t="inlineStr">
        <is>
          <t>N/D</t>
        </is>
      </c>
      <c r="BD57" s="75" t="inlineStr">
        <is>
          <t>N/D</t>
        </is>
      </c>
      <c r="BE57" s="75" t="inlineStr">
        <is>
          <t>junior_pl</t>
        </is>
      </c>
      <c r="BF57" s="75" t="inlineStr">
        <is>
          <t>aceito_payload</t>
        </is>
      </c>
      <c r="BG57" s="75" t="inlineStr">
        <is>
          <t>junior_pl</t>
        </is>
      </c>
      <c r="BH57" s="75" t="inlineStr">
        <is>
          <t>1223029</t>
        </is>
      </c>
      <c r="BI57" s="75" t="inlineStr">
        <is>
          <t>2026-06-08</t>
        </is>
      </c>
      <c r="BJ57" s="75" t="inlineStr">
        <is>
          <t>54</t>
        </is>
      </c>
      <c r="BK57" s="75" t="inlineStr">
        <is>
          <t>https://fnet.bmfbovespa.com.br/fnet/publico/downloadDocumento?id=1223029</t>
        </is>
      </c>
      <c r="BL57" s="75" t="inlineStr">
        <is>
          <t>payload_documental</t>
        </is>
      </c>
    </row>
    <row r="58" ht="42" customHeight="1">
      <c r="A58" s="141" t="n">
        <v>54</v>
      </c>
      <c r="B58" s="138" t="n">
        <v>48946335000123</v>
      </c>
      <c r="C58" s="74" t="inlineStr">
        <is>
          <t>48.946.335/0001-23</t>
        </is>
      </c>
      <c r="D58" s="74" t="inlineStr">
        <is>
          <t>NAGRO OIKOS FUNDO DE INVESTIMENTO NAS CADEIAS PRODUTIVAS DO AGRONEGÓCIO</t>
        </is>
      </c>
      <c r="E58" s="74" t="inlineStr">
        <is>
          <t>concluído</t>
        </is>
      </c>
      <c r="F58" s="141" t="n">
        <v>8</v>
      </c>
      <c r="G58" s="74" t="inlineStr">
        <is>
          <t>consultado</t>
        </is>
      </c>
      <c r="H58" s="74" t="inlineStr">
        <is>
          <t>N/D</t>
        </is>
      </c>
      <c r="I58" s="74" t="inlineStr">
        <is>
          <t>N/D</t>
        </is>
      </c>
      <c r="J58" s="74" t="inlineStr">
        <is>
          <t>não encontrado</t>
        </is>
      </c>
      <c r="K58" s="74" t="inlineStr">
        <is>
          <t>N/D</t>
        </is>
      </c>
      <c r="L58" s="74" t="inlineStr">
        <is>
          <t>N/D</t>
        </is>
      </c>
      <c r="M58" s="74" t="inlineStr">
        <is>
          <t>N/D</t>
        </is>
      </c>
      <c r="N58" s="74" t="inlineStr">
        <is>
          <t>N/D</t>
        </is>
      </c>
      <c r="O58" s="74" t="inlineStr">
        <is>
          <t>N/D</t>
        </is>
      </c>
      <c r="P58" s="74" t="inlineStr">
        <is>
          <t>N/D</t>
        </is>
      </c>
      <c r="Q58" s="74" t="inlineStr">
        <is>
          <t>Multicedentes</t>
        </is>
      </c>
      <c r="R58" s="74" t="inlineStr">
        <is>
          <t>aceito_payload</t>
        </is>
      </c>
      <c r="S58" s="74" t="inlineStr">
        <is>
          <t>N/D</t>
        </is>
      </c>
      <c r="T58" s="74" t="inlineStr">
        <is>
          <t>IMG_8705.JPG</t>
        </is>
      </c>
      <c r="U58" s="74" t="inlineStr">
        <is>
          <t>2025-09-29</t>
        </is>
      </c>
      <c r="V58" s="74" t="inlineStr">
        <is>
          <t>57</t>
        </is>
      </c>
      <c r="W58" s="74" t="inlineStr">
        <is>
          <t>N/D</t>
        </is>
      </c>
      <c r="X58" s="74" t="inlineStr">
        <is>
          <t>planilha_manual</t>
        </is>
      </c>
      <c r="Y58" s="74" t="inlineStr">
        <is>
          <t>N/D</t>
        </is>
      </c>
      <c r="Z58" s="74" t="inlineStr">
        <is>
          <t>não encontrado</t>
        </is>
      </c>
      <c r="AA58" s="74" t="inlineStr">
        <is>
          <t>N/D</t>
        </is>
      </c>
      <c r="AB58" s="74" t="inlineStr">
        <is>
          <t>N/D</t>
        </is>
      </c>
      <c r="AC58" s="74" t="inlineStr">
        <is>
          <t>N/D</t>
        </is>
      </c>
      <c r="AD58" s="74" t="inlineStr">
        <is>
          <t>N/D</t>
        </is>
      </c>
      <c r="AE58" s="74" t="inlineStr">
        <is>
          <t>N/D</t>
        </is>
      </c>
      <c r="AF58" s="74" t="inlineStr">
        <is>
          <t>N/D</t>
        </is>
      </c>
      <c r="AG58" s="74" t="inlineStr">
        <is>
          <t>N/D</t>
        </is>
      </c>
      <c r="AH58" s="74" t="inlineStr">
        <is>
          <t>não encontrado</t>
        </is>
      </c>
      <c r="AI58" s="74" t="inlineStr">
        <is>
          <t>N/D</t>
        </is>
      </c>
      <c r="AJ58" s="74" t="inlineStr">
        <is>
          <t>N/D</t>
        </is>
      </c>
      <c r="AK58" s="74" t="inlineStr">
        <is>
          <t>N/D</t>
        </is>
      </c>
      <c r="AL58" s="74" t="inlineStr">
        <is>
          <t>N/D</t>
        </is>
      </c>
      <c r="AM58" s="74" t="inlineStr">
        <is>
          <t>N/D</t>
        </is>
      </c>
      <c r="AN58" s="74" t="inlineStr">
        <is>
          <t>N/D</t>
        </is>
      </c>
      <c r="AO58" s="74" t="inlineStr">
        <is>
          <t>10%</t>
        </is>
      </c>
      <c r="AP58" s="74" t="inlineStr">
        <is>
          <t>aceito_payload</t>
        </is>
      </c>
      <c r="AQ58" s="74" t="inlineStr">
        <is>
          <t>junior_pl</t>
        </is>
      </c>
      <c r="AR58" s="74" t="inlineStr">
        <is>
          <t>1000248</t>
        </is>
      </c>
      <c r="AS58" s="74" t="inlineStr">
        <is>
          <t>2025-09-29</t>
        </is>
      </c>
      <c r="AT58" s="74" t="inlineStr">
        <is>
          <t>57</t>
        </is>
      </c>
      <c r="AU58" s="74" t="inlineStr">
        <is>
          <t>https://fnet.bmfbovespa.com.br/fnet/publico/downloadDocumento?id=1000248</t>
        </is>
      </c>
      <c r="AV58" s="74" t="inlineStr">
        <is>
          <t>payload_documental</t>
        </is>
      </c>
      <c r="AW58" s="74" t="inlineStr">
        <is>
          <t>N/D</t>
        </is>
      </c>
      <c r="AX58" s="74" t="inlineStr">
        <is>
          <t>não encontrado</t>
        </is>
      </c>
      <c r="AY58" s="74" t="inlineStr">
        <is>
          <t>N/D</t>
        </is>
      </c>
      <c r="AZ58" s="74" t="inlineStr">
        <is>
          <t>N/D</t>
        </is>
      </c>
      <c r="BA58" s="74" t="inlineStr">
        <is>
          <t>N/D</t>
        </is>
      </c>
      <c r="BB58" s="74" t="inlineStr">
        <is>
          <t>N/D</t>
        </is>
      </c>
      <c r="BC58" s="74" t="inlineStr">
        <is>
          <t>N/D</t>
        </is>
      </c>
      <c r="BD58" s="74" t="inlineStr">
        <is>
          <t>N/D</t>
        </is>
      </c>
      <c r="BE58" s="74" t="inlineStr">
        <is>
          <t>junior_pl</t>
        </is>
      </c>
      <c r="BF58" s="74" t="inlineStr">
        <is>
          <t>aceito_payload</t>
        </is>
      </c>
      <c r="BG58" s="74" t="inlineStr">
        <is>
          <t>junior_pl</t>
        </is>
      </c>
      <c r="BH58" s="74" t="inlineStr">
        <is>
          <t>1000248</t>
        </is>
      </c>
      <c r="BI58" s="74" t="inlineStr">
        <is>
          <t>2025-09-29</t>
        </is>
      </c>
      <c r="BJ58" s="74" t="inlineStr">
        <is>
          <t>57</t>
        </is>
      </c>
      <c r="BK58" s="74" t="inlineStr">
        <is>
          <t>https://fnet.bmfbovespa.com.br/fnet/publico/downloadDocumento?id=1000248</t>
        </is>
      </c>
      <c r="BL58" s="74" t="inlineStr">
        <is>
          <t>payload_documental</t>
        </is>
      </c>
    </row>
    <row r="59" ht="42" customHeight="1">
      <c r="A59" s="145" t="n">
        <v>55</v>
      </c>
      <c r="B59" s="142" t="n">
        <v>55374251000128</v>
      </c>
      <c r="C59" s="75" t="inlineStr">
        <is>
          <t>55.374.251/0001-28</t>
        </is>
      </c>
      <c r="D59" s="75" t="inlineStr">
        <is>
          <t>FUNDO DE INVESTIMENTO EM DIREITOS CREDITÓRIOS BLUE II SEGMENTO CRÉDITO CORPORATIVO DE RESP LTDA</t>
        </is>
      </c>
      <c r="E59" s="75" t="inlineStr">
        <is>
          <t>concluído</t>
        </is>
      </c>
      <c r="F59" s="145" t="n">
        <v>8</v>
      </c>
      <c r="G59" s="75" t="inlineStr">
        <is>
          <t>consultado</t>
        </is>
      </c>
      <c r="H59" s="75" t="inlineStr">
        <is>
          <t>N/D</t>
        </is>
      </c>
      <c r="I59" s="75" t="inlineStr">
        <is>
          <t>N/D</t>
        </is>
      </c>
      <c r="J59" s="75" t="inlineStr">
        <is>
          <t>não encontrado</t>
        </is>
      </c>
      <c r="K59" s="75" t="inlineStr">
        <is>
          <t>N/D</t>
        </is>
      </c>
      <c r="L59" s="75" t="inlineStr">
        <is>
          <t>N/D</t>
        </is>
      </c>
      <c r="M59" s="75" t="inlineStr">
        <is>
          <t>N/D</t>
        </is>
      </c>
      <c r="N59" s="75" t="inlineStr">
        <is>
          <t>N/D</t>
        </is>
      </c>
      <c r="O59" s="75" t="inlineStr">
        <is>
          <t>N/D</t>
        </is>
      </c>
      <c r="P59" s="75" t="inlineStr">
        <is>
          <t>N/D</t>
        </is>
      </c>
      <c r="Q59" s="75" t="inlineStr">
        <is>
          <t>Azul</t>
        </is>
      </c>
      <c r="R59" s="75" t="inlineStr">
        <is>
          <t>aceito_payload</t>
        </is>
      </c>
      <c r="S59" s="75" t="inlineStr">
        <is>
          <t>N/D</t>
        </is>
      </c>
      <c r="T59" s="75" t="inlineStr">
        <is>
          <t>IMG_8705.JPG</t>
        </is>
      </c>
      <c r="U59" s="75" t="inlineStr">
        <is>
          <t>2024-06-25</t>
        </is>
      </c>
      <c r="V59" s="75" t="inlineStr">
        <is>
          <t>61</t>
        </is>
      </c>
      <c r="W59" s="75" t="inlineStr">
        <is>
          <t>N/D</t>
        </is>
      </c>
      <c r="X59" s="75" t="inlineStr">
        <is>
          <t>planilha_manual</t>
        </is>
      </c>
      <c r="Y59" s="75" t="inlineStr">
        <is>
          <t>N/D</t>
        </is>
      </c>
      <c r="Z59" s="75" t="inlineStr">
        <is>
          <t>não encontrado</t>
        </is>
      </c>
      <c r="AA59" s="75" t="inlineStr">
        <is>
          <t>N/D</t>
        </is>
      </c>
      <c r="AB59" s="75" t="inlineStr">
        <is>
          <t>N/D</t>
        </is>
      </c>
      <c r="AC59" s="75" t="inlineStr">
        <is>
          <t>N/D</t>
        </is>
      </c>
      <c r="AD59" s="75" t="inlineStr">
        <is>
          <t>N/D</t>
        </is>
      </c>
      <c r="AE59" s="75" t="inlineStr">
        <is>
          <t>N/D</t>
        </is>
      </c>
      <c r="AF59" s="75" t="inlineStr">
        <is>
          <t>N/D</t>
        </is>
      </c>
      <c r="AG59" s="75" t="inlineStr">
        <is>
          <t>Debênture</t>
        </is>
      </c>
      <c r="AH59" s="75" t="inlineStr">
        <is>
          <t>aceito_payload</t>
        </is>
      </c>
      <c r="AI59" s="75" t="inlineStr">
        <is>
          <t>N/D</t>
        </is>
      </c>
      <c r="AJ59" s="75" t="inlineStr">
        <is>
          <t>IMG_8705.JPG</t>
        </is>
      </c>
      <c r="AK59" s="75" t="inlineStr">
        <is>
          <t>2024-06-25</t>
        </is>
      </c>
      <c r="AL59" s="75" t="inlineStr">
        <is>
          <t>61</t>
        </is>
      </c>
      <c r="AM59" s="75" t="inlineStr">
        <is>
          <t>N/D</t>
        </is>
      </c>
      <c r="AN59" s="75" t="inlineStr">
        <is>
          <t>planilha_manual</t>
        </is>
      </c>
      <c r="AO59" s="75" t="inlineStr">
        <is>
          <t>5%</t>
        </is>
      </c>
      <c r="AP59" s="75" t="inlineStr">
        <is>
          <t>aceito_payload</t>
        </is>
      </c>
      <c r="AQ59" s="75" t="inlineStr">
        <is>
          <t>junior_pl</t>
        </is>
      </c>
      <c r="AR59" s="75" t="inlineStr">
        <is>
          <t>686750</t>
        </is>
      </c>
      <c r="AS59" s="75" t="inlineStr">
        <is>
          <t>2024-06-25</t>
        </is>
      </c>
      <c r="AT59" s="75" t="inlineStr">
        <is>
          <t>61</t>
        </is>
      </c>
      <c r="AU59" s="75" t="inlineStr">
        <is>
          <t>https://fnet.bmfbovespa.com.br/fnet/publico/downloadDocumento?id=686750</t>
        </is>
      </c>
      <c r="AV59" s="75" t="inlineStr">
        <is>
          <t>payload_documental</t>
        </is>
      </c>
      <c r="AW59" s="75" t="inlineStr">
        <is>
          <t>N/D</t>
        </is>
      </c>
      <c r="AX59" s="75" t="inlineStr">
        <is>
          <t>não encontrado</t>
        </is>
      </c>
      <c r="AY59" s="75" t="inlineStr">
        <is>
          <t>N/D</t>
        </is>
      </c>
      <c r="AZ59" s="75" t="inlineStr">
        <is>
          <t>N/D</t>
        </is>
      </c>
      <c r="BA59" s="75" t="inlineStr">
        <is>
          <t>N/D</t>
        </is>
      </c>
      <c r="BB59" s="75" t="inlineStr">
        <is>
          <t>N/D</t>
        </is>
      </c>
      <c r="BC59" s="75" t="inlineStr">
        <is>
          <t>N/D</t>
        </is>
      </c>
      <c r="BD59" s="75" t="inlineStr">
        <is>
          <t>N/D</t>
        </is>
      </c>
      <c r="BE59" s="75" t="inlineStr">
        <is>
          <t>junior_pl</t>
        </is>
      </c>
      <c r="BF59" s="75" t="inlineStr">
        <is>
          <t>aceito_payload</t>
        </is>
      </c>
      <c r="BG59" s="75" t="inlineStr">
        <is>
          <t>junior_pl</t>
        </is>
      </c>
      <c r="BH59" s="75" t="inlineStr">
        <is>
          <t>686750</t>
        </is>
      </c>
      <c r="BI59" s="75" t="inlineStr">
        <is>
          <t>2024-06-25</t>
        </is>
      </c>
      <c r="BJ59" s="75" t="inlineStr">
        <is>
          <t>61</t>
        </is>
      </c>
      <c r="BK59" s="75" t="inlineStr">
        <is>
          <t>https://fnet.bmfbovespa.com.br/fnet/publico/downloadDocumento?id=686750</t>
        </is>
      </c>
      <c r="BL59" s="75" t="inlineStr">
        <is>
          <t>payload_documental</t>
        </is>
      </c>
    </row>
    <row r="60" ht="42" customHeight="1">
      <c r="A60" s="141" t="n">
        <v>56</v>
      </c>
      <c r="B60" s="138" t="n">
        <v>35868110000154</v>
      </c>
      <c r="C60" s="74" t="inlineStr">
        <is>
          <t>35.868.110/0001-54</t>
        </is>
      </c>
      <c r="D60" s="74" t="inlineStr">
        <is>
          <t>FUNDO DE INVESTIMENTO EM DIREITOS CREDITÓRIOS BV - CRÉDITO DE VEÍCULOS RESPONSABILIDADE LIMITADA</t>
        </is>
      </c>
      <c r="E60" s="74" t="inlineStr">
        <is>
          <t>concluído</t>
        </is>
      </c>
      <c r="F60" s="141" t="n">
        <v>9</v>
      </c>
      <c r="G60" s="74" t="inlineStr">
        <is>
          <t>consultado</t>
        </is>
      </c>
      <c r="H60" s="74" t="inlineStr">
        <is>
          <t>N/D</t>
        </is>
      </c>
      <c r="I60" s="74" t="inlineStr">
        <is>
          <t>N/D</t>
        </is>
      </c>
      <c r="J60" s="74" t="inlineStr">
        <is>
          <t>não encontrado</t>
        </is>
      </c>
      <c r="K60" s="74" t="inlineStr">
        <is>
          <t>N/D</t>
        </is>
      </c>
      <c r="L60" s="74" t="inlineStr">
        <is>
          <t>N/D</t>
        </is>
      </c>
      <c r="M60" s="74" t="inlineStr">
        <is>
          <t>N/D</t>
        </is>
      </c>
      <c r="N60" s="74" t="inlineStr">
        <is>
          <t>N/D</t>
        </is>
      </c>
      <c r="O60" s="74" t="inlineStr">
        <is>
          <t>N/D</t>
        </is>
      </c>
      <c r="P60" s="74" t="inlineStr">
        <is>
          <t>N/D</t>
        </is>
      </c>
      <c r="Q60" s="74" t="inlineStr">
        <is>
          <t>Banco Votorantim</t>
        </is>
      </c>
      <c r="R60" s="74" t="inlineStr">
        <is>
          <t>aceito_payload</t>
        </is>
      </c>
      <c r="S60" s="74" t="inlineStr">
        <is>
          <t>N/D</t>
        </is>
      </c>
      <c r="T60" s="74" t="inlineStr">
        <is>
          <t>IMG_8705.JPG</t>
        </is>
      </c>
      <c r="U60" s="74" t="inlineStr">
        <is>
          <t>2024-11-27</t>
        </is>
      </c>
      <c r="V60" s="74" t="inlineStr">
        <is>
          <t>48</t>
        </is>
      </c>
      <c r="W60" s="74" t="inlineStr">
        <is>
          <t>N/D</t>
        </is>
      </c>
      <c r="X60" s="74" t="inlineStr">
        <is>
          <t>planilha_manual</t>
        </is>
      </c>
      <c r="Y60" s="74" t="inlineStr">
        <is>
          <t>N/D</t>
        </is>
      </c>
      <c r="Z60" s="74" t="inlineStr">
        <is>
          <t>não encontrado</t>
        </is>
      </c>
      <c r="AA60" s="74" t="inlineStr">
        <is>
          <t>N/D</t>
        </is>
      </c>
      <c r="AB60" s="74" t="inlineStr">
        <is>
          <t>N/D</t>
        </is>
      </c>
      <c r="AC60" s="74" t="inlineStr">
        <is>
          <t>N/D</t>
        </is>
      </c>
      <c r="AD60" s="74" t="inlineStr">
        <is>
          <t>N/D</t>
        </is>
      </c>
      <c r="AE60" s="74" t="inlineStr">
        <is>
          <t>N/D</t>
        </is>
      </c>
      <c r="AF60" s="74" t="inlineStr">
        <is>
          <t>N/D</t>
        </is>
      </c>
      <c r="AG60" s="74" t="inlineStr">
        <is>
          <t>Carteira Veículos com coobrigação BV</t>
        </is>
      </c>
      <c r="AH60" s="74" t="inlineStr">
        <is>
          <t>aceito_payload</t>
        </is>
      </c>
      <c r="AI60" s="74" t="inlineStr">
        <is>
          <t>N/D</t>
        </is>
      </c>
      <c r="AJ60" s="74" t="inlineStr">
        <is>
          <t>IMG_8705.JPG</t>
        </is>
      </c>
      <c r="AK60" s="74" t="inlineStr">
        <is>
          <t>2024-11-27</t>
        </is>
      </c>
      <c r="AL60" s="74" t="inlineStr">
        <is>
          <t>48</t>
        </is>
      </c>
      <c r="AM60" s="74" t="inlineStr">
        <is>
          <t>N/D</t>
        </is>
      </c>
      <c r="AN60" s="74" t="inlineStr">
        <is>
          <t>planilha_manual</t>
        </is>
      </c>
      <c r="AO60" s="74" t="inlineStr">
        <is>
          <t>25%</t>
        </is>
      </c>
      <c r="AP60" s="74" t="inlineStr">
        <is>
          <t>aceito_payload</t>
        </is>
      </c>
      <c r="AQ60" s="74" t="inlineStr">
        <is>
          <t>junior_pl</t>
        </is>
      </c>
      <c r="AR60" s="74" t="inlineStr">
        <is>
          <t>792021</t>
        </is>
      </c>
      <c r="AS60" s="74" t="inlineStr">
        <is>
          <t>2024-11-27</t>
        </is>
      </c>
      <c r="AT60" s="74" t="inlineStr">
        <is>
          <t>48</t>
        </is>
      </c>
      <c r="AU60" s="74" t="inlineStr">
        <is>
          <t>https://fnet.bmfbovespa.com.br/fnet/publico/downloadDocumento?id=792021</t>
        </is>
      </c>
      <c r="AV60" s="74" t="inlineStr">
        <is>
          <t>payload_documental</t>
        </is>
      </c>
      <c r="AW60" s="74" t="inlineStr">
        <is>
          <t>25%</t>
        </is>
      </c>
      <c r="AX60" s="74" t="inlineStr">
        <is>
          <t>aceito_payload</t>
        </is>
      </c>
      <c r="AY60" s="74" t="inlineStr">
        <is>
          <t>suporte_total_pl</t>
        </is>
      </c>
      <c r="AZ60" s="74" t="inlineStr">
        <is>
          <t>792021</t>
        </is>
      </c>
      <c r="BA60" s="74" t="inlineStr">
        <is>
          <t>2024-11-27</t>
        </is>
      </c>
      <c r="BB60" s="74" t="inlineStr">
        <is>
          <t>48</t>
        </is>
      </c>
      <c r="BC60" s="74" t="inlineStr">
        <is>
          <t>https://fnet.bmfbovespa.com.br/fnet/publico/downloadDocumento?id=792021</t>
        </is>
      </c>
      <c r="BD60" s="74" t="inlineStr">
        <is>
          <t>payload_documental</t>
        </is>
      </c>
      <c r="BE60" s="74" t="inlineStr">
        <is>
          <t>junior_pl</t>
        </is>
      </c>
      <c r="BF60" s="74" t="inlineStr">
        <is>
          <t>aceito_payload</t>
        </is>
      </c>
      <c r="BG60" s="74" t="inlineStr">
        <is>
          <t>junior_pl</t>
        </is>
      </c>
      <c r="BH60" s="74" t="inlineStr">
        <is>
          <t>792021</t>
        </is>
      </c>
      <c r="BI60" s="74" t="inlineStr">
        <is>
          <t>2024-11-27</t>
        </is>
      </c>
      <c r="BJ60" s="74" t="inlineStr">
        <is>
          <t>48</t>
        </is>
      </c>
      <c r="BK60" s="74" t="inlineStr">
        <is>
          <t>https://fnet.bmfbovespa.com.br/fnet/publico/downloadDocumento?id=792021</t>
        </is>
      </c>
      <c r="BL60" s="74" t="inlineStr">
        <is>
          <t>payload_documental</t>
        </is>
      </c>
    </row>
    <row r="61" ht="42" customHeight="1">
      <c r="A61" s="145" t="n">
        <v>57</v>
      </c>
      <c r="B61" s="142" t="n">
        <v>48953864000154</v>
      </c>
      <c r="C61" s="75" t="inlineStr">
        <is>
          <t>48.953.864/0001-54</t>
        </is>
      </c>
      <c r="D61" s="75" t="inlineStr">
        <is>
          <t>FUNDO DE INVESTIMENTO EM DIREITOS CREDITORIOS ASAAS II - RESPONSABILIDADE LIMITADA</t>
        </is>
      </c>
      <c r="E61" s="75" t="inlineStr">
        <is>
          <t>concluído</t>
        </is>
      </c>
      <c r="F61" s="145" t="n">
        <v>6</v>
      </c>
      <c r="G61" s="75" t="inlineStr">
        <is>
          <t>consultado</t>
        </is>
      </c>
      <c r="H61" s="75" t="inlineStr">
        <is>
          <t>N/D</t>
        </is>
      </c>
      <c r="I61" s="75" t="inlineStr">
        <is>
          <t>N/D</t>
        </is>
      </c>
      <c r="J61" s="75" t="inlineStr">
        <is>
          <t>não encontrado</t>
        </is>
      </c>
      <c r="K61" s="75" t="inlineStr">
        <is>
          <t>N/D</t>
        </is>
      </c>
      <c r="L61" s="75" t="inlineStr">
        <is>
          <t>N/D</t>
        </is>
      </c>
      <c r="M61" s="75" t="inlineStr">
        <is>
          <t>N/D</t>
        </is>
      </c>
      <c r="N61" s="75" t="inlineStr">
        <is>
          <t>N/D</t>
        </is>
      </c>
      <c r="O61" s="75" t="inlineStr">
        <is>
          <t>N/D</t>
        </is>
      </c>
      <c r="P61" s="75" t="inlineStr">
        <is>
          <t>N/D</t>
        </is>
      </c>
      <c r="Q61" s="75" t="inlineStr">
        <is>
          <t>o ASAAS GESTÃO FINANCEIRA INSTITUIÇÃO DE PAGAMENTOS S.A. , sociedade anônima, com sede na Cidade de Joinville, Estado de Santa Catarina, na Avenida Rolf Wiest, n.º 277, Sala 820, Bom Retiro, CEP 89227-971, inscrita no CNPJ/MF sob o n.º 19.540.550/0001 -21, que atua como Subcredenciadora, nos termos dos Contratos de Credenciamento</t>
        </is>
      </c>
      <c r="R61" s="75" t="inlineStr">
        <is>
          <t>encontrado_explicito</t>
        </is>
      </c>
      <c r="S61" s="75" t="inlineStr">
        <is>
          <t>N/D</t>
        </is>
      </c>
      <c r="T61" s="75" t="inlineStr">
        <is>
          <t>473796</t>
        </is>
      </c>
      <c r="U61" s="75" t="inlineStr">
        <is>
          <t>01/06/2023</t>
        </is>
      </c>
      <c r="V61" s="75" t="inlineStr">
        <is>
          <t>7</t>
        </is>
      </c>
      <c r="W61" s="75" t="inlineStr">
        <is>
          <t>https://fnet.bmfbovespa.com.br/fnet/publico/downloadDocumento?id=473796</t>
        </is>
      </c>
      <c r="X61" s="75" t="inlineStr">
        <is>
          <t>regulamento</t>
        </is>
      </c>
      <c r="Y61" s="75" t="inlineStr">
        <is>
          <t>N/D</t>
        </is>
      </c>
      <c r="Z61" s="75" t="inlineStr">
        <is>
          <t>não encontrado</t>
        </is>
      </c>
      <c r="AA61" s="75" t="inlineStr">
        <is>
          <t>N/D</t>
        </is>
      </c>
      <c r="AB61" s="75" t="inlineStr">
        <is>
          <t>N/D</t>
        </is>
      </c>
      <c r="AC61" s="75" t="inlineStr">
        <is>
          <t>N/D</t>
        </is>
      </c>
      <c r="AD61" s="75" t="inlineStr">
        <is>
          <t>N/D</t>
        </is>
      </c>
      <c r="AE61" s="75" t="inlineStr">
        <is>
          <t>N/D</t>
        </is>
      </c>
      <c r="AF61" s="75" t="inlineStr">
        <is>
          <t>N/D</t>
        </is>
      </c>
      <c r="AG61" s="75" t="inlineStr">
        <is>
          <t>os direitos creditórios constituídos, conforme artigo 2º, inciso II da Resolução CMN 4.734, organizados e formalizados em formato de UR registrada no Sistema de Registro, que são, de tempos em tempos, detidos pela Cedente em face de cada Devedora, nos termos do respectivo Acordo de Parceria, decorrentes de Transações de Pagamento, presenciais e n ão presenciais, na modalidade “crédito”, realizadas pelos Usuários com a utilização de Instrumentos de Pagamentos para a aquisição de bens ou serviços junto aos Recebedores Credenciados, equivalentes ao valor atualizado remanescente das</t>
        </is>
      </c>
      <c r="AH61" s="75" t="inlineStr">
        <is>
          <t>encontrado_explicito</t>
        </is>
      </c>
      <c r="AI61" s="75" t="inlineStr">
        <is>
          <t>N/D</t>
        </is>
      </c>
      <c r="AJ61" s="75" t="inlineStr">
        <is>
          <t>473796</t>
        </is>
      </c>
      <c r="AK61" s="75" t="inlineStr">
        <is>
          <t>01/06/2023</t>
        </is>
      </c>
      <c r="AL61" s="75" t="inlineStr">
        <is>
          <t>11</t>
        </is>
      </c>
      <c r="AM61" s="75" t="inlineStr">
        <is>
          <t>https://fnet.bmfbovespa.com.br/fnet/publico/downloadDocumento?id=473796</t>
        </is>
      </c>
      <c r="AN61" s="75" t="inlineStr">
        <is>
          <t>regulamento</t>
        </is>
      </c>
      <c r="AO61" s="75" t="inlineStr">
        <is>
          <t>15%</t>
        </is>
      </c>
      <c r="AP61" s="75" t="inlineStr">
        <is>
          <t>aceito_payload</t>
        </is>
      </c>
      <c r="AQ61" s="75" t="inlineStr">
        <is>
          <t>junior_pl</t>
        </is>
      </c>
      <c r="AR61" s="75" t="inlineStr">
        <is>
          <t>774314</t>
        </is>
      </c>
      <c r="AS61" s="75" t="inlineStr">
        <is>
          <t>2024-11-05</t>
        </is>
      </c>
      <c r="AT61" s="75" t="inlineStr">
        <is>
          <t>33; 107</t>
        </is>
      </c>
      <c r="AU61" s="75" t="inlineStr">
        <is>
          <t>https://fnet.bmfbovespa.com.br/fnet/publico/downloadDocumento?id=774314</t>
        </is>
      </c>
      <c r="AV61" s="75" t="inlineStr">
        <is>
          <t>payload_documental</t>
        </is>
      </c>
      <c r="AW61" s="75" t="inlineStr">
        <is>
          <t>15%</t>
        </is>
      </c>
      <c r="AX61" s="75" t="inlineStr">
        <is>
          <t>aceito_payload</t>
        </is>
      </c>
      <c r="AY61" s="75" t="inlineStr">
        <is>
          <t>suporte_total_pl</t>
        </is>
      </c>
      <c r="AZ61" s="75" t="inlineStr">
        <is>
          <t>774314</t>
        </is>
      </c>
      <c r="BA61" s="75" t="inlineStr">
        <is>
          <t>2024-11-05</t>
        </is>
      </c>
      <c r="BB61" s="75" t="inlineStr">
        <is>
          <t>33; 107</t>
        </is>
      </c>
      <c r="BC61" s="75" t="inlineStr">
        <is>
          <t>https://fnet.bmfbovespa.com.br/fnet/publico/downloadDocumento?id=774314</t>
        </is>
      </c>
      <c r="BD61" s="75" t="inlineStr">
        <is>
          <t>payload_documental</t>
        </is>
      </c>
      <c r="BE61" s="75" t="inlineStr">
        <is>
          <t>junior_pl</t>
        </is>
      </c>
      <c r="BF61" s="75" t="inlineStr">
        <is>
          <t>aceito_payload</t>
        </is>
      </c>
      <c r="BG61" s="75" t="inlineStr">
        <is>
          <t>junior_pl</t>
        </is>
      </c>
      <c r="BH61" s="75" t="inlineStr">
        <is>
          <t>774314</t>
        </is>
      </c>
      <c r="BI61" s="75" t="inlineStr">
        <is>
          <t>2024-11-05</t>
        </is>
      </c>
      <c r="BJ61" s="75" t="inlineStr">
        <is>
          <t>33; 107</t>
        </is>
      </c>
      <c r="BK61" s="75" t="inlineStr">
        <is>
          <t>https://fnet.bmfbovespa.com.br/fnet/publico/downloadDocumento?id=774314</t>
        </is>
      </c>
      <c r="BL61" s="75" t="inlineStr">
        <is>
          <t>payload_documental</t>
        </is>
      </c>
    </row>
    <row r="62" ht="42" customHeight="1">
      <c r="A62" s="141" t="n">
        <v>58</v>
      </c>
      <c r="B62" s="138" t="n">
        <v>65976848000104</v>
      </c>
      <c r="C62" s="74" t="inlineStr">
        <is>
          <t>65.976.848/0001-04</t>
        </is>
      </c>
      <c r="D62" s="74" t="inlineStr">
        <is>
          <t>FUNDO DE INVESTIMENTO EM DIREITOS CREDITÓRIOS AGIBANK II RESPONSABILIDADE LIMITADA</t>
        </is>
      </c>
      <c r="E62" s="74" t="inlineStr">
        <is>
          <t>concluído</t>
        </is>
      </c>
      <c r="F62" s="141" t="n">
        <v>6</v>
      </c>
      <c r="G62" s="74" t="inlineStr">
        <is>
          <t>consultado</t>
        </is>
      </c>
      <c r="H62" s="74" t="inlineStr">
        <is>
          <t>N/D</t>
        </is>
      </c>
      <c r="I62" s="74" t="inlineStr">
        <is>
          <t>N/D</t>
        </is>
      </c>
      <c r="J62" s="74" t="inlineStr">
        <is>
          <t>não encontrado</t>
        </is>
      </c>
      <c r="K62" s="74" t="inlineStr">
        <is>
          <t>N/D</t>
        </is>
      </c>
      <c r="L62" s="74" t="inlineStr">
        <is>
          <t>N/D</t>
        </is>
      </c>
      <c r="M62" s="74" t="inlineStr">
        <is>
          <t>N/D</t>
        </is>
      </c>
      <c r="N62" s="74" t="inlineStr">
        <is>
          <t>N/D</t>
        </is>
      </c>
      <c r="O62" s="74" t="inlineStr">
        <is>
          <t>N/D</t>
        </is>
      </c>
      <c r="P62" s="74" t="inlineStr">
        <is>
          <t>N/D</t>
        </is>
      </c>
      <c r="Q62" s="74" t="inlineStr">
        <is>
          <t>N/D</t>
        </is>
      </c>
      <c r="R62" s="74" t="inlineStr">
        <is>
          <t>não encontrado</t>
        </is>
      </c>
      <c r="S62" s="74" t="inlineStr">
        <is>
          <t>N/D</t>
        </is>
      </c>
      <c r="T62" s="74" t="inlineStr">
        <is>
          <t>N/D</t>
        </is>
      </c>
      <c r="U62" s="74" t="inlineStr">
        <is>
          <t>N/D</t>
        </is>
      </c>
      <c r="V62" s="74" t="inlineStr">
        <is>
          <t>N/D</t>
        </is>
      </c>
      <c r="W62" s="74" t="inlineStr">
        <is>
          <t>N/D</t>
        </is>
      </c>
      <c r="X62" s="74" t="inlineStr">
        <is>
          <t>N/D</t>
        </is>
      </c>
      <c r="Y62" s="74" t="inlineStr">
        <is>
          <t>N/D</t>
        </is>
      </c>
      <c r="Z62" s="74" t="inlineStr">
        <is>
          <t>não encontrado</t>
        </is>
      </c>
      <c r="AA62" s="74" t="inlineStr">
        <is>
          <t>N/D</t>
        </is>
      </c>
      <c r="AB62" s="74" t="inlineStr">
        <is>
          <t>N/D</t>
        </is>
      </c>
      <c r="AC62" s="74" t="inlineStr">
        <is>
          <t>N/D</t>
        </is>
      </c>
      <c r="AD62" s="74" t="inlineStr">
        <is>
          <t>N/D</t>
        </is>
      </c>
      <c r="AE62" s="74" t="inlineStr">
        <is>
          <t>N/D</t>
        </is>
      </c>
      <c r="AF62" s="74" t="inlineStr">
        <is>
          <t>N/D</t>
        </is>
      </c>
      <c r="AG62" s="74" t="inlineStr">
        <is>
          <t>N/D</t>
        </is>
      </c>
      <c r="AH62" s="74" t="inlineStr">
        <is>
          <t>não encontrado</t>
        </is>
      </c>
      <c r="AI62" s="74" t="inlineStr">
        <is>
          <t>N/D</t>
        </is>
      </c>
      <c r="AJ62" s="74" t="inlineStr">
        <is>
          <t>N/D</t>
        </is>
      </c>
      <c r="AK62" s="74" t="inlineStr">
        <is>
          <t>N/D</t>
        </is>
      </c>
      <c r="AL62" s="74" t="inlineStr">
        <is>
          <t>N/D</t>
        </is>
      </c>
      <c r="AM62" s="74" t="inlineStr">
        <is>
          <t>N/D</t>
        </is>
      </c>
      <c r="AN62" s="74" t="inlineStr">
        <is>
          <t>N/D</t>
        </is>
      </c>
      <c r="AO62" s="74" t="inlineStr">
        <is>
          <t>5%</t>
        </is>
      </c>
      <c r="AP62" s="74" t="inlineStr">
        <is>
          <t>aceito_payload</t>
        </is>
      </c>
      <c r="AQ62" s="74" t="inlineStr">
        <is>
          <t>junior_pl</t>
        </is>
      </c>
      <c r="AR62" s="74" t="inlineStr">
        <is>
          <t>1239452</t>
        </is>
      </c>
      <c r="AS62" s="74" t="inlineStr">
        <is>
          <t>2026-06-22</t>
        </is>
      </c>
      <c r="AT62" s="74" t="inlineStr">
        <is>
          <t>35</t>
        </is>
      </c>
      <c r="AU62" s="74" t="inlineStr">
        <is>
          <t>https://fnet.bmfbovespa.com.br/fnet/publico/downloadDocumento?id=1239452</t>
        </is>
      </c>
      <c r="AV62" s="74" t="inlineStr">
        <is>
          <t>payload_documental</t>
        </is>
      </c>
      <c r="AW62" s="74" t="inlineStr">
        <is>
          <t>N/D</t>
        </is>
      </c>
      <c r="AX62" s="74" t="inlineStr">
        <is>
          <t>não encontrado</t>
        </is>
      </c>
      <c r="AY62" s="74" t="inlineStr">
        <is>
          <t>N/D</t>
        </is>
      </c>
      <c r="AZ62" s="74" t="inlineStr">
        <is>
          <t>N/D</t>
        </is>
      </c>
      <c r="BA62" s="74" t="inlineStr">
        <is>
          <t>N/D</t>
        </is>
      </c>
      <c r="BB62" s="74" t="inlineStr">
        <is>
          <t>N/D</t>
        </is>
      </c>
      <c r="BC62" s="74" t="inlineStr">
        <is>
          <t>N/D</t>
        </is>
      </c>
      <c r="BD62" s="74" t="inlineStr">
        <is>
          <t>N/D</t>
        </is>
      </c>
      <c r="BE62" s="74" t="inlineStr">
        <is>
          <t>junior_pl</t>
        </is>
      </c>
      <c r="BF62" s="74" t="inlineStr">
        <is>
          <t>aceito_payload</t>
        </is>
      </c>
      <c r="BG62" s="74" t="inlineStr">
        <is>
          <t>junior_pl</t>
        </is>
      </c>
      <c r="BH62" s="74" t="inlineStr">
        <is>
          <t>1239452</t>
        </is>
      </c>
      <c r="BI62" s="74" t="inlineStr">
        <is>
          <t>2026-06-22</t>
        </is>
      </c>
      <c r="BJ62" s="74" t="inlineStr">
        <is>
          <t>35</t>
        </is>
      </c>
      <c r="BK62" s="74" t="inlineStr">
        <is>
          <t>https://fnet.bmfbovespa.com.br/fnet/publico/downloadDocumento?id=1239452</t>
        </is>
      </c>
      <c r="BL62" s="74" t="inlineStr">
        <is>
          <t>payload_documental</t>
        </is>
      </c>
    </row>
    <row r="63" ht="42" customHeight="1">
      <c r="A63" s="145" t="n">
        <v>59</v>
      </c>
      <c r="B63" s="142" t="n">
        <v>50536324000117</v>
      </c>
      <c r="C63" s="75" t="inlineStr">
        <is>
          <t>50.536.324/0001-17</t>
        </is>
      </c>
      <c r="D63" s="75" t="inlineStr">
        <is>
          <t>MAQNELSON FUNDO DE INVESTIMENTO EM DIREITOS CREDITÓRIOS - RESPONSABILIDADE LIMITADA</t>
        </is>
      </c>
      <c r="E63" s="75" t="inlineStr">
        <is>
          <t>concluído</t>
        </is>
      </c>
      <c r="F63" s="145" t="n">
        <v>7</v>
      </c>
      <c r="G63" s="75" t="inlineStr">
        <is>
          <t>consultado</t>
        </is>
      </c>
      <c r="H63" s="75" t="inlineStr">
        <is>
          <t>N/D</t>
        </is>
      </c>
      <c r="I63" s="75" t="inlineStr">
        <is>
          <t>N/D</t>
        </is>
      </c>
      <c r="J63" s="75" t="inlineStr">
        <is>
          <t>não encontrado</t>
        </is>
      </c>
      <c r="K63" s="75" t="inlineStr">
        <is>
          <t>N/D</t>
        </is>
      </c>
      <c r="L63" s="75" t="inlineStr">
        <is>
          <t>N/D</t>
        </is>
      </c>
      <c r="M63" s="75" t="inlineStr">
        <is>
          <t>N/D</t>
        </is>
      </c>
      <c r="N63" s="75" t="inlineStr">
        <is>
          <t>N/D</t>
        </is>
      </c>
      <c r="O63" s="75" t="inlineStr">
        <is>
          <t>N/D</t>
        </is>
      </c>
      <c r="P63" s="75" t="inlineStr">
        <is>
          <t>N/D</t>
        </is>
      </c>
      <c r="Q63" s="75" t="inlineStr">
        <is>
          <t>Maqnelson</t>
        </is>
      </c>
      <c r="R63" s="75" t="inlineStr">
        <is>
          <t>aceito_payload</t>
        </is>
      </c>
      <c r="S63" s="75" t="inlineStr">
        <is>
          <t>N/D</t>
        </is>
      </c>
      <c r="T63" s="75" t="inlineStr">
        <is>
          <t>IMG_8706.JPG</t>
        </is>
      </c>
      <c r="U63" s="75" t="inlineStr">
        <is>
          <t>2025-06-04</t>
        </is>
      </c>
      <c r="V63" s="75" t="inlineStr">
        <is>
          <t>111</t>
        </is>
      </c>
      <c r="W63" s="75" t="inlineStr">
        <is>
          <t>N/D</t>
        </is>
      </c>
      <c r="X63" s="75" t="inlineStr">
        <is>
          <t>planilha_manual</t>
        </is>
      </c>
      <c r="Y63" s="75" t="inlineStr">
        <is>
          <t>N/D</t>
        </is>
      </c>
      <c r="Z63" s="75" t="inlineStr">
        <is>
          <t>não encontrado</t>
        </is>
      </c>
      <c r="AA63" s="75" t="inlineStr">
        <is>
          <t>N/D</t>
        </is>
      </c>
      <c r="AB63" s="75" t="inlineStr">
        <is>
          <t>N/D</t>
        </is>
      </c>
      <c r="AC63" s="75" t="inlineStr">
        <is>
          <t>N/D</t>
        </is>
      </c>
      <c r="AD63" s="75" t="inlineStr">
        <is>
          <t>N/D</t>
        </is>
      </c>
      <c r="AE63" s="75" t="inlineStr">
        <is>
          <t>N/D</t>
        </is>
      </c>
      <c r="AF63" s="75" t="inlineStr">
        <is>
          <t>N/D</t>
        </is>
      </c>
      <c r="AG63" s="75" t="inlineStr">
        <is>
          <t>os direitos creditórios performados originados da venda a prazo de Bens, representados pelos Documentos Comprobatórios, conforme o caso, detidas pelas Cedentes contra as Devedoras</t>
        </is>
      </c>
      <c r="AH63" s="75" t="inlineStr">
        <is>
          <t>encontrado_explicito</t>
        </is>
      </c>
      <c r="AI63" s="75" t="inlineStr">
        <is>
          <t>N/D</t>
        </is>
      </c>
      <c r="AJ63" s="75" t="inlineStr">
        <is>
          <t>918862</t>
        </is>
      </c>
      <c r="AK63" s="75" t="inlineStr">
        <is>
          <t>2025-06-04</t>
        </is>
      </c>
      <c r="AL63" s="75" t="inlineStr">
        <is>
          <t>99</t>
        </is>
      </c>
      <c r="AM63" s="75" t="inlineStr">
        <is>
          <t>https://fnet.bmfbovespa.com.br/fnet/publico/downloadDocumento?id=918862</t>
        </is>
      </c>
      <c r="AN63" s="75" t="inlineStr">
        <is>
          <t>regulamento</t>
        </is>
      </c>
      <c r="AO63" s="75" t="inlineStr">
        <is>
          <t>50%</t>
        </is>
      </c>
      <c r="AP63" s="75" t="inlineStr">
        <is>
          <t>aceito_payload</t>
        </is>
      </c>
      <c r="AQ63" s="75" t="inlineStr">
        <is>
          <t>junior_pl</t>
        </is>
      </c>
      <c r="AR63" s="75" t="inlineStr">
        <is>
          <t>918862</t>
        </is>
      </c>
      <c r="AS63" s="75" t="inlineStr">
        <is>
          <t>2025-06-04</t>
        </is>
      </c>
      <c r="AT63" s="75" t="inlineStr">
        <is>
          <t>111</t>
        </is>
      </c>
      <c r="AU63" s="75" t="inlineStr">
        <is>
          <t>https://fnet.bmfbovespa.com.br/fnet/publico/downloadDocumento?id=918862</t>
        </is>
      </c>
      <c r="AV63" s="75" t="inlineStr">
        <is>
          <t>payload_documental</t>
        </is>
      </c>
      <c r="AW63" s="75" t="inlineStr">
        <is>
          <t>50%</t>
        </is>
      </c>
      <c r="AX63" s="75" t="inlineStr">
        <is>
          <t>aceito_payload</t>
        </is>
      </c>
      <c r="AY63" s="75" t="inlineStr">
        <is>
          <t>suporte_total_pl</t>
        </is>
      </c>
      <c r="AZ63" s="75" t="inlineStr">
        <is>
          <t>918862</t>
        </is>
      </c>
      <c r="BA63" s="75" t="inlineStr">
        <is>
          <t>2025-06-04</t>
        </is>
      </c>
      <c r="BB63" s="75" t="inlineStr">
        <is>
          <t>111</t>
        </is>
      </c>
      <c r="BC63" s="75" t="inlineStr">
        <is>
          <t>https://fnet.bmfbovespa.com.br/fnet/publico/downloadDocumento?id=918862</t>
        </is>
      </c>
      <c r="BD63" s="75" t="inlineStr">
        <is>
          <t>payload_documental</t>
        </is>
      </c>
      <c r="BE63" s="75" t="inlineStr">
        <is>
          <t>junior_pl</t>
        </is>
      </c>
      <c r="BF63" s="75" t="inlineStr">
        <is>
          <t>aceito_payload</t>
        </is>
      </c>
      <c r="BG63" s="75" t="inlineStr">
        <is>
          <t>junior_pl</t>
        </is>
      </c>
      <c r="BH63" s="75" t="inlineStr">
        <is>
          <t>918862</t>
        </is>
      </c>
      <c r="BI63" s="75" t="inlineStr">
        <is>
          <t>2025-06-04</t>
        </is>
      </c>
      <c r="BJ63" s="75" t="inlineStr">
        <is>
          <t>111</t>
        </is>
      </c>
      <c r="BK63" s="75" t="inlineStr">
        <is>
          <t>https://fnet.bmfbovespa.com.br/fnet/publico/downloadDocumento?id=918862</t>
        </is>
      </c>
      <c r="BL63" s="75" t="inlineStr">
        <is>
          <t>payload_documental</t>
        </is>
      </c>
    </row>
    <row r="64" ht="42" customHeight="1">
      <c r="A64" s="141" t="n">
        <v>60</v>
      </c>
      <c r="B64" s="138" t="n">
        <v>57816252000100</v>
      </c>
      <c r="C64" s="74" t="inlineStr">
        <is>
          <t>57.816.252/0001-00</t>
        </is>
      </c>
      <c r="D64" s="74" t="inlineStr">
        <is>
          <t>NATURA PAY FUNDO DE INVESTIMENTO EM DIREITOS CREDITÓRIOS CRÉDITO PESSOAL SOCIAL E IS RESP LTDA</t>
        </is>
      </c>
      <c r="E64" s="74" t="inlineStr">
        <is>
          <t>concluído</t>
        </is>
      </c>
      <c r="F64" s="141" t="n">
        <v>6</v>
      </c>
      <c r="G64" s="74" t="inlineStr">
        <is>
          <t>consultado</t>
        </is>
      </c>
      <c r="H64" s="74" t="inlineStr">
        <is>
          <t>N/D</t>
        </is>
      </c>
      <c r="I64" s="74" t="inlineStr">
        <is>
          <t>N/D</t>
        </is>
      </c>
      <c r="J64" s="74" t="inlineStr">
        <is>
          <t>não encontrado</t>
        </is>
      </c>
      <c r="K64" s="74" t="inlineStr">
        <is>
          <t>N/D</t>
        </is>
      </c>
      <c r="L64" s="74" t="inlineStr">
        <is>
          <t>N/D</t>
        </is>
      </c>
      <c r="M64" s="74" t="inlineStr">
        <is>
          <t>N/D</t>
        </is>
      </c>
      <c r="N64" s="74" t="inlineStr">
        <is>
          <t>N/D</t>
        </is>
      </c>
      <c r="O64" s="74" t="inlineStr">
        <is>
          <t>N/D</t>
        </is>
      </c>
      <c r="P64" s="74" t="inlineStr">
        <is>
          <t>N/D</t>
        </is>
      </c>
      <c r="Q64" s="74" t="inlineStr">
        <is>
          <t>Natura &amp;CO Pay Sociedade de Crédito Direto S.A.</t>
        </is>
      </c>
      <c r="R64" s="74" t="inlineStr">
        <is>
          <t>aceito_payload</t>
        </is>
      </c>
      <c r="S64" s="74" t="inlineStr">
        <is>
          <t>N/D</t>
        </is>
      </c>
      <c r="T64" s="74" t="inlineStr">
        <is>
          <t>IMG_8706.JPG</t>
        </is>
      </c>
      <c r="U64" s="74" t="inlineStr">
        <is>
          <t>2026-05-07</t>
        </is>
      </c>
      <c r="V64" s="74" t="inlineStr">
        <is>
          <t>28; 68</t>
        </is>
      </c>
      <c r="W64" s="74" t="inlineStr">
        <is>
          <t>N/D</t>
        </is>
      </c>
      <c r="X64" s="74" t="inlineStr">
        <is>
          <t>planilha_manual</t>
        </is>
      </c>
      <c r="Y64" s="74" t="inlineStr">
        <is>
          <t>N/D</t>
        </is>
      </c>
      <c r="Z64" s="74" t="inlineStr">
        <is>
          <t>não encontrado</t>
        </is>
      </c>
      <c r="AA64" s="74" t="inlineStr">
        <is>
          <t>N/D</t>
        </is>
      </c>
      <c r="AB64" s="74" t="inlineStr">
        <is>
          <t>N/D</t>
        </is>
      </c>
      <c r="AC64" s="74" t="inlineStr">
        <is>
          <t>N/D</t>
        </is>
      </c>
      <c r="AD64" s="74" t="inlineStr">
        <is>
          <t>N/D</t>
        </is>
      </c>
      <c r="AE64" s="74" t="inlineStr">
        <is>
          <t>N/D</t>
        </is>
      </c>
      <c r="AF64" s="74" t="inlineStr">
        <is>
          <t>N/D</t>
        </is>
      </c>
      <c r="AG64" s="74" t="inlineStr">
        <is>
          <t>os recebíveis alienados pela Endossante à Classe, originados no âmbito de operações de financiamentos concedidos pela Natura SCD às Devedoras, mediante a emissão de CCB em favor da Natura SCD</t>
        </is>
      </c>
      <c r="AH64" s="74" t="inlineStr">
        <is>
          <t>encontrado_explicito</t>
        </is>
      </c>
      <c r="AI64" s="74" t="inlineStr">
        <is>
          <t>N/D</t>
        </is>
      </c>
      <c r="AJ64" s="74" t="inlineStr">
        <is>
          <t>1182394</t>
        </is>
      </c>
      <c r="AK64" s="74" t="inlineStr">
        <is>
          <t>07/05/2026</t>
        </is>
      </c>
      <c r="AL64" s="74" t="inlineStr">
        <is>
          <t>65</t>
        </is>
      </c>
      <c r="AM64" s="74" t="inlineStr">
        <is>
          <t>https://fnet.bmfbovespa.com.br/fnet/publico/downloadDocumento?id=1182394</t>
        </is>
      </c>
      <c r="AN64" s="74" t="inlineStr">
        <is>
          <t>regulamento</t>
        </is>
      </c>
      <c r="AO64" s="74" t="inlineStr">
        <is>
          <t>25.26%</t>
        </is>
      </c>
      <c r="AP64" s="74" t="inlineStr">
        <is>
          <t>aceito_payload</t>
        </is>
      </c>
      <c r="AQ64" s="74" t="inlineStr">
        <is>
          <t>junior_pl</t>
        </is>
      </c>
      <c r="AR64" s="74" t="inlineStr">
        <is>
          <t>1182394</t>
        </is>
      </c>
      <c r="AS64" s="74" t="inlineStr">
        <is>
          <t>2026-05-07</t>
        </is>
      </c>
      <c r="AT64" s="74" t="inlineStr">
        <is>
          <t>28; 68</t>
        </is>
      </c>
      <c r="AU64" s="74" t="inlineStr">
        <is>
          <t>https://fnet.bmfbovespa.com.br/fnet/publico/downloadDocumento?id=1182394</t>
        </is>
      </c>
      <c r="AV64" s="74" t="inlineStr">
        <is>
          <t>payload_documental</t>
        </is>
      </c>
      <c r="AW64" s="74" t="inlineStr">
        <is>
          <t>25.26%</t>
        </is>
      </c>
      <c r="AX64" s="74" t="inlineStr">
        <is>
          <t>aceito_payload</t>
        </is>
      </c>
      <c r="AY64" s="74" t="inlineStr">
        <is>
          <t>suporte_total_pl</t>
        </is>
      </c>
      <c r="AZ64" s="74" t="inlineStr">
        <is>
          <t>1182394</t>
        </is>
      </c>
      <c r="BA64" s="74" t="inlineStr">
        <is>
          <t>2026-05-07</t>
        </is>
      </c>
      <c r="BB64" s="74" t="inlineStr">
        <is>
          <t>28; 68</t>
        </is>
      </c>
      <c r="BC64" s="74" t="inlineStr">
        <is>
          <t>https://fnet.bmfbovespa.com.br/fnet/publico/downloadDocumento?id=1182394</t>
        </is>
      </c>
      <c r="BD64" s="74" t="inlineStr">
        <is>
          <t>payload_documental</t>
        </is>
      </c>
      <c r="BE64" s="74" t="inlineStr">
        <is>
          <t>junior_pl</t>
        </is>
      </c>
      <c r="BF64" s="74" t="inlineStr">
        <is>
          <t>aceito_payload</t>
        </is>
      </c>
      <c r="BG64" s="74" t="inlineStr">
        <is>
          <t>junior_pl</t>
        </is>
      </c>
      <c r="BH64" s="74" t="inlineStr">
        <is>
          <t>1182394</t>
        </is>
      </c>
      <c r="BI64" s="74" t="inlineStr">
        <is>
          <t>2026-05-07</t>
        </is>
      </c>
      <c r="BJ64" s="74" t="inlineStr">
        <is>
          <t>28; 68</t>
        </is>
      </c>
      <c r="BK64" s="74" t="inlineStr">
        <is>
          <t>https://fnet.bmfbovespa.com.br/fnet/publico/downloadDocumento?id=1182394</t>
        </is>
      </c>
      <c r="BL64" s="74" t="inlineStr">
        <is>
          <t>payload_documental</t>
        </is>
      </c>
    </row>
    <row r="65" ht="42" customHeight="1">
      <c r="A65" s="145" t="n">
        <v>61</v>
      </c>
      <c r="B65" s="142" t="n">
        <v>50473039000102</v>
      </c>
      <c r="C65" s="75" t="inlineStr">
        <is>
          <t>50.473.039/0001-02</t>
        </is>
      </c>
      <c r="D65" s="75" t="inlineStr">
        <is>
          <t>SELLER FIDC SEGMENTO MEIOS DE PAGAMENTO DE RESPONSABILIDADE LIMITADA</t>
        </is>
      </c>
      <c r="E65" s="75" t="inlineStr">
        <is>
          <t>concluído</t>
        </is>
      </c>
      <c r="F65" s="145" t="n">
        <v>11</v>
      </c>
      <c r="G65" s="75" t="inlineStr">
        <is>
          <t>consultado</t>
        </is>
      </c>
      <c r="H65" s="75" t="inlineStr">
        <is>
          <t>N/D</t>
        </is>
      </c>
      <c r="I65" s="75" t="inlineStr">
        <is>
          <t>N/D</t>
        </is>
      </c>
      <c r="J65" s="75" t="inlineStr">
        <is>
          <t>não encontrado</t>
        </is>
      </c>
      <c r="K65" s="75" t="inlineStr">
        <is>
          <t>N/D</t>
        </is>
      </c>
      <c r="L65" s="75" t="inlineStr">
        <is>
          <t>N/D</t>
        </is>
      </c>
      <c r="M65" s="75" t="inlineStr">
        <is>
          <t>N/D</t>
        </is>
      </c>
      <c r="N65" s="75" t="inlineStr">
        <is>
          <t>N/D</t>
        </is>
      </c>
      <c r="O65" s="75" t="inlineStr">
        <is>
          <t>N/D</t>
        </is>
      </c>
      <c r="P65" s="75" t="inlineStr">
        <is>
          <t>N/D</t>
        </is>
      </c>
      <c r="Q65" s="75" t="inlineStr">
        <is>
          <t>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t>
        </is>
      </c>
      <c r="R65" s="75" t="inlineStr">
        <is>
          <t>encontrado_explicito</t>
        </is>
      </c>
      <c r="S65" s="75" t="inlineStr">
        <is>
          <t>N/D</t>
        </is>
      </c>
      <c r="T65" s="75" t="inlineStr">
        <is>
          <t>790777</t>
        </is>
      </c>
      <c r="U65" s="75" t="inlineStr">
        <is>
          <t>28/11/2024</t>
        </is>
      </c>
      <c r="V65" s="75" t="inlineStr">
        <is>
          <t>35</t>
        </is>
      </c>
      <c r="W65" s="75" t="inlineStr">
        <is>
          <t>https://fnet.bmfbovespa.com.br/fnet/publico/downloadDocumento?id=790777</t>
        </is>
      </c>
      <c r="X65" s="75" t="inlineStr">
        <is>
          <t>regulamento</t>
        </is>
      </c>
      <c r="Y65" s="75" t="inlineStr">
        <is>
          <t>o MERCADO PAGO INSTITUIÇÃO DE PAGAMENTO LTDA., sociedade limitada, com sede na Avenida das Nações Unidas, nº 3.003, Parte E, Bonfim, no Município de Osasco, Estado de São Paulo, CEP 06.233-903, inscrita no CNPJ sob o nº 10.573.521/0001-91</t>
        </is>
      </c>
      <c r="Z65" s="75" t="inlineStr">
        <is>
          <t>encontrado_explicito</t>
        </is>
      </c>
      <c r="AA65" s="75" t="inlineStr">
        <is>
          <t>N/D</t>
        </is>
      </c>
      <c r="AB65" s="75" t="inlineStr">
        <is>
          <t>790777</t>
        </is>
      </c>
      <c r="AC65" s="75" t="inlineStr">
        <is>
          <t>28/11/2024</t>
        </is>
      </c>
      <c r="AD65" s="75" t="inlineStr">
        <is>
          <t>40</t>
        </is>
      </c>
      <c r="AE65" s="75" t="inlineStr">
        <is>
          <t>https://fnet.bmfbovespa.com.br/fnet/publico/downloadDocumento?id=790777</t>
        </is>
      </c>
      <c r="AF65" s="75" t="inlineStr">
        <is>
          <t>regulamento</t>
        </is>
      </c>
      <c r="AG65" s="75" t="inlineStr">
        <is>
          <t>os Direitos Creditórios dos Estabelecimentos Comerciais e os Direitos Creditórios do Mercado Crédito quando referidos em co njunto ou de forma indistinta, conforme aplicável</t>
        </is>
      </c>
      <c r="AH65" s="75" t="inlineStr">
        <is>
          <t>encontrado_explicito</t>
        </is>
      </c>
      <c r="AI65" s="75" t="inlineStr">
        <is>
          <t>N/D</t>
        </is>
      </c>
      <c r="AJ65" s="75" t="inlineStr">
        <is>
          <t>467929</t>
        </is>
      </c>
      <c r="AK65" s="75" t="inlineStr">
        <is>
          <t>N/D</t>
        </is>
      </c>
      <c r="AL65" s="75" t="inlineStr">
        <is>
          <t>1</t>
        </is>
      </c>
      <c r="AM65" s="75" t="inlineStr">
        <is>
          <t>https://fnet.bmfbovespa.com.br/fnet/publico/downloadDocumento?id=467929</t>
        </is>
      </c>
      <c r="AN65" s="75" t="inlineStr">
        <is>
          <t>assembleia</t>
        </is>
      </c>
      <c r="AO65" s="75" t="inlineStr">
        <is>
          <t>10%</t>
        </is>
      </c>
      <c r="AP65" s="75" t="inlineStr">
        <is>
          <t>aceito_payload</t>
        </is>
      </c>
      <c r="AQ65" s="75" t="inlineStr">
        <is>
          <t>junior_pl</t>
        </is>
      </c>
      <c r="AR65" s="75" t="inlineStr">
        <is>
          <t>909547</t>
        </is>
      </c>
      <c r="AS65" s="75" t="inlineStr">
        <is>
          <t>2025-05-19</t>
        </is>
      </c>
      <c r="AT65" s="75" t="inlineStr">
        <is>
          <t>99</t>
        </is>
      </c>
      <c r="AU65" s="75" t="inlineStr">
        <is>
          <t>https://fnet.bmfbovespa.com.br/fnet/publico/downloadDocumento?id=909547</t>
        </is>
      </c>
      <c r="AV65" s="75" t="inlineStr">
        <is>
          <t>payload_documental</t>
        </is>
      </c>
      <c r="AW65" s="75" t="inlineStr">
        <is>
          <t>N/D</t>
        </is>
      </c>
      <c r="AX65" s="75" t="inlineStr">
        <is>
          <t>não encontrado</t>
        </is>
      </c>
      <c r="AY65" s="75" t="inlineStr">
        <is>
          <t>N/D</t>
        </is>
      </c>
      <c r="AZ65" s="75" t="inlineStr">
        <is>
          <t>N/D</t>
        </is>
      </c>
      <c r="BA65" s="75" t="inlineStr">
        <is>
          <t>N/D</t>
        </is>
      </c>
      <c r="BB65" s="75" t="inlineStr">
        <is>
          <t>N/D</t>
        </is>
      </c>
      <c r="BC65" s="75" t="inlineStr">
        <is>
          <t>N/D</t>
        </is>
      </c>
      <c r="BD65" s="75" t="inlineStr">
        <is>
          <t>N/D</t>
        </is>
      </c>
      <c r="BE65" s="75" t="inlineStr">
        <is>
          <t>junior_pl</t>
        </is>
      </c>
      <c r="BF65" s="75" t="inlineStr">
        <is>
          <t>aceito_payload</t>
        </is>
      </c>
      <c r="BG65" s="75" t="inlineStr">
        <is>
          <t>junior_pl</t>
        </is>
      </c>
      <c r="BH65" s="75" t="inlineStr">
        <is>
          <t>909547</t>
        </is>
      </c>
      <c r="BI65" s="75" t="inlineStr">
        <is>
          <t>2025-05-19</t>
        </is>
      </c>
      <c r="BJ65" s="75" t="inlineStr">
        <is>
          <t>99</t>
        </is>
      </c>
      <c r="BK65" s="75" t="inlineStr">
        <is>
          <t>https://fnet.bmfbovespa.com.br/fnet/publico/downloadDocumento?id=909547</t>
        </is>
      </c>
      <c r="BL65" s="75" t="inlineStr">
        <is>
          <t>payload_documental</t>
        </is>
      </c>
    </row>
    <row r="66" ht="42" customHeight="1">
      <c r="A66" s="141" t="n">
        <v>62</v>
      </c>
      <c r="B66" s="138" t="n">
        <v>62588266000154</v>
      </c>
      <c r="C66" s="74" t="inlineStr">
        <is>
          <t>62.588.266/0001-54</t>
        </is>
      </c>
      <c r="D66" s="74" t="inlineStr">
        <is>
          <t>VTK FUNDO DE INVESTIMENTO EM DIREITOS CREDITÓRIOS RESPONSABILIDADE LIMITADA</t>
        </is>
      </c>
      <c r="E66" s="74" t="inlineStr">
        <is>
          <t>concluído</t>
        </is>
      </c>
      <c r="F66" s="141" t="n">
        <v>7</v>
      </c>
      <c r="G66" s="74" t="inlineStr">
        <is>
          <t>consultado</t>
        </is>
      </c>
      <c r="H66" s="74" t="inlineStr">
        <is>
          <t>N/D</t>
        </is>
      </c>
      <c r="I66" s="74" t="inlineStr">
        <is>
          <t>N/D</t>
        </is>
      </c>
      <c r="J66" s="74" t="inlineStr">
        <is>
          <t>não encontrado</t>
        </is>
      </c>
      <c r="K66" s="74" t="inlineStr">
        <is>
          <t>N/D</t>
        </is>
      </c>
      <c r="L66" s="74" t="inlineStr">
        <is>
          <t>N/D</t>
        </is>
      </c>
      <c r="M66" s="74" t="inlineStr">
        <is>
          <t>N/D</t>
        </is>
      </c>
      <c r="N66" s="74" t="inlineStr">
        <is>
          <t>N/D</t>
        </is>
      </c>
      <c r="O66" s="74" t="inlineStr">
        <is>
          <t>N/D</t>
        </is>
      </c>
      <c r="P66" s="74" t="inlineStr">
        <is>
          <t>N/D</t>
        </is>
      </c>
      <c r="Q66" s="74" t="inlineStr">
        <is>
          <t>Facta</t>
        </is>
      </c>
      <c r="R66" s="74" t="inlineStr">
        <is>
          <t>aceito_payload</t>
        </is>
      </c>
      <c r="S66" s="74" t="inlineStr">
        <is>
          <t>N/D</t>
        </is>
      </c>
      <c r="T66" s="74" t="inlineStr">
        <is>
          <t>IMG_8706.JPG</t>
        </is>
      </c>
      <c r="U66" s="74" t="inlineStr">
        <is>
          <t>2025-09-29</t>
        </is>
      </c>
      <c r="V66" s="74" t="inlineStr">
        <is>
          <t>35</t>
        </is>
      </c>
      <c r="W66" s="74" t="inlineStr">
        <is>
          <t>N/D</t>
        </is>
      </c>
      <c r="X66" s="74" t="inlineStr">
        <is>
          <t>planilha_manual</t>
        </is>
      </c>
      <c r="Y66" s="74" t="inlineStr">
        <is>
          <t>N/D</t>
        </is>
      </c>
      <c r="Z66" s="74" t="inlineStr">
        <is>
          <t>não encontrado</t>
        </is>
      </c>
      <c r="AA66" s="74" t="inlineStr">
        <is>
          <t>N/D</t>
        </is>
      </c>
      <c r="AB66" s="74" t="inlineStr">
        <is>
          <t>N/D</t>
        </is>
      </c>
      <c r="AC66" s="74" t="inlineStr">
        <is>
          <t>N/D</t>
        </is>
      </c>
      <c r="AD66" s="74" t="inlineStr">
        <is>
          <t>N/D</t>
        </is>
      </c>
      <c r="AE66" s="74" t="inlineStr">
        <is>
          <t>N/D</t>
        </is>
      </c>
      <c r="AF66" s="74" t="inlineStr">
        <is>
          <t>N/D</t>
        </is>
      </c>
      <c r="AG66" s="74" t="inlineStr">
        <is>
          <t>Crédito INSS</t>
        </is>
      </c>
      <c r="AH66" s="74" t="inlineStr">
        <is>
          <t>aceito_payload</t>
        </is>
      </c>
      <c r="AI66" s="74" t="inlineStr">
        <is>
          <t>N/D</t>
        </is>
      </c>
      <c r="AJ66" s="74" t="inlineStr">
        <is>
          <t>IMG_8706.JPG</t>
        </is>
      </c>
      <c r="AK66" s="74" t="inlineStr">
        <is>
          <t>2025-09-29</t>
        </is>
      </c>
      <c r="AL66" s="74" t="inlineStr">
        <is>
          <t>35</t>
        </is>
      </c>
      <c r="AM66" s="74" t="inlineStr">
        <is>
          <t>N/D</t>
        </is>
      </c>
      <c r="AN66" s="74" t="inlineStr">
        <is>
          <t>planilha_manual</t>
        </is>
      </c>
      <c r="AO66" s="74" t="inlineStr">
        <is>
          <t>5%</t>
        </is>
      </c>
      <c r="AP66" s="74" t="inlineStr">
        <is>
          <t>aceito_payload</t>
        </is>
      </c>
      <c r="AQ66" s="74" t="inlineStr">
        <is>
          <t>junior_pl</t>
        </is>
      </c>
      <c r="AR66" s="74" t="inlineStr">
        <is>
          <t>1002580</t>
        </is>
      </c>
      <c r="AS66" s="74" t="inlineStr">
        <is>
          <t>2025-09-29</t>
        </is>
      </c>
      <c r="AT66" s="74" t="inlineStr">
        <is>
          <t>35</t>
        </is>
      </c>
      <c r="AU66" s="74" t="inlineStr">
        <is>
          <t>https://fnet.bmfbovespa.com.br/fnet/publico/downloadDocumento?id=1002580</t>
        </is>
      </c>
      <c r="AV66" s="74" t="inlineStr">
        <is>
          <t>payload_documental</t>
        </is>
      </c>
      <c r="AW66" s="74" t="inlineStr">
        <is>
          <t>15%</t>
        </is>
      </c>
      <c r="AX66" s="74" t="inlineStr">
        <is>
          <t>encontrado_explicito</t>
        </is>
      </c>
      <c r="AY66" s="74" t="inlineStr">
        <is>
          <t>suporte_total_pl</t>
        </is>
      </c>
      <c r="AZ66" s="74" t="inlineStr">
        <is>
          <t>1002580</t>
        </is>
      </c>
      <c r="BA66" s="74" t="inlineStr">
        <is>
          <t>2025-09-29</t>
        </is>
      </c>
      <c r="BB66" s="74" t="inlineStr">
        <is>
          <t>26</t>
        </is>
      </c>
      <c r="BC66" s="74" t="inlineStr">
        <is>
          <t>https://fnet.bmfbovespa.com.br/fnet/publico/downloadDocumento?id=1002580</t>
        </is>
      </c>
      <c r="BD66" s="74" t="inlineStr">
        <is>
          <t>regulamento</t>
        </is>
      </c>
      <c r="BE66" s="74" t="inlineStr">
        <is>
          <t>junior_pl</t>
        </is>
      </c>
      <c r="BF66" s="74" t="inlineStr">
        <is>
          <t>aceito_payload</t>
        </is>
      </c>
      <c r="BG66" s="74" t="inlineStr">
        <is>
          <t>junior_pl</t>
        </is>
      </c>
      <c r="BH66" s="74" t="inlineStr">
        <is>
          <t>1002580</t>
        </is>
      </c>
      <c r="BI66" s="74" t="inlineStr">
        <is>
          <t>2025-09-29</t>
        </is>
      </c>
      <c r="BJ66" s="74" t="inlineStr">
        <is>
          <t>35</t>
        </is>
      </c>
      <c r="BK66" s="74" t="inlineStr">
        <is>
          <t>https://fnet.bmfbovespa.com.br/fnet/publico/downloadDocumento?id=1002580</t>
        </is>
      </c>
      <c r="BL66" s="74" t="inlineStr">
        <is>
          <t>payload_documental</t>
        </is>
      </c>
    </row>
    <row r="67" ht="42" customHeight="1">
      <c r="A67" s="145" t="n">
        <v>63</v>
      </c>
      <c r="B67" s="142" t="n">
        <v>50988212000105</v>
      </c>
      <c r="C67" s="75" t="inlineStr">
        <is>
          <t>50.988.212/0001-05</t>
        </is>
      </c>
      <c r="D67" s="75" t="inlineStr">
        <is>
          <t>CARTÃO DE COMPRA SUPPLIER FUNDO DE INVESTIMENTO EM DIREITOS CREDITÓRIOS II-RESPONSABILIDADE LIMITADA</t>
        </is>
      </c>
      <c r="E67" s="75" t="inlineStr">
        <is>
          <t>concluído</t>
        </is>
      </c>
      <c r="F67" s="145" t="n">
        <v>7</v>
      </c>
      <c r="G67" s="75" t="inlineStr">
        <is>
          <t>consultado</t>
        </is>
      </c>
      <c r="H67" s="75" t="inlineStr">
        <is>
          <t>N/D</t>
        </is>
      </c>
      <c r="I67" s="75" t="inlineStr">
        <is>
          <t>N/D</t>
        </is>
      </c>
      <c r="J67" s="75" t="inlineStr">
        <is>
          <t>não encontrado</t>
        </is>
      </c>
      <c r="K67" s="75" t="inlineStr">
        <is>
          <t>N/D</t>
        </is>
      </c>
      <c r="L67" s="75" t="inlineStr">
        <is>
          <t>N/D</t>
        </is>
      </c>
      <c r="M67" s="75" t="inlineStr">
        <is>
          <t>N/D</t>
        </is>
      </c>
      <c r="N67" s="75" t="inlineStr">
        <is>
          <t>N/D</t>
        </is>
      </c>
      <c r="O67" s="75" t="inlineStr">
        <is>
          <t>N/D</t>
        </is>
      </c>
      <c r="P67" s="75" t="inlineStr">
        <is>
          <t>N/D</t>
        </is>
      </c>
      <c r="Q67" s="75" t="inlineStr">
        <is>
          <t>Supplier</t>
        </is>
      </c>
      <c r="R67" s="75" t="inlineStr">
        <is>
          <t>aceito_payload</t>
        </is>
      </c>
      <c r="S67" s="75" t="inlineStr">
        <is>
          <t>N/D</t>
        </is>
      </c>
      <c r="T67" s="75" t="inlineStr">
        <is>
          <t>IMG_8706.JPG</t>
        </is>
      </c>
      <c r="U67" s="75" t="inlineStr">
        <is>
          <t>2024-11-14</t>
        </is>
      </c>
      <c r="V67" s="75" t="inlineStr">
        <is>
          <t>29; 62</t>
        </is>
      </c>
      <c r="W67" s="75" t="inlineStr">
        <is>
          <t>N/D</t>
        </is>
      </c>
      <c r="X67" s="75" t="inlineStr">
        <is>
          <t>planilha_manual</t>
        </is>
      </c>
      <c r="Y67" s="75" t="inlineStr">
        <is>
          <t>N/D</t>
        </is>
      </c>
      <c r="Z67" s="75" t="inlineStr">
        <is>
          <t>não encontrado</t>
        </is>
      </c>
      <c r="AA67" s="75" t="inlineStr">
        <is>
          <t>N/D</t>
        </is>
      </c>
      <c r="AB67" s="75" t="inlineStr">
        <is>
          <t>N/D</t>
        </is>
      </c>
      <c r="AC67" s="75" t="inlineStr">
        <is>
          <t>N/D</t>
        </is>
      </c>
      <c r="AD67" s="75" t="inlineStr">
        <is>
          <t>N/D</t>
        </is>
      </c>
      <c r="AE67" s="75" t="inlineStr">
        <is>
          <t>N/D</t>
        </is>
      </c>
      <c r="AF67" s="75" t="inlineStr">
        <is>
          <t>N/D</t>
        </is>
      </c>
      <c r="AG67" s="75" t="inlineStr">
        <is>
          <t>Crédito Curto Prazo com o segurado; Crédito PME</t>
        </is>
      </c>
      <c r="AH67" s="75" t="inlineStr">
        <is>
          <t>aceito_payload</t>
        </is>
      </c>
      <c r="AI67" s="75" t="inlineStr">
        <is>
          <t>N/D</t>
        </is>
      </c>
      <c r="AJ67" s="75" t="inlineStr">
        <is>
          <t>IMG_8706.JPG</t>
        </is>
      </c>
      <c r="AK67" s="75" t="inlineStr">
        <is>
          <t>2024-11-14</t>
        </is>
      </c>
      <c r="AL67" s="75" t="inlineStr">
        <is>
          <t>29; 62</t>
        </is>
      </c>
      <c r="AM67" s="75" t="inlineStr">
        <is>
          <t>N/D</t>
        </is>
      </c>
      <c r="AN67" s="75" t="inlineStr">
        <is>
          <t>planilha_manual</t>
        </is>
      </c>
      <c r="AO67" s="75" t="inlineStr">
        <is>
          <t>4.5%</t>
        </is>
      </c>
      <c r="AP67" s="75" t="inlineStr">
        <is>
          <t>aceito_payload</t>
        </is>
      </c>
      <c r="AQ67" s="75" t="inlineStr">
        <is>
          <t>junior_pl_ajustado</t>
        </is>
      </c>
      <c r="AR67" s="75" t="inlineStr">
        <is>
          <t>1013021</t>
        </is>
      </c>
      <c r="AS67" s="75" t="inlineStr">
        <is>
          <t>2024-11-14</t>
        </is>
      </c>
      <c r="AT67" s="75" t="inlineStr">
        <is>
          <t>29; 62</t>
        </is>
      </c>
      <c r="AU67" s="75" t="inlineStr">
        <is>
          <t>https://fnet.bmfbovespa.com.br/fnet/publico/downloadDocumento?id=1013021</t>
        </is>
      </c>
      <c r="AV67" s="75" t="inlineStr">
        <is>
          <t>payload_documental</t>
        </is>
      </c>
      <c r="AW67" s="75" t="inlineStr">
        <is>
          <t>N/D</t>
        </is>
      </c>
      <c r="AX67" s="75" t="inlineStr">
        <is>
          <t>não encontrado</t>
        </is>
      </c>
      <c r="AY67" s="75" t="inlineStr">
        <is>
          <t>N/D</t>
        </is>
      </c>
      <c r="AZ67" s="75" t="inlineStr">
        <is>
          <t>N/D</t>
        </is>
      </c>
      <c r="BA67" s="75" t="inlineStr">
        <is>
          <t>N/D</t>
        </is>
      </c>
      <c r="BB67" s="75" t="inlineStr">
        <is>
          <t>N/D</t>
        </is>
      </c>
      <c r="BC67" s="75" t="inlineStr">
        <is>
          <t>N/D</t>
        </is>
      </c>
      <c r="BD67" s="75" t="inlineStr">
        <is>
          <t>N/D</t>
        </is>
      </c>
      <c r="BE67" s="75" t="inlineStr">
        <is>
          <t>junior_pl_ajustado</t>
        </is>
      </c>
      <c r="BF67" s="75" t="inlineStr">
        <is>
          <t>aceito_payload</t>
        </is>
      </c>
      <c r="BG67" s="75" t="inlineStr">
        <is>
          <t>junior_pl_ajustado</t>
        </is>
      </c>
      <c r="BH67" s="75" t="inlineStr">
        <is>
          <t>1013021</t>
        </is>
      </c>
      <c r="BI67" s="75" t="inlineStr">
        <is>
          <t>2024-11-14</t>
        </is>
      </c>
      <c r="BJ67" s="75" t="inlineStr">
        <is>
          <t>29; 62</t>
        </is>
      </c>
      <c r="BK67" s="75" t="inlineStr">
        <is>
          <t>https://fnet.bmfbovespa.com.br/fnet/publico/downloadDocumento?id=1013021</t>
        </is>
      </c>
      <c r="BL67" s="75" t="inlineStr">
        <is>
          <t>payload_documental</t>
        </is>
      </c>
    </row>
    <row r="68" ht="42" customHeight="1">
      <c r="A68" s="141" t="n">
        <v>64</v>
      </c>
      <c r="B68" s="138" t="n">
        <v>58476088000100</v>
      </c>
      <c r="C68" s="74" t="inlineStr">
        <is>
          <t>58.476.088/0001-00</t>
        </is>
      </c>
      <c r="D68" s="74" t="inlineStr">
        <is>
          <t>SAGA FUNDO DE INVESTIMENTO EM DIREITOS CREDITÓRIOS CRÉDITO PRIVADO - RESPONSABILIDADE LIMITADA</t>
        </is>
      </c>
      <c r="E68" s="74" t="inlineStr">
        <is>
          <t>concluído</t>
        </is>
      </c>
      <c r="F68" s="141" t="n">
        <v>4</v>
      </c>
      <c r="G68" s="74" t="inlineStr">
        <is>
          <t>consultado</t>
        </is>
      </c>
      <c r="H68" s="74" t="inlineStr">
        <is>
          <t>N/D</t>
        </is>
      </c>
      <c r="I68" s="74" t="inlineStr">
        <is>
          <t>N/D</t>
        </is>
      </c>
      <c r="J68" s="74" t="inlineStr">
        <is>
          <t>não encontrado</t>
        </is>
      </c>
      <c r="K68" s="74" t="inlineStr">
        <is>
          <t>N/D</t>
        </is>
      </c>
      <c r="L68" s="74" t="inlineStr">
        <is>
          <t>N/D</t>
        </is>
      </c>
      <c r="M68" s="74" t="inlineStr">
        <is>
          <t>N/D</t>
        </is>
      </c>
      <c r="N68" s="74" t="inlineStr">
        <is>
          <t>N/D</t>
        </is>
      </c>
      <c r="O68" s="74" t="inlineStr">
        <is>
          <t>N/D</t>
        </is>
      </c>
      <c r="P68" s="74" t="inlineStr">
        <is>
          <t>N/D</t>
        </is>
      </c>
      <c r="Q68" s="74" t="inlineStr">
        <is>
          <t>Saga Brasil</t>
        </is>
      </c>
      <c r="R68" s="74" t="inlineStr">
        <is>
          <t>aceito_payload</t>
        </is>
      </c>
      <c r="S68" s="74" t="inlineStr">
        <is>
          <t>N/D</t>
        </is>
      </c>
      <c r="T68" s="74" t="inlineStr">
        <is>
          <t>IMG_8706.JPG</t>
        </is>
      </c>
      <c r="U68" s="74" t="inlineStr">
        <is>
          <t>2025-02-25</t>
        </is>
      </c>
      <c r="V68" s="74" t="inlineStr">
        <is>
          <t>18</t>
        </is>
      </c>
      <c r="W68" s="74" t="inlineStr">
        <is>
          <t>N/D</t>
        </is>
      </c>
      <c r="X68" s="74" t="inlineStr">
        <is>
          <t>planilha_manual</t>
        </is>
      </c>
      <c r="Y68" s="74" t="inlineStr">
        <is>
          <t>N/D</t>
        </is>
      </c>
      <c r="Z68" s="74" t="inlineStr">
        <is>
          <t>não encontrado</t>
        </is>
      </c>
      <c r="AA68" s="74" t="inlineStr">
        <is>
          <t>N/D</t>
        </is>
      </c>
      <c r="AB68" s="74" t="inlineStr">
        <is>
          <t>N/D</t>
        </is>
      </c>
      <c r="AC68" s="74" t="inlineStr">
        <is>
          <t>N/D</t>
        </is>
      </c>
      <c r="AD68" s="74" t="inlineStr">
        <is>
          <t>N/D</t>
        </is>
      </c>
      <c r="AE68" s="74" t="inlineStr">
        <is>
          <t>N/D</t>
        </is>
      </c>
      <c r="AF68" s="74" t="inlineStr">
        <is>
          <t>N/D</t>
        </is>
      </c>
      <c r="AG68" s="74" t="inlineStr">
        <is>
          <t>os direitos creditórios originados das Notas Comerciais emitidas pelos Devedores, representados pelos Documentos Comprobatórios, conforme o caso, detidas pela Fundo contra os Devedores</t>
        </is>
      </c>
      <c r="AH68" s="74" t="inlineStr">
        <is>
          <t>encontrado_explicito</t>
        </is>
      </c>
      <c r="AI68" s="74" t="inlineStr">
        <is>
          <t>N/D</t>
        </is>
      </c>
      <c r="AJ68" s="74" t="inlineStr">
        <is>
          <t>852325</t>
        </is>
      </c>
      <c r="AK68" s="74" t="inlineStr">
        <is>
          <t>25/02/2025</t>
        </is>
      </c>
      <c r="AL68" s="74" t="inlineStr">
        <is>
          <t>15</t>
        </is>
      </c>
      <c r="AM68" s="74" t="inlineStr">
        <is>
          <t>https://fnet.bmfbovespa.com.br/fnet/publico/downloadDocumento?id=852325</t>
        </is>
      </c>
      <c r="AN68" s="74" t="inlineStr">
        <is>
          <t>regulamento</t>
        </is>
      </c>
      <c r="AO68" s="74" t="inlineStr">
        <is>
          <t>33.33%</t>
        </is>
      </c>
      <c r="AP68" s="74" t="inlineStr">
        <is>
          <t>aceito_payload</t>
        </is>
      </c>
      <c r="AQ68" s="74" t="inlineStr">
        <is>
          <t>junior_pl</t>
        </is>
      </c>
      <c r="AR68" s="74" t="inlineStr">
        <is>
          <t>852325</t>
        </is>
      </c>
      <c r="AS68" s="74" t="inlineStr">
        <is>
          <t>2025-02-25</t>
        </is>
      </c>
      <c r="AT68" s="74" t="inlineStr">
        <is>
          <t>18</t>
        </is>
      </c>
      <c r="AU68" s="74" t="inlineStr">
        <is>
          <t>https://fnet.bmfbovespa.com.br/fnet/publico/downloadDocumento?id=852325</t>
        </is>
      </c>
      <c r="AV68" s="74" t="inlineStr">
        <is>
          <t>payload_documental</t>
        </is>
      </c>
      <c r="AW68" s="74" t="inlineStr">
        <is>
          <t>33.33%</t>
        </is>
      </c>
      <c r="AX68" s="74" t="inlineStr">
        <is>
          <t>aceito_payload</t>
        </is>
      </c>
      <c r="AY68" s="74" t="inlineStr">
        <is>
          <t>suporte_total_pl</t>
        </is>
      </c>
      <c r="AZ68" s="74" t="inlineStr">
        <is>
          <t>852325</t>
        </is>
      </c>
      <c r="BA68" s="74" t="inlineStr">
        <is>
          <t>2025-02-25</t>
        </is>
      </c>
      <c r="BB68" s="74" t="inlineStr">
        <is>
          <t>18</t>
        </is>
      </c>
      <c r="BC68" s="74" t="inlineStr">
        <is>
          <t>https://fnet.bmfbovespa.com.br/fnet/publico/downloadDocumento?id=852325</t>
        </is>
      </c>
      <c r="BD68" s="74" t="inlineStr">
        <is>
          <t>payload_documental</t>
        </is>
      </c>
      <c r="BE68" s="74" t="inlineStr">
        <is>
          <t>junior_pl</t>
        </is>
      </c>
      <c r="BF68" s="74" t="inlineStr">
        <is>
          <t>aceito_payload</t>
        </is>
      </c>
      <c r="BG68" s="74" t="inlineStr">
        <is>
          <t>junior_pl</t>
        </is>
      </c>
      <c r="BH68" s="74" t="inlineStr">
        <is>
          <t>852325</t>
        </is>
      </c>
      <c r="BI68" s="74" t="inlineStr">
        <is>
          <t>2025-02-25</t>
        </is>
      </c>
      <c r="BJ68" s="74" t="inlineStr">
        <is>
          <t>18</t>
        </is>
      </c>
      <c r="BK68" s="74" t="inlineStr">
        <is>
          <t>https://fnet.bmfbovespa.com.br/fnet/publico/downloadDocumento?id=852325</t>
        </is>
      </c>
      <c r="BL68" s="74" t="inlineStr">
        <is>
          <t>payload_documental</t>
        </is>
      </c>
    </row>
    <row r="69" ht="42" customHeight="1">
      <c r="A69" s="145" t="n">
        <v>65</v>
      </c>
      <c r="B69" s="142" t="n">
        <v>58349979000198</v>
      </c>
      <c r="C69" s="75" t="inlineStr">
        <is>
          <t>58.349.979/0001-98</t>
        </is>
      </c>
      <c r="D69" s="75" t="inlineStr">
        <is>
          <t>VOLKSWAGEN TERA FUNDO DE INVESTIMENTO EM DIREITOS CREDITÓRIOS RECEBÍVEIS COMERCIAIS RESP LTDA</t>
        </is>
      </c>
      <c r="E69" s="75" t="inlineStr">
        <is>
          <t>concluído</t>
        </is>
      </c>
      <c r="F69" s="145" t="n">
        <v>6</v>
      </c>
      <c r="G69" s="75" t="inlineStr">
        <is>
          <t>consultado</t>
        </is>
      </c>
      <c r="H69" s="75" t="inlineStr">
        <is>
          <t>N/D</t>
        </is>
      </c>
      <c r="I69" s="75" t="inlineStr">
        <is>
          <t>N/D</t>
        </is>
      </c>
      <c r="J69" s="75" t="inlineStr">
        <is>
          <t>não encontrado</t>
        </is>
      </c>
      <c r="K69" s="75" t="inlineStr">
        <is>
          <t>N/D</t>
        </is>
      </c>
      <c r="L69" s="75" t="inlineStr">
        <is>
          <t>N/D</t>
        </is>
      </c>
      <c r="M69" s="75" t="inlineStr">
        <is>
          <t>N/D</t>
        </is>
      </c>
      <c r="N69" s="75" t="inlineStr">
        <is>
          <t>N/D</t>
        </is>
      </c>
      <c r="O69" s="75" t="inlineStr">
        <is>
          <t>N/D</t>
        </is>
      </c>
      <c r="P69" s="75" t="inlineStr">
        <is>
          <t>N/D</t>
        </is>
      </c>
      <c r="Q69" s="75" t="inlineStr">
        <is>
          <t>a VOLKSWAGEN DO BRASIL INDÚSTRIA DE VEÍCULOS AUTOMOTORES LTDA., sociedade empresária, com sede na cidade de São Bernardo do Campo, Estado de São Paulo, na Estrada Marginal da Via Anchieta, s/n, Km 23,5, CEP 09823-901, inscrita no CNPJ sob</t>
        </is>
      </c>
      <c r="R69" s="75" t="inlineStr">
        <is>
          <t>encontrado_explicito</t>
        </is>
      </c>
      <c r="S69" s="75" t="inlineStr">
        <is>
          <t>N/D</t>
        </is>
      </c>
      <c r="T69" s="75" t="inlineStr">
        <is>
          <t>826212</t>
        </is>
      </c>
      <c r="U69" s="75" t="inlineStr">
        <is>
          <t>28/01/2025</t>
        </is>
      </c>
      <c r="V69" s="75" t="inlineStr">
        <is>
          <t>88</t>
        </is>
      </c>
      <c r="W69" s="75" t="inlineStr">
        <is>
          <t>https://fnet.bmfbovespa.com.br/fnet/publico/downloadDocumento?id=826212</t>
        </is>
      </c>
      <c r="X69" s="75" t="inlineStr">
        <is>
          <t>regulamento</t>
        </is>
      </c>
      <c r="Y69" s="75" t="inlineStr">
        <is>
          <t>os clientes da Cedente que tenham adquirido Produtos e sejam devedores dos Direitos Creditórios , compostos por Devedores Concentrados e Devedores Pulverizados</t>
        </is>
      </c>
      <c r="Z69" s="75" t="inlineStr">
        <is>
          <t>encontrado_explicito</t>
        </is>
      </c>
      <c r="AA69" s="75" t="inlineStr">
        <is>
          <t>N/D</t>
        </is>
      </c>
      <c r="AB69" s="75" t="inlineStr">
        <is>
          <t>826212</t>
        </is>
      </c>
      <c r="AC69" s="75" t="inlineStr">
        <is>
          <t>28/01/2025</t>
        </is>
      </c>
      <c r="AD69" s="75" t="inlineStr">
        <is>
          <t>91</t>
        </is>
      </c>
      <c r="AE69" s="75" t="inlineStr">
        <is>
          <t>https://fnet.bmfbovespa.com.br/fnet/publico/downloadDocumento?id=826212</t>
        </is>
      </c>
      <c r="AF69" s="75" t="inlineStr">
        <is>
          <t>regulamento</t>
        </is>
      </c>
      <c r="AG69" s="75" t="inlineStr">
        <is>
          <t>Direitos creditórios</t>
        </is>
      </c>
      <c r="AH69" s="75" t="inlineStr">
        <is>
          <t>aceito_payload</t>
        </is>
      </c>
      <c r="AI69" s="75" t="inlineStr">
        <is>
          <t>N/D</t>
        </is>
      </c>
      <c r="AJ69" s="75" t="inlineStr">
        <is>
          <t>IMG_8706.JPG</t>
        </is>
      </c>
      <c r="AK69" s="75" t="inlineStr">
        <is>
          <t>2025-01-28</t>
        </is>
      </c>
      <c r="AL69" s="75" t="inlineStr">
        <is>
          <t>94</t>
        </is>
      </c>
      <c r="AM69" s="75" t="inlineStr">
        <is>
          <t>N/D</t>
        </is>
      </c>
      <c r="AN69" s="75" t="inlineStr">
        <is>
          <t>planilha_manual</t>
        </is>
      </c>
      <c r="AO69" s="75" t="inlineStr">
        <is>
          <t>25%</t>
        </is>
      </c>
      <c r="AP69" s="75" t="inlineStr">
        <is>
          <t>aceito_payload</t>
        </is>
      </c>
      <c r="AQ69" s="75" t="inlineStr">
        <is>
          <t>junior_pl</t>
        </is>
      </c>
      <c r="AR69" s="75" t="inlineStr">
        <is>
          <t>826213</t>
        </is>
      </c>
      <c r="AS69" s="75" t="inlineStr">
        <is>
          <t>2025-01-28</t>
        </is>
      </c>
      <c r="AT69" s="75" t="inlineStr">
        <is>
          <t>94</t>
        </is>
      </c>
      <c r="AU69" s="75" t="inlineStr">
        <is>
          <t>https://fnet.bmfbovespa.com.br/fnet/publico/downloadDocumento?id=826213</t>
        </is>
      </c>
      <c r="AV69" s="75" t="inlineStr">
        <is>
          <t>payload_documental</t>
        </is>
      </c>
      <c r="AW69" s="75" t="inlineStr">
        <is>
          <t>25%</t>
        </is>
      </c>
      <c r="AX69" s="75" t="inlineStr">
        <is>
          <t>aceito_payload</t>
        </is>
      </c>
      <c r="AY69" s="75" t="inlineStr">
        <is>
          <t>suporte_total_pl</t>
        </is>
      </c>
      <c r="AZ69" s="75" t="inlineStr">
        <is>
          <t>826213</t>
        </is>
      </c>
      <c r="BA69" s="75" t="inlineStr">
        <is>
          <t>2025-01-28</t>
        </is>
      </c>
      <c r="BB69" s="75" t="inlineStr">
        <is>
          <t>94</t>
        </is>
      </c>
      <c r="BC69" s="75" t="inlineStr">
        <is>
          <t>https://fnet.bmfbovespa.com.br/fnet/publico/downloadDocumento?id=826213</t>
        </is>
      </c>
      <c r="BD69" s="75" t="inlineStr">
        <is>
          <t>payload_documental</t>
        </is>
      </c>
      <c r="BE69" s="75" t="inlineStr">
        <is>
          <t>junior_pl</t>
        </is>
      </c>
      <c r="BF69" s="75" t="inlineStr">
        <is>
          <t>aceito_payload</t>
        </is>
      </c>
      <c r="BG69" s="75" t="inlineStr">
        <is>
          <t>junior_pl</t>
        </is>
      </c>
      <c r="BH69" s="75" t="inlineStr">
        <is>
          <t>826213</t>
        </is>
      </c>
      <c r="BI69" s="75" t="inlineStr">
        <is>
          <t>2025-01-28</t>
        </is>
      </c>
      <c r="BJ69" s="75" t="inlineStr">
        <is>
          <t>94</t>
        </is>
      </c>
      <c r="BK69" s="75" t="inlineStr">
        <is>
          <t>https://fnet.bmfbovespa.com.br/fnet/publico/downloadDocumento?id=826213</t>
        </is>
      </c>
      <c r="BL69" s="75" t="inlineStr">
        <is>
          <t>payload_documental</t>
        </is>
      </c>
    </row>
    <row r="70" ht="42" customHeight="1">
      <c r="A70" s="141" t="n">
        <v>66</v>
      </c>
      <c r="B70" s="138" t="n">
        <v>54559035000194</v>
      </c>
      <c r="C70" s="74" t="inlineStr">
        <is>
          <t>54.559.035/0001-94</t>
        </is>
      </c>
      <c r="D70" s="74" t="inlineStr">
        <is>
          <t>ESTRATÉGIA VINCULADA I FUNDO DE INVESTIMENTO EM DIREITOS CREDITÓRIOS - RESPONSABILIDADE LIMITADA</t>
        </is>
      </c>
      <c r="E70" s="74" t="inlineStr">
        <is>
          <t>concluído</t>
        </is>
      </c>
      <c r="F70" s="141" t="n">
        <v>7</v>
      </c>
      <c r="G70" s="74" t="inlineStr">
        <is>
          <t>consultado</t>
        </is>
      </c>
      <c r="H70" s="74" t="inlineStr">
        <is>
          <t>N/D</t>
        </is>
      </c>
      <c r="I70" s="74" t="inlineStr">
        <is>
          <t>N/D</t>
        </is>
      </c>
      <c r="J70" s="74" t="inlineStr">
        <is>
          <t>não encontrado</t>
        </is>
      </c>
      <c r="K70" s="74" t="inlineStr">
        <is>
          <t>N/D</t>
        </is>
      </c>
      <c r="L70" s="74" t="inlineStr">
        <is>
          <t>N/D</t>
        </is>
      </c>
      <c r="M70" s="74" t="inlineStr">
        <is>
          <t>N/D</t>
        </is>
      </c>
      <c r="N70" s="74" t="inlineStr">
        <is>
          <t>N/D</t>
        </is>
      </c>
      <c r="O70" s="74" t="inlineStr">
        <is>
          <t>N/D</t>
        </is>
      </c>
      <c r="P70" s="74" t="inlineStr">
        <is>
          <t>N/D</t>
        </is>
      </c>
      <c r="Q70" s="74" t="inlineStr">
        <is>
          <t>Banco IBM</t>
        </is>
      </c>
      <c r="R70" s="74" t="inlineStr">
        <is>
          <t>aceito_payload</t>
        </is>
      </c>
      <c r="S70" s="74" t="inlineStr">
        <is>
          <t>N/D</t>
        </is>
      </c>
      <c r="T70" s="74" t="inlineStr">
        <is>
          <t>IMG_8706.JPG</t>
        </is>
      </c>
      <c r="U70" s="74" t="inlineStr">
        <is>
          <t>2024-04-05</t>
        </is>
      </c>
      <c r="V70" s="74" t="inlineStr">
        <is>
          <t>50</t>
        </is>
      </c>
      <c r="W70" s="74" t="inlineStr">
        <is>
          <t>N/D</t>
        </is>
      </c>
      <c r="X70" s="74" t="inlineStr">
        <is>
          <t>planilha_manual</t>
        </is>
      </c>
      <c r="Y70" s="74" t="inlineStr">
        <is>
          <t>N/D</t>
        </is>
      </c>
      <c r="Z70" s="74" t="inlineStr">
        <is>
          <t>não encontrado</t>
        </is>
      </c>
      <c r="AA70" s="74" t="inlineStr">
        <is>
          <t>N/D</t>
        </is>
      </c>
      <c r="AB70" s="74" t="inlineStr">
        <is>
          <t>N/D</t>
        </is>
      </c>
      <c r="AC70" s="74" t="inlineStr">
        <is>
          <t>N/D</t>
        </is>
      </c>
      <c r="AD70" s="74" t="inlineStr">
        <is>
          <t>N/D</t>
        </is>
      </c>
      <c r="AE70" s="74" t="inlineStr">
        <is>
          <t>N/D</t>
        </is>
      </c>
      <c r="AF70" s="74" t="inlineStr">
        <is>
          <t>N/D</t>
        </is>
      </c>
      <c r="AG70" s="74" t="inlineStr">
        <is>
          <t>os direitos creditórios consubstanciados nos Certificados de Depósito Bancário Vinculados , bem como todos e quaisquer outros encargos devidos por força dos Certificados de Depósito Bancário Vinculados , incluindo a totalidade dos respectivos acessórios, tais como encargos moratórios, multas, penalidades, indenizações, despesas, custas, honorários e demais encargos contratuais e legais previstos e relacionados nos Certificados de Depósito Bancário Vinculados , observado que o pagamento dos Certificados de Depósito Bancário Vinculados fica sujeito ao recebimento, pelo Banco IBM, dos valores devidos ao Banco IBM sob os Contratos de Leasing</t>
        </is>
      </c>
      <c r="AH70" s="74" t="inlineStr">
        <is>
          <t>encontrado_explicito</t>
        </is>
      </c>
      <c r="AI70" s="74" t="inlineStr">
        <is>
          <t>N/D</t>
        </is>
      </c>
      <c r="AJ70" s="74" t="inlineStr">
        <is>
          <t>634437</t>
        </is>
      </c>
      <c r="AK70" s="74" t="inlineStr">
        <is>
          <t>2024-04-05</t>
        </is>
      </c>
      <c r="AL70" s="74" t="inlineStr">
        <is>
          <t>49</t>
        </is>
      </c>
      <c r="AM70" s="74" t="inlineStr">
        <is>
          <t>https://fnet.bmfbovespa.com.br/fnet/publico/downloadDocumento?id=634437</t>
        </is>
      </c>
      <c r="AN70" s="74" t="inlineStr">
        <is>
          <t>regulamento</t>
        </is>
      </c>
      <c r="AO70" s="74" t="inlineStr">
        <is>
          <t>10%</t>
        </is>
      </c>
      <c r="AP70" s="74" t="inlineStr">
        <is>
          <t>aceito_payload</t>
        </is>
      </c>
      <c r="AQ70" s="74" t="inlineStr">
        <is>
          <t>junior_pl</t>
        </is>
      </c>
      <c r="AR70" s="74" t="inlineStr">
        <is>
          <t>634463</t>
        </is>
      </c>
      <c r="AS70" s="74" t="inlineStr">
        <is>
          <t>2024-04-05</t>
        </is>
      </c>
      <c r="AT70" s="74" t="inlineStr">
        <is>
          <t>50</t>
        </is>
      </c>
      <c r="AU70" s="74" t="inlineStr">
        <is>
          <t>https://fnet.bmfbovespa.com.br/fnet/publico/downloadDocumento?id=634463</t>
        </is>
      </c>
      <c r="AV70" s="74" t="inlineStr">
        <is>
          <t>payload_documental</t>
        </is>
      </c>
      <c r="AW70" s="74" t="inlineStr">
        <is>
          <t>10%</t>
        </is>
      </c>
      <c r="AX70" s="74" t="inlineStr">
        <is>
          <t>aceito_payload</t>
        </is>
      </c>
      <c r="AY70" s="74" t="inlineStr">
        <is>
          <t>suporte_total_pl</t>
        </is>
      </c>
      <c r="AZ70" s="74" t="inlineStr">
        <is>
          <t>634463</t>
        </is>
      </c>
      <c r="BA70" s="74" t="inlineStr">
        <is>
          <t>2024-04-05</t>
        </is>
      </c>
      <c r="BB70" s="74" t="inlineStr">
        <is>
          <t>50</t>
        </is>
      </c>
      <c r="BC70" s="74" t="inlineStr">
        <is>
          <t>https://fnet.bmfbovespa.com.br/fnet/publico/downloadDocumento?id=634463</t>
        </is>
      </c>
      <c r="BD70" s="74" t="inlineStr">
        <is>
          <t>payload_documental</t>
        </is>
      </c>
      <c r="BE70" s="74" t="inlineStr">
        <is>
          <t>junior_pl</t>
        </is>
      </c>
      <c r="BF70" s="74" t="inlineStr">
        <is>
          <t>aceito_payload</t>
        </is>
      </c>
      <c r="BG70" s="74" t="inlineStr">
        <is>
          <t>junior_pl</t>
        </is>
      </c>
      <c r="BH70" s="74" t="inlineStr">
        <is>
          <t>634463</t>
        </is>
      </c>
      <c r="BI70" s="74" t="inlineStr">
        <is>
          <t>2024-04-05</t>
        </is>
      </c>
      <c r="BJ70" s="74" t="inlineStr">
        <is>
          <t>50</t>
        </is>
      </c>
      <c r="BK70" s="74" t="inlineStr">
        <is>
          <t>https://fnet.bmfbovespa.com.br/fnet/publico/downloadDocumento?id=634463</t>
        </is>
      </c>
      <c r="BL70" s="74" t="inlineStr">
        <is>
          <t>payload_documental</t>
        </is>
      </c>
    </row>
    <row r="71" ht="42" customHeight="1">
      <c r="A71" s="145" t="n">
        <v>67</v>
      </c>
      <c r="B71" s="142" t="n">
        <v>55070804000159</v>
      </c>
      <c r="C71" s="75" t="inlineStr">
        <is>
          <t>55.070.804/0001-59</t>
        </is>
      </c>
      <c r="D71" s="75" t="inlineStr">
        <is>
          <t>ESTRATÉGIA VINCULADA II FUNDO DE INVESTIMENTO EM DIREITOS CREDITÓRIOS - RESPONSABILIDADE LIMITADA</t>
        </is>
      </c>
      <c r="E71" s="75" t="inlineStr">
        <is>
          <t>concluído</t>
        </is>
      </c>
      <c r="F71" s="145" t="n">
        <v>6</v>
      </c>
      <c r="G71" s="75" t="inlineStr">
        <is>
          <t>consultado</t>
        </is>
      </c>
      <c r="H71" s="75" t="inlineStr">
        <is>
          <t>N/D</t>
        </is>
      </c>
      <c r="I71" s="75" t="inlineStr">
        <is>
          <t>N/D</t>
        </is>
      </c>
      <c r="J71" s="75" t="inlineStr">
        <is>
          <t>não encontrado</t>
        </is>
      </c>
      <c r="K71" s="75" t="inlineStr">
        <is>
          <t>N/D</t>
        </is>
      </c>
      <c r="L71" s="75" t="inlineStr">
        <is>
          <t>N/D</t>
        </is>
      </c>
      <c r="M71" s="75" t="inlineStr">
        <is>
          <t>N/D</t>
        </is>
      </c>
      <c r="N71" s="75" t="inlineStr">
        <is>
          <t>N/D</t>
        </is>
      </c>
      <c r="O71" s="75" t="inlineStr">
        <is>
          <t>N/D</t>
        </is>
      </c>
      <c r="P71" s="75" t="inlineStr">
        <is>
          <t>N/D</t>
        </is>
      </c>
      <c r="Q71" s="75" t="inlineStr">
        <is>
          <t>o IBM BRASIL - INDÚSTRIA, MÁQUINAS, E SERVIÇOS LTDA. , sociedade limitada, com sede na Cidade do Rio de Janeiro , Estado d o Rio de Janeiro , na Avenida República do Chile, nº 330, 11º e 12º andares , CEP 20.031-170, inscrita no CNPJ/MF sob o nº 33.372.251/0001-56</t>
        </is>
      </c>
      <c r="R71" s="75" t="inlineStr">
        <is>
          <t>encontrado_explicito</t>
        </is>
      </c>
      <c r="S71" s="75" t="inlineStr">
        <is>
          <t>N/D</t>
        </is>
      </c>
      <c r="T71" s="75" t="inlineStr">
        <is>
          <t>667195</t>
        </is>
      </c>
      <c r="U71" s="75" t="inlineStr">
        <is>
          <t>2024-05-22</t>
        </is>
      </c>
      <c r="V71" s="75" t="inlineStr">
        <is>
          <t>48</t>
        </is>
      </c>
      <c r="W71" s="75" t="inlineStr">
        <is>
          <t>https://fnet.bmfbovespa.com.br/fnet/publico/downloadDocumento?id=667195</t>
        </is>
      </c>
      <c r="X71" s="75" t="inlineStr">
        <is>
          <t>regulamento</t>
        </is>
      </c>
      <c r="Y71" s="75" t="inlineStr">
        <is>
          <t>N/D</t>
        </is>
      </c>
      <c r="Z71" s="75" t="inlineStr">
        <is>
          <t>não encontrado</t>
        </is>
      </c>
      <c r="AA71" s="75" t="inlineStr">
        <is>
          <t>N/D</t>
        </is>
      </c>
      <c r="AB71" s="75" t="inlineStr">
        <is>
          <t>N/D</t>
        </is>
      </c>
      <c r="AC71" s="75" t="inlineStr">
        <is>
          <t>N/D</t>
        </is>
      </c>
      <c r="AD71" s="75" t="inlineStr">
        <is>
          <t>N/D</t>
        </is>
      </c>
      <c r="AE71" s="75" t="inlineStr">
        <is>
          <t>N/D</t>
        </is>
      </c>
      <c r="AF71" s="75" t="inlineStr">
        <is>
          <t>N/D</t>
        </is>
      </c>
      <c r="AG71" s="75" t="inlineStr">
        <is>
          <t>os direitos creditórios consubstanciados nos Certificados de Depósito Bancário Vinculados , bem como todos e quaisquer outros encargos devidos por força dos Certificados de Depósito Bancário Vinculados, incluindo a totalidade dos respectivos acessórios, tais como encargos moratórios, multas, penalidades, indenizações, despesas, custas, honorários e demais encargos contratuais e legais previstos e relacionados n os Certificados de Depós ito Bancário Vinculados , observado que o pagamento dos Certificados de Depósito Bancário Vinculados fica sujeito ao recebimento, pelo Banco IBM, dos valores devidos ao Banco IBM sob os Contratos de Leasing</t>
        </is>
      </c>
      <c r="AH71" s="75" t="inlineStr">
        <is>
          <t>encontrado_explicito</t>
        </is>
      </c>
      <c r="AI71" s="75" t="inlineStr">
        <is>
          <t>N/D</t>
        </is>
      </c>
      <c r="AJ71" s="75" t="inlineStr">
        <is>
          <t>667195</t>
        </is>
      </c>
      <c r="AK71" s="75" t="inlineStr">
        <is>
          <t>2024-05-22</t>
        </is>
      </c>
      <c r="AL71" s="75" t="inlineStr">
        <is>
          <t>52</t>
        </is>
      </c>
      <c r="AM71" s="75" t="inlineStr">
        <is>
          <t>https://fnet.bmfbovespa.com.br/fnet/publico/downloadDocumento?id=667195</t>
        </is>
      </c>
      <c r="AN71" s="75" t="inlineStr">
        <is>
          <t>regulamento</t>
        </is>
      </c>
      <c r="AO71" s="75" t="inlineStr">
        <is>
          <t>10%</t>
        </is>
      </c>
      <c r="AP71" s="75" t="inlineStr">
        <is>
          <t>aceito_payload</t>
        </is>
      </c>
      <c r="AQ71" s="75" t="inlineStr">
        <is>
          <t>junior_pl</t>
        </is>
      </c>
      <c r="AR71" s="75" t="inlineStr">
        <is>
          <t>667195</t>
        </is>
      </c>
      <c r="AS71" s="75" t="inlineStr">
        <is>
          <t>2024-05-22</t>
        </is>
      </c>
      <c r="AT71" s="75" t="inlineStr">
        <is>
          <t>57</t>
        </is>
      </c>
      <c r="AU71" s="75" t="inlineStr">
        <is>
          <t>https://fnet.bmfbovespa.com.br/fnet/publico/downloadDocumento?id=667195</t>
        </is>
      </c>
      <c r="AV71" s="75" t="inlineStr">
        <is>
          <t>payload_documental</t>
        </is>
      </c>
      <c r="AW71" s="75" t="inlineStr">
        <is>
          <t>10%</t>
        </is>
      </c>
      <c r="AX71" s="75" t="inlineStr">
        <is>
          <t>aceito_payload</t>
        </is>
      </c>
      <c r="AY71" s="75" t="inlineStr">
        <is>
          <t>suporte_total_pl</t>
        </is>
      </c>
      <c r="AZ71" s="75" t="inlineStr">
        <is>
          <t>667195</t>
        </is>
      </c>
      <c r="BA71" s="75" t="inlineStr">
        <is>
          <t>2024-05-22</t>
        </is>
      </c>
      <c r="BB71" s="75" t="inlineStr">
        <is>
          <t>57</t>
        </is>
      </c>
      <c r="BC71" s="75" t="inlineStr">
        <is>
          <t>https://fnet.bmfbovespa.com.br/fnet/publico/downloadDocumento?id=667195</t>
        </is>
      </c>
      <c r="BD71" s="75" t="inlineStr">
        <is>
          <t>payload_documental</t>
        </is>
      </c>
      <c r="BE71" s="75" t="inlineStr">
        <is>
          <t>junior_pl</t>
        </is>
      </c>
      <c r="BF71" s="75" t="inlineStr">
        <is>
          <t>aceito_payload</t>
        </is>
      </c>
      <c r="BG71" s="75" t="inlineStr">
        <is>
          <t>junior_pl</t>
        </is>
      </c>
      <c r="BH71" s="75" t="inlineStr">
        <is>
          <t>667195</t>
        </is>
      </c>
      <c r="BI71" s="75" t="inlineStr">
        <is>
          <t>2024-05-22</t>
        </is>
      </c>
      <c r="BJ71" s="75" t="inlineStr">
        <is>
          <t>57</t>
        </is>
      </c>
      <c r="BK71" s="75" t="inlineStr">
        <is>
          <t>https://fnet.bmfbovespa.com.br/fnet/publico/downloadDocumento?id=667195</t>
        </is>
      </c>
      <c r="BL71" s="75" t="inlineStr">
        <is>
          <t>payload_documental</t>
        </is>
      </c>
    </row>
    <row r="72" ht="42" customHeight="1">
      <c r="A72" s="141" t="n">
        <v>68</v>
      </c>
      <c r="B72" s="138" t="n">
        <v>43866348000179</v>
      </c>
      <c r="C72" s="74" t="inlineStr">
        <is>
          <t>43.866.348/0001-79</t>
        </is>
      </c>
      <c r="D72" s="74" t="inlineStr">
        <is>
          <t>FUNDO DE INVESTIMENTO EM DIREITOS CREDITÓRIOS OPEA AGRO SUMITOMO CHEMICAL RESP LIMITADA</t>
        </is>
      </c>
      <c r="E72" s="74" t="inlineStr">
        <is>
          <t>concluído</t>
        </is>
      </c>
      <c r="F72" s="141" t="n">
        <v>8</v>
      </c>
      <c r="G72" s="74" t="inlineStr">
        <is>
          <t>consultado</t>
        </is>
      </c>
      <c r="H72" s="74" t="inlineStr">
        <is>
          <t>N/D</t>
        </is>
      </c>
      <c r="I72" s="74" t="inlineStr">
        <is>
          <t>a Sumitomo</t>
        </is>
      </c>
      <c r="J72" s="74" t="inlineStr">
        <is>
          <t>encontrado_explicito</t>
        </is>
      </c>
      <c r="K72" s="74" t="inlineStr">
        <is>
          <t>N/D</t>
        </is>
      </c>
      <c r="L72" s="74" t="inlineStr">
        <is>
          <t>741138</t>
        </is>
      </c>
      <c r="M72" s="74" t="inlineStr">
        <is>
          <t>17/09/2024</t>
        </is>
      </c>
      <c r="N72" s="74" t="inlineStr">
        <is>
          <t>79</t>
        </is>
      </c>
      <c r="O72" s="74" t="inlineStr">
        <is>
          <t>https://fnet.bmfbovespa.com.br/fnet/publico/downloadDocumento?id=741138</t>
        </is>
      </c>
      <c r="P72" s="74" t="inlineStr">
        <is>
          <t>regulamento</t>
        </is>
      </c>
      <c r="Q72" s="74" t="inlineStr">
        <is>
          <t>(i) a Sumitomo, cujas cessões não contarão com coobrigação</t>
        </is>
      </c>
      <c r="R72" s="74" t="inlineStr">
        <is>
          <t>encontrado_explicito</t>
        </is>
      </c>
      <c r="S72" s="74" t="inlineStr">
        <is>
          <t>N/D</t>
        </is>
      </c>
      <c r="T72" s="74" t="inlineStr">
        <is>
          <t>741138</t>
        </is>
      </c>
      <c r="U72" s="74" t="inlineStr">
        <is>
          <t>17/09/2024</t>
        </is>
      </c>
      <c r="V72" s="74" t="inlineStr">
        <is>
          <t>61</t>
        </is>
      </c>
      <c r="W72" s="74" t="inlineStr">
        <is>
          <t>https://fnet.bmfbovespa.com.br/fnet/publico/downloadDocumento?id=741138</t>
        </is>
      </c>
      <c r="X72" s="74" t="inlineStr">
        <is>
          <t>regulamento</t>
        </is>
      </c>
      <c r="Y72" s="74" t="inlineStr">
        <is>
          <t>N/D</t>
        </is>
      </c>
      <c r="Z72" s="74" t="inlineStr">
        <is>
          <t>não encontrado</t>
        </is>
      </c>
      <c r="AA72" s="74" t="inlineStr">
        <is>
          <t>N/D</t>
        </is>
      </c>
      <c r="AB72" s="74" t="inlineStr">
        <is>
          <t>N/D</t>
        </is>
      </c>
      <c r="AC72" s="74" t="inlineStr">
        <is>
          <t>N/D</t>
        </is>
      </c>
      <c r="AD72" s="74" t="inlineStr">
        <is>
          <t>N/D</t>
        </is>
      </c>
      <c r="AE72" s="74" t="inlineStr">
        <is>
          <t>N/D</t>
        </is>
      </c>
      <c r="AF72" s="74" t="inlineStr">
        <is>
          <t>N/D</t>
        </is>
      </c>
      <c r="AG72" s="74" t="inlineStr">
        <is>
          <t>os recebíveis provenientes de (i) Notas Promissórias a serem emitidas por Distribuidores de Insumos; (ii) CPR-F a serem emitidas por Produtores, Cooperativas ou, ainda, Distribuidores, nos termos da legislação aplicável; (iii) CDCA a serem emitidos por Distribuidores</t>
        </is>
      </c>
      <c r="AH72" s="74" t="inlineStr">
        <is>
          <t>encontrado_explicito</t>
        </is>
      </c>
      <c r="AI72" s="74" t="inlineStr">
        <is>
          <t>N/D</t>
        </is>
      </c>
      <c r="AJ72" s="74" t="inlineStr">
        <is>
          <t>741138</t>
        </is>
      </c>
      <c r="AK72" s="74" t="inlineStr">
        <is>
          <t>17/09/2024</t>
        </is>
      </c>
      <c r="AL72" s="74" t="inlineStr">
        <is>
          <t>70</t>
        </is>
      </c>
      <c r="AM72" s="74" t="inlineStr">
        <is>
          <t>https://fnet.bmfbovespa.com.br/fnet/publico/downloadDocumento?id=741138</t>
        </is>
      </c>
      <c r="AN72" s="74" t="inlineStr">
        <is>
          <t>regulamento</t>
        </is>
      </c>
      <c r="AO72" s="74" t="inlineStr">
        <is>
          <t>5%</t>
        </is>
      </c>
      <c r="AP72" s="74" t="inlineStr">
        <is>
          <t>aceito_payload</t>
        </is>
      </c>
      <c r="AQ72" s="74" t="inlineStr">
        <is>
          <t>junior_pl</t>
        </is>
      </c>
      <c r="AR72" s="74" t="inlineStr">
        <is>
          <t>741139</t>
        </is>
      </c>
      <c r="AS72" s="74" t="inlineStr">
        <is>
          <t>2024-09-17</t>
        </is>
      </c>
      <c r="AT72" s="74" t="inlineStr">
        <is>
          <t>81</t>
        </is>
      </c>
      <c r="AU72" s="74" t="inlineStr">
        <is>
          <t>https://fnet.bmfbovespa.com.br/fnet/publico/downloadDocumento?id=741139</t>
        </is>
      </c>
      <c r="AV72" s="74" t="inlineStr">
        <is>
          <t>payload_documental</t>
        </is>
      </c>
      <c r="AW72" s="74" t="inlineStr">
        <is>
          <t>N/D</t>
        </is>
      </c>
      <c r="AX72" s="74" t="inlineStr">
        <is>
          <t>não encontrado</t>
        </is>
      </c>
      <c r="AY72" s="74" t="inlineStr">
        <is>
          <t>N/D</t>
        </is>
      </c>
      <c r="AZ72" s="74" t="inlineStr">
        <is>
          <t>N/D</t>
        </is>
      </c>
      <c r="BA72" s="74" t="inlineStr">
        <is>
          <t>N/D</t>
        </is>
      </c>
      <c r="BB72" s="74" t="inlineStr">
        <is>
          <t>N/D</t>
        </is>
      </c>
      <c r="BC72" s="74" t="inlineStr">
        <is>
          <t>N/D</t>
        </is>
      </c>
      <c r="BD72" s="74" t="inlineStr">
        <is>
          <t>N/D</t>
        </is>
      </c>
      <c r="BE72" s="74" t="inlineStr">
        <is>
          <t>junior_pl</t>
        </is>
      </c>
      <c r="BF72" s="74" t="inlineStr">
        <is>
          <t>aceito_payload</t>
        </is>
      </c>
      <c r="BG72" s="74" t="inlineStr">
        <is>
          <t>junior_pl</t>
        </is>
      </c>
      <c r="BH72" s="74" t="inlineStr">
        <is>
          <t>741139</t>
        </is>
      </c>
      <c r="BI72" s="74" t="inlineStr">
        <is>
          <t>2024-09-17</t>
        </is>
      </c>
      <c r="BJ72" s="74" t="inlineStr">
        <is>
          <t>81</t>
        </is>
      </c>
      <c r="BK72" s="74" t="inlineStr">
        <is>
          <t>https://fnet.bmfbovespa.com.br/fnet/publico/downloadDocumento?id=741139</t>
        </is>
      </c>
      <c r="BL72" s="74" t="inlineStr">
        <is>
          <t>payload_documental</t>
        </is>
      </c>
    </row>
    <row r="73" ht="42" customHeight="1">
      <c r="A73" s="145" t="n">
        <v>69</v>
      </c>
      <c r="B73" s="142" t="n">
        <v>47936340000192</v>
      </c>
      <c r="C73" s="75" t="inlineStr">
        <is>
          <t>47.936.340/0001-92</t>
        </is>
      </c>
      <c r="D73" s="75" t="inlineStr">
        <is>
          <t>FUNDO DE INVESTIMENTO NAS CADEIAS PRODUTIVAS AGROINDUSTRIAIS OPEA AGRO INSUMOS RESPONSABILIDADE LIMI</t>
        </is>
      </c>
      <c r="E73" s="75" t="inlineStr">
        <is>
          <t>concluído</t>
        </is>
      </c>
      <c r="F73" s="145" t="n">
        <v>9</v>
      </c>
      <c r="G73" s="75" t="inlineStr">
        <is>
          <t>consultado</t>
        </is>
      </c>
      <c r="H73" s="75" t="inlineStr">
        <is>
          <t>N/D</t>
        </is>
      </c>
      <c r="I73" s="75" t="inlineStr">
        <is>
          <t>N/D</t>
        </is>
      </c>
      <c r="J73" s="75" t="inlineStr">
        <is>
          <t>não encontrado</t>
        </is>
      </c>
      <c r="K73" s="75" t="inlineStr">
        <is>
          <t>N/D</t>
        </is>
      </c>
      <c r="L73" s="75" t="inlineStr">
        <is>
          <t>N/D</t>
        </is>
      </c>
      <c r="M73" s="75" t="inlineStr">
        <is>
          <t>N/D</t>
        </is>
      </c>
      <c r="N73" s="75" t="inlineStr">
        <is>
          <t>N/D</t>
        </is>
      </c>
      <c r="O73" s="75" t="inlineStr">
        <is>
          <t>N/D</t>
        </is>
      </c>
      <c r="P73" s="75" t="inlineStr">
        <is>
          <t>N/D</t>
        </is>
      </c>
      <c r="Q73" s="75" t="inlineStr">
        <is>
          <t>BASF</t>
        </is>
      </c>
      <c r="R73" s="75" t="inlineStr">
        <is>
          <t>aceito_payload</t>
        </is>
      </c>
      <c r="S73" s="75" t="inlineStr">
        <is>
          <t>N/D</t>
        </is>
      </c>
      <c r="T73" s="75" t="inlineStr">
        <is>
          <t>IMG_8706.JPG</t>
        </is>
      </c>
      <c r="U73" s="75" t="inlineStr">
        <is>
          <t>2025-03-11</t>
        </is>
      </c>
      <c r="V73" s="75" t="inlineStr">
        <is>
          <t>4</t>
        </is>
      </c>
      <c r="W73" s="75" t="inlineStr">
        <is>
          <t>N/D</t>
        </is>
      </c>
      <c r="X73" s="75" t="inlineStr">
        <is>
          <t>planilha_manual</t>
        </is>
      </c>
      <c r="Y73" s="75" t="inlineStr">
        <is>
          <t>N/D</t>
        </is>
      </c>
      <c r="Z73" s="75" t="inlineStr">
        <is>
          <t>não encontrado</t>
        </is>
      </c>
      <c r="AA73" s="75" t="inlineStr">
        <is>
          <t>N/D</t>
        </is>
      </c>
      <c r="AB73" s="75" t="inlineStr">
        <is>
          <t>N/D</t>
        </is>
      </c>
      <c r="AC73" s="75" t="inlineStr">
        <is>
          <t>N/D</t>
        </is>
      </c>
      <c r="AD73" s="75" t="inlineStr">
        <is>
          <t>N/D</t>
        </is>
      </c>
      <c r="AE73" s="75" t="inlineStr">
        <is>
          <t>N/D</t>
        </is>
      </c>
      <c r="AF73" s="75" t="inlineStr">
        <is>
          <t>N/D</t>
        </is>
      </c>
      <c r="AG73" s="75" t="inlineStr">
        <is>
          <t>Insumos Agrícolas - prazo Safra</t>
        </is>
      </c>
      <c r="AH73" s="75" t="inlineStr">
        <is>
          <t>aceito_payload</t>
        </is>
      </c>
      <c r="AI73" s="75" t="inlineStr">
        <is>
          <t>N/D</t>
        </is>
      </c>
      <c r="AJ73" s="75" t="inlineStr">
        <is>
          <t>IMG_8706.JPG</t>
        </is>
      </c>
      <c r="AK73" s="75" t="inlineStr">
        <is>
          <t>2025-03-11</t>
        </is>
      </c>
      <c r="AL73" s="75" t="inlineStr">
        <is>
          <t>4</t>
        </is>
      </c>
      <c r="AM73" s="75" t="inlineStr">
        <is>
          <t>N/D</t>
        </is>
      </c>
      <c r="AN73" s="75" t="inlineStr">
        <is>
          <t>planilha_manual</t>
        </is>
      </c>
      <c r="AO73" s="75" t="inlineStr">
        <is>
          <t>N/D</t>
        </is>
      </c>
      <c r="AP73" s="75" t="inlineStr">
        <is>
          <t>não encontrado</t>
        </is>
      </c>
      <c r="AQ73" s="75" t="inlineStr">
        <is>
          <t>N/D</t>
        </is>
      </c>
      <c r="AR73" s="75" t="inlineStr">
        <is>
          <t>N/D</t>
        </is>
      </c>
      <c r="AS73" s="75" t="inlineStr">
        <is>
          <t>N/D</t>
        </is>
      </c>
      <c r="AT73" s="75" t="inlineStr">
        <is>
          <t>N/D</t>
        </is>
      </c>
      <c r="AU73" s="75" t="inlineStr">
        <is>
          <t>N/D</t>
        </is>
      </c>
      <c r="AV73" s="75" t="inlineStr">
        <is>
          <t>N/D</t>
        </is>
      </c>
      <c r="AW73" s="75" t="inlineStr">
        <is>
          <t>25%</t>
        </is>
      </c>
      <c r="AX73" s="75" t="inlineStr">
        <is>
          <t>aceito_payload</t>
        </is>
      </c>
      <c r="AY73" s="75" t="inlineStr">
        <is>
          <t>suporte_total_pl</t>
        </is>
      </c>
      <c r="AZ73" s="75" t="inlineStr">
        <is>
          <t>801978</t>
        </is>
      </c>
      <c r="BA73" s="75" t="inlineStr">
        <is>
          <t>2025-03-11</t>
        </is>
      </c>
      <c r="BB73" s="75" t="inlineStr">
        <is>
          <t>4</t>
        </is>
      </c>
      <c r="BC73" s="75" t="inlineStr">
        <is>
          <t>https://fnet.bmfbovespa.com.br/fnet/publico/downloadDocumento?id=801978</t>
        </is>
      </c>
      <c r="BD73" s="75" t="inlineStr">
        <is>
          <t>payload_documental</t>
        </is>
      </c>
      <c r="BE73" s="75" t="inlineStr">
        <is>
          <t>suporte_total_pl</t>
        </is>
      </c>
      <c r="BF73" s="75" t="inlineStr">
        <is>
          <t>aceito_payload</t>
        </is>
      </c>
      <c r="BG73" s="75" t="inlineStr">
        <is>
          <t>suporte_total_pl</t>
        </is>
      </c>
      <c r="BH73" s="75" t="inlineStr">
        <is>
          <t>801978</t>
        </is>
      </c>
      <c r="BI73" s="75" t="inlineStr">
        <is>
          <t>2025-03-11</t>
        </is>
      </c>
      <c r="BJ73" s="75" t="inlineStr">
        <is>
          <t>4</t>
        </is>
      </c>
      <c r="BK73" s="75" t="inlineStr">
        <is>
          <t>https://fnet.bmfbovespa.com.br/fnet/publico/downloadDocumento?id=801978</t>
        </is>
      </c>
      <c r="BL73" s="75" t="inlineStr">
        <is>
          <t>payload_documental</t>
        </is>
      </c>
    </row>
    <row r="74" ht="42" customHeight="1">
      <c r="A74" s="141" t="n">
        <v>70</v>
      </c>
      <c r="B74" s="138" t="n">
        <v>58291962000127</v>
      </c>
      <c r="C74" s="74" t="inlineStr">
        <is>
          <t>58.291.962/0001-27</t>
        </is>
      </c>
      <c r="D74" s="74" t="inlineStr">
        <is>
          <t>HELM FUNDO DE INVESTIMENTO NAS CADEIAS PRODUTIVAS DO AGRONEGÓCIO - RESPONSABILIDADE LIMITADA</t>
        </is>
      </c>
      <c r="E74" s="74" t="inlineStr">
        <is>
          <t>concluído</t>
        </is>
      </c>
      <c r="F74" s="141" t="n">
        <v>7</v>
      </c>
      <c r="G74" s="74" t="inlineStr">
        <is>
          <t>consultado</t>
        </is>
      </c>
      <c r="H74" s="74" t="inlineStr">
        <is>
          <t>N/D</t>
        </is>
      </c>
      <c r="I74" s="74" t="inlineStr">
        <is>
          <t>N/D</t>
        </is>
      </c>
      <c r="J74" s="74" t="inlineStr">
        <is>
          <t>não encontrado</t>
        </is>
      </c>
      <c r="K74" s="74" t="inlineStr">
        <is>
          <t>N/D</t>
        </is>
      </c>
      <c r="L74" s="74" t="inlineStr">
        <is>
          <t>N/D</t>
        </is>
      </c>
      <c r="M74" s="74" t="inlineStr">
        <is>
          <t>N/D</t>
        </is>
      </c>
      <c r="N74" s="74" t="inlineStr">
        <is>
          <t>N/D</t>
        </is>
      </c>
      <c r="O74" s="74" t="inlineStr">
        <is>
          <t>N/D</t>
        </is>
      </c>
      <c r="P74" s="74" t="inlineStr">
        <is>
          <t>N/D</t>
        </is>
      </c>
      <c r="Q74" s="74" t="inlineStr">
        <is>
          <t>a HELM DO BRASIL MERCANTIL LTDA. , sociedade empresária de responsabilidade limitada, com sede na</t>
        </is>
      </c>
      <c r="R74" s="74" t="inlineStr">
        <is>
          <t>encontrado_explicito</t>
        </is>
      </c>
      <c r="S74" s="74" t="inlineStr">
        <is>
          <t>N/D</t>
        </is>
      </c>
      <c r="T74" s="74" t="inlineStr">
        <is>
          <t>957854</t>
        </is>
      </c>
      <c r="U74" s="74" t="inlineStr">
        <is>
          <t>2025-07-30</t>
        </is>
      </c>
      <c r="V74" s="74" t="inlineStr">
        <is>
          <t>45</t>
        </is>
      </c>
      <c r="W74" s="74" t="inlineStr">
        <is>
          <t>https://fnet.bmfbovespa.com.br/fnet/publico/downloadDocumento?id=957854</t>
        </is>
      </c>
      <c r="X74" s="74" t="inlineStr">
        <is>
          <t>regulamento</t>
        </is>
      </c>
      <c r="Y74" s="74" t="inlineStr">
        <is>
          <t>qualquer cliente da Cedente cujos Direitos Creditórios venham a ser cedidos ao Fundo, observadas as características e condições descritas neste Anexo Descritivo , e que estejam de acordo com a Política de Crédito e Originação</t>
        </is>
      </c>
      <c r="Z74" s="74" t="inlineStr">
        <is>
          <t>encontrado_explicito</t>
        </is>
      </c>
      <c r="AA74" s="74" t="inlineStr">
        <is>
          <t>N/D</t>
        </is>
      </c>
      <c r="AB74" s="74" t="inlineStr">
        <is>
          <t>957854</t>
        </is>
      </c>
      <c r="AC74" s="74" t="inlineStr">
        <is>
          <t>2025-07-30</t>
        </is>
      </c>
      <c r="AD74" s="74" t="inlineStr">
        <is>
          <t>50</t>
        </is>
      </c>
      <c r="AE74" s="74" t="inlineStr">
        <is>
          <t>https://fnet.bmfbovespa.com.br/fnet/publico/downloadDocumento?id=957854</t>
        </is>
      </c>
      <c r="AF74" s="74" t="inlineStr">
        <is>
          <t>regulamento</t>
        </is>
      </c>
      <c r="AG74" s="74" t="inlineStr">
        <is>
          <t>os direitos creditórios cedidos pela Cedente , representados pelos Documentos Comprobatórios, detidos pela Cedente contra os Devedores</t>
        </is>
      </c>
      <c r="AH74" s="74" t="inlineStr">
        <is>
          <t>encontrado_explicito</t>
        </is>
      </c>
      <c r="AI74" s="74" t="inlineStr">
        <is>
          <t>N/D</t>
        </is>
      </c>
      <c r="AJ74" s="74" t="inlineStr">
        <is>
          <t>957854</t>
        </is>
      </c>
      <c r="AK74" s="74" t="inlineStr">
        <is>
          <t>2025-07-30</t>
        </is>
      </c>
      <c r="AL74" s="74" t="inlineStr">
        <is>
          <t>51</t>
        </is>
      </c>
      <c r="AM74" s="74" t="inlineStr">
        <is>
          <t>https://fnet.bmfbovespa.com.br/fnet/publico/downloadDocumento?id=957854</t>
        </is>
      </c>
      <c r="AN74" s="74" t="inlineStr">
        <is>
          <t>regulamento</t>
        </is>
      </c>
      <c r="AO74" s="74" t="inlineStr">
        <is>
          <t>N/D</t>
        </is>
      </c>
      <c r="AP74" s="74" t="inlineStr">
        <is>
          <t>não encontrado</t>
        </is>
      </c>
      <c r="AQ74" s="74" t="inlineStr">
        <is>
          <t>N/D</t>
        </is>
      </c>
      <c r="AR74" s="74" t="inlineStr">
        <is>
          <t>N/D</t>
        </is>
      </c>
      <c r="AS74" s="74" t="inlineStr">
        <is>
          <t>N/D</t>
        </is>
      </c>
      <c r="AT74" s="74" t="inlineStr">
        <is>
          <t>N/D</t>
        </is>
      </c>
      <c r="AU74" s="74" t="inlineStr">
        <is>
          <t>N/D</t>
        </is>
      </c>
      <c r="AV74" s="74" t="inlineStr">
        <is>
          <t>N/D</t>
        </is>
      </c>
      <c r="AW74" s="74" t="inlineStr">
        <is>
          <t>20%</t>
        </is>
      </c>
      <c r="AX74" s="74" t="inlineStr">
        <is>
          <t>aceito_payload</t>
        </is>
      </c>
      <c r="AY74" s="74" t="inlineStr">
        <is>
          <t>suporte_total_pl</t>
        </is>
      </c>
      <c r="AZ74" s="74" t="inlineStr">
        <is>
          <t>957854</t>
        </is>
      </c>
      <c r="BA74" s="74" t="inlineStr">
        <is>
          <t>2025-07-30</t>
        </is>
      </c>
      <c r="BB74" s="74" t="inlineStr">
        <is>
          <t>99–100</t>
        </is>
      </c>
      <c r="BC74" s="74" t="inlineStr">
        <is>
          <t>https://fnet.bmfbovespa.com.br/fnet/publico/downloadDocumento?id=957854</t>
        </is>
      </c>
      <c r="BD74" s="74" t="inlineStr">
        <is>
          <t>payload_documental</t>
        </is>
      </c>
      <c r="BE74" s="74" t="inlineStr">
        <is>
          <t>suporte_total_pl</t>
        </is>
      </c>
      <c r="BF74" s="74" t="inlineStr">
        <is>
          <t>aceito_payload</t>
        </is>
      </c>
      <c r="BG74" s="74" t="inlineStr">
        <is>
          <t>suporte_total_pl</t>
        </is>
      </c>
      <c r="BH74" s="74" t="inlineStr">
        <is>
          <t>957854</t>
        </is>
      </c>
      <c r="BI74" s="74" t="inlineStr">
        <is>
          <t>2025-07-30</t>
        </is>
      </c>
      <c r="BJ74" s="74" t="inlineStr">
        <is>
          <t>99–100</t>
        </is>
      </c>
      <c r="BK74" s="74" t="inlineStr">
        <is>
          <t>https://fnet.bmfbovespa.com.br/fnet/publico/downloadDocumento?id=957854</t>
        </is>
      </c>
      <c r="BL74" s="74" t="inlineStr">
        <is>
          <t>payload_documental</t>
        </is>
      </c>
    </row>
    <row r="75" ht="42" customHeight="1">
      <c r="A75" s="145" t="n">
        <v>71</v>
      </c>
      <c r="B75" s="142" t="n">
        <v>57259989000170</v>
      </c>
      <c r="C75" s="75" t="inlineStr">
        <is>
          <t>57.259.989/0001-70</t>
        </is>
      </c>
      <c r="D75" s="75" t="inlineStr">
        <is>
          <t>TRÊS TENTOS FIAGRO RESPONSABILIDADE LIMITADA</t>
        </is>
      </c>
      <c r="E75" s="75" t="inlineStr">
        <is>
          <t>concluído</t>
        </is>
      </c>
      <c r="F75" s="145" t="n">
        <v>7</v>
      </c>
      <c r="G75" s="75" t="inlineStr">
        <is>
          <t>consultado</t>
        </is>
      </c>
      <c r="H75" s="75" t="inlineStr">
        <is>
          <t>N/D</t>
        </is>
      </c>
      <c r="I75" s="75" t="inlineStr">
        <is>
          <t>N/D</t>
        </is>
      </c>
      <c r="J75" s="75" t="inlineStr">
        <is>
          <t>não encontrado</t>
        </is>
      </c>
      <c r="K75" s="75" t="inlineStr">
        <is>
          <t>N/D</t>
        </is>
      </c>
      <c r="L75" s="75" t="inlineStr">
        <is>
          <t>N/D</t>
        </is>
      </c>
      <c r="M75" s="75" t="inlineStr">
        <is>
          <t>N/D</t>
        </is>
      </c>
      <c r="N75" s="75" t="inlineStr">
        <is>
          <t>N/D</t>
        </is>
      </c>
      <c r="O75" s="75" t="inlineStr">
        <is>
          <t>N/D</t>
        </is>
      </c>
      <c r="P75" s="75" t="inlineStr">
        <is>
          <t>N/D</t>
        </is>
      </c>
      <c r="Q75" s="75" t="inlineStr">
        <is>
          <t>Tres Tentos</t>
        </is>
      </c>
      <c r="R75" s="75" t="inlineStr">
        <is>
          <t>aceito_payload</t>
        </is>
      </c>
      <c r="S75" s="75" t="inlineStr">
        <is>
          <t>N/D</t>
        </is>
      </c>
      <c r="T75" s="75" t="inlineStr">
        <is>
          <t>IMG_8706.JPG</t>
        </is>
      </c>
      <c r="U75" s="75" t="inlineStr">
        <is>
          <t>2025-10-16</t>
        </is>
      </c>
      <c r="V75" s="75" t="inlineStr">
        <is>
          <t>104</t>
        </is>
      </c>
      <c r="W75" s="75" t="inlineStr">
        <is>
          <t>N/D</t>
        </is>
      </c>
      <c r="X75" s="75" t="inlineStr">
        <is>
          <t>planilha_manual</t>
        </is>
      </c>
      <c r="Y75" s="75" t="inlineStr">
        <is>
          <t>qualquer cliente das Cedentes, atuantes no segmento</t>
        </is>
      </c>
      <c r="Z75" s="75" t="inlineStr">
        <is>
          <t>encontrado_explicito</t>
        </is>
      </c>
      <c r="AA75" s="75" t="inlineStr">
        <is>
          <t>N/D</t>
        </is>
      </c>
      <c r="AB75" s="75" t="inlineStr">
        <is>
          <t>1016583</t>
        </is>
      </c>
      <c r="AC75" s="75" t="inlineStr">
        <is>
          <t>2025-10-16</t>
        </is>
      </c>
      <c r="AD75" s="75" t="inlineStr">
        <is>
          <t>55</t>
        </is>
      </c>
      <c r="AE75" s="75" t="inlineStr">
        <is>
          <t>https://fnet.bmfbovespa.com.br/fnet/publico/downloadDocumento?id=1016583</t>
        </is>
      </c>
      <c r="AF75" s="75" t="inlineStr">
        <is>
          <t>regulamento</t>
        </is>
      </c>
      <c r="AG75" s="75" t="inlineStr">
        <is>
          <t>os direitos creditórios originados pelas Cedentes, representados pelos Documentos Comprobatórios, detidos pelas Cedentes contra os Devedores, os quais incluem os Direitos Creditórios CPR</t>
        </is>
      </c>
      <c r="AH75" s="75" t="inlineStr">
        <is>
          <t>encontrado_explicito</t>
        </is>
      </c>
      <c r="AI75" s="75" t="inlineStr">
        <is>
          <t>N/D</t>
        </is>
      </c>
      <c r="AJ75" s="75" t="inlineStr">
        <is>
          <t>1016583</t>
        </is>
      </c>
      <c r="AK75" s="75" t="inlineStr">
        <is>
          <t>2025-10-16</t>
        </is>
      </c>
      <c r="AL75" s="75" t="inlineStr">
        <is>
          <t>56</t>
        </is>
      </c>
      <c r="AM75" s="75" t="inlineStr">
        <is>
          <t>https://fnet.bmfbovespa.com.br/fnet/publico/downloadDocumento?id=1016583</t>
        </is>
      </c>
      <c r="AN75" s="75" t="inlineStr">
        <is>
          <t>regulamento</t>
        </is>
      </c>
      <c r="AO75" s="75" t="inlineStr">
        <is>
          <t>N/D</t>
        </is>
      </c>
      <c r="AP75" s="75" t="inlineStr">
        <is>
          <t>não encontrado</t>
        </is>
      </c>
      <c r="AQ75" s="75" t="inlineStr">
        <is>
          <t>N/D</t>
        </is>
      </c>
      <c r="AR75" s="75" t="inlineStr">
        <is>
          <t>N/D</t>
        </is>
      </c>
      <c r="AS75" s="75" t="inlineStr">
        <is>
          <t>N/D</t>
        </is>
      </c>
      <c r="AT75" s="75" t="inlineStr">
        <is>
          <t>N/D</t>
        </is>
      </c>
      <c r="AU75" s="75" t="inlineStr">
        <is>
          <t>N/D</t>
        </is>
      </c>
      <c r="AV75" s="75" t="inlineStr">
        <is>
          <t>N/D</t>
        </is>
      </c>
      <c r="AW75" s="75" t="inlineStr">
        <is>
          <t>20%</t>
        </is>
      </c>
      <c r="AX75" s="75" t="inlineStr">
        <is>
          <t>aceito_payload</t>
        </is>
      </c>
      <c r="AY75" s="75" t="inlineStr">
        <is>
          <t>suporte_total_pl</t>
        </is>
      </c>
      <c r="AZ75" s="75" t="inlineStr">
        <is>
          <t>1016583</t>
        </is>
      </c>
      <c r="BA75" s="75" t="inlineStr">
        <is>
          <t>2025-10-16</t>
        </is>
      </c>
      <c r="BB75" s="75" t="inlineStr">
        <is>
          <t>104</t>
        </is>
      </c>
      <c r="BC75" s="75" t="inlineStr">
        <is>
          <t>https://fnet.bmfbovespa.com.br/fnet/publico/downloadDocumento?id=1016583</t>
        </is>
      </c>
      <c r="BD75" s="75" t="inlineStr">
        <is>
          <t>payload_documental</t>
        </is>
      </c>
      <c r="BE75" s="75" t="inlineStr">
        <is>
          <t>suporte_total_pl</t>
        </is>
      </c>
      <c r="BF75" s="75" t="inlineStr">
        <is>
          <t>aceito_payload</t>
        </is>
      </c>
      <c r="BG75" s="75" t="inlineStr">
        <is>
          <t>suporte_total_pl</t>
        </is>
      </c>
      <c r="BH75" s="75" t="inlineStr">
        <is>
          <t>1016583</t>
        </is>
      </c>
      <c r="BI75" s="75" t="inlineStr">
        <is>
          <t>2025-10-16</t>
        </is>
      </c>
      <c r="BJ75" s="75" t="inlineStr">
        <is>
          <t>104</t>
        </is>
      </c>
      <c r="BK75" s="75" t="inlineStr">
        <is>
          <t>https://fnet.bmfbovespa.com.br/fnet/publico/downloadDocumento?id=1016583</t>
        </is>
      </c>
      <c r="BL75" s="75" t="inlineStr">
        <is>
          <t>payload_documental</t>
        </is>
      </c>
    </row>
    <row r="76" ht="42" customHeight="1">
      <c r="A76" s="141" t="n">
        <v>72</v>
      </c>
      <c r="B76" s="138" t="n">
        <v>58171340000165</v>
      </c>
      <c r="C76" s="74" t="inlineStr">
        <is>
          <t>58.171.340/0001-65</t>
        </is>
      </c>
      <c r="D76" s="74" t="inlineStr">
        <is>
          <t>FRIMESA FUNDO DE INVESTIMENTO EM DIREITOS CREDITÓRIOS DE RESPONSABILIDADE LIMITADA</t>
        </is>
      </c>
      <c r="E76" s="74" t="inlineStr">
        <is>
          <t>concluído</t>
        </is>
      </c>
      <c r="F76" s="141" t="n">
        <v>7</v>
      </c>
      <c r="G76" s="74" t="inlineStr">
        <is>
          <t>consultado</t>
        </is>
      </c>
      <c r="H76" s="74" t="inlineStr">
        <is>
          <t>N/D</t>
        </is>
      </c>
      <c r="I76" s="74" t="inlineStr">
        <is>
          <t>N/D</t>
        </is>
      </c>
      <c r="J76" s="74" t="inlineStr">
        <is>
          <t>não encontrado</t>
        </is>
      </c>
      <c r="K76" s="74" t="inlineStr">
        <is>
          <t>N/D</t>
        </is>
      </c>
      <c r="L76" s="74" t="inlineStr">
        <is>
          <t>N/D</t>
        </is>
      </c>
      <c r="M76" s="74" t="inlineStr">
        <is>
          <t>N/D</t>
        </is>
      </c>
      <c r="N76" s="74" t="inlineStr">
        <is>
          <t>N/D</t>
        </is>
      </c>
      <c r="O76" s="74" t="inlineStr">
        <is>
          <t>N/D</t>
        </is>
      </c>
      <c r="P76" s="74" t="inlineStr">
        <is>
          <t>N/D</t>
        </is>
      </c>
      <c r="Q76" s="74" t="inlineStr">
        <is>
          <t>a FRIMESA COOPERATIVA CENTRAL, com sede na cidade de Medianeira, Estado do Paraná, na Rua Bahia, nº 159, CEP 85723-006, inscrita no CNPJ sob o nº 77.595.395/0001-47, inclusive por meio de suas filiais</t>
        </is>
      </c>
      <c r="R76" s="74" t="inlineStr">
        <is>
          <t>encontrado_explicito</t>
        </is>
      </c>
      <c r="S76" s="74" t="inlineStr">
        <is>
          <t>N/D</t>
        </is>
      </c>
      <c r="T76" s="74" t="inlineStr">
        <is>
          <t>861191</t>
        </is>
      </c>
      <c r="U76" s="74" t="inlineStr">
        <is>
          <t>2025-03-13</t>
        </is>
      </c>
      <c r="V76" s="74" t="inlineStr">
        <is>
          <t>42</t>
        </is>
      </c>
      <c r="W76" s="74" t="inlineStr">
        <is>
          <t>https://fnet.bmfbovespa.com.br/fnet/publico/downloadDocumento?id=861191</t>
        </is>
      </c>
      <c r="X76" s="74" t="inlineStr">
        <is>
          <t>regulamento</t>
        </is>
      </c>
      <c r="Y76" s="74" t="inlineStr">
        <is>
          <t>N/D</t>
        </is>
      </c>
      <c r="Z76" s="74" t="inlineStr">
        <is>
          <t>não encontrado</t>
        </is>
      </c>
      <c r="AA76" s="74" t="inlineStr">
        <is>
          <t>N/D</t>
        </is>
      </c>
      <c r="AB76" s="74" t="inlineStr">
        <is>
          <t>N/D</t>
        </is>
      </c>
      <c r="AC76" s="74" t="inlineStr">
        <is>
          <t>N/D</t>
        </is>
      </c>
      <c r="AD76" s="74" t="inlineStr">
        <is>
          <t>N/D</t>
        </is>
      </c>
      <c r="AE76" s="74" t="inlineStr">
        <is>
          <t>N/D</t>
        </is>
      </c>
      <c r="AF76" s="74" t="inlineStr">
        <is>
          <t>N/D</t>
        </is>
      </c>
      <c r="AG76" s="74" t="inlineStr">
        <is>
          <t>recebíveis supermercados</t>
        </is>
      </c>
      <c r="AH76" s="74" t="inlineStr">
        <is>
          <t>aceito_payload</t>
        </is>
      </c>
      <c r="AI76" s="74" t="inlineStr">
        <is>
          <t>N/D</t>
        </is>
      </c>
      <c r="AJ76" s="74" t="inlineStr">
        <is>
          <t>IMG_8706.JPG</t>
        </is>
      </c>
      <c r="AK76" s="74" t="inlineStr">
        <is>
          <t>2025-03-13</t>
        </is>
      </c>
      <c r="AL76" s="74" t="inlineStr">
        <is>
          <t>51</t>
        </is>
      </c>
      <c r="AM76" s="74" t="inlineStr">
        <is>
          <t>N/D</t>
        </is>
      </c>
      <c r="AN76" s="74" t="inlineStr">
        <is>
          <t>planilha_manual</t>
        </is>
      </c>
      <c r="AO76" s="74" t="inlineStr">
        <is>
          <t>1%</t>
        </is>
      </c>
      <c r="AP76" s="74" t="inlineStr">
        <is>
          <t>aceito_payload</t>
        </is>
      </c>
      <c r="AQ76" s="74" t="inlineStr">
        <is>
          <t>junior_pl</t>
        </is>
      </c>
      <c r="AR76" s="74" t="inlineStr">
        <is>
          <t>861191</t>
        </is>
      </c>
      <c r="AS76" s="74" t="inlineStr">
        <is>
          <t>2025-03-13</t>
        </is>
      </c>
      <c r="AT76" s="74" t="inlineStr">
        <is>
          <t>51</t>
        </is>
      </c>
      <c r="AU76" s="74" t="inlineStr">
        <is>
          <t>https://fnet.bmfbovespa.com.br/fnet/publico/downloadDocumento?id=861191</t>
        </is>
      </c>
      <c r="AV76" s="74" t="inlineStr">
        <is>
          <t>payload_documental</t>
        </is>
      </c>
      <c r="AW76" s="74" t="inlineStr">
        <is>
          <t>N/D</t>
        </is>
      </c>
      <c r="AX76" s="74" t="inlineStr">
        <is>
          <t>não encontrado</t>
        </is>
      </c>
      <c r="AY76" s="74" t="inlineStr">
        <is>
          <t>N/D</t>
        </is>
      </c>
      <c r="AZ76" s="74" t="inlineStr">
        <is>
          <t>N/D</t>
        </is>
      </c>
      <c r="BA76" s="74" t="inlineStr">
        <is>
          <t>N/D</t>
        </is>
      </c>
      <c r="BB76" s="74" t="inlineStr">
        <is>
          <t>N/D</t>
        </is>
      </c>
      <c r="BC76" s="74" t="inlineStr">
        <is>
          <t>N/D</t>
        </is>
      </c>
      <c r="BD76" s="74" t="inlineStr">
        <is>
          <t>N/D</t>
        </is>
      </c>
      <c r="BE76" s="74" t="inlineStr">
        <is>
          <t>junior_pl</t>
        </is>
      </c>
      <c r="BF76" s="74" t="inlineStr">
        <is>
          <t>aceito_payload</t>
        </is>
      </c>
      <c r="BG76" s="74" t="inlineStr">
        <is>
          <t>junior_pl</t>
        </is>
      </c>
      <c r="BH76" s="74" t="inlineStr">
        <is>
          <t>861191</t>
        </is>
      </c>
      <c r="BI76" s="74" t="inlineStr">
        <is>
          <t>2025-03-13</t>
        </is>
      </c>
      <c r="BJ76" s="74" t="inlineStr">
        <is>
          <t>51</t>
        </is>
      </c>
      <c r="BK76" s="74" t="inlineStr">
        <is>
          <t>https://fnet.bmfbovespa.com.br/fnet/publico/downloadDocumento?id=861191</t>
        </is>
      </c>
      <c r="BL76" s="74" t="inlineStr">
        <is>
          <t>payload_documental</t>
        </is>
      </c>
    </row>
    <row r="77" ht="42" customHeight="1">
      <c r="A77" s="145" t="n">
        <v>73</v>
      </c>
      <c r="B77" s="142" t="n">
        <v>51554551000138</v>
      </c>
      <c r="C77" s="75" t="inlineStr">
        <is>
          <t>51.554.551/0001-38</t>
        </is>
      </c>
      <c r="D77" s="75" t="inlineStr">
        <is>
          <t>CLASSE ÚNICA DO FIDC CRÉDITO NITRO AGRO - RESPONSABILIDADE LIMITADA</t>
        </is>
      </c>
      <c r="E77" s="75" t="inlineStr">
        <is>
          <t>concluído</t>
        </is>
      </c>
      <c r="F77" s="145" t="n">
        <v>8</v>
      </c>
      <c r="G77" s="75" t="inlineStr">
        <is>
          <t>consultado</t>
        </is>
      </c>
      <c r="H77" s="75" t="inlineStr">
        <is>
          <t>N/D</t>
        </is>
      </c>
      <c r="I77" s="75" t="inlineStr">
        <is>
          <t>N/D</t>
        </is>
      </c>
      <c r="J77" s="75" t="inlineStr">
        <is>
          <t>não encontrado</t>
        </is>
      </c>
      <c r="K77" s="75" t="inlineStr">
        <is>
          <t>N/D</t>
        </is>
      </c>
      <c r="L77" s="75" t="inlineStr">
        <is>
          <t>N/D</t>
        </is>
      </c>
      <c r="M77" s="75" t="inlineStr">
        <is>
          <t>N/D</t>
        </is>
      </c>
      <c r="N77" s="75" t="inlineStr">
        <is>
          <t>N/D</t>
        </is>
      </c>
      <c r="O77" s="75" t="inlineStr">
        <is>
          <t>N/D</t>
        </is>
      </c>
      <c r="P77" s="75" t="inlineStr">
        <is>
          <t>N/D</t>
        </is>
      </c>
      <c r="Q77" s="75" t="inlineStr">
        <is>
          <t>a COMPANHIA NITRO QUÍMICA BRASILEIRA, com sede na cidade de São Paulo, Estado de São Paulo, na Avenida Doutor José Artur Nova, nº 951, São Miguel Paulista, CEP 08090-000, inscrita no CNPJ sob o nº 61.150.348/0001-50, cujas cessões não contarão com coobrigação</t>
        </is>
      </c>
      <c r="R77" s="75" t="inlineStr">
        <is>
          <t>encontrado_explicito</t>
        </is>
      </c>
      <c r="S77" s="75" t="inlineStr">
        <is>
          <t>N/D</t>
        </is>
      </c>
      <c r="T77" s="75" t="inlineStr">
        <is>
          <t>1261911</t>
        </is>
      </c>
      <c r="U77" s="75" t="inlineStr">
        <is>
          <t>18/06/2026</t>
        </is>
      </c>
      <c r="V77" s="75" t="inlineStr">
        <is>
          <t>63</t>
        </is>
      </c>
      <c r="W77" s="75" t="inlineStr">
        <is>
          <t>https://fnet.bmfbovespa.com.br/fnet/publico/downloadDocumento?id=1261911</t>
        </is>
      </c>
      <c r="X77" s="75" t="inlineStr">
        <is>
          <t>regulamento</t>
        </is>
      </c>
      <c r="Y77" s="75" t="inlineStr">
        <is>
          <t>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t>
        </is>
      </c>
      <c r="Z77" s="75" t="inlineStr">
        <is>
          <t>encontrado_explicito</t>
        </is>
      </c>
      <c r="AA77" s="75" t="inlineStr">
        <is>
          <t>N/D</t>
        </is>
      </c>
      <c r="AB77" s="75" t="inlineStr">
        <is>
          <t>1261911</t>
        </is>
      </c>
      <c r="AC77" s="75" t="inlineStr">
        <is>
          <t>18/06/2026</t>
        </is>
      </c>
      <c r="AD77" s="75" t="inlineStr">
        <is>
          <t>68</t>
        </is>
      </c>
      <c r="AE77" s="75" t="inlineStr">
        <is>
          <t>https://fnet.bmfbovespa.com.br/fnet/publico/downloadDocumento?id=1261911</t>
        </is>
      </c>
      <c r="AF77" s="75" t="inlineStr">
        <is>
          <t>regulamento</t>
        </is>
      </c>
      <c r="AG77" s="75" t="inlineStr">
        <is>
          <t>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t>
        </is>
      </c>
      <c r="AH77" s="75" t="inlineStr">
        <is>
          <t>encontrado_explicito</t>
        </is>
      </c>
      <c r="AI77" s="75" t="inlineStr">
        <is>
          <t>N/D</t>
        </is>
      </c>
      <c r="AJ77" s="75" t="inlineStr">
        <is>
          <t>1261911</t>
        </is>
      </c>
      <c r="AK77" s="75" t="inlineStr">
        <is>
          <t>18/06/2026</t>
        </is>
      </c>
      <c r="AL77" s="75" t="inlineStr">
        <is>
          <t>15</t>
        </is>
      </c>
      <c r="AM77" s="75" t="inlineStr">
        <is>
          <t>https://fnet.bmfbovespa.com.br/fnet/publico/downloadDocumento?id=1261911</t>
        </is>
      </c>
      <c r="AN77" s="75" t="inlineStr">
        <is>
          <t>regulamento</t>
        </is>
      </c>
      <c r="AO77" s="75" t="inlineStr">
        <is>
          <t>N/D</t>
        </is>
      </c>
      <c r="AP77" s="75" t="inlineStr">
        <is>
          <t>não encontrado</t>
        </is>
      </c>
      <c r="AQ77" s="75" t="inlineStr">
        <is>
          <t>N/D</t>
        </is>
      </c>
      <c r="AR77" s="75" t="inlineStr">
        <is>
          <t>N/D</t>
        </is>
      </c>
      <c r="AS77" s="75" t="inlineStr">
        <is>
          <t>N/D</t>
        </is>
      </c>
      <c r="AT77" s="75" t="inlineStr">
        <is>
          <t>N/D</t>
        </is>
      </c>
      <c r="AU77" s="75" t="inlineStr">
        <is>
          <t>N/D</t>
        </is>
      </c>
      <c r="AV77" s="75" t="inlineStr">
        <is>
          <t>N/D</t>
        </is>
      </c>
      <c r="AW77" s="75" t="inlineStr">
        <is>
          <t>25%</t>
        </is>
      </c>
      <c r="AX77" s="75" t="inlineStr">
        <is>
          <t>aceito_payload</t>
        </is>
      </c>
      <c r="AY77" s="75" t="inlineStr">
        <is>
          <t>suporte_combinado_pl</t>
        </is>
      </c>
      <c r="AZ77" s="75" t="inlineStr">
        <is>
          <t>1261911</t>
        </is>
      </c>
      <c r="BA77" s="75" t="inlineStr">
        <is>
          <t>2026-06-18</t>
        </is>
      </c>
      <c r="BB77" s="75" t="inlineStr">
        <is>
          <t>71</t>
        </is>
      </c>
      <c r="BC77" s="75" t="inlineStr">
        <is>
          <t>https://fnet.bmfbovespa.com.br/fnet/publico/downloadDocumento?id=1261911</t>
        </is>
      </c>
      <c r="BD77" s="75" t="inlineStr">
        <is>
          <t>payload_documental</t>
        </is>
      </c>
      <c r="BE77" s="75" t="inlineStr">
        <is>
          <t>suporte_combinado_pl</t>
        </is>
      </c>
      <c r="BF77" s="75" t="inlineStr">
        <is>
          <t>aceito_payload</t>
        </is>
      </c>
      <c r="BG77" s="75" t="inlineStr">
        <is>
          <t>suporte_combinado_pl</t>
        </is>
      </c>
      <c r="BH77" s="75" t="inlineStr">
        <is>
          <t>1261911</t>
        </is>
      </c>
      <c r="BI77" s="75" t="inlineStr">
        <is>
          <t>2026-06-18</t>
        </is>
      </c>
      <c r="BJ77" s="75" t="inlineStr">
        <is>
          <t>71</t>
        </is>
      </c>
      <c r="BK77" s="75" t="inlineStr">
        <is>
          <t>https://fnet.bmfbovespa.com.br/fnet/publico/downloadDocumento?id=1261911</t>
        </is>
      </c>
      <c r="BL77" s="75" t="inlineStr">
        <is>
          <t>payload_documental</t>
        </is>
      </c>
    </row>
    <row r="78" ht="42" customHeight="1">
      <c r="A78" s="141" t="n">
        <v>74</v>
      </c>
      <c r="B78" s="138" t="n">
        <v>57752597000148</v>
      </c>
      <c r="C78" s="74" t="inlineStr">
        <is>
          <t>57.752.597/0001-48</t>
        </is>
      </c>
      <c r="D78" s="74" t="inlineStr">
        <is>
          <t>AGROMERCANTIL CRÉDITO AGRO FUNDO DE INVESTIMENTO EM DIREITOS CREDITÓRIOS - RESPONSABILIDADE LIMITADA</t>
        </is>
      </c>
      <c r="E78" s="74" t="inlineStr">
        <is>
          <t>concluído</t>
        </is>
      </c>
      <c r="F78" s="141" t="n">
        <v>6</v>
      </c>
      <c r="G78" s="74" t="inlineStr">
        <is>
          <t>consultado</t>
        </is>
      </c>
      <c r="H78" s="74" t="inlineStr">
        <is>
          <t>N/D</t>
        </is>
      </c>
      <c r="I78" s="74" t="inlineStr">
        <is>
          <t>N/D</t>
        </is>
      </c>
      <c r="J78" s="74" t="inlineStr">
        <is>
          <t>não encontrado</t>
        </is>
      </c>
      <c r="K78" s="74" t="inlineStr">
        <is>
          <t>N/D</t>
        </is>
      </c>
      <c r="L78" s="74" t="inlineStr">
        <is>
          <t>N/D</t>
        </is>
      </c>
      <c r="M78" s="74" t="inlineStr">
        <is>
          <t>N/D</t>
        </is>
      </c>
      <c r="N78" s="74" t="inlineStr">
        <is>
          <t>N/D</t>
        </is>
      </c>
      <c r="O78" s="74" t="inlineStr">
        <is>
          <t>N/D</t>
        </is>
      </c>
      <c r="P78" s="74" t="inlineStr">
        <is>
          <t>N/D</t>
        </is>
      </c>
      <c r="Q78" s="74" t="inlineStr">
        <is>
          <t>AGROMERCANTIL</t>
        </is>
      </c>
      <c r="R78" s="74" t="inlineStr">
        <is>
          <t>aceito_payload</t>
        </is>
      </c>
      <c r="S78" s="74" t="inlineStr">
        <is>
          <t>N/D</t>
        </is>
      </c>
      <c r="T78" s="74" t="inlineStr">
        <is>
          <t>IMG_8706.JPG</t>
        </is>
      </c>
      <c r="U78" s="74" t="inlineStr">
        <is>
          <t>2026-05-21</t>
        </is>
      </c>
      <c r="V78" s="74" t="inlineStr">
        <is>
          <t>44</t>
        </is>
      </c>
      <c r="W78" s="74" t="inlineStr">
        <is>
          <t>N/D</t>
        </is>
      </c>
      <c r="X78" s="74" t="inlineStr">
        <is>
          <t>planilha_manual</t>
        </is>
      </c>
      <c r="Y78" s="74" t="inlineStr">
        <is>
          <t>N/D</t>
        </is>
      </c>
      <c r="Z78" s="74" t="inlineStr">
        <is>
          <t>não encontrado</t>
        </is>
      </c>
      <c r="AA78" s="74" t="inlineStr">
        <is>
          <t>N/D</t>
        </is>
      </c>
      <c r="AB78" s="74" t="inlineStr">
        <is>
          <t>N/D</t>
        </is>
      </c>
      <c r="AC78" s="74" t="inlineStr">
        <is>
          <t>N/D</t>
        </is>
      </c>
      <c r="AD78" s="74" t="inlineStr">
        <is>
          <t>N/D</t>
        </is>
      </c>
      <c r="AE78" s="74" t="inlineStr">
        <is>
          <t>N/D</t>
        </is>
      </c>
      <c r="AF78" s="74" t="inlineStr">
        <is>
          <t>N/D</t>
        </is>
      </c>
      <c r="AG78" s="74" t="inlineStr">
        <is>
          <t>Comercializadora de grãos</t>
        </is>
      </c>
      <c r="AH78" s="74" t="inlineStr">
        <is>
          <t>aceito_payload</t>
        </is>
      </c>
      <c r="AI78" s="74" t="inlineStr">
        <is>
          <t>N/D</t>
        </is>
      </c>
      <c r="AJ78" s="74" t="inlineStr">
        <is>
          <t>IMG_8706.JPG</t>
        </is>
      </c>
      <c r="AK78" s="74" t="inlineStr">
        <is>
          <t>2026-05-21</t>
        </is>
      </c>
      <c r="AL78" s="74" t="inlineStr">
        <is>
          <t>44</t>
        </is>
      </c>
      <c r="AM78" s="74" t="inlineStr">
        <is>
          <t>N/D</t>
        </is>
      </c>
      <c r="AN78" s="74" t="inlineStr">
        <is>
          <t>planilha_manual</t>
        </is>
      </c>
      <c r="AO78" s="74" t="inlineStr">
        <is>
          <t>30%</t>
        </is>
      </c>
      <c r="AP78" s="74" t="inlineStr">
        <is>
          <t>aceito_payload</t>
        </is>
      </c>
      <c r="AQ78" s="74" t="inlineStr">
        <is>
          <t>junior_pl</t>
        </is>
      </c>
      <c r="AR78" s="74" t="inlineStr">
        <is>
          <t>1200681</t>
        </is>
      </c>
      <c r="AS78" s="74" t="inlineStr">
        <is>
          <t>2026-05-21</t>
        </is>
      </c>
      <c r="AT78" s="74" t="inlineStr">
        <is>
          <t>44</t>
        </is>
      </c>
      <c r="AU78" s="74" t="inlineStr">
        <is>
          <t>https://fnet.bmfbovespa.com.br/fnet/publico/downloadDocumento?id=1200681</t>
        </is>
      </c>
      <c r="AV78" s="74" t="inlineStr">
        <is>
          <t>payload_documental</t>
        </is>
      </c>
      <c r="AW78" s="74" t="inlineStr">
        <is>
          <t>N/D</t>
        </is>
      </c>
      <c r="AX78" s="74" t="inlineStr">
        <is>
          <t>não encontrado</t>
        </is>
      </c>
      <c r="AY78" s="74" t="inlineStr">
        <is>
          <t>N/D</t>
        </is>
      </c>
      <c r="AZ78" s="74" t="inlineStr">
        <is>
          <t>N/D</t>
        </is>
      </c>
      <c r="BA78" s="74" t="inlineStr">
        <is>
          <t>N/D</t>
        </is>
      </c>
      <c r="BB78" s="74" t="inlineStr">
        <is>
          <t>N/D</t>
        </is>
      </c>
      <c r="BC78" s="74" t="inlineStr">
        <is>
          <t>N/D</t>
        </is>
      </c>
      <c r="BD78" s="74" t="inlineStr">
        <is>
          <t>N/D</t>
        </is>
      </c>
      <c r="BE78" s="74" t="inlineStr">
        <is>
          <t>junior_pl</t>
        </is>
      </c>
      <c r="BF78" s="74" t="inlineStr">
        <is>
          <t>aceito_payload</t>
        </is>
      </c>
      <c r="BG78" s="74" t="inlineStr">
        <is>
          <t>junior_pl</t>
        </is>
      </c>
      <c r="BH78" s="74" t="inlineStr">
        <is>
          <t>1200681</t>
        </is>
      </c>
      <c r="BI78" s="74" t="inlineStr">
        <is>
          <t>2026-05-21</t>
        </is>
      </c>
      <c r="BJ78" s="74" t="inlineStr">
        <is>
          <t>44</t>
        </is>
      </c>
      <c r="BK78" s="74" t="inlineStr">
        <is>
          <t>https://fnet.bmfbovespa.com.br/fnet/publico/downloadDocumento?id=1200681</t>
        </is>
      </c>
      <c r="BL78" s="74" t="inlineStr">
        <is>
          <t>payload_documental</t>
        </is>
      </c>
    </row>
    <row r="79" ht="42" customHeight="1">
      <c r="A79" s="145" t="n">
        <v>75</v>
      </c>
      <c r="B79" s="142" t="n">
        <v>47425750000179</v>
      </c>
      <c r="C79" s="75" t="inlineStr">
        <is>
          <t>47.425.750/0001-79</t>
        </is>
      </c>
      <c r="D79" s="75" t="inlineStr">
        <is>
          <t>CEREALIS FUNDO DE INVESTIMENTO EM DIREITOS CREDITÓRIOS</t>
        </is>
      </c>
      <c r="E79" s="75" t="inlineStr">
        <is>
          <t>concluído</t>
        </is>
      </c>
      <c r="F79" s="145" t="n">
        <v>9</v>
      </c>
      <c r="G79" s="75" t="inlineStr">
        <is>
          <t>consultado</t>
        </is>
      </c>
      <c r="H79" s="75" t="inlineStr">
        <is>
          <t>N/D</t>
        </is>
      </c>
      <c r="I79" s="75" t="inlineStr">
        <is>
          <t>N/D</t>
        </is>
      </c>
      <c r="J79" s="75" t="inlineStr">
        <is>
          <t>não encontrado</t>
        </is>
      </c>
      <c r="K79" s="75" t="inlineStr">
        <is>
          <t>N/D</t>
        </is>
      </c>
      <c r="L79" s="75" t="inlineStr">
        <is>
          <t>N/D</t>
        </is>
      </c>
      <c r="M79" s="75" t="inlineStr">
        <is>
          <t>N/D</t>
        </is>
      </c>
      <c r="N79" s="75" t="inlineStr">
        <is>
          <t>N/D</t>
        </is>
      </c>
      <c r="O79" s="75" t="inlineStr">
        <is>
          <t>N/D</t>
        </is>
      </c>
      <c r="P79" s="75" t="inlineStr">
        <is>
          <t>N/D</t>
        </is>
      </c>
      <c r="Q79" s="75" t="inlineStr">
        <is>
          <t>N/D</t>
        </is>
      </c>
      <c r="R79" s="75" t="inlineStr">
        <is>
          <t>não encontrado</t>
        </is>
      </c>
      <c r="S79" s="75" t="inlineStr">
        <is>
          <t>N/D</t>
        </is>
      </c>
      <c r="T79" s="75" t="inlineStr">
        <is>
          <t>N/D</t>
        </is>
      </c>
      <c r="U79" s="75" t="inlineStr">
        <is>
          <t>N/D</t>
        </is>
      </c>
      <c r="V79" s="75" t="inlineStr">
        <is>
          <t>N/D</t>
        </is>
      </c>
      <c r="W79" s="75" t="inlineStr">
        <is>
          <t>N/D</t>
        </is>
      </c>
      <c r="X79" s="75" t="inlineStr">
        <is>
          <t>N/D</t>
        </is>
      </c>
      <c r="Y79" s="75" t="inlineStr">
        <is>
          <t>N/D</t>
        </is>
      </c>
      <c r="Z79" s="75" t="inlineStr">
        <is>
          <t>não encontrado</t>
        </is>
      </c>
      <c r="AA79" s="75" t="inlineStr">
        <is>
          <t>N/D</t>
        </is>
      </c>
      <c r="AB79" s="75" t="inlineStr">
        <is>
          <t>N/D</t>
        </is>
      </c>
      <c r="AC79" s="75" t="inlineStr">
        <is>
          <t>N/D</t>
        </is>
      </c>
      <c r="AD79" s="75" t="inlineStr">
        <is>
          <t>N/D</t>
        </is>
      </c>
      <c r="AE79" s="75" t="inlineStr">
        <is>
          <t>N/D</t>
        </is>
      </c>
      <c r="AF79" s="75" t="inlineStr">
        <is>
          <t>N/D</t>
        </is>
      </c>
      <c r="AG79" s="75" t="inlineStr">
        <is>
          <t>N/D</t>
        </is>
      </c>
      <c r="AH79" s="75" t="inlineStr">
        <is>
          <t>não encontrado</t>
        </is>
      </c>
      <c r="AI79" s="75" t="inlineStr">
        <is>
          <t>N/D</t>
        </is>
      </c>
      <c r="AJ79" s="75" t="inlineStr">
        <is>
          <t>N/D</t>
        </is>
      </c>
      <c r="AK79" s="75" t="inlineStr">
        <is>
          <t>N/D</t>
        </is>
      </c>
      <c r="AL79" s="75" t="inlineStr">
        <is>
          <t>N/D</t>
        </is>
      </c>
      <c r="AM79" s="75" t="inlineStr">
        <is>
          <t>N/D</t>
        </is>
      </c>
      <c r="AN79" s="75" t="inlineStr">
        <is>
          <t>N/D</t>
        </is>
      </c>
      <c r="AO79" s="75" t="inlineStr">
        <is>
          <t>25%</t>
        </is>
      </c>
      <c r="AP79" s="75" t="inlineStr">
        <is>
          <t>aceito_payload</t>
        </is>
      </c>
      <c r="AQ79" s="75" t="inlineStr">
        <is>
          <t>junior_pl</t>
        </is>
      </c>
      <c r="AR79" s="75" t="inlineStr">
        <is>
          <t>1237988</t>
        </is>
      </c>
      <c r="AS79" s="75" t="inlineStr">
        <is>
          <t>2026-07-02</t>
        </is>
      </c>
      <c r="AT79" s="75" t="inlineStr">
        <is>
          <t>30</t>
        </is>
      </c>
      <c r="AU79" s="75" t="inlineStr">
        <is>
          <t>https://fnet.bmfbovespa.com.br/fnet/publico/downloadDocumento?id=1237988</t>
        </is>
      </c>
      <c r="AV79" s="75" t="inlineStr">
        <is>
          <t>payload_documental</t>
        </is>
      </c>
      <c r="AW79" s="75" t="inlineStr">
        <is>
          <t>N/D</t>
        </is>
      </c>
      <c r="AX79" s="75" t="inlineStr">
        <is>
          <t>não encontrado</t>
        </is>
      </c>
      <c r="AY79" s="75" t="inlineStr">
        <is>
          <t>N/D</t>
        </is>
      </c>
      <c r="AZ79" s="75" t="inlineStr">
        <is>
          <t>N/D</t>
        </is>
      </c>
      <c r="BA79" s="75" t="inlineStr">
        <is>
          <t>N/D</t>
        </is>
      </c>
      <c r="BB79" s="75" t="inlineStr">
        <is>
          <t>N/D</t>
        </is>
      </c>
      <c r="BC79" s="75" t="inlineStr">
        <is>
          <t>N/D</t>
        </is>
      </c>
      <c r="BD79" s="75" t="inlineStr">
        <is>
          <t>N/D</t>
        </is>
      </c>
      <c r="BE79" s="75" t="inlineStr">
        <is>
          <t>junior_pl</t>
        </is>
      </c>
      <c r="BF79" s="75" t="inlineStr">
        <is>
          <t>aceito_payload</t>
        </is>
      </c>
      <c r="BG79" s="75" t="inlineStr">
        <is>
          <t>junior_pl</t>
        </is>
      </c>
      <c r="BH79" s="75" t="inlineStr">
        <is>
          <t>1237988</t>
        </is>
      </c>
      <c r="BI79" s="75" t="inlineStr">
        <is>
          <t>2026-07-02</t>
        </is>
      </c>
      <c r="BJ79" s="75" t="inlineStr">
        <is>
          <t>30</t>
        </is>
      </c>
      <c r="BK79" s="75" t="inlineStr">
        <is>
          <t>https://fnet.bmfbovespa.com.br/fnet/publico/downloadDocumento?id=1237988</t>
        </is>
      </c>
      <c r="BL79" s="75" t="inlineStr">
        <is>
          <t>payload_documental</t>
        </is>
      </c>
    </row>
    <row r="80" ht="42" customHeight="1">
      <c r="A80" s="141" t="n">
        <v>76</v>
      </c>
      <c r="B80" s="138" t="n">
        <v>37035970000132</v>
      </c>
      <c r="C80" s="74" t="inlineStr">
        <is>
          <t>37.035.970/0001-32</t>
        </is>
      </c>
      <c r="D80" s="74" t="inlineStr">
        <is>
          <t>CD CASH FUNDO DE INVESTIMENTO EM DIREITOS CREDITÓRIOS RESPONSABILIDADE LIMITADA</t>
        </is>
      </c>
      <c r="E80" s="74" t="inlineStr">
        <is>
          <t>concluído</t>
        </is>
      </c>
      <c r="F80" s="141" t="n">
        <v>9</v>
      </c>
      <c r="G80" s="74" t="inlineStr">
        <is>
          <t>consultado</t>
        </is>
      </c>
      <c r="H80" s="74" t="inlineStr">
        <is>
          <t>N/D</t>
        </is>
      </c>
      <c r="I80" s="74" t="inlineStr">
        <is>
          <t>N/D</t>
        </is>
      </c>
      <c r="J80" s="74" t="inlineStr">
        <is>
          <t>não encontrado</t>
        </is>
      </c>
      <c r="K80" s="74" t="inlineStr">
        <is>
          <t>N/D</t>
        </is>
      </c>
      <c r="L80" s="74" t="inlineStr">
        <is>
          <t>N/D</t>
        </is>
      </c>
      <c r="M80" s="74" t="inlineStr">
        <is>
          <t>N/D</t>
        </is>
      </c>
      <c r="N80" s="74" t="inlineStr">
        <is>
          <t>N/D</t>
        </is>
      </c>
      <c r="O80" s="74" t="inlineStr">
        <is>
          <t>N/D</t>
        </is>
      </c>
      <c r="P80" s="74" t="inlineStr">
        <is>
          <t>N/D</t>
        </is>
      </c>
      <c r="Q80" s="74" t="inlineStr">
        <is>
          <t>CHDS do Brasil</t>
        </is>
      </c>
      <c r="R80" s="74" t="inlineStr">
        <is>
          <t>encontrado_explicito</t>
        </is>
      </c>
      <c r="S80" s="74" t="inlineStr">
        <is>
          <t>rótulo explícito de participante v2</t>
        </is>
      </c>
      <c r="T80" s="74" t="inlineStr">
        <is>
          <t>1128089</t>
        </is>
      </c>
      <c r="U80" s="74" t="inlineStr">
        <is>
          <t>20/08/2025</t>
        </is>
      </c>
      <c r="V80" s="74" t="inlineStr">
        <is>
          <t>6</t>
        </is>
      </c>
      <c r="W80" s="74" t="inlineStr">
        <is>
          <t>https://fnet.bmfbovespa.com.br/fnet/publico/downloadDocumento?id=1128089</t>
        </is>
      </c>
      <c r="X80" s="74" t="inlineStr">
        <is>
          <t>rating_report</t>
        </is>
      </c>
      <c r="Y80" s="74" t="inlineStr">
        <is>
          <t>N/D</t>
        </is>
      </c>
      <c r="Z80" s="74" t="inlineStr">
        <is>
          <t>não encontrado</t>
        </is>
      </c>
      <c r="AA80" s="74" t="inlineStr">
        <is>
          <t>N/D</t>
        </is>
      </c>
      <c r="AB80" s="74" t="inlineStr">
        <is>
          <t>N/D</t>
        </is>
      </c>
      <c r="AC80" s="74" t="inlineStr">
        <is>
          <t>N/D</t>
        </is>
      </c>
      <c r="AD80" s="74" t="inlineStr">
        <is>
          <t>N/D</t>
        </is>
      </c>
      <c r="AE80" s="74" t="inlineStr">
        <is>
          <t>N/D</t>
        </is>
      </c>
      <c r="AF80" s="74" t="inlineStr">
        <is>
          <t>N/D</t>
        </is>
      </c>
      <c r="AG80" s="74" t="inlineStr">
        <is>
          <t>Insumos Agrícolas - prazo Safra; possui não performados</t>
        </is>
      </c>
      <c r="AH80" s="74" t="inlineStr">
        <is>
          <t>aceito_payload</t>
        </is>
      </c>
      <c r="AI80" s="74" t="inlineStr">
        <is>
          <t>N/D</t>
        </is>
      </c>
      <c r="AJ80" s="74" t="inlineStr">
        <is>
          <t>IMG_8706.JPG</t>
        </is>
      </c>
      <c r="AK80" s="74" t="inlineStr">
        <is>
          <t>2026-05-12</t>
        </is>
      </c>
      <c r="AL80" s="74" t="inlineStr">
        <is>
          <t>43</t>
        </is>
      </c>
      <c r="AM80" s="74" t="inlineStr">
        <is>
          <t>N/D</t>
        </is>
      </c>
      <c r="AN80" s="74" t="inlineStr">
        <is>
          <t>planilha_manual</t>
        </is>
      </c>
      <c r="AO80" s="74" t="inlineStr">
        <is>
          <t>30%</t>
        </is>
      </c>
      <c r="AP80" s="74" t="inlineStr">
        <is>
          <t>aceito_payload</t>
        </is>
      </c>
      <c r="AQ80" s="74" t="inlineStr">
        <is>
          <t>junior_pl</t>
        </is>
      </c>
      <c r="AR80" s="74" t="inlineStr">
        <is>
          <t>1187379</t>
        </is>
      </c>
      <c r="AS80" s="74" t="inlineStr">
        <is>
          <t>2026-05-12</t>
        </is>
      </c>
      <c r="AT80" s="74" t="inlineStr">
        <is>
          <t>43</t>
        </is>
      </c>
      <c r="AU80" s="74" t="inlineStr">
        <is>
          <t>https://fnet.bmfbovespa.com.br/fnet/publico/downloadDocumento?id=1187379</t>
        </is>
      </c>
      <c r="AV80" s="74" t="inlineStr">
        <is>
          <t>payload_documental</t>
        </is>
      </c>
      <c r="AW80" s="74" t="inlineStr">
        <is>
          <t>N/D</t>
        </is>
      </c>
      <c r="AX80" s="74" t="inlineStr">
        <is>
          <t>não encontrado</t>
        </is>
      </c>
      <c r="AY80" s="74" t="inlineStr">
        <is>
          <t>N/D</t>
        </is>
      </c>
      <c r="AZ80" s="74" t="inlineStr">
        <is>
          <t>N/D</t>
        </is>
      </c>
      <c r="BA80" s="74" t="inlineStr">
        <is>
          <t>N/D</t>
        </is>
      </c>
      <c r="BB80" s="74" t="inlineStr">
        <is>
          <t>N/D</t>
        </is>
      </c>
      <c r="BC80" s="74" t="inlineStr">
        <is>
          <t>N/D</t>
        </is>
      </c>
      <c r="BD80" s="74" t="inlineStr">
        <is>
          <t>N/D</t>
        </is>
      </c>
      <c r="BE80" s="74" t="inlineStr">
        <is>
          <t>junior_pl</t>
        </is>
      </c>
      <c r="BF80" s="74" t="inlineStr">
        <is>
          <t>aceito_payload</t>
        </is>
      </c>
      <c r="BG80" s="74" t="inlineStr">
        <is>
          <t>junior_pl</t>
        </is>
      </c>
      <c r="BH80" s="74" t="inlineStr">
        <is>
          <t>1187379</t>
        </is>
      </c>
      <c r="BI80" s="74" t="inlineStr">
        <is>
          <t>2026-05-12</t>
        </is>
      </c>
      <c r="BJ80" s="74" t="inlineStr">
        <is>
          <t>43</t>
        </is>
      </c>
      <c r="BK80" s="74" t="inlineStr">
        <is>
          <t>https://fnet.bmfbovespa.com.br/fnet/publico/downloadDocumento?id=1187379</t>
        </is>
      </c>
      <c r="BL80" s="74" t="inlineStr">
        <is>
          <t>payload_documental</t>
        </is>
      </c>
    </row>
    <row r="81" ht="42" customHeight="1">
      <c r="A81" s="145" t="n">
        <v>77</v>
      </c>
      <c r="B81" s="142" t="n">
        <v>17468142000180</v>
      </c>
      <c r="C81" s="75" t="inlineStr">
        <is>
          <t>17.468.142/0001-80</t>
        </is>
      </c>
      <c r="D81" s="75" t="inlineStr">
        <is>
          <t>VALOREM FUNDO DE INVESTIMENTO EM DIREITOS CREDITÓRIOS MULTISETORIAL RESPONSABILIDADE LIMITADA</t>
        </is>
      </c>
      <c r="E81" s="75" t="inlineStr">
        <is>
          <t>concluído</t>
        </is>
      </c>
      <c r="F81" s="145" t="n">
        <v>12</v>
      </c>
      <c r="G81" s="75" t="inlineStr">
        <is>
          <t>consultado</t>
        </is>
      </c>
      <c r="H81" s="75" t="inlineStr">
        <is>
          <t>N/D</t>
        </is>
      </c>
      <c r="I81" s="75" t="inlineStr">
        <is>
          <t>N/D</t>
        </is>
      </c>
      <c r="J81" s="75" t="inlineStr">
        <is>
          <t>não encontrado</t>
        </is>
      </c>
      <c r="K81" s="75" t="inlineStr">
        <is>
          <t>N/D</t>
        </is>
      </c>
      <c r="L81" s="75" t="inlineStr">
        <is>
          <t>N/D</t>
        </is>
      </c>
      <c r="M81" s="75" t="inlineStr">
        <is>
          <t>N/D</t>
        </is>
      </c>
      <c r="N81" s="75" t="inlineStr">
        <is>
          <t>N/D</t>
        </is>
      </c>
      <c r="O81" s="75" t="inlineStr">
        <is>
          <t>N/D</t>
        </is>
      </c>
      <c r="P81" s="75" t="inlineStr">
        <is>
          <t>N/D</t>
        </is>
      </c>
      <c r="Q81" s="75" t="inlineStr">
        <is>
          <t>todas as pessoas físicas ou jurídicas que cedem os Direitos Creditórios para a Classe</t>
        </is>
      </c>
      <c r="R81" s="75" t="inlineStr">
        <is>
          <t>encontrado_explicito</t>
        </is>
      </c>
      <c r="S81" s="75" t="inlineStr">
        <is>
          <t>N/D</t>
        </is>
      </c>
      <c r="T81" s="75" t="inlineStr">
        <is>
          <t>1271235</t>
        </is>
      </c>
      <c r="U81" s="75" t="inlineStr">
        <is>
          <t>30/07/2026</t>
        </is>
      </c>
      <c r="V81" s="75" t="inlineStr">
        <is>
          <t>50</t>
        </is>
      </c>
      <c r="W81" s="75" t="inlineStr">
        <is>
          <t>https://fnet.bmfbovespa.com.br/fnet/publico/downloadDocumento?id=1271235</t>
        </is>
      </c>
      <c r="X81" s="75" t="inlineStr">
        <is>
          <t>regulamento</t>
        </is>
      </c>
      <c r="Y81" s="75" t="inlineStr">
        <is>
          <t>pessoas físicas e/ou jurídicas que figurem na qualidade de devedores dos Direitos Creditórios, podendo ser denominado também como “Sacado”</t>
        </is>
      </c>
      <c r="Z81" s="75" t="inlineStr">
        <is>
          <t>encontrado_explicito</t>
        </is>
      </c>
      <c r="AA81" s="75" t="inlineStr">
        <is>
          <t>N/D</t>
        </is>
      </c>
      <c r="AB81" s="75" t="inlineStr">
        <is>
          <t>1271235</t>
        </is>
      </c>
      <c r="AC81" s="75" t="inlineStr">
        <is>
          <t>30/07/2026</t>
        </is>
      </c>
      <c r="AD81" s="75" t="inlineStr">
        <is>
          <t>55</t>
        </is>
      </c>
      <c r="AE81" s="75" t="inlineStr">
        <is>
          <t>https://fnet.bmfbovespa.com.br/fnet/publico/downloadDocumento?id=1271235</t>
        </is>
      </c>
      <c r="AF81" s="75" t="inlineStr">
        <is>
          <t>regulamento</t>
        </is>
      </c>
      <c r="AG81" s="75" t="inlineStr">
        <is>
          <t>a) direitos e títulos representativos de crédito,</t>
        </is>
      </c>
      <c r="AH81" s="75" t="inlineStr">
        <is>
          <t>encontrado_explicito</t>
        </is>
      </c>
      <c r="AI81" s="75" t="inlineStr">
        <is>
          <t>N/D</t>
        </is>
      </c>
      <c r="AJ81" s="75" t="inlineStr">
        <is>
          <t>1271235</t>
        </is>
      </c>
      <c r="AK81" s="75" t="inlineStr">
        <is>
          <t>30/07/2026</t>
        </is>
      </c>
      <c r="AL81" s="75" t="inlineStr">
        <is>
          <t>55</t>
        </is>
      </c>
      <c r="AM81" s="75" t="inlineStr">
        <is>
          <t>https://fnet.bmfbovespa.com.br/fnet/publico/downloadDocumento?id=1271235</t>
        </is>
      </c>
      <c r="AN81" s="75" t="inlineStr">
        <is>
          <t>regulamento</t>
        </is>
      </c>
      <c r="AO81" s="75" t="inlineStr">
        <is>
          <t>15%</t>
        </is>
      </c>
      <c r="AP81" s="75" t="inlineStr">
        <is>
          <t>aceito_payload</t>
        </is>
      </c>
      <c r="AQ81" s="75" t="inlineStr">
        <is>
          <t>junior_pl</t>
        </is>
      </c>
      <c r="AR81" s="75" t="inlineStr">
        <is>
          <t>1157934</t>
        </is>
      </c>
      <c r="AS81" s="75" t="inlineStr">
        <is>
          <t>2026-04-09</t>
        </is>
      </c>
      <c r="AT81" s="75" t="inlineStr">
        <is>
          <t>102</t>
        </is>
      </c>
      <c r="AU81" s="75" t="inlineStr">
        <is>
          <t>https://fnet.bmfbovespa.com.br/fnet/publico/downloadDocumento?id=1157934</t>
        </is>
      </c>
      <c r="AV81" s="75" t="inlineStr">
        <is>
          <t>payload_documental</t>
        </is>
      </c>
      <c r="AW81" s="75" t="inlineStr">
        <is>
          <t>45%</t>
        </is>
      </c>
      <c r="AX81" s="75" t="inlineStr">
        <is>
          <t>encontrado_explicito</t>
        </is>
      </c>
      <c r="AY81" s="75" t="inlineStr">
        <is>
          <t>suporte_total_pl</t>
        </is>
      </c>
      <c r="AZ81" s="75" t="inlineStr">
        <is>
          <t>1271235</t>
        </is>
      </c>
      <c r="BA81" s="75" t="inlineStr">
        <is>
          <t>30/07/2026</t>
        </is>
      </c>
      <c r="BB81" s="75" t="inlineStr">
        <is>
          <t>102</t>
        </is>
      </c>
      <c r="BC81" s="75" t="inlineStr">
        <is>
          <t>https://fnet.bmfbovespa.com.br/fnet/publico/downloadDocumento?id=1271235</t>
        </is>
      </c>
      <c r="BD81" s="75" t="inlineStr">
        <is>
          <t>regulamento</t>
        </is>
      </c>
      <c r="BE81" s="75" t="inlineStr">
        <is>
          <t>junior_pl</t>
        </is>
      </c>
      <c r="BF81" s="75" t="inlineStr">
        <is>
          <t>aceito_payload</t>
        </is>
      </c>
      <c r="BG81" s="75" t="inlineStr">
        <is>
          <t>junior_pl</t>
        </is>
      </c>
      <c r="BH81" s="75" t="inlineStr">
        <is>
          <t>1157934</t>
        </is>
      </c>
      <c r="BI81" s="75" t="inlineStr">
        <is>
          <t>2026-04-09</t>
        </is>
      </c>
      <c r="BJ81" s="75" t="inlineStr">
        <is>
          <t>102</t>
        </is>
      </c>
      <c r="BK81" s="75" t="inlineStr">
        <is>
          <t>https://fnet.bmfbovespa.com.br/fnet/publico/downloadDocumento?id=1157934</t>
        </is>
      </c>
      <c r="BL81" s="75" t="inlineStr">
        <is>
          <t>payload_documental</t>
        </is>
      </c>
    </row>
    <row r="82" ht="42" customHeight="1">
      <c r="A82" s="141" t="n">
        <v>78</v>
      </c>
      <c r="B82" s="138" t="n">
        <v>29492605000129</v>
      </c>
      <c r="C82" s="74" t="inlineStr">
        <is>
          <t>29.492.605/0001-29</t>
        </is>
      </c>
      <c r="D82" s="74" t="inlineStr">
        <is>
          <t>GAZIN FUNDO DE INVESTIMENTO EM DIREITOS CREDITÓRIOS MULTISSEGMENTOS - RESPONSABILIDADE LIMITADA</t>
        </is>
      </c>
      <c r="E82" s="74" t="inlineStr">
        <is>
          <t>concluído</t>
        </is>
      </c>
      <c r="F82" s="141" t="n">
        <v>6</v>
      </c>
      <c r="G82" s="74" t="inlineStr">
        <is>
          <t>consultado</t>
        </is>
      </c>
      <c r="H82" s="74" t="inlineStr">
        <is>
          <t>N/D</t>
        </is>
      </c>
      <c r="I82" s="74" t="inlineStr">
        <is>
          <t>N/D</t>
        </is>
      </c>
      <c r="J82" s="74" t="inlineStr">
        <is>
          <t>não encontrado</t>
        </is>
      </c>
      <c r="K82" s="74" t="inlineStr">
        <is>
          <t>N/D</t>
        </is>
      </c>
      <c r="L82" s="74" t="inlineStr">
        <is>
          <t>N/D</t>
        </is>
      </c>
      <c r="M82" s="74" t="inlineStr">
        <is>
          <t>N/D</t>
        </is>
      </c>
      <c r="N82" s="74" t="inlineStr">
        <is>
          <t>N/D</t>
        </is>
      </c>
      <c r="O82" s="74" t="inlineStr">
        <is>
          <t>N/D</t>
        </is>
      </c>
      <c r="P82" s="74" t="inlineStr">
        <is>
          <t>N/D</t>
        </is>
      </c>
      <c r="Q82" s="74" t="inlineStr">
        <is>
          <t>Gazin</t>
        </is>
      </c>
      <c r="R82" s="74" t="inlineStr">
        <is>
          <t>encontrado_explicito</t>
        </is>
      </c>
      <c r="S82" s="74" t="inlineStr">
        <is>
          <t>rótulo explícito de participante v2</t>
        </is>
      </c>
      <c r="T82" s="74" t="inlineStr">
        <is>
          <t>321548</t>
        </is>
      </c>
      <c r="U82" s="74" t="inlineStr">
        <is>
          <t>06/06/2022</t>
        </is>
      </c>
      <c r="V82" s="74" t="inlineStr">
        <is>
          <t>1</t>
        </is>
      </c>
      <c r="W82" s="74" t="inlineStr">
        <is>
          <t>https://fnet.bmfbovespa.com.br/fnet/publico/downloadDocumento?id=321548</t>
        </is>
      </c>
      <c r="X82" s="74" t="inlineStr">
        <is>
          <t>rating_report</t>
        </is>
      </c>
      <c r="Y82" s="74" t="inlineStr">
        <is>
          <t>N/D</t>
        </is>
      </c>
      <c r="Z82" s="74" t="inlineStr">
        <is>
          <t>não encontrado</t>
        </is>
      </c>
      <c r="AA82" s="74" t="inlineStr">
        <is>
          <t>N/D</t>
        </is>
      </c>
      <c r="AB82" s="74" t="inlineStr">
        <is>
          <t>N/D</t>
        </is>
      </c>
      <c r="AC82" s="74" t="inlineStr">
        <is>
          <t>N/D</t>
        </is>
      </c>
      <c r="AD82" s="74" t="inlineStr">
        <is>
          <t>N/D</t>
        </is>
      </c>
      <c r="AE82" s="74" t="inlineStr">
        <is>
          <t>N/D</t>
        </is>
      </c>
      <c r="AF82" s="74" t="inlineStr">
        <is>
          <t>N/D</t>
        </is>
      </c>
      <c r="AG82" s="74" t="inlineStr">
        <is>
          <t>N/D</t>
        </is>
      </c>
      <c r="AH82" s="74" t="inlineStr">
        <is>
          <t>não encontrado</t>
        </is>
      </c>
      <c r="AI82" s="74" t="inlineStr">
        <is>
          <t>N/D</t>
        </is>
      </c>
      <c r="AJ82" s="74" t="inlineStr">
        <is>
          <t>N/D</t>
        </is>
      </c>
      <c r="AK82" s="74" t="inlineStr">
        <is>
          <t>N/D</t>
        </is>
      </c>
      <c r="AL82" s="74" t="inlineStr">
        <is>
          <t>N/D</t>
        </is>
      </c>
      <c r="AM82" s="74" t="inlineStr">
        <is>
          <t>N/D</t>
        </is>
      </c>
      <c r="AN82" s="74" t="inlineStr">
        <is>
          <t>N/D</t>
        </is>
      </c>
      <c r="AO82" s="74" t="inlineStr">
        <is>
          <t>51%</t>
        </is>
      </c>
      <c r="AP82" s="74" t="inlineStr">
        <is>
          <t>aceito_payload</t>
        </is>
      </c>
      <c r="AQ82" s="74" t="inlineStr">
        <is>
          <t>junior_pl</t>
        </is>
      </c>
      <c r="AR82" s="74" t="inlineStr">
        <is>
          <t>1117213</t>
        </is>
      </c>
      <c r="AS82" s="74" t="inlineStr">
        <is>
          <t>2026-02-12</t>
        </is>
      </c>
      <c r="AT82" s="74" t="inlineStr">
        <is>
          <t>44</t>
        </is>
      </c>
      <c r="AU82" s="74" t="inlineStr">
        <is>
          <t>https://fnet.bmfbovespa.com.br/fnet/publico/downloadDocumento?id=1117213</t>
        </is>
      </c>
      <c r="AV82" s="74" t="inlineStr">
        <is>
          <t>payload_documental</t>
        </is>
      </c>
      <c r="AW82" s="74" t="inlineStr">
        <is>
          <t>51%</t>
        </is>
      </c>
      <c r="AX82" s="74" t="inlineStr">
        <is>
          <t>aceito_payload</t>
        </is>
      </c>
      <c r="AY82" s="74" t="inlineStr">
        <is>
          <t>suporte_total_pl</t>
        </is>
      </c>
      <c r="AZ82" s="74" t="inlineStr">
        <is>
          <t>1117213</t>
        </is>
      </c>
      <c r="BA82" s="74" t="inlineStr">
        <is>
          <t>2026-02-12</t>
        </is>
      </c>
      <c r="BB82" s="74" t="inlineStr">
        <is>
          <t>44</t>
        </is>
      </c>
      <c r="BC82" s="74" t="inlineStr">
        <is>
          <t>https://fnet.bmfbovespa.com.br/fnet/publico/downloadDocumento?id=1117213</t>
        </is>
      </c>
      <c r="BD82" s="74" t="inlineStr">
        <is>
          <t>payload_documental</t>
        </is>
      </c>
      <c r="BE82" s="74" t="inlineStr">
        <is>
          <t>junior_pl</t>
        </is>
      </c>
      <c r="BF82" s="74" t="inlineStr">
        <is>
          <t>aceito_payload</t>
        </is>
      </c>
      <c r="BG82" s="74" t="inlineStr">
        <is>
          <t>junior_pl</t>
        </is>
      </c>
      <c r="BH82" s="74" t="inlineStr">
        <is>
          <t>1117213</t>
        </is>
      </c>
      <c r="BI82" s="74" t="inlineStr">
        <is>
          <t>2026-02-12</t>
        </is>
      </c>
      <c r="BJ82" s="74" t="inlineStr">
        <is>
          <t>44</t>
        </is>
      </c>
      <c r="BK82" s="74" t="inlineStr">
        <is>
          <t>https://fnet.bmfbovespa.com.br/fnet/publico/downloadDocumento?id=1117213</t>
        </is>
      </c>
      <c r="BL82" s="74" t="inlineStr">
        <is>
          <t>payload_documental</t>
        </is>
      </c>
    </row>
    <row r="83" ht="42" customHeight="1">
      <c r="A83" s="145" t="n">
        <v>79</v>
      </c>
      <c r="B83" s="142" t="n">
        <v>31739396000117</v>
      </c>
      <c r="C83" s="75" t="inlineStr">
        <is>
          <t>31.739.396/0001-17</t>
        </is>
      </c>
      <c r="D83" s="75" t="inlineStr">
        <is>
          <t>LF III FUNDO DE INVESTIMENTO EM DIREITOS CREDITÓRIOS DE RESPONSABILIDADE LIMITADA</t>
        </is>
      </c>
      <c r="E83" s="75" t="inlineStr">
        <is>
          <t>concluído</t>
        </is>
      </c>
      <c r="F83" s="145" t="n">
        <v>8</v>
      </c>
      <c r="G83" s="75" t="inlineStr">
        <is>
          <t>consultado</t>
        </is>
      </c>
      <c r="H83" s="75" t="inlineStr">
        <is>
          <t>N/D</t>
        </is>
      </c>
      <c r="I83" s="75" t="inlineStr">
        <is>
          <t>LISTO INSTITUIÇÃO DE PAGAMENTO LTDA.</t>
        </is>
      </c>
      <c r="J83" s="75" t="inlineStr">
        <is>
          <t>encontrado_explicito</t>
        </is>
      </c>
      <c r="K83" s="75" t="inlineStr">
        <is>
          <t>rótulo explícito de participante v2</t>
        </is>
      </c>
      <c r="L83" s="75" t="inlineStr">
        <is>
          <t>1237167</t>
        </is>
      </c>
      <c r="M83" s="75" t="inlineStr">
        <is>
          <t>26/06/2026</t>
        </is>
      </c>
      <c r="N83" s="75" t="inlineStr">
        <is>
          <t>1</t>
        </is>
      </c>
      <c r="O83" s="75" t="inlineStr">
        <is>
          <t>https://fnet.bmfbovespa.com.br/fnet/publico/downloadDocumento?id=1237167</t>
        </is>
      </c>
      <c r="P83" s="75" t="inlineStr">
        <is>
          <t>rating_report</t>
        </is>
      </c>
      <c r="Q83" s="75" t="inlineStr">
        <is>
          <t>Listo IP</t>
        </is>
      </c>
      <c r="R83" s="75" t="inlineStr">
        <is>
          <t>aceito_payload</t>
        </is>
      </c>
      <c r="S83" s="75" t="inlineStr">
        <is>
          <t>N/D</t>
        </is>
      </c>
      <c r="T83" s="75" t="inlineStr">
        <is>
          <t>IMG_8706.JPG</t>
        </is>
      </c>
      <c r="U83" s="75" t="inlineStr">
        <is>
          <t>2026-03-27</t>
        </is>
      </c>
      <c r="V83" s="75" t="inlineStr">
        <is>
          <t>39</t>
        </is>
      </c>
      <c r="W83" s="75" t="inlineStr">
        <is>
          <t>N/D</t>
        </is>
      </c>
      <c r="X83" s="75" t="inlineStr">
        <is>
          <t>planilha_manual</t>
        </is>
      </c>
      <c r="Y83" s="75" t="inlineStr">
        <is>
          <t>N/D</t>
        </is>
      </c>
      <c r="Z83" s="75" t="inlineStr">
        <is>
          <t>não encontrado</t>
        </is>
      </c>
      <c r="AA83" s="75" t="inlineStr">
        <is>
          <t>N/D</t>
        </is>
      </c>
      <c r="AB83" s="75" t="inlineStr">
        <is>
          <t>N/D</t>
        </is>
      </c>
      <c r="AC83" s="75" t="inlineStr">
        <is>
          <t>N/D</t>
        </is>
      </c>
      <c r="AD83" s="75" t="inlineStr">
        <is>
          <t>N/D</t>
        </is>
      </c>
      <c r="AE83" s="75" t="inlineStr">
        <is>
          <t>N/D</t>
        </is>
      </c>
      <c r="AF83" s="75" t="inlineStr">
        <is>
          <t>N/D</t>
        </is>
      </c>
      <c r="AG83" s="75" t="inlineStr">
        <is>
          <t>os direitos creditórios detidos pela Cedente em face dos Devedores, equivalentes ao valor total das Transações de Pagamento realizadas pelos Usuários com a utilização de Instrumentos de Pagamentos para a aquisição de bens ou serviços nos Estabeleciment os Credenciados, após o desconto das taxas que constituem a remuneração dos Devedores (Emissores) e das Bandeiras, bem como de outras eventuais retenções previstas nas regras do Arranjo de Pagamento (tais como Chargebacks), conforme aplicável</t>
        </is>
      </c>
      <c r="AH83" s="75" t="inlineStr">
        <is>
          <t>encontrado_explicito</t>
        </is>
      </c>
      <c r="AI83" s="75" t="inlineStr">
        <is>
          <t>N/D</t>
        </is>
      </c>
      <c r="AJ83" s="75" t="inlineStr">
        <is>
          <t>1146939</t>
        </is>
      </c>
      <c r="AK83" s="75" t="inlineStr">
        <is>
          <t>27/03/2026</t>
        </is>
      </c>
      <c r="AL83" s="75" t="inlineStr">
        <is>
          <t>10</t>
        </is>
      </c>
      <c r="AM83" s="75" t="inlineStr">
        <is>
          <t>https://fnet.bmfbovespa.com.br/fnet/publico/downloadDocumento?id=1146939</t>
        </is>
      </c>
      <c r="AN83" s="75" t="inlineStr">
        <is>
          <t>regulamento</t>
        </is>
      </c>
      <c r="AO83" s="75" t="inlineStr">
        <is>
          <t>0.5%</t>
        </is>
      </c>
      <c r="AP83" s="75" t="inlineStr">
        <is>
          <t>aceito_payload</t>
        </is>
      </c>
      <c r="AQ83" s="75" t="inlineStr">
        <is>
          <t>junior_pl</t>
        </is>
      </c>
      <c r="AR83" s="75" t="inlineStr">
        <is>
          <t>1146939</t>
        </is>
      </c>
      <c r="AS83" s="75" t="inlineStr">
        <is>
          <t>2026-03-27</t>
        </is>
      </c>
      <c r="AT83" s="75" t="inlineStr">
        <is>
          <t>39</t>
        </is>
      </c>
      <c r="AU83" s="75" t="inlineStr">
        <is>
          <t>https://fnet.bmfbovespa.com.br/fnet/publico/downloadDocumento?id=1146939</t>
        </is>
      </c>
      <c r="AV83" s="75" t="inlineStr">
        <is>
          <t>payload_documental</t>
        </is>
      </c>
      <c r="AW83" s="75" t="inlineStr">
        <is>
          <t>N/D</t>
        </is>
      </c>
      <c r="AX83" s="75" t="inlineStr">
        <is>
          <t>não encontrado</t>
        </is>
      </c>
      <c r="AY83" s="75" t="inlineStr">
        <is>
          <t>N/D</t>
        </is>
      </c>
      <c r="AZ83" s="75" t="inlineStr">
        <is>
          <t>N/D</t>
        </is>
      </c>
      <c r="BA83" s="75" t="inlineStr">
        <is>
          <t>N/D</t>
        </is>
      </c>
      <c r="BB83" s="75" t="inlineStr">
        <is>
          <t>N/D</t>
        </is>
      </c>
      <c r="BC83" s="75" t="inlineStr">
        <is>
          <t>N/D</t>
        </is>
      </c>
      <c r="BD83" s="75" t="inlineStr">
        <is>
          <t>N/D</t>
        </is>
      </c>
      <c r="BE83" s="75" t="inlineStr">
        <is>
          <t>junior_pl</t>
        </is>
      </c>
      <c r="BF83" s="75" t="inlineStr">
        <is>
          <t>aceito_payload</t>
        </is>
      </c>
      <c r="BG83" s="75" t="inlineStr">
        <is>
          <t>junior_pl</t>
        </is>
      </c>
      <c r="BH83" s="75" t="inlineStr">
        <is>
          <t>1146939</t>
        </is>
      </c>
      <c r="BI83" s="75" t="inlineStr">
        <is>
          <t>2026-03-27</t>
        </is>
      </c>
      <c r="BJ83" s="75" t="inlineStr">
        <is>
          <t>39</t>
        </is>
      </c>
      <c r="BK83" s="75" t="inlineStr">
        <is>
          <t>https://fnet.bmfbovespa.com.br/fnet/publico/downloadDocumento?id=1146939</t>
        </is>
      </c>
      <c r="BL83" s="75" t="inlineStr">
        <is>
          <t>payload_documental</t>
        </is>
      </c>
    </row>
    <row r="84" ht="42" customHeight="1">
      <c r="A84" s="141" t="n">
        <v>80</v>
      </c>
      <c r="B84" s="138" t="n">
        <v>26749095000134</v>
      </c>
      <c r="C84" s="74" t="inlineStr">
        <is>
          <t>26.749.095/0001-34</t>
        </is>
      </c>
      <c r="D84" s="74" t="inlineStr">
        <is>
          <t>PRAVALER CRÉDITO UNIVERSITÁRIO II FUNDO DE INVESTIMENTO EM DIREITOS CREDITÓRIOS - RESP LIMITADAL</t>
        </is>
      </c>
      <c r="E84" s="74" t="inlineStr">
        <is>
          <t>concluído</t>
        </is>
      </c>
      <c r="F84" s="141" t="n">
        <v>13</v>
      </c>
      <c r="G84" s="74" t="inlineStr">
        <is>
          <t>consultado</t>
        </is>
      </c>
      <c r="H84" s="74" t="inlineStr">
        <is>
          <t>N/D</t>
        </is>
      </c>
      <c r="I84" s="74" t="inlineStr">
        <is>
          <t>N/D</t>
        </is>
      </c>
      <c r="J84" s="74" t="inlineStr">
        <is>
          <t>não encontrado</t>
        </is>
      </c>
      <c r="K84" s="74" t="inlineStr">
        <is>
          <t>N/D</t>
        </is>
      </c>
      <c r="L84" s="74" t="inlineStr">
        <is>
          <t>N/D</t>
        </is>
      </c>
      <c r="M84" s="74" t="inlineStr">
        <is>
          <t>N/D</t>
        </is>
      </c>
      <c r="N84" s="74" t="inlineStr">
        <is>
          <t>N/D</t>
        </is>
      </c>
      <c r="O84" s="74" t="inlineStr">
        <is>
          <t>N/D</t>
        </is>
      </c>
      <c r="P84" s="74" t="inlineStr">
        <is>
          <t>N/D</t>
        </is>
      </c>
      <c r="Q84" s="74" t="inlineStr">
        <is>
          <t>Pravaler</t>
        </is>
      </c>
      <c r="R84" s="74" t="inlineStr">
        <is>
          <t>aceito_payload</t>
        </is>
      </c>
      <c r="S84" s="74" t="inlineStr">
        <is>
          <t>N/D</t>
        </is>
      </c>
      <c r="T84" s="74" t="inlineStr">
        <is>
          <t>IMG_8706.JPG</t>
        </is>
      </c>
      <c r="U84" s="74" t="inlineStr">
        <is>
          <t>2025-11-19</t>
        </is>
      </c>
      <c r="V84" s="74" t="inlineStr">
        <is>
          <t>152</t>
        </is>
      </c>
      <c r="W84" s="74" t="inlineStr">
        <is>
          <t>N/D</t>
        </is>
      </c>
      <c r="X84" s="74" t="inlineStr">
        <is>
          <t>planilha_manual</t>
        </is>
      </c>
      <c r="Y84" s="74" t="inlineStr">
        <is>
          <t>N/D</t>
        </is>
      </c>
      <c r="Z84" s="74" t="inlineStr">
        <is>
          <t>não encontrado</t>
        </is>
      </c>
      <c r="AA84" s="74" t="inlineStr">
        <is>
          <t>N/D</t>
        </is>
      </c>
      <c r="AB84" s="74" t="inlineStr">
        <is>
          <t>N/D</t>
        </is>
      </c>
      <c r="AC84" s="74" t="inlineStr">
        <is>
          <t>N/D</t>
        </is>
      </c>
      <c r="AD84" s="74" t="inlineStr">
        <is>
          <t>N/D</t>
        </is>
      </c>
      <c r="AE84" s="74" t="inlineStr">
        <is>
          <t>N/D</t>
        </is>
      </c>
      <c r="AF84" s="74" t="inlineStr">
        <is>
          <t>N/D</t>
        </is>
      </c>
      <c r="AG84" s="74" t="inlineStr">
        <is>
          <t>Crédito Estudantil</t>
        </is>
      </c>
      <c r="AH84" s="74" t="inlineStr">
        <is>
          <t>aceito_payload</t>
        </is>
      </c>
      <c r="AI84" s="74" t="inlineStr">
        <is>
          <t>N/D</t>
        </is>
      </c>
      <c r="AJ84" s="74" t="inlineStr">
        <is>
          <t>IMG_8706.JPG</t>
        </is>
      </c>
      <c r="AK84" s="74" t="inlineStr">
        <is>
          <t>2025-11-19</t>
        </is>
      </c>
      <c r="AL84" s="74" t="inlineStr">
        <is>
          <t>152</t>
        </is>
      </c>
      <c r="AM84" s="74" t="inlineStr">
        <is>
          <t>N/D</t>
        </is>
      </c>
      <c r="AN84" s="74" t="inlineStr">
        <is>
          <t>planilha_manual</t>
        </is>
      </c>
      <c r="AO84" s="74" t="inlineStr">
        <is>
          <t>10%</t>
        </is>
      </c>
      <c r="AP84" s="74" t="inlineStr">
        <is>
          <t>aceito_payload</t>
        </is>
      </c>
      <c r="AQ84" s="74" t="inlineStr">
        <is>
          <t>junior_pl</t>
        </is>
      </c>
      <c r="AR84" s="74" t="inlineStr">
        <is>
          <t>1061833</t>
        </is>
      </c>
      <c r="AS84" s="74" t="inlineStr">
        <is>
          <t>2025-11-19</t>
        </is>
      </c>
      <c r="AT84" s="74" t="inlineStr">
        <is>
          <t>152</t>
        </is>
      </c>
      <c r="AU84" s="74" t="inlineStr">
        <is>
          <t>https://fnet.bmfbovespa.com.br/fnet/publico/downloadDocumento?id=1061833</t>
        </is>
      </c>
      <c r="AV84" s="74" t="inlineStr">
        <is>
          <t>payload_documental</t>
        </is>
      </c>
      <c r="AW84" s="74" t="inlineStr">
        <is>
          <t>N/D</t>
        </is>
      </c>
      <c r="AX84" s="74" t="inlineStr">
        <is>
          <t>não encontrado</t>
        </is>
      </c>
      <c r="AY84" s="74" t="inlineStr">
        <is>
          <t>N/D</t>
        </is>
      </c>
      <c r="AZ84" s="74" t="inlineStr">
        <is>
          <t>N/D</t>
        </is>
      </c>
      <c r="BA84" s="74" t="inlineStr">
        <is>
          <t>N/D</t>
        </is>
      </c>
      <c r="BB84" s="74" t="inlineStr">
        <is>
          <t>N/D</t>
        </is>
      </c>
      <c r="BC84" s="74" t="inlineStr">
        <is>
          <t>N/D</t>
        </is>
      </c>
      <c r="BD84" s="74" t="inlineStr">
        <is>
          <t>N/D</t>
        </is>
      </c>
      <c r="BE84" s="74" t="inlineStr">
        <is>
          <t>junior_pl</t>
        </is>
      </c>
      <c r="BF84" s="74" t="inlineStr">
        <is>
          <t>aceito_payload</t>
        </is>
      </c>
      <c r="BG84" s="74" t="inlineStr">
        <is>
          <t>junior_pl</t>
        </is>
      </c>
      <c r="BH84" s="74" t="inlineStr">
        <is>
          <t>1061833</t>
        </is>
      </c>
      <c r="BI84" s="74" t="inlineStr">
        <is>
          <t>2025-11-19</t>
        </is>
      </c>
      <c r="BJ84" s="74" t="inlineStr">
        <is>
          <t>152</t>
        </is>
      </c>
      <c r="BK84" s="74" t="inlineStr">
        <is>
          <t>https://fnet.bmfbovespa.com.br/fnet/publico/downloadDocumento?id=1061833</t>
        </is>
      </c>
      <c r="BL84" s="74" t="inlineStr">
        <is>
          <t>payload_documental</t>
        </is>
      </c>
    </row>
    <row r="85" ht="42" customHeight="1">
      <c r="A85" s="145" t="n">
        <v>81</v>
      </c>
      <c r="B85" s="142" t="n">
        <v>62393829000159</v>
      </c>
      <c r="C85" s="75" t="inlineStr">
        <is>
          <t>62.393.829/0001-59</t>
        </is>
      </c>
      <c r="D85" s="75" t="inlineStr">
        <is>
          <t>FUNDO DE INVESTIMENTO EM DIREITOS CREDITÓRIOS COMERCIAIS MEDICI I - RESPONSABILIDADE LIMITADA</t>
        </is>
      </c>
      <c r="E85" s="75" t="inlineStr">
        <is>
          <t>concluído</t>
        </is>
      </c>
      <c r="F85" s="145" t="n">
        <v>7</v>
      </c>
      <c r="G85" s="75" t="inlineStr">
        <is>
          <t>consultado</t>
        </is>
      </c>
      <c r="H85" s="75" t="inlineStr">
        <is>
          <t>N/D</t>
        </is>
      </c>
      <c r="I85" s="75" t="inlineStr">
        <is>
          <t>N/D</t>
        </is>
      </c>
      <c r="J85" s="75" t="inlineStr">
        <is>
          <t>não encontrado</t>
        </is>
      </c>
      <c r="K85" s="75" t="inlineStr">
        <is>
          <t>N/D</t>
        </is>
      </c>
      <c r="L85" s="75" t="inlineStr">
        <is>
          <t>N/D</t>
        </is>
      </c>
      <c r="M85" s="75" t="inlineStr">
        <is>
          <t>N/D</t>
        </is>
      </c>
      <c r="N85" s="75" t="inlineStr">
        <is>
          <t>N/D</t>
        </is>
      </c>
      <c r="O85" s="75" t="inlineStr">
        <is>
          <t>N/D</t>
        </is>
      </c>
      <c r="P85" s="75" t="inlineStr">
        <is>
          <t>N/D</t>
        </is>
      </c>
      <c r="Q85" s="75" t="inlineStr">
        <is>
          <t>Multicedente</t>
        </is>
      </c>
      <c r="R85" s="75" t="inlineStr">
        <is>
          <t>aceito_payload</t>
        </is>
      </c>
      <c r="S85" s="75" t="inlineStr">
        <is>
          <t>N/D</t>
        </is>
      </c>
      <c r="T85" s="75" t="inlineStr">
        <is>
          <t>IMG_8706.JPG</t>
        </is>
      </c>
      <c r="U85" s="75" t="inlineStr">
        <is>
          <t>2026-07-08</t>
        </is>
      </c>
      <c r="V85" s="75" t="inlineStr">
        <is>
          <t>40–41</t>
        </is>
      </c>
      <c r="W85" s="75" t="inlineStr">
        <is>
          <t>N/D</t>
        </is>
      </c>
      <c r="X85" s="75" t="inlineStr">
        <is>
          <t>planilha_manual</t>
        </is>
      </c>
      <c r="Y85" s="75" t="inlineStr">
        <is>
          <t>BRF</t>
        </is>
      </c>
      <c r="Z85" s="75" t="inlineStr">
        <is>
          <t>aceito_payload</t>
        </is>
      </c>
      <c r="AA85" s="75" t="inlineStr">
        <is>
          <t>N/D</t>
        </is>
      </c>
      <c r="AB85" s="75" t="inlineStr">
        <is>
          <t>IMG_8706.JPG</t>
        </is>
      </c>
      <c r="AC85" s="75" t="inlineStr">
        <is>
          <t>2026-07-08</t>
        </is>
      </c>
      <c r="AD85" s="75" t="inlineStr">
        <is>
          <t>40–41</t>
        </is>
      </c>
      <c r="AE85" s="75" t="inlineStr">
        <is>
          <t>N/D</t>
        </is>
      </c>
      <c r="AF85" s="75" t="inlineStr">
        <is>
          <t>planilha_manual</t>
        </is>
      </c>
      <c r="AG85" s="75" t="inlineStr">
        <is>
          <t>Risco Sacado BRF</t>
        </is>
      </c>
      <c r="AH85" s="75" t="inlineStr">
        <is>
          <t>aceito_payload</t>
        </is>
      </c>
      <c r="AI85" s="75" t="inlineStr">
        <is>
          <t>N/D</t>
        </is>
      </c>
      <c r="AJ85" s="75" t="inlineStr">
        <is>
          <t>IMG_8706.JPG</t>
        </is>
      </c>
      <c r="AK85" s="75" t="inlineStr">
        <is>
          <t>2026-07-08</t>
        </is>
      </c>
      <c r="AL85" s="75" t="inlineStr">
        <is>
          <t>40–41</t>
        </is>
      </c>
      <c r="AM85" s="75" t="inlineStr">
        <is>
          <t>N/D</t>
        </is>
      </c>
      <c r="AN85" s="75" t="inlineStr">
        <is>
          <t>planilha_manual</t>
        </is>
      </c>
      <c r="AO85" s="75" t="inlineStr">
        <is>
          <t>5%</t>
        </is>
      </c>
      <c r="AP85" s="75" t="inlineStr">
        <is>
          <t>aceito_payload</t>
        </is>
      </c>
      <c r="AQ85" s="75" t="inlineStr">
        <is>
          <t>junior_pl</t>
        </is>
      </c>
      <c r="AR85" s="75" t="inlineStr">
        <is>
          <t>1242436</t>
        </is>
      </c>
      <c r="AS85" s="75" t="inlineStr">
        <is>
          <t>2026-07-08</t>
        </is>
      </c>
      <c r="AT85" s="75" t="inlineStr">
        <is>
          <t>40–41</t>
        </is>
      </c>
      <c r="AU85" s="75" t="inlineStr">
        <is>
          <t>https://fnet.bmfbovespa.com.br/fnet/publico/downloadDocumento?id=1242436</t>
        </is>
      </c>
      <c r="AV85" s="75" t="inlineStr">
        <is>
          <t>payload_documental</t>
        </is>
      </c>
      <c r="AW85" s="75" t="inlineStr">
        <is>
          <t>5%</t>
        </is>
      </c>
      <c r="AX85" s="75" t="inlineStr">
        <is>
          <t>aceito_payload</t>
        </is>
      </c>
      <c r="AY85" s="75" t="inlineStr">
        <is>
          <t>suporte_total_pl</t>
        </is>
      </c>
      <c r="AZ85" s="75" t="inlineStr">
        <is>
          <t>1242436</t>
        </is>
      </c>
      <c r="BA85" s="75" t="inlineStr">
        <is>
          <t>2026-07-08</t>
        </is>
      </c>
      <c r="BB85" s="75" t="inlineStr">
        <is>
          <t>40–41</t>
        </is>
      </c>
      <c r="BC85" s="75" t="inlineStr">
        <is>
          <t>https://fnet.bmfbovespa.com.br/fnet/publico/downloadDocumento?id=1242436</t>
        </is>
      </c>
      <c r="BD85" s="75" t="inlineStr">
        <is>
          <t>payload_documental</t>
        </is>
      </c>
      <c r="BE85" s="75" t="inlineStr">
        <is>
          <t>junior_pl</t>
        </is>
      </c>
      <c r="BF85" s="75" t="inlineStr">
        <is>
          <t>aceito_payload</t>
        </is>
      </c>
      <c r="BG85" s="75" t="inlineStr">
        <is>
          <t>junior_pl</t>
        </is>
      </c>
      <c r="BH85" s="75" t="inlineStr">
        <is>
          <t>1242436</t>
        </is>
      </c>
      <c r="BI85" s="75" t="inlineStr">
        <is>
          <t>2026-07-08</t>
        </is>
      </c>
      <c r="BJ85" s="75" t="inlineStr">
        <is>
          <t>40–41</t>
        </is>
      </c>
      <c r="BK85" s="75" t="inlineStr">
        <is>
          <t>https://fnet.bmfbovespa.com.br/fnet/publico/downloadDocumento?id=1242436</t>
        </is>
      </c>
      <c r="BL85" s="75" t="inlineStr">
        <is>
          <t>payload_documental</t>
        </is>
      </c>
    </row>
    <row r="86" ht="42" customHeight="1">
      <c r="A86" s="141" t="n">
        <v>82</v>
      </c>
      <c r="B86" s="138" t="n">
        <v>47640584000123</v>
      </c>
      <c r="C86" s="74" t="inlineStr">
        <is>
          <t>47.640.584/0001-23</t>
        </is>
      </c>
      <c r="D86" s="74" t="inlineStr">
        <is>
          <t>SOL AGORA GREEN ESG FIDC IS SEGMENTO FINANCEIRO DE RESPONSABILIDADE LIMITADA</t>
        </is>
      </c>
      <c r="E86" s="74" t="inlineStr">
        <is>
          <t>concluído</t>
        </is>
      </c>
      <c r="F86" s="141" t="n">
        <v>8</v>
      </c>
      <c r="G86" s="74" t="inlineStr">
        <is>
          <t>consultado</t>
        </is>
      </c>
      <c r="H86" s="74" t="inlineStr">
        <is>
          <t>N/D</t>
        </is>
      </c>
      <c r="I86" s="74" t="inlineStr">
        <is>
          <t>Sol Agora</t>
        </is>
      </c>
      <c r="J86" s="74" t="inlineStr">
        <is>
          <t>encontrado_explicito</t>
        </is>
      </c>
      <c r="K86" s="74" t="inlineStr">
        <is>
          <t>rótulo explícito de participante v2</t>
        </is>
      </c>
      <c r="L86" s="74" t="inlineStr">
        <is>
          <t>721487</t>
        </is>
      </c>
      <c r="M86" s="74" t="inlineStr">
        <is>
          <t>30/06/2024</t>
        </is>
      </c>
      <c r="N86" s="74" t="inlineStr">
        <is>
          <t>5</t>
        </is>
      </c>
      <c r="O86" s="74" t="inlineStr">
        <is>
          <t>https://fnet.bmfbovespa.com.br/fnet/publico/downloadDocumento?id=721487</t>
        </is>
      </c>
      <c r="P86" s="74" t="inlineStr">
        <is>
          <t>rating_report</t>
        </is>
      </c>
      <c r="Q86" s="74" t="inlineStr">
        <is>
          <t>BMP</t>
        </is>
      </c>
      <c r="R86" s="74" t="inlineStr">
        <is>
          <t>aceito_payload</t>
        </is>
      </c>
      <c r="S86" s="74" t="inlineStr">
        <is>
          <t>N/D</t>
        </is>
      </c>
      <c r="T86" s="74" t="inlineStr">
        <is>
          <t>IMG_8706.JPG</t>
        </is>
      </c>
      <c r="U86" s="74" t="inlineStr">
        <is>
          <t>2025-06-13</t>
        </is>
      </c>
      <c r="V86" s="74" t="inlineStr">
        <is>
          <t>91</t>
        </is>
      </c>
      <c r="W86" s="74" t="inlineStr">
        <is>
          <t>N/D</t>
        </is>
      </c>
      <c r="X86" s="74" t="inlineStr">
        <is>
          <t>planilha_manual</t>
        </is>
      </c>
      <c r="Y86" s="74" t="inlineStr">
        <is>
          <t>pessoas físicas ou jurídicas que obtenham um financiamento de Projetos de Geração Energia Elétrica junto a uma Instituição Financeira Parceira por meio da Plataforma Sol Agora</t>
        </is>
      </c>
      <c r="Z86" s="74" t="inlineStr">
        <is>
          <t>encontrado_explicito</t>
        </is>
      </c>
      <c r="AA86" s="74" t="inlineStr">
        <is>
          <t>N/D</t>
        </is>
      </c>
      <c r="AB86" s="74" t="inlineStr">
        <is>
          <t>930974</t>
        </is>
      </c>
      <c r="AC86" s="74" t="inlineStr">
        <is>
          <t>13/06/2025</t>
        </is>
      </c>
      <c r="AD86" s="74" t="inlineStr">
        <is>
          <t>87</t>
        </is>
      </c>
      <c r="AE86" s="74" t="inlineStr">
        <is>
          <t>https://fnet.bmfbovespa.com.br/fnet/publico/downloadDocumento?id=930974</t>
        </is>
      </c>
      <c r="AF86" s="74" t="inlineStr">
        <is>
          <t>regulamento</t>
        </is>
      </c>
      <c r="AG86" s="74" t="inlineStr">
        <is>
          <t>Recebíveis: CCBs</t>
        </is>
      </c>
      <c r="AH86" s="74" t="inlineStr">
        <is>
          <t>aceito_payload</t>
        </is>
      </c>
      <c r="AI86" s="74" t="inlineStr">
        <is>
          <t>N/D</t>
        </is>
      </c>
      <c r="AJ86" s="74" t="inlineStr">
        <is>
          <t>IMG_8706.JPG</t>
        </is>
      </c>
      <c r="AK86" s="74" t="inlineStr">
        <is>
          <t>2025-06-13</t>
        </is>
      </c>
      <c r="AL86" s="74" t="inlineStr">
        <is>
          <t>91</t>
        </is>
      </c>
      <c r="AM86" s="74" t="inlineStr">
        <is>
          <t>N/D</t>
        </is>
      </c>
      <c r="AN86" s="74" t="inlineStr">
        <is>
          <t>planilha_manual</t>
        </is>
      </c>
      <c r="AO86" s="74" t="inlineStr">
        <is>
          <t>10%</t>
        </is>
      </c>
      <c r="AP86" s="74" t="inlineStr">
        <is>
          <t>aceito_payload</t>
        </is>
      </c>
      <c r="AQ86" s="74" t="inlineStr">
        <is>
          <t>junior_pl</t>
        </is>
      </c>
      <c r="AR86" s="74" t="inlineStr">
        <is>
          <t>930974</t>
        </is>
      </c>
      <c r="AS86" s="74" t="inlineStr">
        <is>
          <t>2025-06-13</t>
        </is>
      </c>
      <c r="AT86" s="74" t="inlineStr">
        <is>
          <t>91</t>
        </is>
      </c>
      <c r="AU86" s="74" t="inlineStr">
        <is>
          <t>https://fnet.bmfbovespa.com.br/fnet/publico/downloadDocumento?id=930974</t>
        </is>
      </c>
      <c r="AV86" s="74" t="inlineStr">
        <is>
          <t>payload_documental</t>
        </is>
      </c>
      <c r="AW86" s="74" t="inlineStr">
        <is>
          <t>N/D</t>
        </is>
      </c>
      <c r="AX86" s="74" t="inlineStr">
        <is>
          <t>não encontrado</t>
        </is>
      </c>
      <c r="AY86" s="74" t="inlineStr">
        <is>
          <t>N/D</t>
        </is>
      </c>
      <c r="AZ86" s="74" t="inlineStr">
        <is>
          <t>N/D</t>
        </is>
      </c>
      <c r="BA86" s="74" t="inlineStr">
        <is>
          <t>N/D</t>
        </is>
      </c>
      <c r="BB86" s="74" t="inlineStr">
        <is>
          <t>N/D</t>
        </is>
      </c>
      <c r="BC86" s="74" t="inlineStr">
        <is>
          <t>N/D</t>
        </is>
      </c>
      <c r="BD86" s="74" t="inlineStr">
        <is>
          <t>N/D</t>
        </is>
      </c>
      <c r="BE86" s="74" t="inlineStr">
        <is>
          <t>junior_pl</t>
        </is>
      </c>
      <c r="BF86" s="74" t="inlineStr">
        <is>
          <t>aceito_payload</t>
        </is>
      </c>
      <c r="BG86" s="74" t="inlineStr">
        <is>
          <t>junior_pl</t>
        </is>
      </c>
      <c r="BH86" s="74" t="inlineStr">
        <is>
          <t>930974</t>
        </is>
      </c>
      <c r="BI86" s="74" t="inlineStr">
        <is>
          <t>2025-06-13</t>
        </is>
      </c>
      <c r="BJ86" s="74" t="inlineStr">
        <is>
          <t>91</t>
        </is>
      </c>
      <c r="BK86" s="74" t="inlineStr">
        <is>
          <t>https://fnet.bmfbovespa.com.br/fnet/publico/downloadDocumento?id=930974</t>
        </is>
      </c>
      <c r="BL86" s="74" t="inlineStr">
        <is>
          <t>payload_documental</t>
        </is>
      </c>
    </row>
    <row r="87" ht="42" customHeight="1">
      <c r="A87" s="145" t="n">
        <v>83</v>
      </c>
      <c r="B87" s="142" t="n">
        <v>57028406000108</v>
      </c>
      <c r="C87" s="75" t="inlineStr">
        <is>
          <t>57.028.406/0001-08</t>
        </is>
      </c>
      <c r="D87" s="75" t="inlineStr">
        <is>
          <t>IS GREEN SOLFÁCIL VI FUNDO DE INVESTIMENTO EM DIREITOS CREDITÓRIOS RESPONSABILIDADE LIMITADA</t>
        </is>
      </c>
      <c r="E87" s="75" t="inlineStr">
        <is>
          <t>concluído</t>
        </is>
      </c>
      <c r="F87" s="145" t="n">
        <v>8</v>
      </c>
      <c r="G87" s="75" t="inlineStr">
        <is>
          <t>consultado</t>
        </is>
      </c>
      <c r="H87" s="75" t="inlineStr">
        <is>
          <t>N/D</t>
        </is>
      </c>
      <c r="I87" s="75" t="inlineStr">
        <is>
          <t>Solfácil Energia</t>
        </is>
      </c>
      <c r="J87" s="75" t="inlineStr">
        <is>
          <t>encontrado_explicito</t>
        </is>
      </c>
      <c r="K87" s="75" t="inlineStr">
        <is>
          <t>rótulo explícito de participante v2</t>
        </is>
      </c>
      <c r="L87" s="75" t="inlineStr">
        <is>
          <t>1048522</t>
        </is>
      </c>
      <c r="M87" s="75" t="inlineStr">
        <is>
          <t>29/08/2025</t>
        </is>
      </c>
      <c r="N87" s="75" t="inlineStr">
        <is>
          <t>5</t>
        </is>
      </c>
      <c r="O87" s="75" t="inlineStr">
        <is>
          <t>https://fnet.bmfbovespa.com.br/fnet/publico/downloadDocumento?id=1048522</t>
        </is>
      </c>
      <c r="P87" s="75" t="inlineStr">
        <is>
          <t>rating_report</t>
        </is>
      </c>
      <c r="Q87" s="75" t="inlineStr">
        <is>
          <t>Solfácil SCD</t>
        </is>
      </c>
      <c r="R87" s="75" t="inlineStr">
        <is>
          <t>aceito_payload</t>
        </is>
      </c>
      <c r="S87" s="75" t="inlineStr">
        <is>
          <t>N/D</t>
        </is>
      </c>
      <c r="T87" s="75" t="inlineStr">
        <is>
          <t>IMG_8706.JPG</t>
        </is>
      </c>
      <c r="U87" s="75" t="inlineStr">
        <is>
          <t>2026-05-21</t>
        </is>
      </c>
      <c r="V87" s="75" t="inlineStr">
        <is>
          <t>112</t>
        </is>
      </c>
      <c r="W87" s="75" t="inlineStr">
        <is>
          <t>N/D</t>
        </is>
      </c>
      <c r="X87" s="75" t="inlineStr">
        <is>
          <t>planilha_manual</t>
        </is>
      </c>
      <c r="Y87" s="75" t="inlineStr">
        <is>
          <t>N/D</t>
        </is>
      </c>
      <c r="Z87" s="75" t="inlineStr">
        <is>
          <t>não encontrado</t>
        </is>
      </c>
      <c r="AA87" s="75" t="inlineStr">
        <is>
          <t>N/D</t>
        </is>
      </c>
      <c r="AB87" s="75" t="inlineStr">
        <is>
          <t>N/D</t>
        </is>
      </c>
      <c r="AC87" s="75" t="inlineStr">
        <is>
          <t>N/D</t>
        </is>
      </c>
      <c r="AD87" s="75" t="inlineStr">
        <is>
          <t>N/D</t>
        </is>
      </c>
      <c r="AE87" s="75" t="inlineStr">
        <is>
          <t>N/D</t>
        </is>
      </c>
      <c r="AF87" s="75" t="inlineStr">
        <is>
          <t>N/D</t>
        </is>
      </c>
      <c r="AG87" s="75" t="inlineStr">
        <is>
          <t>Direitos Creditórios performados oriundos de financiamento de instalação de placas solares</t>
        </is>
      </c>
      <c r="AH87" s="75" t="inlineStr">
        <is>
          <t>aceito_payload</t>
        </is>
      </c>
      <c r="AI87" s="75" t="inlineStr">
        <is>
          <t>N/D</t>
        </is>
      </c>
      <c r="AJ87" s="75" t="inlineStr">
        <is>
          <t>IMG_8706.JPG</t>
        </is>
      </c>
      <c r="AK87" s="75" t="inlineStr">
        <is>
          <t>2026-05-21</t>
        </is>
      </c>
      <c r="AL87" s="75" t="inlineStr">
        <is>
          <t>112</t>
        </is>
      </c>
      <c r="AM87" s="75" t="inlineStr">
        <is>
          <t>N/D</t>
        </is>
      </c>
      <c r="AN87" s="75" t="inlineStr">
        <is>
          <t>planilha_manual</t>
        </is>
      </c>
      <c r="AO87" s="75" t="inlineStr">
        <is>
          <t>2%</t>
        </is>
      </c>
      <c r="AP87" s="75" t="inlineStr">
        <is>
          <t>aceito_payload</t>
        </is>
      </c>
      <c r="AQ87" s="75" t="inlineStr">
        <is>
          <t>junior_pl</t>
        </is>
      </c>
      <c r="AR87" s="75" t="inlineStr">
        <is>
          <t>1202319</t>
        </is>
      </c>
      <c r="AS87" s="75" t="inlineStr">
        <is>
          <t>2026-05-21</t>
        </is>
      </c>
      <c r="AT87" s="75" t="inlineStr">
        <is>
          <t>112</t>
        </is>
      </c>
      <c r="AU87" s="75" t="inlineStr">
        <is>
          <t>https://fnet.bmfbovespa.com.br/fnet/publico/downloadDocumento?id=1202319</t>
        </is>
      </c>
      <c r="AV87" s="75" t="inlineStr">
        <is>
          <t>payload_documental</t>
        </is>
      </c>
      <c r="AW87" s="75" t="inlineStr">
        <is>
          <t>N/D</t>
        </is>
      </c>
      <c r="AX87" s="75" t="inlineStr">
        <is>
          <t>não encontrado</t>
        </is>
      </c>
      <c r="AY87" s="75" t="inlineStr">
        <is>
          <t>N/D</t>
        </is>
      </c>
      <c r="AZ87" s="75" t="inlineStr">
        <is>
          <t>N/D</t>
        </is>
      </c>
      <c r="BA87" s="75" t="inlineStr">
        <is>
          <t>N/D</t>
        </is>
      </c>
      <c r="BB87" s="75" t="inlineStr">
        <is>
          <t>N/D</t>
        </is>
      </c>
      <c r="BC87" s="75" t="inlineStr">
        <is>
          <t>N/D</t>
        </is>
      </c>
      <c r="BD87" s="75" t="inlineStr">
        <is>
          <t>N/D</t>
        </is>
      </c>
      <c r="BE87" s="75" t="inlineStr">
        <is>
          <t>junior_pl</t>
        </is>
      </c>
      <c r="BF87" s="75" t="inlineStr">
        <is>
          <t>aceito_payload</t>
        </is>
      </c>
      <c r="BG87" s="75" t="inlineStr">
        <is>
          <t>junior_pl</t>
        </is>
      </c>
      <c r="BH87" s="75" t="inlineStr">
        <is>
          <t>1202319</t>
        </is>
      </c>
      <c r="BI87" s="75" t="inlineStr">
        <is>
          <t>2026-05-21</t>
        </is>
      </c>
      <c r="BJ87" s="75" t="inlineStr">
        <is>
          <t>112</t>
        </is>
      </c>
      <c r="BK87" s="75" t="inlineStr">
        <is>
          <t>https://fnet.bmfbovespa.com.br/fnet/publico/downloadDocumento?id=1202319</t>
        </is>
      </c>
      <c r="BL87" s="75" t="inlineStr">
        <is>
          <t>payload_documental</t>
        </is>
      </c>
    </row>
    <row r="88" ht="42" customHeight="1">
      <c r="A88" s="141" t="n">
        <v>84</v>
      </c>
      <c r="B88" s="138" t="n">
        <v>31570767000180</v>
      </c>
      <c r="C88" s="74" t="inlineStr">
        <is>
          <t>31.570.767/0001-80</t>
        </is>
      </c>
      <c r="D88" s="74" t="inlineStr">
        <is>
          <t>FUNDO DE INVESTIMENTO EM DIREITOS CREDITÓRIOS TRADEPAY VAREJO I - RESPONSABILIDADE LIMITADA</t>
        </is>
      </c>
      <c r="E88" s="74" t="inlineStr">
        <is>
          <t>concluído</t>
        </is>
      </c>
      <c r="F88" s="141" t="n">
        <v>9</v>
      </c>
      <c r="G88" s="74" t="inlineStr">
        <is>
          <t>consultado</t>
        </is>
      </c>
      <c r="H88" s="74" t="inlineStr">
        <is>
          <t>N/D</t>
        </is>
      </c>
      <c r="I88" s="74" t="inlineStr">
        <is>
          <t>N/D</t>
        </is>
      </c>
      <c r="J88" s="74" t="inlineStr">
        <is>
          <t>não encontrado</t>
        </is>
      </c>
      <c r="K88" s="74" t="inlineStr">
        <is>
          <t>N/D</t>
        </is>
      </c>
      <c r="L88" s="74" t="inlineStr">
        <is>
          <t>N/D</t>
        </is>
      </c>
      <c r="M88" s="74" t="inlineStr">
        <is>
          <t>N/D</t>
        </is>
      </c>
      <c r="N88" s="74" t="inlineStr">
        <is>
          <t>N/D</t>
        </is>
      </c>
      <c r="O88" s="74" t="inlineStr">
        <is>
          <t>N/D</t>
        </is>
      </c>
      <c r="P88" s="74" t="inlineStr">
        <is>
          <t>N/D</t>
        </is>
      </c>
      <c r="Q88" s="74" t="inlineStr">
        <is>
          <t>Trademaster</t>
        </is>
      </c>
      <c r="R88" s="74" t="inlineStr">
        <is>
          <t>aceito_payload</t>
        </is>
      </c>
      <c r="S88" s="74" t="inlineStr">
        <is>
          <t>N/D</t>
        </is>
      </c>
      <c r="T88" s="74" t="inlineStr">
        <is>
          <t>IMG_8706.JPG</t>
        </is>
      </c>
      <c r="U88" s="74" t="inlineStr">
        <is>
          <t>2026-05-25</t>
        </is>
      </c>
      <c r="V88" s="74" t="inlineStr">
        <is>
          <t>39</t>
        </is>
      </c>
      <c r="W88" s="74" t="inlineStr">
        <is>
          <t>N/D</t>
        </is>
      </c>
      <c r="X88" s="74" t="inlineStr">
        <is>
          <t>planilha_manual</t>
        </is>
      </c>
      <c r="Y88" s="74" t="inlineStr">
        <is>
          <t>N/D</t>
        </is>
      </c>
      <c r="Z88" s="74" t="inlineStr">
        <is>
          <t>não encontrado</t>
        </is>
      </c>
      <c r="AA88" s="74" t="inlineStr">
        <is>
          <t>N/D</t>
        </is>
      </c>
      <c r="AB88" s="74" t="inlineStr">
        <is>
          <t>N/D</t>
        </is>
      </c>
      <c r="AC88" s="74" t="inlineStr">
        <is>
          <t>N/D</t>
        </is>
      </c>
      <c r="AD88" s="74" t="inlineStr">
        <is>
          <t>N/D</t>
        </is>
      </c>
      <c r="AE88" s="74" t="inlineStr">
        <is>
          <t>N/D</t>
        </is>
      </c>
      <c r="AF88" s="74" t="inlineStr">
        <is>
          <t>N/D</t>
        </is>
      </c>
      <c r="AG88" s="74" t="inlineStr">
        <is>
          <t>N/D</t>
        </is>
      </c>
      <c r="AH88" s="74" t="inlineStr">
        <is>
          <t>não encontrado</t>
        </is>
      </c>
      <c r="AI88" s="74" t="inlineStr">
        <is>
          <t>N/D</t>
        </is>
      </c>
      <c r="AJ88" s="74" t="inlineStr">
        <is>
          <t>N/D</t>
        </is>
      </c>
      <c r="AK88" s="74" t="inlineStr">
        <is>
          <t>N/D</t>
        </is>
      </c>
      <c r="AL88" s="74" t="inlineStr">
        <is>
          <t>N/D</t>
        </is>
      </c>
      <c r="AM88" s="74" t="inlineStr">
        <is>
          <t>N/D</t>
        </is>
      </c>
      <c r="AN88" s="74" t="inlineStr">
        <is>
          <t>N/D</t>
        </is>
      </c>
      <c r="AO88" s="74" t="inlineStr">
        <is>
          <t>5%</t>
        </is>
      </c>
      <c r="AP88" s="74" t="inlineStr">
        <is>
          <t>aceito_payload</t>
        </is>
      </c>
      <c r="AQ88" s="74" t="inlineStr">
        <is>
          <t>junior_pl</t>
        </is>
      </c>
      <c r="AR88" s="74" t="inlineStr">
        <is>
          <t>1203635</t>
        </is>
      </c>
      <c r="AS88" s="74" t="inlineStr">
        <is>
          <t>2026-05-25</t>
        </is>
      </c>
      <c r="AT88" s="74" t="inlineStr">
        <is>
          <t>39</t>
        </is>
      </c>
      <c r="AU88" s="74" t="inlineStr">
        <is>
          <t>https://fnet.bmfbovespa.com.br/fnet/publico/downloadDocumento?id=1203635</t>
        </is>
      </c>
      <c r="AV88" s="74" t="inlineStr">
        <is>
          <t>payload_documental</t>
        </is>
      </c>
      <c r="AW88" s="74" t="inlineStr">
        <is>
          <t>N/D</t>
        </is>
      </c>
      <c r="AX88" s="74" t="inlineStr">
        <is>
          <t>não encontrado</t>
        </is>
      </c>
      <c r="AY88" s="74" t="inlineStr">
        <is>
          <t>N/D</t>
        </is>
      </c>
      <c r="AZ88" s="74" t="inlineStr">
        <is>
          <t>N/D</t>
        </is>
      </c>
      <c r="BA88" s="74" t="inlineStr">
        <is>
          <t>N/D</t>
        </is>
      </c>
      <c r="BB88" s="74" t="inlineStr">
        <is>
          <t>N/D</t>
        </is>
      </c>
      <c r="BC88" s="74" t="inlineStr">
        <is>
          <t>N/D</t>
        </is>
      </c>
      <c r="BD88" s="74" t="inlineStr">
        <is>
          <t>N/D</t>
        </is>
      </c>
      <c r="BE88" s="74" t="inlineStr">
        <is>
          <t>junior_pl</t>
        </is>
      </c>
      <c r="BF88" s="74" t="inlineStr">
        <is>
          <t>aceito_payload</t>
        </is>
      </c>
      <c r="BG88" s="74" t="inlineStr">
        <is>
          <t>junior_pl</t>
        </is>
      </c>
      <c r="BH88" s="74" t="inlineStr">
        <is>
          <t>1203635</t>
        </is>
      </c>
      <c r="BI88" s="74" t="inlineStr">
        <is>
          <t>2026-05-25</t>
        </is>
      </c>
      <c r="BJ88" s="74" t="inlineStr">
        <is>
          <t>39</t>
        </is>
      </c>
      <c r="BK88" s="74" t="inlineStr">
        <is>
          <t>https://fnet.bmfbovespa.com.br/fnet/publico/downloadDocumento?id=1203635</t>
        </is>
      </c>
      <c r="BL88" s="74" t="inlineStr">
        <is>
          <t>payload_documental</t>
        </is>
      </c>
    </row>
    <row r="89" ht="42" customHeight="1">
      <c r="A89" s="145" t="n">
        <v>85</v>
      </c>
      <c r="B89" s="142" t="n">
        <v>54464892000100</v>
      </c>
      <c r="C89" s="75" t="inlineStr">
        <is>
          <t>54.464.892/0001-00</t>
        </is>
      </c>
      <c r="D89" s="75" t="inlineStr">
        <is>
          <t>FUNDO DE INVESTIMENTO EM DIREITOS CREDITÓRIOS MT FGTS RECEIVABLES II</t>
        </is>
      </c>
      <c r="E89" s="75" t="inlineStr">
        <is>
          <t>concluído</t>
        </is>
      </c>
      <c r="F89" s="145" t="n">
        <v>6</v>
      </c>
      <c r="G89" s="75" t="inlineStr">
        <is>
          <t>consultado</t>
        </is>
      </c>
      <c r="H89" s="75" t="inlineStr">
        <is>
          <t>N/D</t>
        </is>
      </c>
      <c r="I89" s="75" t="inlineStr">
        <is>
          <t>N/D</t>
        </is>
      </c>
      <c r="J89" s="75" t="inlineStr">
        <is>
          <t>não encontrado</t>
        </is>
      </c>
      <c r="K89" s="75" t="inlineStr">
        <is>
          <t>N/D</t>
        </is>
      </c>
      <c r="L89" s="75" t="inlineStr">
        <is>
          <t>N/D</t>
        </is>
      </c>
      <c r="M89" s="75" t="inlineStr">
        <is>
          <t>N/D</t>
        </is>
      </c>
      <c r="N89" s="75" t="inlineStr">
        <is>
          <t>N/D</t>
        </is>
      </c>
      <c r="O89" s="75" t="inlineStr">
        <is>
          <t>N/D</t>
        </is>
      </c>
      <c r="P89" s="75" t="inlineStr">
        <is>
          <t>N/D</t>
        </is>
      </c>
      <c r="Q89" s="75" t="inlineStr">
        <is>
          <t>75% Parati / 25% QI Tech</t>
        </is>
      </c>
      <c r="R89" s="75" t="inlineStr">
        <is>
          <t>aceito_payload</t>
        </is>
      </c>
      <c r="S89" s="75" t="inlineStr">
        <is>
          <t>N/D</t>
        </is>
      </c>
      <c r="T89" s="75" t="inlineStr">
        <is>
          <t>IMG_8707.jpg</t>
        </is>
      </c>
      <c r="U89" s="75" t="inlineStr">
        <is>
          <t>2025-04-23</t>
        </is>
      </c>
      <c r="V89" s="75" t="inlineStr">
        <is>
          <t>85–86</t>
        </is>
      </c>
      <c r="W89" s="75" t="inlineStr">
        <is>
          <t>N/D</t>
        </is>
      </c>
      <c r="X89" s="75" t="inlineStr">
        <is>
          <t>planilha_manual</t>
        </is>
      </c>
      <c r="Y89" s="75" t="inlineStr">
        <is>
          <t>N/D</t>
        </is>
      </c>
      <c r="Z89" s="75" t="inlineStr">
        <is>
          <t>não encontrado</t>
        </is>
      </c>
      <c r="AA89" s="75" t="inlineStr">
        <is>
          <t>N/D</t>
        </is>
      </c>
      <c r="AB89" s="75" t="inlineStr">
        <is>
          <t>N/D</t>
        </is>
      </c>
      <c r="AC89" s="75" t="inlineStr">
        <is>
          <t>N/D</t>
        </is>
      </c>
      <c r="AD89" s="75" t="inlineStr">
        <is>
          <t>N/D</t>
        </is>
      </c>
      <c r="AE89" s="75" t="inlineStr">
        <is>
          <t>N/D</t>
        </is>
      </c>
      <c r="AF89" s="75" t="inlineStr">
        <is>
          <t>N/D</t>
        </is>
      </c>
      <c r="AG89" s="75" t="inlineStr">
        <is>
          <t>N/D</t>
        </is>
      </c>
      <c r="AH89" s="75" t="inlineStr">
        <is>
          <t>não encontrado</t>
        </is>
      </c>
      <c r="AI89" s="75" t="inlineStr">
        <is>
          <t>N/D</t>
        </is>
      </c>
      <c r="AJ89" s="75" t="inlineStr">
        <is>
          <t>N/D</t>
        </is>
      </c>
      <c r="AK89" s="75" t="inlineStr">
        <is>
          <t>N/D</t>
        </is>
      </c>
      <c r="AL89" s="75" t="inlineStr">
        <is>
          <t>N/D</t>
        </is>
      </c>
      <c r="AM89" s="75" t="inlineStr">
        <is>
          <t>N/D</t>
        </is>
      </c>
      <c r="AN89" s="75" t="inlineStr">
        <is>
          <t>N/D</t>
        </is>
      </c>
      <c r="AO89" s="75" t="inlineStr">
        <is>
          <t>3.5%</t>
        </is>
      </c>
      <c r="AP89" s="75" t="inlineStr">
        <is>
          <t>aceito_payload</t>
        </is>
      </c>
      <c r="AQ89" s="75" t="inlineStr">
        <is>
          <t>junior_pl</t>
        </is>
      </c>
      <c r="AR89" s="75" t="inlineStr">
        <is>
          <t>884293</t>
        </is>
      </c>
      <c r="AS89" s="75" t="inlineStr">
        <is>
          <t>2025-04-23</t>
        </is>
      </c>
      <c r="AT89" s="75" t="inlineStr">
        <is>
          <t>85–86</t>
        </is>
      </c>
      <c r="AU89" s="75" t="inlineStr">
        <is>
          <t>https://fnet.bmfbovespa.com.br/fnet/publico/downloadDocumento?id=884293</t>
        </is>
      </c>
      <c r="AV89" s="75" t="inlineStr">
        <is>
          <t>payload_documental</t>
        </is>
      </c>
      <c r="AW89" s="75" t="inlineStr">
        <is>
          <t>N/D</t>
        </is>
      </c>
      <c r="AX89" s="75" t="inlineStr">
        <is>
          <t>não encontrado</t>
        </is>
      </c>
      <c r="AY89" s="75" t="inlineStr">
        <is>
          <t>N/D</t>
        </is>
      </c>
      <c r="AZ89" s="75" t="inlineStr">
        <is>
          <t>N/D</t>
        </is>
      </c>
      <c r="BA89" s="75" t="inlineStr">
        <is>
          <t>N/D</t>
        </is>
      </c>
      <c r="BB89" s="75" t="inlineStr">
        <is>
          <t>N/D</t>
        </is>
      </c>
      <c r="BC89" s="75" t="inlineStr">
        <is>
          <t>N/D</t>
        </is>
      </c>
      <c r="BD89" s="75" t="inlineStr">
        <is>
          <t>N/D</t>
        </is>
      </c>
      <c r="BE89" s="75" t="inlineStr">
        <is>
          <t>junior_pl</t>
        </is>
      </c>
      <c r="BF89" s="75" t="inlineStr">
        <is>
          <t>aceito_payload</t>
        </is>
      </c>
      <c r="BG89" s="75" t="inlineStr">
        <is>
          <t>junior_pl</t>
        </is>
      </c>
      <c r="BH89" s="75" t="inlineStr">
        <is>
          <t>884293</t>
        </is>
      </c>
      <c r="BI89" s="75" t="inlineStr">
        <is>
          <t>2025-04-23</t>
        </is>
      </c>
      <c r="BJ89" s="75" t="inlineStr">
        <is>
          <t>85–86</t>
        </is>
      </c>
      <c r="BK89" s="75" t="inlineStr">
        <is>
          <t>https://fnet.bmfbovespa.com.br/fnet/publico/downloadDocumento?id=884293</t>
        </is>
      </c>
      <c r="BL89" s="75" t="inlineStr">
        <is>
          <t>payload_documental</t>
        </is>
      </c>
    </row>
    <row r="90" ht="42" customHeight="1">
      <c r="A90" s="141" t="n">
        <v>86</v>
      </c>
      <c r="B90" s="138" t="n">
        <v>11468186000124</v>
      </c>
      <c r="C90" s="74" t="inlineStr">
        <is>
          <t>11.468.186/0001-24</t>
        </is>
      </c>
      <c r="D90" s="74" t="inlineStr">
        <is>
          <t>ATLANTA FUNDO DE INVESTIMENTO EM DIREITOS CREDITÓRIOS DE RESPONSABILIDADE LIMITADA</t>
        </is>
      </c>
      <c r="E90" s="74" t="inlineStr">
        <is>
          <t>concluído</t>
        </is>
      </c>
      <c r="F90" s="141" t="n">
        <v>8</v>
      </c>
      <c r="G90" s="74" t="inlineStr">
        <is>
          <t>consultado</t>
        </is>
      </c>
      <c r="H90" s="74" t="inlineStr">
        <is>
          <t>N/D</t>
        </is>
      </c>
      <c r="I90" s="74" t="inlineStr">
        <is>
          <t>N/D</t>
        </is>
      </c>
      <c r="J90" s="74" t="inlineStr">
        <is>
          <t>não encontrado</t>
        </is>
      </c>
      <c r="K90" s="74" t="inlineStr">
        <is>
          <t>N/D</t>
        </is>
      </c>
      <c r="L90" s="74" t="inlineStr">
        <is>
          <t>N/D</t>
        </is>
      </c>
      <c r="M90" s="74" t="inlineStr">
        <is>
          <t>N/D</t>
        </is>
      </c>
      <c r="N90" s="74" t="inlineStr">
        <is>
          <t>N/D</t>
        </is>
      </c>
      <c r="O90" s="74" t="inlineStr">
        <is>
          <t>N/D</t>
        </is>
      </c>
      <c r="P90" s="74" t="inlineStr">
        <is>
          <t>N/D</t>
        </is>
      </c>
      <c r="Q90" s="74" t="inlineStr">
        <is>
          <t>Multicedentes e Multisacados</t>
        </is>
      </c>
      <c r="R90" s="74" t="inlineStr">
        <is>
          <t>aceito_payload</t>
        </is>
      </c>
      <c r="S90" s="74" t="inlineStr">
        <is>
          <t>N/D</t>
        </is>
      </c>
      <c r="T90" s="74" t="inlineStr">
        <is>
          <t>IMG_8707.jpg</t>
        </is>
      </c>
      <c r="U90" s="74" t="inlineStr">
        <is>
          <t>2026-03-06</t>
        </is>
      </c>
      <c r="V90" s="74" t="inlineStr">
        <is>
          <t>47</t>
        </is>
      </c>
      <c r="W90" s="74" t="inlineStr">
        <is>
          <t>N/D</t>
        </is>
      </c>
      <c r="X90" s="74" t="inlineStr">
        <is>
          <t>planilha_manual</t>
        </is>
      </c>
      <c r="Y90" s="74" t="inlineStr">
        <is>
          <t>N/D</t>
        </is>
      </c>
      <c r="Z90" s="74" t="inlineStr">
        <is>
          <t>não encontrado</t>
        </is>
      </c>
      <c r="AA90" s="74" t="inlineStr">
        <is>
          <t>N/D</t>
        </is>
      </c>
      <c r="AB90" s="74" t="inlineStr">
        <is>
          <t>N/D</t>
        </is>
      </c>
      <c r="AC90" s="74" t="inlineStr">
        <is>
          <t>N/D</t>
        </is>
      </c>
      <c r="AD90" s="74" t="inlineStr">
        <is>
          <t>N/D</t>
        </is>
      </c>
      <c r="AE90" s="74" t="inlineStr">
        <is>
          <t>N/D</t>
        </is>
      </c>
      <c r="AF90" s="74" t="inlineStr">
        <is>
          <t>N/D</t>
        </is>
      </c>
      <c r="AG90" s="74" t="inlineStr">
        <is>
          <t>FIDC Multicedentes &amp; Multisacados</t>
        </is>
      </c>
      <c r="AH90" s="74" t="inlineStr">
        <is>
          <t>aceito_payload</t>
        </is>
      </c>
      <c r="AI90" s="74" t="inlineStr">
        <is>
          <t>N/D</t>
        </is>
      </c>
      <c r="AJ90" s="74" t="inlineStr">
        <is>
          <t>IMG_8707.jpg</t>
        </is>
      </c>
      <c r="AK90" s="74" t="inlineStr">
        <is>
          <t>2026-03-06</t>
        </is>
      </c>
      <c r="AL90" s="74" t="inlineStr">
        <is>
          <t>47</t>
        </is>
      </c>
      <c r="AM90" s="74" t="inlineStr">
        <is>
          <t>N/D</t>
        </is>
      </c>
      <c r="AN90" s="74" t="inlineStr">
        <is>
          <t>planilha_manual</t>
        </is>
      </c>
      <c r="AO90" s="74" t="inlineStr">
        <is>
          <t>50%</t>
        </is>
      </c>
      <c r="AP90" s="74" t="inlineStr">
        <is>
          <t>aceito_payload</t>
        </is>
      </c>
      <c r="AQ90" s="74" t="inlineStr">
        <is>
          <t>junior_pl</t>
        </is>
      </c>
      <c r="AR90" s="74" t="inlineStr">
        <is>
          <t>1130308</t>
        </is>
      </c>
      <c r="AS90" s="74" t="inlineStr">
        <is>
          <t>2026-03-06</t>
        </is>
      </c>
      <c r="AT90" s="74" t="inlineStr">
        <is>
          <t>47</t>
        </is>
      </c>
      <c r="AU90" s="74" t="inlineStr">
        <is>
          <t>https://fnet.bmfbovespa.com.br/fnet/publico/downloadDocumento?id=1130308</t>
        </is>
      </c>
      <c r="AV90" s="74" t="inlineStr">
        <is>
          <t>payload_documental</t>
        </is>
      </c>
      <c r="AW90" s="74" t="inlineStr">
        <is>
          <t>N/D</t>
        </is>
      </c>
      <c r="AX90" s="74" t="inlineStr">
        <is>
          <t>não encontrado</t>
        </is>
      </c>
      <c r="AY90" s="74" t="inlineStr">
        <is>
          <t>N/D</t>
        </is>
      </c>
      <c r="AZ90" s="74" t="inlineStr">
        <is>
          <t>N/D</t>
        </is>
      </c>
      <c r="BA90" s="74" t="inlineStr">
        <is>
          <t>N/D</t>
        </is>
      </c>
      <c r="BB90" s="74" t="inlineStr">
        <is>
          <t>N/D</t>
        </is>
      </c>
      <c r="BC90" s="74" t="inlineStr">
        <is>
          <t>N/D</t>
        </is>
      </c>
      <c r="BD90" s="74" t="inlineStr">
        <is>
          <t>N/D</t>
        </is>
      </c>
      <c r="BE90" s="74" t="inlineStr">
        <is>
          <t>junior_pl</t>
        </is>
      </c>
      <c r="BF90" s="74" t="inlineStr">
        <is>
          <t>aceito_payload</t>
        </is>
      </c>
      <c r="BG90" s="74" t="inlineStr">
        <is>
          <t>junior_pl</t>
        </is>
      </c>
      <c r="BH90" s="74" t="inlineStr">
        <is>
          <t>1130308</t>
        </is>
      </c>
      <c r="BI90" s="74" t="inlineStr">
        <is>
          <t>2026-03-06</t>
        </is>
      </c>
      <c r="BJ90" s="74" t="inlineStr">
        <is>
          <t>47</t>
        </is>
      </c>
      <c r="BK90" s="74" t="inlineStr">
        <is>
          <t>https://fnet.bmfbovespa.com.br/fnet/publico/downloadDocumento?id=1130308</t>
        </is>
      </c>
      <c r="BL90" s="74" t="inlineStr">
        <is>
          <t>payload_documental</t>
        </is>
      </c>
    </row>
    <row r="91" ht="42" customHeight="1">
      <c r="A91" s="145" t="n">
        <v>87</v>
      </c>
      <c r="B91" s="142" t="n">
        <v>43193260000133</v>
      </c>
      <c r="C91" s="75" t="inlineStr">
        <is>
          <t>43.193.260/0001-33</t>
        </is>
      </c>
      <c r="D91" s="75" t="inlineStr">
        <is>
          <t>RESIDENCE CLUB FUNDO DE INVESTIMENTO EM DIREITOS CREDITÓRIOS</t>
        </is>
      </c>
      <c r="E91" s="75" t="inlineStr">
        <is>
          <t>concluído</t>
        </is>
      </c>
      <c r="F91" s="145" t="n">
        <v>8</v>
      </c>
      <c r="G91" s="75" t="inlineStr">
        <is>
          <t>consultado</t>
        </is>
      </c>
      <c r="H91" s="75" t="inlineStr">
        <is>
          <t>N/D</t>
        </is>
      </c>
      <c r="I91" s="75" t="inlineStr">
        <is>
          <t>N/D</t>
        </is>
      </c>
      <c r="J91" s="75" t="inlineStr">
        <is>
          <t>não encontrado</t>
        </is>
      </c>
      <c r="K91" s="75" t="inlineStr">
        <is>
          <t>N/D</t>
        </is>
      </c>
      <c r="L91" s="75" t="inlineStr">
        <is>
          <t>N/D</t>
        </is>
      </c>
      <c r="M91" s="75" t="inlineStr">
        <is>
          <t>N/D</t>
        </is>
      </c>
      <c r="N91" s="75" t="inlineStr">
        <is>
          <t>N/D</t>
        </is>
      </c>
      <c r="O91" s="75" t="inlineStr">
        <is>
          <t>N/D</t>
        </is>
      </c>
      <c r="P91" s="75" t="inlineStr">
        <is>
          <t>N/D</t>
        </is>
      </c>
      <c r="Q91" s="75" t="inlineStr">
        <is>
          <t>VCI</t>
        </is>
      </c>
      <c r="R91" s="75" t="inlineStr">
        <is>
          <t>aceito_payload</t>
        </is>
      </c>
      <c r="S91" s="75" t="inlineStr">
        <is>
          <t>N/D</t>
        </is>
      </c>
      <c r="T91" s="75" t="inlineStr">
        <is>
          <t>IMG_8707.jpg</t>
        </is>
      </c>
      <c r="U91" s="75" t="inlineStr">
        <is>
          <t>2025-11-17</t>
        </is>
      </c>
      <c r="V91" s="75" t="inlineStr">
        <is>
          <t>26</t>
        </is>
      </c>
      <c r="W91" s="75" t="inlineStr">
        <is>
          <t>N/D</t>
        </is>
      </c>
      <c r="X91" s="75" t="inlineStr">
        <is>
          <t>planilha_manual</t>
        </is>
      </c>
      <c r="Y91" s="75" t="inlineStr">
        <is>
          <t>N/D</t>
        </is>
      </c>
      <c r="Z91" s="75" t="inlineStr">
        <is>
          <t>não encontrado</t>
        </is>
      </c>
      <c r="AA91" s="75" t="inlineStr">
        <is>
          <t>N/D</t>
        </is>
      </c>
      <c r="AB91" s="75" t="inlineStr">
        <is>
          <t>N/D</t>
        </is>
      </c>
      <c r="AC91" s="75" t="inlineStr">
        <is>
          <t>N/D</t>
        </is>
      </c>
      <c r="AD91" s="75" t="inlineStr">
        <is>
          <t>N/D</t>
        </is>
      </c>
      <c r="AE91" s="75" t="inlineStr">
        <is>
          <t>N/D</t>
        </is>
      </c>
      <c r="AF91" s="75" t="inlineStr">
        <is>
          <t>N/D</t>
        </is>
      </c>
      <c r="AG91" s="75" t="inlineStr">
        <is>
          <t>N/D</t>
        </is>
      </c>
      <c r="AH91" s="75" t="inlineStr">
        <is>
          <t>não encontrado</t>
        </is>
      </c>
      <c r="AI91" s="75" t="inlineStr">
        <is>
          <t>N/D</t>
        </is>
      </c>
      <c r="AJ91" s="75" t="inlineStr">
        <is>
          <t>N/D</t>
        </is>
      </c>
      <c r="AK91" s="75" t="inlineStr">
        <is>
          <t>N/D</t>
        </is>
      </c>
      <c r="AL91" s="75" t="inlineStr">
        <is>
          <t>N/D</t>
        </is>
      </c>
      <c r="AM91" s="75" t="inlineStr">
        <is>
          <t>N/D</t>
        </is>
      </c>
      <c r="AN91" s="75" t="inlineStr">
        <is>
          <t>N/D</t>
        </is>
      </c>
      <c r="AO91" s="75" t="inlineStr">
        <is>
          <t>15%</t>
        </is>
      </c>
      <c r="AP91" s="75" t="inlineStr">
        <is>
          <t>aceito_payload</t>
        </is>
      </c>
      <c r="AQ91" s="75" t="inlineStr">
        <is>
          <t>junior_pl_calculado</t>
        </is>
      </c>
      <c r="AR91" s="75" t="inlineStr">
        <is>
          <t>1044387</t>
        </is>
      </c>
      <c r="AS91" s="75" t="inlineStr">
        <is>
          <t>2025-11-17</t>
        </is>
      </c>
      <c r="AT91" s="75" t="inlineStr">
        <is>
          <t>26</t>
        </is>
      </c>
      <c r="AU91" s="75" t="inlineStr">
        <is>
          <t>https://fnet.bmfbovespa.com.br/fnet/publico/downloadDocumento?id=1044387</t>
        </is>
      </c>
      <c r="AV91" s="75" t="inlineStr">
        <is>
          <t>payload_documental</t>
        </is>
      </c>
      <c r="AW91" s="75" t="inlineStr">
        <is>
          <t>50%</t>
        </is>
      </c>
      <c r="AX91" s="75" t="inlineStr">
        <is>
          <t>aceito_payload</t>
        </is>
      </c>
      <c r="AY91" s="75" t="inlineStr">
        <is>
          <t>suporte_total_pl</t>
        </is>
      </c>
      <c r="AZ91" s="75" t="inlineStr">
        <is>
          <t>1044387</t>
        </is>
      </c>
      <c r="BA91" s="75" t="inlineStr">
        <is>
          <t>2025-11-17</t>
        </is>
      </c>
      <c r="BB91" s="75" t="inlineStr">
        <is>
          <t>26</t>
        </is>
      </c>
      <c r="BC91" s="75" t="inlineStr">
        <is>
          <t>https://fnet.bmfbovespa.com.br/fnet/publico/downloadDocumento?id=1044387</t>
        </is>
      </c>
      <c r="BD91" s="75" t="inlineStr">
        <is>
          <t>payload_documental</t>
        </is>
      </c>
      <c r="BE91" s="75" t="inlineStr">
        <is>
          <t>junior_pl_calculado</t>
        </is>
      </c>
      <c r="BF91" s="75" t="inlineStr">
        <is>
          <t>aceito_payload</t>
        </is>
      </c>
      <c r="BG91" s="75" t="inlineStr">
        <is>
          <t>junior_pl_calculado</t>
        </is>
      </c>
      <c r="BH91" s="75" t="inlineStr">
        <is>
          <t>1044387</t>
        </is>
      </c>
      <c r="BI91" s="75" t="inlineStr">
        <is>
          <t>2025-11-17</t>
        </is>
      </c>
      <c r="BJ91" s="75" t="inlineStr">
        <is>
          <t>26</t>
        </is>
      </c>
      <c r="BK91" s="75" t="inlineStr">
        <is>
          <t>https://fnet.bmfbovespa.com.br/fnet/publico/downloadDocumento?id=1044387</t>
        </is>
      </c>
      <c r="BL91" s="75" t="inlineStr">
        <is>
          <t>payload_documental</t>
        </is>
      </c>
    </row>
    <row r="92" ht="42" customHeight="1">
      <c r="A92" s="141" t="n">
        <v>88</v>
      </c>
      <c r="B92" s="138" t="n">
        <v>58152340000118</v>
      </c>
      <c r="C92" s="74" t="inlineStr">
        <is>
          <t>58.152.340/0001-18</t>
        </is>
      </c>
      <c r="D92" s="74" t="inlineStr">
        <is>
          <t>MONEE II FUNDO DE INVESTIMENTO EM DIREITOS CREDITÓRIOS SEGMENTO FINANCEIRO - RESP. LIMITADA</t>
        </is>
      </c>
      <c r="E92" s="74" t="inlineStr">
        <is>
          <t>concluído</t>
        </is>
      </c>
      <c r="F92" s="141" t="n">
        <v>6</v>
      </c>
      <c r="G92" s="74" t="inlineStr">
        <is>
          <t>consultado</t>
        </is>
      </c>
      <c r="H92" s="74" t="inlineStr">
        <is>
          <t>N/D</t>
        </is>
      </c>
      <c r="I92" s="74" t="inlineStr">
        <is>
          <t>N/D</t>
        </is>
      </c>
      <c r="J92" s="74" t="inlineStr">
        <is>
          <t>não encontrado</t>
        </is>
      </c>
      <c r="K92" s="74" t="inlineStr">
        <is>
          <t>N/D</t>
        </is>
      </c>
      <c r="L92" s="74" t="inlineStr">
        <is>
          <t>N/D</t>
        </is>
      </c>
      <c r="M92" s="74" t="inlineStr">
        <is>
          <t>N/D</t>
        </is>
      </c>
      <c r="N92" s="74" t="inlineStr">
        <is>
          <t>N/D</t>
        </is>
      </c>
      <c r="O92" s="74" t="inlineStr">
        <is>
          <t>N/D</t>
        </is>
      </c>
      <c r="P92" s="74" t="inlineStr">
        <is>
          <t>N/D</t>
        </is>
      </c>
      <c r="Q92" s="74" t="inlineStr">
        <is>
          <t>SHPP IP</t>
        </is>
      </c>
      <c r="R92" s="74" t="inlineStr">
        <is>
          <t>aceito_payload</t>
        </is>
      </c>
      <c r="S92" s="74" t="inlineStr">
        <is>
          <t>N/D</t>
        </is>
      </c>
      <c r="T92" s="74" t="inlineStr">
        <is>
          <t>IMG_8707.jpg</t>
        </is>
      </c>
      <c r="U92" s="74" t="inlineStr">
        <is>
          <t>2026-05-14</t>
        </is>
      </c>
      <c r="V92" s="74" t="inlineStr">
        <is>
          <t>105</t>
        </is>
      </c>
      <c r="W92" s="74" t="inlineStr">
        <is>
          <t>N/D</t>
        </is>
      </c>
      <c r="X92" s="74" t="inlineStr">
        <is>
          <t>planilha_manual</t>
        </is>
      </c>
      <c r="Y92" s="74" t="inlineStr">
        <is>
          <t>N/D</t>
        </is>
      </c>
      <c r="Z92" s="74" t="inlineStr">
        <is>
          <t>não encontrado</t>
        </is>
      </c>
      <c r="AA92" s="74" t="inlineStr">
        <is>
          <t>N/D</t>
        </is>
      </c>
      <c r="AB92" s="74" t="inlineStr">
        <is>
          <t>N/D</t>
        </is>
      </c>
      <c r="AC92" s="74" t="inlineStr">
        <is>
          <t>N/D</t>
        </is>
      </c>
      <c r="AD92" s="74" t="inlineStr">
        <is>
          <t>N/D</t>
        </is>
      </c>
      <c r="AE92" s="74" t="inlineStr">
        <is>
          <t>N/D</t>
        </is>
      </c>
      <c r="AF92" s="74" t="inlineStr">
        <is>
          <t>N/D</t>
        </is>
      </c>
      <c r="AG92" s="74" t="inlineStr">
        <is>
          <t>N/D</t>
        </is>
      </c>
      <c r="AH92" s="74" t="inlineStr">
        <is>
          <t>não encontrado</t>
        </is>
      </c>
      <c r="AI92" s="74" t="inlineStr">
        <is>
          <t>N/D</t>
        </is>
      </c>
      <c r="AJ92" s="74" t="inlineStr">
        <is>
          <t>N/D</t>
        </is>
      </c>
      <c r="AK92" s="74" t="inlineStr">
        <is>
          <t>N/D</t>
        </is>
      </c>
      <c r="AL92" s="74" t="inlineStr">
        <is>
          <t>N/D</t>
        </is>
      </c>
      <c r="AM92" s="74" t="inlineStr">
        <is>
          <t>N/D</t>
        </is>
      </c>
      <c r="AN92" s="74" t="inlineStr">
        <is>
          <t>N/D</t>
        </is>
      </c>
      <c r="AO92" s="74" t="inlineStr">
        <is>
          <t>30%</t>
        </is>
      </c>
      <c r="AP92" s="74" t="inlineStr">
        <is>
          <t>aceito_payload</t>
        </is>
      </c>
      <c r="AQ92" s="74" t="inlineStr">
        <is>
          <t>junior_pl</t>
        </is>
      </c>
      <c r="AR92" s="74" t="inlineStr">
        <is>
          <t>1191019</t>
        </is>
      </c>
      <c r="AS92" s="74" t="inlineStr">
        <is>
          <t>2026-05-14</t>
        </is>
      </c>
      <c r="AT92" s="74" t="inlineStr">
        <is>
          <t>105</t>
        </is>
      </c>
      <c r="AU92" s="74" t="inlineStr">
        <is>
          <t>https://fnet.bmfbovespa.com.br/fnet/publico/downloadDocumento?id=1191019</t>
        </is>
      </c>
      <c r="AV92" s="74" t="inlineStr">
        <is>
          <t>payload_documental</t>
        </is>
      </c>
      <c r="AW92" s="74" t="inlineStr">
        <is>
          <t>30%</t>
        </is>
      </c>
      <c r="AX92" s="74" t="inlineStr">
        <is>
          <t>aceito_payload</t>
        </is>
      </c>
      <c r="AY92" s="74" t="inlineStr">
        <is>
          <t>suporte_total_pl</t>
        </is>
      </c>
      <c r="AZ92" s="74" t="inlineStr">
        <is>
          <t>1191019</t>
        </is>
      </c>
      <c r="BA92" s="74" t="inlineStr">
        <is>
          <t>2026-05-14</t>
        </is>
      </c>
      <c r="BB92" s="74" t="inlineStr">
        <is>
          <t>105</t>
        </is>
      </c>
      <c r="BC92" s="74" t="inlineStr">
        <is>
          <t>https://fnet.bmfbovespa.com.br/fnet/publico/downloadDocumento?id=1191019</t>
        </is>
      </c>
      <c r="BD92" s="74" t="inlineStr">
        <is>
          <t>payload_documental</t>
        </is>
      </c>
      <c r="BE92" s="74" t="inlineStr">
        <is>
          <t>junior_pl</t>
        </is>
      </c>
      <c r="BF92" s="74" t="inlineStr">
        <is>
          <t>aceito_payload</t>
        </is>
      </c>
      <c r="BG92" s="74" t="inlineStr">
        <is>
          <t>junior_pl</t>
        </is>
      </c>
      <c r="BH92" s="74" t="inlineStr">
        <is>
          <t>1191019</t>
        </is>
      </c>
      <c r="BI92" s="74" t="inlineStr">
        <is>
          <t>2026-05-14</t>
        </is>
      </c>
      <c r="BJ92" s="74" t="inlineStr">
        <is>
          <t>105</t>
        </is>
      </c>
      <c r="BK92" s="74" t="inlineStr">
        <is>
          <t>https://fnet.bmfbovespa.com.br/fnet/publico/downloadDocumento?id=1191019</t>
        </is>
      </c>
      <c r="BL92" s="74" t="inlineStr">
        <is>
          <t>payload_documental</t>
        </is>
      </c>
    </row>
    <row r="93" ht="42" customHeight="1">
      <c r="A93" s="145" t="n">
        <v>89</v>
      </c>
      <c r="B93" s="142" t="n">
        <v>52340225000190</v>
      </c>
      <c r="C93" s="75" t="inlineStr">
        <is>
          <t>52.340.225/0001-90</t>
        </is>
      </c>
      <c r="D93" s="75" t="inlineStr">
        <is>
          <t>INOVA CREDTECH III FIDC SEGMENTO MULTICARTEIRA DE RESPONSABILIDADE LIMITADA</t>
        </is>
      </c>
      <c r="E93" s="75" t="inlineStr">
        <is>
          <t>concluído</t>
        </is>
      </c>
      <c r="F93" s="145" t="n">
        <v>8</v>
      </c>
      <c r="G93" s="75" t="inlineStr">
        <is>
          <t>consultado</t>
        </is>
      </c>
      <c r="H93" s="75" t="inlineStr">
        <is>
          <t>N/D</t>
        </is>
      </c>
      <c r="I93" s="75" t="inlineStr">
        <is>
          <t>N/D</t>
        </is>
      </c>
      <c r="J93" s="75" t="inlineStr">
        <is>
          <t>não encontrado</t>
        </is>
      </c>
      <c r="K93" s="75" t="inlineStr">
        <is>
          <t>N/D</t>
        </is>
      </c>
      <c r="L93" s="75" t="inlineStr">
        <is>
          <t>N/D</t>
        </is>
      </c>
      <c r="M93" s="75" t="inlineStr">
        <is>
          <t>N/D</t>
        </is>
      </c>
      <c r="N93" s="75" t="inlineStr">
        <is>
          <t>N/D</t>
        </is>
      </c>
      <c r="O93" s="75" t="inlineStr">
        <is>
          <t>N/D</t>
        </is>
      </c>
      <c r="P93" s="75" t="inlineStr">
        <is>
          <t>N/D</t>
        </is>
      </c>
      <c r="Q93" s="75" t="inlineStr">
        <is>
          <t>N/D</t>
        </is>
      </c>
      <c r="R93" s="75" t="inlineStr">
        <is>
          <t>não encontrado</t>
        </is>
      </c>
      <c r="S93" s="75" t="inlineStr">
        <is>
          <t>N/D</t>
        </is>
      </c>
      <c r="T93" s="75" t="inlineStr">
        <is>
          <t>N/D</t>
        </is>
      </c>
      <c r="U93" s="75" t="inlineStr">
        <is>
          <t>N/D</t>
        </is>
      </c>
      <c r="V93" s="75" t="inlineStr">
        <is>
          <t>N/D</t>
        </is>
      </c>
      <c r="W93" s="75" t="inlineStr">
        <is>
          <t>N/D</t>
        </is>
      </c>
      <c r="X93" s="75" t="inlineStr">
        <is>
          <t>N/D</t>
        </is>
      </c>
      <c r="Y93" s="75" t="inlineStr">
        <is>
          <t>o devedor dos Direitos Creditórios Adquiridos</t>
        </is>
      </c>
      <c r="Z93" s="75" t="inlineStr">
        <is>
          <t>encontrado_explicito</t>
        </is>
      </c>
      <c r="AA93" s="75" t="inlineStr">
        <is>
          <t>N/D</t>
        </is>
      </c>
      <c r="AB93" s="75" t="inlineStr">
        <is>
          <t>1171206</t>
        </is>
      </c>
      <c r="AC93" s="75" t="inlineStr">
        <is>
          <t>2026-03-25</t>
        </is>
      </c>
      <c r="AD93" s="75" t="inlineStr">
        <is>
          <t>70</t>
        </is>
      </c>
      <c r="AE93" s="75" t="inlineStr">
        <is>
          <t>https://fnet.bmfbovespa.com.br/fnet/publico/downloadDocumento?id=1171206</t>
        </is>
      </c>
      <c r="AF93" s="75" t="inlineStr">
        <is>
          <t>regulamento</t>
        </is>
      </c>
      <c r="AG93" s="75" t="inlineStr">
        <is>
          <t>os direitos creditórios originados pela Originadora e devidos pelos Devedores, os quais podem ser formalizados por Duplicatas, Notas Comerciais ou CCBs</t>
        </is>
      </c>
      <c r="AH93" s="75" t="inlineStr">
        <is>
          <t>encontrado_explicito</t>
        </is>
      </c>
      <c r="AI93" s="75" t="inlineStr">
        <is>
          <t>N/D</t>
        </is>
      </c>
      <c r="AJ93" s="75" t="inlineStr">
        <is>
          <t>1171206</t>
        </is>
      </c>
      <c r="AK93" s="75" t="inlineStr">
        <is>
          <t>2026-03-25</t>
        </is>
      </c>
      <c r="AL93" s="75" t="inlineStr">
        <is>
          <t>70</t>
        </is>
      </c>
      <c r="AM93" s="75" t="inlineStr">
        <is>
          <t>https://fnet.bmfbovespa.com.br/fnet/publico/downloadDocumento?id=1171206</t>
        </is>
      </c>
      <c r="AN93" s="75" t="inlineStr">
        <is>
          <t>regulamento</t>
        </is>
      </c>
      <c r="AO93" s="75" t="inlineStr">
        <is>
          <t>7.5%</t>
        </is>
      </c>
      <c r="AP93" s="75" t="inlineStr">
        <is>
          <t>aceito_payload</t>
        </is>
      </c>
      <c r="AQ93" s="75" t="inlineStr">
        <is>
          <t>junior_pl</t>
        </is>
      </c>
      <c r="AR93" s="75" t="inlineStr">
        <is>
          <t>1171206</t>
        </is>
      </c>
      <c r="AS93" s="75" t="inlineStr">
        <is>
          <t>2026-03-25</t>
        </is>
      </c>
      <c r="AT93" s="75" t="inlineStr">
        <is>
          <t>77</t>
        </is>
      </c>
      <c r="AU93" s="75" t="inlineStr">
        <is>
          <t>https://fnet.bmfbovespa.com.br/fnet/publico/downloadDocumento?id=1171206</t>
        </is>
      </c>
      <c r="AV93" s="75" t="inlineStr">
        <is>
          <t>payload_documental</t>
        </is>
      </c>
      <c r="AW93" s="75" t="inlineStr">
        <is>
          <t>N/D</t>
        </is>
      </c>
      <c r="AX93" s="75" t="inlineStr">
        <is>
          <t>não encontrado</t>
        </is>
      </c>
      <c r="AY93" s="75" t="inlineStr">
        <is>
          <t>N/D</t>
        </is>
      </c>
      <c r="AZ93" s="75" t="inlineStr">
        <is>
          <t>N/D</t>
        </is>
      </c>
      <c r="BA93" s="75" t="inlineStr">
        <is>
          <t>N/D</t>
        </is>
      </c>
      <c r="BB93" s="75" t="inlineStr">
        <is>
          <t>N/D</t>
        </is>
      </c>
      <c r="BC93" s="75" t="inlineStr">
        <is>
          <t>N/D</t>
        </is>
      </c>
      <c r="BD93" s="75" t="inlineStr">
        <is>
          <t>N/D</t>
        </is>
      </c>
      <c r="BE93" s="75" t="inlineStr">
        <is>
          <t>junior_pl</t>
        </is>
      </c>
      <c r="BF93" s="75" t="inlineStr">
        <is>
          <t>aceito_payload</t>
        </is>
      </c>
      <c r="BG93" s="75" t="inlineStr">
        <is>
          <t>junior_pl</t>
        </is>
      </c>
      <c r="BH93" s="75" t="inlineStr">
        <is>
          <t>1171206</t>
        </is>
      </c>
      <c r="BI93" s="75" t="inlineStr">
        <is>
          <t>2026-03-25</t>
        </is>
      </c>
      <c r="BJ93" s="75" t="inlineStr">
        <is>
          <t>77</t>
        </is>
      </c>
      <c r="BK93" s="75" t="inlineStr">
        <is>
          <t>https://fnet.bmfbovespa.com.br/fnet/publico/downloadDocumento?id=1171206</t>
        </is>
      </c>
      <c r="BL93" s="75" t="inlineStr">
        <is>
          <t>payload_documental</t>
        </is>
      </c>
    </row>
    <row r="94" ht="42" customHeight="1">
      <c r="A94" s="141" t="n">
        <v>90</v>
      </c>
      <c r="B94" s="138" t="n">
        <v>63546406000194</v>
      </c>
      <c r="C94" s="74" t="inlineStr">
        <is>
          <t>63.546.406/0001-94</t>
        </is>
      </c>
      <c r="D94" s="74" t="inlineStr">
        <is>
          <t>PINE INSS III FUNDO DE INVESTIMENTO EM DIREITOS CREDITÓRIOS RESPONSABILIDADE LIMITADA</t>
        </is>
      </c>
      <c r="E94" s="74" t="inlineStr">
        <is>
          <t>concluído</t>
        </is>
      </c>
      <c r="F94" s="141" t="n">
        <v>7</v>
      </c>
      <c r="G94" s="74" t="inlineStr">
        <is>
          <t>consultado</t>
        </is>
      </c>
      <c r="H94" s="74" t="inlineStr">
        <is>
          <t>N/D</t>
        </is>
      </c>
      <c r="I94" s="74" t="inlineStr">
        <is>
          <t>N/D</t>
        </is>
      </c>
      <c r="J94" s="74" t="inlineStr">
        <is>
          <t>não encontrado</t>
        </is>
      </c>
      <c r="K94" s="74" t="inlineStr">
        <is>
          <t>N/D</t>
        </is>
      </c>
      <c r="L94" s="74" t="inlineStr">
        <is>
          <t>N/D</t>
        </is>
      </c>
      <c r="M94" s="74" t="inlineStr">
        <is>
          <t>N/D</t>
        </is>
      </c>
      <c r="N94" s="74" t="inlineStr">
        <is>
          <t>N/D</t>
        </is>
      </c>
      <c r="O94" s="74" t="inlineStr">
        <is>
          <t>N/D</t>
        </is>
      </c>
      <c r="P94" s="74" t="inlineStr">
        <is>
          <t>N/D</t>
        </is>
      </c>
      <c r="Q94" s="74" t="inlineStr">
        <is>
          <t>o Banco Pine, conforme o caso;</t>
        </is>
      </c>
      <c r="R94" s="74" t="inlineStr">
        <is>
          <t>encontrado_explicito</t>
        </is>
      </c>
      <c r="S94" s="74" t="inlineStr">
        <is>
          <t>N/D</t>
        </is>
      </c>
      <c r="T94" s="74" t="inlineStr">
        <is>
          <t>1130481</t>
        </is>
      </c>
      <c r="U94" s="74" t="inlineStr">
        <is>
          <t>2026-03-05</t>
        </is>
      </c>
      <c r="V94" s="74" t="inlineStr">
        <is>
          <t>152</t>
        </is>
      </c>
      <c r="W94" s="74" t="inlineStr">
        <is>
          <t>https://fnet.bmfbovespa.com.br/fnet/publico/downloadDocumento?id=1130481</t>
        </is>
      </c>
      <c r="X94" s="74" t="inlineStr">
        <is>
          <t>regulamento</t>
        </is>
      </c>
      <c r="Y94" s="74" t="inlineStr">
        <is>
          <t>os devedores das CCBs relativas aos Direitos Creditórios;</t>
        </is>
      </c>
      <c r="Z94" s="74" t="inlineStr">
        <is>
          <t>encontrado_explicito</t>
        </is>
      </c>
      <c r="AA94" s="74" t="inlineStr">
        <is>
          <t>N/D</t>
        </is>
      </c>
      <c r="AB94" s="74" t="inlineStr">
        <is>
          <t>1130481</t>
        </is>
      </c>
      <c r="AC94" s="74" t="inlineStr">
        <is>
          <t>2026-03-05</t>
        </is>
      </c>
      <c r="AD94" s="74" t="inlineStr">
        <is>
          <t>154</t>
        </is>
      </c>
      <c r="AE94" s="74" t="inlineStr">
        <is>
          <t>https://fnet.bmfbovespa.com.br/fnet/publico/downloadDocumento?id=1130481</t>
        </is>
      </c>
      <c r="AF94" s="74" t="inlineStr">
        <is>
          <t>regulamento</t>
        </is>
      </c>
      <c r="AG94" s="74" t="inlineStr">
        <is>
          <t>N/D</t>
        </is>
      </c>
      <c r="AH94" s="74" t="inlineStr">
        <is>
          <t>não encontrado</t>
        </is>
      </c>
      <c r="AI94" s="74" t="inlineStr">
        <is>
          <t>N/D</t>
        </is>
      </c>
      <c r="AJ94" s="74" t="inlineStr">
        <is>
          <t>N/D</t>
        </is>
      </c>
      <c r="AK94" s="74" t="inlineStr">
        <is>
          <t>N/D</t>
        </is>
      </c>
      <c r="AL94" s="74" t="inlineStr">
        <is>
          <t>N/D</t>
        </is>
      </c>
      <c r="AM94" s="74" t="inlineStr">
        <is>
          <t>N/D</t>
        </is>
      </c>
      <c r="AN94" s="74" t="inlineStr">
        <is>
          <t>N/D</t>
        </is>
      </c>
      <c r="AO94" s="74" t="inlineStr">
        <is>
          <t>1.5%</t>
        </is>
      </c>
      <c r="AP94" s="74" t="inlineStr">
        <is>
          <t>aceito_payload</t>
        </is>
      </c>
      <c r="AQ94" s="74" t="inlineStr">
        <is>
          <t>junior_pl</t>
        </is>
      </c>
      <c r="AR94" s="74" t="inlineStr">
        <is>
          <t>1130481</t>
        </is>
      </c>
      <c r="AS94" s="74" t="inlineStr">
        <is>
          <t>2026-03-05</t>
        </is>
      </c>
      <c r="AT94" s="74" t="inlineStr">
        <is>
          <t>142</t>
        </is>
      </c>
      <c r="AU94" s="74" t="inlineStr">
        <is>
          <t>https://fnet.bmfbovespa.com.br/fnet/publico/downloadDocumento?id=1130481</t>
        </is>
      </c>
      <c r="AV94" s="74" t="inlineStr">
        <is>
          <t>payload_documental</t>
        </is>
      </c>
      <c r="AW94" s="74" t="inlineStr">
        <is>
          <t>N/D</t>
        </is>
      </c>
      <c r="AX94" s="74" t="inlineStr">
        <is>
          <t>não encontrado</t>
        </is>
      </c>
      <c r="AY94" s="74" t="inlineStr">
        <is>
          <t>N/D</t>
        </is>
      </c>
      <c r="AZ94" s="74" t="inlineStr">
        <is>
          <t>N/D</t>
        </is>
      </c>
      <c r="BA94" s="74" t="inlineStr">
        <is>
          <t>N/D</t>
        </is>
      </c>
      <c r="BB94" s="74" t="inlineStr">
        <is>
          <t>N/D</t>
        </is>
      </c>
      <c r="BC94" s="74" t="inlineStr">
        <is>
          <t>N/D</t>
        </is>
      </c>
      <c r="BD94" s="74" t="inlineStr">
        <is>
          <t>N/D</t>
        </is>
      </c>
      <c r="BE94" s="74" t="inlineStr">
        <is>
          <t>junior_pl</t>
        </is>
      </c>
      <c r="BF94" s="74" t="inlineStr">
        <is>
          <t>aceito_payload</t>
        </is>
      </c>
      <c r="BG94" s="74" t="inlineStr">
        <is>
          <t>junior_pl</t>
        </is>
      </c>
      <c r="BH94" s="74" t="inlineStr">
        <is>
          <t>1130481</t>
        </is>
      </c>
      <c r="BI94" s="74" t="inlineStr">
        <is>
          <t>2026-03-05</t>
        </is>
      </c>
      <c r="BJ94" s="74" t="inlineStr">
        <is>
          <t>142</t>
        </is>
      </c>
      <c r="BK94" s="74" t="inlineStr">
        <is>
          <t>https://fnet.bmfbovespa.com.br/fnet/publico/downloadDocumento?id=1130481</t>
        </is>
      </c>
      <c r="BL94" s="74" t="inlineStr">
        <is>
          <t>payload_documental</t>
        </is>
      </c>
    </row>
    <row r="95" ht="42" customHeight="1">
      <c r="A95" s="145" t="n">
        <v>91</v>
      </c>
      <c r="B95" s="142" t="n">
        <v>37294759000134</v>
      </c>
      <c r="C95" s="75" t="inlineStr">
        <is>
          <t>37.294.759/0001-34</t>
        </is>
      </c>
      <c r="D95" s="75" t="inlineStr">
        <is>
          <t>GALLERIA HOME EQUITY FIDC</t>
        </is>
      </c>
      <c r="E95" s="75" t="inlineStr">
        <is>
          <t>concluído</t>
        </is>
      </c>
      <c r="F95" s="145" t="n">
        <v>8</v>
      </c>
      <c r="G95" s="75" t="inlineStr">
        <is>
          <t>consultado</t>
        </is>
      </c>
      <c r="H95" s="75" t="inlineStr">
        <is>
          <t>N/D</t>
        </is>
      </c>
      <c r="I95" s="75" t="inlineStr">
        <is>
          <t>N/D</t>
        </is>
      </c>
      <c r="J95" s="75" t="inlineStr">
        <is>
          <t>não encontrado</t>
        </is>
      </c>
      <c r="K95" s="75" t="inlineStr">
        <is>
          <t>N/D</t>
        </is>
      </c>
      <c r="L95" s="75" t="inlineStr">
        <is>
          <t>N/D</t>
        </is>
      </c>
      <c r="M95" s="75" t="inlineStr">
        <is>
          <t>N/D</t>
        </is>
      </c>
      <c r="N95" s="75" t="inlineStr">
        <is>
          <t>N/D</t>
        </is>
      </c>
      <c r="O95" s="75" t="inlineStr">
        <is>
          <t>N/D</t>
        </is>
      </c>
      <c r="P95" s="75" t="inlineStr">
        <is>
          <t>N/D</t>
        </is>
      </c>
      <c r="Q95" s="75" t="inlineStr">
        <is>
          <t>Galleria SCD</t>
        </is>
      </c>
      <c r="R95" s="75" t="inlineStr">
        <is>
          <t>aceito_payload</t>
        </is>
      </c>
      <c r="S95" s="75" t="inlineStr">
        <is>
          <t>N/D</t>
        </is>
      </c>
      <c r="T95" s="75" t="inlineStr">
        <is>
          <t>IMG_8707.jpg</t>
        </is>
      </c>
      <c r="U95" s="75" t="inlineStr">
        <is>
          <t>2026-07-10</t>
        </is>
      </c>
      <c r="V95" s="75" t="inlineStr">
        <is>
          <t>110</t>
        </is>
      </c>
      <c r="W95" s="75" t="inlineStr">
        <is>
          <t>N/D</t>
        </is>
      </c>
      <c r="X95" s="75" t="inlineStr">
        <is>
          <t>planilha_manual</t>
        </is>
      </c>
      <c r="Y95" s="75" t="inlineStr">
        <is>
          <t>N/D</t>
        </is>
      </c>
      <c r="Z95" s="75" t="inlineStr">
        <is>
          <t>não encontrado</t>
        </is>
      </c>
      <c r="AA95" s="75" t="inlineStr">
        <is>
          <t>N/D</t>
        </is>
      </c>
      <c r="AB95" s="75" t="inlineStr">
        <is>
          <t>N/D</t>
        </is>
      </c>
      <c r="AC95" s="75" t="inlineStr">
        <is>
          <t>N/D</t>
        </is>
      </c>
      <c r="AD95" s="75" t="inlineStr">
        <is>
          <t>N/D</t>
        </is>
      </c>
      <c r="AE95" s="75" t="inlineStr">
        <is>
          <t>N/D</t>
        </is>
      </c>
      <c r="AF95" s="75" t="inlineStr">
        <is>
          <t>N/D</t>
        </is>
      </c>
      <c r="AG95" s="75" t="inlineStr">
        <is>
          <t>CCBs com AF de Imóvel oriundos de empréstimo PF e PJs</t>
        </is>
      </c>
      <c r="AH95" s="75" t="inlineStr">
        <is>
          <t>aceito_payload</t>
        </is>
      </c>
      <c r="AI95" s="75" t="inlineStr">
        <is>
          <t>N/D</t>
        </is>
      </c>
      <c r="AJ95" s="75" t="inlineStr">
        <is>
          <t>IMG_8707.jpg</t>
        </is>
      </c>
      <c r="AK95" s="75" t="inlineStr">
        <is>
          <t>2026-07-10</t>
        </is>
      </c>
      <c r="AL95" s="75" t="inlineStr">
        <is>
          <t>110</t>
        </is>
      </c>
      <c r="AM95" s="75" t="inlineStr">
        <is>
          <t>N/D</t>
        </is>
      </c>
      <c r="AN95" s="75" t="inlineStr">
        <is>
          <t>planilha_manual</t>
        </is>
      </c>
      <c r="AO95" s="75" t="inlineStr">
        <is>
          <t>N/D</t>
        </is>
      </c>
      <c r="AP95" s="75" t="inlineStr">
        <is>
          <t>não encontrado</t>
        </is>
      </c>
      <c r="AQ95" s="75" t="inlineStr">
        <is>
          <t>N/D</t>
        </is>
      </c>
      <c r="AR95" s="75" t="inlineStr">
        <is>
          <t>N/D</t>
        </is>
      </c>
      <c r="AS95" s="75" t="inlineStr">
        <is>
          <t>N/D</t>
        </is>
      </c>
      <c r="AT95" s="75" t="inlineStr">
        <is>
          <t>N/D</t>
        </is>
      </c>
      <c r="AU95" s="75" t="inlineStr">
        <is>
          <t>N/D</t>
        </is>
      </c>
      <c r="AV95" s="75" t="inlineStr">
        <is>
          <t>N/D</t>
        </is>
      </c>
      <c r="AW95" s="75" t="inlineStr">
        <is>
          <t>4.7619%</t>
        </is>
      </c>
      <c r="AX95" s="75" t="inlineStr">
        <is>
          <t>aceito_payload</t>
        </is>
      </c>
      <c r="AY95" s="75" t="inlineStr">
        <is>
          <t>suporte_total_pl</t>
        </is>
      </c>
      <c r="AZ95" s="75" t="inlineStr">
        <is>
          <t>927443</t>
        </is>
      </c>
      <c r="BA95" s="75" t="inlineStr">
        <is>
          <t>2026-07-10</t>
        </is>
      </c>
      <c r="BB95" s="75" t="inlineStr">
        <is>
          <t>110</t>
        </is>
      </c>
      <c r="BC95" s="75" t="inlineStr">
        <is>
          <t>https://fnet.bmfbovespa.com.br/fnet/publico/downloadDocumento?id=927443</t>
        </is>
      </c>
      <c r="BD95" s="75" t="inlineStr">
        <is>
          <t>payload_documental</t>
        </is>
      </c>
      <c r="BE95" s="75" t="inlineStr">
        <is>
          <t>suporte_total_pl</t>
        </is>
      </c>
      <c r="BF95" s="75" t="inlineStr">
        <is>
          <t>aceito_payload</t>
        </is>
      </c>
      <c r="BG95" s="75" t="inlineStr">
        <is>
          <t>suporte_total_pl</t>
        </is>
      </c>
      <c r="BH95" s="75" t="inlineStr">
        <is>
          <t>927443</t>
        </is>
      </c>
      <c r="BI95" s="75" t="inlineStr">
        <is>
          <t>2026-07-10</t>
        </is>
      </c>
      <c r="BJ95" s="75" t="inlineStr">
        <is>
          <t>110</t>
        </is>
      </c>
      <c r="BK95" s="75" t="inlineStr">
        <is>
          <t>https://fnet.bmfbovespa.com.br/fnet/publico/downloadDocumento?id=927443</t>
        </is>
      </c>
      <c r="BL95" s="75" t="inlineStr">
        <is>
          <t>payload_documental</t>
        </is>
      </c>
    </row>
    <row r="96" ht="42" customHeight="1">
      <c r="A96" s="141" t="n">
        <v>92</v>
      </c>
      <c r="B96" s="138" t="n">
        <v>42085830000109</v>
      </c>
      <c r="C96" s="74" t="inlineStr">
        <is>
          <t>42.085.830/0001-09</t>
        </is>
      </c>
      <c r="D96" s="74" t="inlineStr">
        <is>
          <t>CLOUDWALK AKIRA I FUNDO DE INVESTIMENTO EM DIREITOS CREDITÓRIOS SEGMENTO MEIOS DE PAGAMENTO</t>
        </is>
      </c>
      <c r="E96" s="74" t="inlineStr">
        <is>
          <t>concluído</t>
        </is>
      </c>
      <c r="F96" s="141" t="n">
        <v>8</v>
      </c>
      <c r="G96" s="74" t="inlineStr">
        <is>
          <t>consultado</t>
        </is>
      </c>
      <c r="H96" s="74" t="inlineStr">
        <is>
          <t>N/D</t>
        </is>
      </c>
      <c r="I96" s="74" t="inlineStr">
        <is>
          <t>N/D</t>
        </is>
      </c>
      <c r="J96" s="74" t="inlineStr">
        <is>
          <t>não encontrado</t>
        </is>
      </c>
      <c r="K96" s="74" t="inlineStr">
        <is>
          <t>N/D</t>
        </is>
      </c>
      <c r="L96" s="74" t="inlineStr">
        <is>
          <t>N/D</t>
        </is>
      </c>
      <c r="M96" s="74" t="inlineStr">
        <is>
          <t>N/D</t>
        </is>
      </c>
      <c r="N96" s="74" t="inlineStr">
        <is>
          <t>N/D</t>
        </is>
      </c>
      <c r="O96" s="74" t="inlineStr">
        <is>
          <t>N/D</t>
        </is>
      </c>
      <c r="P96" s="74" t="inlineStr">
        <is>
          <t>N/D</t>
        </is>
      </c>
      <c r="Q96" s="74" t="inlineStr">
        <is>
          <t>a CloudWalk que, de tempos em tempos, nos termos do Contrato de Cessão, cede seus respectivos Direitos Creditórios Elegíveis ao Fundo</t>
        </is>
      </c>
      <c r="R96" s="74" t="inlineStr">
        <is>
          <t>encontrado_explicito</t>
        </is>
      </c>
      <c r="S96" s="74" t="inlineStr">
        <is>
          <t>N/D</t>
        </is>
      </c>
      <c r="T96" s="74" t="inlineStr">
        <is>
          <t>966441</t>
        </is>
      </c>
      <c r="U96" s="74" t="inlineStr">
        <is>
          <t>2025-07-24</t>
        </is>
      </c>
      <c r="V96" s="74" t="inlineStr">
        <is>
          <t>92</t>
        </is>
      </c>
      <c r="W96" s="74" t="inlineStr">
        <is>
          <t>https://fnet.bmfbovespa.com.br/fnet/publico/downloadDocumento?id=966441</t>
        </is>
      </c>
      <c r="X96" s="74" t="inlineStr">
        <is>
          <t>regulamento</t>
        </is>
      </c>
      <c r="Y96" s="74" t="inlineStr">
        <is>
          <t>os Emissores Qualificados</t>
        </is>
      </c>
      <c r="Z96" s="74" t="inlineStr">
        <is>
          <t>encontrado_explicito</t>
        </is>
      </c>
      <c r="AA96" s="74" t="inlineStr">
        <is>
          <t>N/D</t>
        </is>
      </c>
      <c r="AB96" s="74" t="inlineStr">
        <is>
          <t>966441</t>
        </is>
      </c>
      <c r="AC96" s="74" t="inlineStr">
        <is>
          <t>2025-07-24</t>
        </is>
      </c>
      <c r="AD96" s="74" t="inlineStr">
        <is>
          <t>96</t>
        </is>
      </c>
      <c r="AE96" s="74" t="inlineStr">
        <is>
          <t>https://fnet.bmfbovespa.com.br/fnet/publico/downloadDocumento?id=966441</t>
        </is>
      </c>
      <c r="AF96" s="74" t="inlineStr">
        <is>
          <t>regulamento</t>
        </is>
      </c>
      <c r="AG96" s="74" t="inlineStr">
        <is>
          <t>os direitos creditórios de tempos em tempos detidos pela Cedente em face dos Devedores , conforme as regras dos Arranjos de Pagamentos, decorrentes de Transações de Pagamento realizadas por Usuários-Finais com a utilização de Instrumentos de Pagamento, Página 97 de 116</t>
        </is>
      </c>
      <c r="AH96" s="74" t="inlineStr">
        <is>
          <t>encontrado_explicito</t>
        </is>
      </c>
      <c r="AI96" s="74" t="inlineStr">
        <is>
          <t>N/D</t>
        </is>
      </c>
      <c r="AJ96" s="74" t="inlineStr">
        <is>
          <t>966441</t>
        </is>
      </c>
      <c r="AK96" s="74" t="inlineStr">
        <is>
          <t>2025-07-24</t>
        </is>
      </c>
      <c r="AL96" s="74" t="inlineStr">
        <is>
          <t>96</t>
        </is>
      </c>
      <c r="AM96" s="74" t="inlineStr">
        <is>
          <t>https://fnet.bmfbovespa.com.br/fnet/publico/downloadDocumento?id=966441</t>
        </is>
      </c>
      <c r="AN96" s="74" t="inlineStr">
        <is>
          <t>regulamento</t>
        </is>
      </c>
      <c r="AO96" s="74" t="inlineStr">
        <is>
          <t>3%</t>
        </is>
      </c>
      <c r="AP96" s="74" t="inlineStr">
        <is>
          <t>aceito_payload</t>
        </is>
      </c>
      <c r="AQ96" s="74" t="inlineStr">
        <is>
          <t>junior_pl</t>
        </is>
      </c>
      <c r="AR96" s="74" t="inlineStr">
        <is>
          <t>966441</t>
        </is>
      </c>
      <c r="AS96" s="74" t="inlineStr">
        <is>
          <t>2025-07-24</t>
        </is>
      </c>
      <c r="AT96" s="74" t="inlineStr">
        <is>
          <t>99</t>
        </is>
      </c>
      <c r="AU96" s="74" t="inlineStr">
        <is>
          <t>https://fnet.bmfbovespa.com.br/fnet/publico/downloadDocumento?id=966441</t>
        </is>
      </c>
      <c r="AV96" s="74" t="inlineStr">
        <is>
          <t>payload_documental</t>
        </is>
      </c>
      <c r="AW96" s="74" t="inlineStr">
        <is>
          <t>3%</t>
        </is>
      </c>
      <c r="AX96" s="74" t="inlineStr">
        <is>
          <t>aceito_payload</t>
        </is>
      </c>
      <c r="AY96" s="74" t="inlineStr">
        <is>
          <t>suporte_total_pl</t>
        </is>
      </c>
      <c r="AZ96" s="74" t="inlineStr">
        <is>
          <t>966441</t>
        </is>
      </c>
      <c r="BA96" s="74" t="inlineStr">
        <is>
          <t>2025-07-24</t>
        </is>
      </c>
      <c r="BB96" s="74" t="inlineStr">
        <is>
          <t>99</t>
        </is>
      </c>
      <c r="BC96" s="74" t="inlineStr">
        <is>
          <t>https://fnet.bmfbovespa.com.br/fnet/publico/downloadDocumento?id=966441</t>
        </is>
      </c>
      <c r="BD96" s="74" t="inlineStr">
        <is>
          <t>payload_documental</t>
        </is>
      </c>
      <c r="BE96" s="74" t="inlineStr">
        <is>
          <t>junior_pl</t>
        </is>
      </c>
      <c r="BF96" s="74" t="inlineStr">
        <is>
          <t>aceito_payload</t>
        </is>
      </c>
      <c r="BG96" s="74" t="inlineStr">
        <is>
          <t>junior_pl</t>
        </is>
      </c>
      <c r="BH96" s="74" t="inlineStr">
        <is>
          <t>966441</t>
        </is>
      </c>
      <c r="BI96" s="74" t="inlineStr">
        <is>
          <t>2025-07-24</t>
        </is>
      </c>
      <c r="BJ96" s="74" t="inlineStr">
        <is>
          <t>99</t>
        </is>
      </c>
      <c r="BK96" s="74" t="inlineStr">
        <is>
          <t>https://fnet.bmfbovespa.com.br/fnet/publico/downloadDocumento?id=966441</t>
        </is>
      </c>
      <c r="BL96" s="74" t="inlineStr">
        <is>
          <t>payload_documental</t>
        </is>
      </c>
    </row>
    <row r="97" ht="42" customHeight="1">
      <c r="A97" s="145" t="n">
        <v>93</v>
      </c>
      <c r="B97" s="142" t="n">
        <v>61288838000117</v>
      </c>
      <c r="C97" s="75" t="inlineStr">
        <is>
          <t>61.288.838/0001-17</t>
        </is>
      </c>
      <c r="D97" s="75" t="inlineStr">
        <is>
          <t>IFOOD PAGO CRÉDITO III FUNDO DE INVESTIMENTO EM DIREITOS CREDITÓRIOS FINANCEIRO RESP. LIMITADA</t>
        </is>
      </c>
      <c r="E97" s="75" t="inlineStr">
        <is>
          <t>concluído</t>
        </is>
      </c>
      <c r="F97" s="145" t="n">
        <v>8</v>
      </c>
      <c r="G97" s="75" t="inlineStr">
        <is>
          <t>consultado</t>
        </is>
      </c>
      <c r="H97" s="75" t="inlineStr">
        <is>
          <t>N/D</t>
        </is>
      </c>
      <c r="I97" s="75" t="inlineStr">
        <is>
          <t>N/D</t>
        </is>
      </c>
      <c r="J97" s="75" t="inlineStr">
        <is>
          <t>não encontrado</t>
        </is>
      </c>
      <c r="K97" s="75" t="inlineStr">
        <is>
          <t>N/D</t>
        </is>
      </c>
      <c r="L97" s="75" t="inlineStr">
        <is>
          <t>N/D</t>
        </is>
      </c>
      <c r="M97" s="75" t="inlineStr">
        <is>
          <t>N/D</t>
        </is>
      </c>
      <c r="N97" s="75" t="inlineStr">
        <is>
          <t>N/D</t>
        </is>
      </c>
      <c r="O97" s="75" t="inlineStr">
        <is>
          <t>N/D</t>
        </is>
      </c>
      <c r="P97" s="75" t="inlineStr">
        <is>
          <t>N/D</t>
        </is>
      </c>
      <c r="Q97" s="75" t="inlineStr">
        <is>
          <t>a Subcredenciadora</t>
        </is>
      </c>
      <c r="R97" s="75" t="inlineStr">
        <is>
          <t>encontrado_explicito</t>
        </is>
      </c>
      <c r="S97" s="75" t="inlineStr">
        <is>
          <t>N/D</t>
        </is>
      </c>
      <c r="T97" s="75" t="inlineStr">
        <is>
          <t>1073756</t>
        </is>
      </c>
      <c r="U97" s="75" t="inlineStr">
        <is>
          <t>29/12/2025</t>
        </is>
      </c>
      <c r="V97" s="75" t="inlineStr">
        <is>
          <t>107</t>
        </is>
      </c>
      <c r="W97" s="75" t="inlineStr">
        <is>
          <t>https://fnet.bmfbovespa.com.br/fnet/publico/downloadDocumento?id=1073756</t>
        </is>
      </c>
      <c r="X97" s="75" t="inlineStr">
        <is>
          <t>regulamento</t>
        </is>
      </c>
      <c r="Y97" s="75" t="inlineStr">
        <is>
          <t>pessoas físicas ou jurídicas que possuam uma Conta Digital do Devedor CCB e que emitam uma CCB em favor da Instituição Financeira Parceira, conforme aplicável, com o objetivo de realizar uma operação de crédito</t>
        </is>
      </c>
      <c r="Z97" s="75" t="inlineStr">
        <is>
          <t>encontrado_explicito</t>
        </is>
      </c>
      <c r="AA97" s="75" t="inlineStr">
        <is>
          <t>N/D</t>
        </is>
      </c>
      <c r="AB97" s="75" t="inlineStr">
        <is>
          <t>1073756</t>
        </is>
      </c>
      <c r="AC97" s="75" t="inlineStr">
        <is>
          <t>29/12/2025</t>
        </is>
      </c>
      <c r="AD97" s="75" t="inlineStr">
        <is>
          <t>112</t>
        </is>
      </c>
      <c r="AE97" s="75" t="inlineStr">
        <is>
          <t>https://fnet.bmfbovespa.com.br/fnet/publico/downloadDocumento?id=1073756</t>
        </is>
      </c>
      <c r="AF97" s="75" t="inlineStr">
        <is>
          <t>regulamento</t>
        </is>
      </c>
      <c r="AG97" s="75" t="inlineStr">
        <is>
          <t>os Direitos Creditórios CCB e os Direitos Creditórios Credenciadoras, quando referidos em conjunto ou indistintamente</t>
        </is>
      </c>
      <c r="AH97" s="75" t="inlineStr">
        <is>
          <t>encontrado_explicito</t>
        </is>
      </c>
      <c r="AI97" s="75" t="inlineStr">
        <is>
          <t>N/D</t>
        </is>
      </c>
      <c r="AJ97" s="75" t="inlineStr">
        <is>
          <t>1073756</t>
        </is>
      </c>
      <c r="AK97" s="75" t="inlineStr">
        <is>
          <t>29/12/2025</t>
        </is>
      </c>
      <c r="AL97" s="75" t="inlineStr">
        <is>
          <t>113</t>
        </is>
      </c>
      <c r="AM97" s="75" t="inlineStr">
        <is>
          <t>https://fnet.bmfbovespa.com.br/fnet/publico/downloadDocumento?id=1073756</t>
        </is>
      </c>
      <c r="AN97" s="75" t="inlineStr">
        <is>
          <t>regulamento</t>
        </is>
      </c>
      <c r="AO97" s="75" t="inlineStr">
        <is>
          <t>15%</t>
        </is>
      </c>
      <c r="AP97" s="75" t="inlineStr">
        <is>
          <t>aceito_payload</t>
        </is>
      </c>
      <c r="AQ97" s="75" t="inlineStr">
        <is>
          <t>junior_pl</t>
        </is>
      </c>
      <c r="AR97" s="75" t="inlineStr">
        <is>
          <t>1240846</t>
        </is>
      </c>
      <c r="AS97" s="75" t="inlineStr">
        <is>
          <t>2026-07-03</t>
        </is>
      </c>
      <c r="AT97" s="75" t="inlineStr">
        <is>
          <t>114</t>
        </is>
      </c>
      <c r="AU97" s="75" t="inlineStr">
        <is>
          <t>https://fnet.bmfbovespa.com.br/fnet/publico/downloadDocumento?id=1240846</t>
        </is>
      </c>
      <c r="AV97" s="75" t="inlineStr">
        <is>
          <t>payload_documental</t>
        </is>
      </c>
      <c r="AW97" s="75" t="inlineStr">
        <is>
          <t>25%</t>
        </is>
      </c>
      <c r="AX97" s="75" t="inlineStr">
        <is>
          <t>encontrado_explicito</t>
        </is>
      </c>
      <c r="AY97" s="75" t="inlineStr">
        <is>
          <t>suporte_total_pl</t>
        </is>
      </c>
      <c r="AZ97" s="75" t="inlineStr">
        <is>
          <t>1240846</t>
        </is>
      </c>
      <c r="BA97" s="75" t="inlineStr">
        <is>
          <t>03/07/2026</t>
        </is>
      </c>
      <c r="BB97" s="75" t="inlineStr">
        <is>
          <t>66</t>
        </is>
      </c>
      <c r="BC97" s="75" t="inlineStr">
        <is>
          <t>https://fnet.bmfbovespa.com.br/fnet/publico/downloadDocumento?id=1240846</t>
        </is>
      </c>
      <c r="BD97" s="75" t="inlineStr">
        <is>
          <t>regulamento</t>
        </is>
      </c>
      <c r="BE97" s="75" t="inlineStr">
        <is>
          <t>junior_pl</t>
        </is>
      </c>
      <c r="BF97" s="75" t="inlineStr">
        <is>
          <t>aceito_payload</t>
        </is>
      </c>
      <c r="BG97" s="75" t="inlineStr">
        <is>
          <t>junior_pl</t>
        </is>
      </c>
      <c r="BH97" s="75" t="inlineStr">
        <is>
          <t>1240846</t>
        </is>
      </c>
      <c r="BI97" s="75" t="inlineStr">
        <is>
          <t>2026-07-03</t>
        </is>
      </c>
      <c r="BJ97" s="75" t="inlineStr">
        <is>
          <t>114</t>
        </is>
      </c>
      <c r="BK97" s="75" t="inlineStr">
        <is>
          <t>https://fnet.bmfbovespa.com.br/fnet/publico/downloadDocumento?id=1240846</t>
        </is>
      </c>
      <c r="BL97" s="75" t="inlineStr">
        <is>
          <t>payload_documental</t>
        </is>
      </c>
    </row>
    <row r="98" ht="42" customHeight="1">
      <c r="A98" s="141" t="n">
        <v>94</v>
      </c>
      <c r="B98" s="138" t="n">
        <v>30035329000159</v>
      </c>
      <c r="C98" s="74" t="inlineStr">
        <is>
          <t>30.035.329/0001-59</t>
        </is>
      </c>
      <c r="D98" s="74" t="inlineStr">
        <is>
          <t>VIA INVEST II FUNDO DE INVESTIMENTO EM DIREITOS CREDITÓRIOS RESPONSABILIDADE LIMITADA</t>
        </is>
      </c>
      <c r="E98" s="74" t="inlineStr">
        <is>
          <t>concluído</t>
        </is>
      </c>
      <c r="F98" s="141" t="n">
        <v>8</v>
      </c>
      <c r="G98" s="74" t="inlineStr">
        <is>
          <t>consultado</t>
        </is>
      </c>
      <c r="H98" s="74" t="inlineStr">
        <is>
          <t>N/D</t>
        </is>
      </c>
      <c r="I98" s="74" t="inlineStr">
        <is>
          <t>N/D</t>
        </is>
      </c>
      <c r="J98" s="74" t="inlineStr">
        <is>
          <t>não encontrado</t>
        </is>
      </c>
      <c r="K98" s="74" t="inlineStr">
        <is>
          <t>N/D</t>
        </is>
      </c>
      <c r="L98" s="74" t="inlineStr">
        <is>
          <t>N/D</t>
        </is>
      </c>
      <c r="M98" s="74" t="inlineStr">
        <is>
          <t>N/D</t>
        </is>
      </c>
      <c r="N98" s="74" t="inlineStr">
        <is>
          <t>N/D</t>
        </is>
      </c>
      <c r="O98" s="74" t="inlineStr">
        <is>
          <t>N/D</t>
        </is>
      </c>
      <c r="P98" s="74" t="inlineStr">
        <is>
          <t>N/D</t>
        </is>
      </c>
      <c r="Q98" s="74" t="inlineStr">
        <is>
          <t>BMP (Bancarizador)</t>
        </is>
      </c>
      <c r="R98" s="74" t="inlineStr">
        <is>
          <t>aceito_payload</t>
        </is>
      </c>
      <c r="S98" s="74" t="inlineStr">
        <is>
          <t>N/D</t>
        </is>
      </c>
      <c r="T98" s="74" t="inlineStr">
        <is>
          <t>IMG_8707.jpg</t>
        </is>
      </c>
      <c r="U98" s="74" t="inlineStr">
        <is>
          <t>2025-09-22</t>
        </is>
      </c>
      <c r="V98" s="74" t="inlineStr">
        <is>
          <t>44; 64</t>
        </is>
      </c>
      <c r="W98" s="74" t="inlineStr">
        <is>
          <t>N/D</t>
        </is>
      </c>
      <c r="X98" s="74" t="inlineStr">
        <is>
          <t>planilha_manual</t>
        </is>
      </c>
      <c r="Y98" s="74" t="inlineStr">
        <is>
          <t>pessoas físicas titulares de contas vinculadas do FGTS e que estejam com a opção da modalidade de Saque Aniversário vigente na data da contratação do empréstimo e emissão de CCBs, e que figurem na qualidade de devedores dos Direitos Creditórios</t>
        </is>
      </c>
      <c r="Z98" s="74" t="inlineStr">
        <is>
          <t>encontrado_explicito</t>
        </is>
      </c>
      <c r="AA98" s="74" t="inlineStr">
        <is>
          <t>N/D</t>
        </is>
      </c>
      <c r="AB98" s="74" t="inlineStr">
        <is>
          <t>998769</t>
        </is>
      </c>
      <c r="AC98" s="74" t="inlineStr">
        <is>
          <t>22/09/2025</t>
        </is>
      </c>
      <c r="AD98" s="74" t="inlineStr">
        <is>
          <t>6</t>
        </is>
      </c>
      <c r="AE98" s="74" t="inlineStr">
        <is>
          <t>https://fnet.bmfbovespa.com.br/fnet/publico/downloadDocumento?id=998769</t>
        </is>
      </c>
      <c r="AF98" s="74" t="inlineStr">
        <is>
          <t>regulamento</t>
        </is>
      </c>
      <c r="AG98" s="74" t="inlineStr">
        <is>
          <t>N/D</t>
        </is>
      </c>
      <c r="AH98" s="74" t="inlineStr">
        <is>
          <t>não encontrado</t>
        </is>
      </c>
      <c r="AI98" s="74" t="inlineStr">
        <is>
          <t>N/D</t>
        </is>
      </c>
      <c r="AJ98" s="74" t="inlineStr">
        <is>
          <t>N/D</t>
        </is>
      </c>
      <c r="AK98" s="74" t="inlineStr">
        <is>
          <t>N/D</t>
        </is>
      </c>
      <c r="AL98" s="74" t="inlineStr">
        <is>
          <t>N/D</t>
        </is>
      </c>
      <c r="AM98" s="74" t="inlineStr">
        <is>
          <t>N/D</t>
        </is>
      </c>
      <c r="AN98" s="74" t="inlineStr">
        <is>
          <t>N/D</t>
        </is>
      </c>
      <c r="AO98" s="74" t="inlineStr">
        <is>
          <t>15%</t>
        </is>
      </c>
      <c r="AP98" s="74" t="inlineStr">
        <is>
          <t>aceito_payload</t>
        </is>
      </c>
      <c r="AQ98" s="74" t="inlineStr">
        <is>
          <t>junior_pl</t>
        </is>
      </c>
      <c r="AR98" s="74" t="inlineStr">
        <is>
          <t>998769</t>
        </is>
      </c>
      <c r="AS98" s="74" t="inlineStr">
        <is>
          <t>2025-09-22</t>
        </is>
      </c>
      <c r="AT98" s="74" t="inlineStr">
        <is>
          <t>44; 64</t>
        </is>
      </c>
      <c r="AU98" s="74" t="inlineStr">
        <is>
          <t>https://fnet.bmfbovespa.com.br/fnet/publico/downloadDocumento?id=998769</t>
        </is>
      </c>
      <c r="AV98" s="74" t="inlineStr">
        <is>
          <t>payload_documental</t>
        </is>
      </c>
      <c r="AW98" s="74" t="inlineStr">
        <is>
          <t>N/D</t>
        </is>
      </c>
      <c r="AX98" s="74" t="inlineStr">
        <is>
          <t>não encontrado</t>
        </is>
      </c>
      <c r="AY98" s="74" t="inlineStr">
        <is>
          <t>N/D</t>
        </is>
      </c>
      <c r="AZ98" s="74" t="inlineStr">
        <is>
          <t>N/D</t>
        </is>
      </c>
      <c r="BA98" s="74" t="inlineStr">
        <is>
          <t>N/D</t>
        </is>
      </c>
      <c r="BB98" s="74" t="inlineStr">
        <is>
          <t>N/D</t>
        </is>
      </c>
      <c r="BC98" s="74" t="inlineStr">
        <is>
          <t>N/D</t>
        </is>
      </c>
      <c r="BD98" s="74" t="inlineStr">
        <is>
          <t>N/D</t>
        </is>
      </c>
      <c r="BE98" s="74" t="inlineStr">
        <is>
          <t>junior_pl</t>
        </is>
      </c>
      <c r="BF98" s="74" t="inlineStr">
        <is>
          <t>aceito_payload</t>
        </is>
      </c>
      <c r="BG98" s="74" t="inlineStr">
        <is>
          <t>junior_pl</t>
        </is>
      </c>
      <c r="BH98" s="74" t="inlineStr">
        <is>
          <t>998769</t>
        </is>
      </c>
      <c r="BI98" s="74" t="inlineStr">
        <is>
          <t>2025-09-22</t>
        </is>
      </c>
      <c r="BJ98" s="74" t="inlineStr">
        <is>
          <t>44; 64</t>
        </is>
      </c>
      <c r="BK98" s="74" t="inlineStr">
        <is>
          <t>https://fnet.bmfbovespa.com.br/fnet/publico/downloadDocumento?id=998769</t>
        </is>
      </c>
      <c r="BL98" s="74" t="inlineStr">
        <is>
          <t>payload_documental</t>
        </is>
      </c>
    </row>
    <row r="99" ht="42" customHeight="1">
      <c r="A99" s="145" t="n">
        <v>95</v>
      </c>
      <c r="B99" s="142" t="n">
        <v>63657457000193</v>
      </c>
      <c r="C99" s="75" t="inlineStr">
        <is>
          <t>63.657.457/0001-93</t>
        </is>
      </c>
      <c r="D99" s="75" t="inlineStr">
        <is>
          <t>MSV3 FUNDO DE INVESTIMENTO EM DIREITOS CREDITÓRIOS RECEBÍVEIS COMERCIAIS RESPONSABILIDADE LIMITADA</t>
        </is>
      </c>
      <c r="E99" s="75" t="inlineStr">
        <is>
          <t>concluído</t>
        </is>
      </c>
      <c r="F99" s="145" t="n">
        <v>8</v>
      </c>
      <c r="G99" s="75" t="inlineStr">
        <is>
          <t>consultado</t>
        </is>
      </c>
      <c r="H99" s="75" t="inlineStr">
        <is>
          <t>N/D</t>
        </is>
      </c>
      <c r="I99" s="75" t="inlineStr">
        <is>
          <t>N/D</t>
        </is>
      </c>
      <c r="J99" s="75" t="inlineStr">
        <is>
          <t>não encontrado</t>
        </is>
      </c>
      <c r="K99" s="75" t="inlineStr">
        <is>
          <t>N/D</t>
        </is>
      </c>
      <c r="L99" s="75" t="inlineStr">
        <is>
          <t>N/D</t>
        </is>
      </c>
      <c r="M99" s="75" t="inlineStr">
        <is>
          <t>N/D</t>
        </is>
      </c>
      <c r="N99" s="75" t="inlineStr">
        <is>
          <t>N/D</t>
        </is>
      </c>
      <c r="O99" s="75" t="inlineStr">
        <is>
          <t>N/D</t>
        </is>
      </c>
      <c r="P99" s="75" t="inlineStr">
        <is>
          <t>N/D</t>
        </is>
      </c>
      <c r="Q99" s="75" t="inlineStr">
        <is>
          <t>Originadores</t>
        </is>
      </c>
      <c r="R99" s="75" t="inlineStr">
        <is>
          <t>encontrado_explicito</t>
        </is>
      </c>
      <c r="S99" s="75" t="inlineStr">
        <is>
          <t>rótulo explícito de participante v2</t>
        </is>
      </c>
      <c r="T99" s="75" t="inlineStr">
        <is>
          <t>1118693</t>
        </is>
      </c>
      <c r="U99" s="75" t="inlineStr">
        <is>
          <t>30/12/2025</t>
        </is>
      </c>
      <c r="V99" s="75" t="inlineStr">
        <is>
          <t>1</t>
        </is>
      </c>
      <c r="W99" s="75" t="inlineStr">
        <is>
          <t>https://fnet.bmfbovespa.com.br/fnet/publico/downloadDocumento?id=1118693</t>
        </is>
      </c>
      <c r="X99" s="75" t="inlineStr">
        <is>
          <t>rating_report</t>
        </is>
      </c>
      <c r="Y99" s="75" t="inlineStr">
        <is>
          <t>não tenham relação com qualquer comercialização de tabaco ou qualquer espécie de fumo ou com distribuição de combustíveis (exceto, nesse último caso, se forem companhias abertas), conforme informado pela respectiva</t>
        </is>
      </c>
      <c r="Z99" s="75" t="inlineStr">
        <is>
          <t>encontrado_explicito</t>
        </is>
      </c>
      <c r="AA99" s="75" t="inlineStr">
        <is>
          <t>rótulo explícito de participante v2</t>
        </is>
      </c>
      <c r="AB99" s="75" t="inlineStr">
        <is>
          <t>1118693</t>
        </is>
      </c>
      <c r="AC99" s="75" t="inlineStr">
        <is>
          <t>30/12/2025</t>
        </is>
      </c>
      <c r="AD99" s="75" t="inlineStr">
        <is>
          <t>6</t>
        </is>
      </c>
      <c r="AE99" s="75" t="inlineStr">
        <is>
          <t>https://fnet.bmfbovespa.com.br/fnet/publico/downloadDocumento?id=1118693</t>
        </is>
      </c>
      <c r="AF99" s="75" t="inlineStr">
        <is>
          <t>rating_report</t>
        </is>
      </c>
      <c r="AG99" s="75" t="inlineStr">
        <is>
          <t>N/D</t>
        </is>
      </c>
      <c r="AH99" s="75" t="inlineStr">
        <is>
          <t>não encontrado</t>
        </is>
      </c>
      <c r="AI99" s="75" t="inlineStr">
        <is>
          <t>N/D</t>
        </is>
      </c>
      <c r="AJ99" s="75" t="inlineStr">
        <is>
          <t>N/D</t>
        </is>
      </c>
      <c r="AK99" s="75" t="inlineStr">
        <is>
          <t>N/D</t>
        </is>
      </c>
      <c r="AL99" s="75" t="inlineStr">
        <is>
          <t>N/D</t>
        </is>
      </c>
      <c r="AM99" s="75" t="inlineStr">
        <is>
          <t>N/D</t>
        </is>
      </c>
      <c r="AN99" s="75" t="inlineStr">
        <is>
          <t>N/D</t>
        </is>
      </c>
      <c r="AO99" s="75" t="inlineStr">
        <is>
          <t>25%</t>
        </is>
      </c>
      <c r="AP99" s="75" t="inlineStr">
        <is>
          <t>aceito_payload</t>
        </is>
      </c>
      <c r="AQ99" s="75" t="inlineStr">
        <is>
          <t>junior_pl</t>
        </is>
      </c>
      <c r="AR99" s="75" t="inlineStr">
        <is>
          <t>1205333</t>
        </is>
      </c>
      <c r="AS99" s="75" t="inlineStr">
        <is>
          <t>2026-05-27</t>
        </is>
      </c>
      <c r="AT99" s="75" t="inlineStr">
        <is>
          <t>28</t>
        </is>
      </c>
      <c r="AU99" s="75" t="inlineStr">
        <is>
          <t>https://fnet.bmfbovespa.com.br/fnet/publico/downloadDocumento?id=1205333</t>
        </is>
      </c>
      <c r="AV99" s="75" t="inlineStr">
        <is>
          <t>payload_documental</t>
        </is>
      </c>
      <c r="AW99" s="75" t="inlineStr">
        <is>
          <t>N/D</t>
        </is>
      </c>
      <c r="AX99" s="75" t="inlineStr">
        <is>
          <t>não encontrado</t>
        </is>
      </c>
      <c r="AY99" s="75" t="inlineStr">
        <is>
          <t>N/D</t>
        </is>
      </c>
      <c r="AZ99" s="75" t="inlineStr">
        <is>
          <t>N/D</t>
        </is>
      </c>
      <c r="BA99" s="75" t="inlineStr">
        <is>
          <t>N/D</t>
        </is>
      </c>
      <c r="BB99" s="75" t="inlineStr">
        <is>
          <t>N/D</t>
        </is>
      </c>
      <c r="BC99" s="75" t="inlineStr">
        <is>
          <t>N/D</t>
        </is>
      </c>
      <c r="BD99" s="75" t="inlineStr">
        <is>
          <t>N/D</t>
        </is>
      </c>
      <c r="BE99" s="75" t="inlineStr">
        <is>
          <t>junior_pl</t>
        </is>
      </c>
      <c r="BF99" s="75" t="inlineStr">
        <is>
          <t>aceito_payload</t>
        </is>
      </c>
      <c r="BG99" s="75" t="inlineStr">
        <is>
          <t>junior_pl</t>
        </is>
      </c>
      <c r="BH99" s="75" t="inlineStr">
        <is>
          <t>1205333</t>
        </is>
      </c>
      <c r="BI99" s="75" t="inlineStr">
        <is>
          <t>2026-05-27</t>
        </is>
      </c>
      <c r="BJ99" s="75" t="inlineStr">
        <is>
          <t>28</t>
        </is>
      </c>
      <c r="BK99" s="75" t="inlineStr">
        <is>
          <t>https://fnet.bmfbovespa.com.br/fnet/publico/downloadDocumento?id=1205333</t>
        </is>
      </c>
      <c r="BL99" s="75" t="inlineStr">
        <is>
          <t>payload_documental</t>
        </is>
      </c>
    </row>
    <row r="100" ht="42" customHeight="1">
      <c r="A100" s="141" t="n">
        <v>96</v>
      </c>
      <c r="B100" s="138" t="n">
        <v>63066147000102</v>
      </c>
      <c r="C100" s="74" t="inlineStr">
        <is>
          <t>63.066.147/0001-02</t>
        </is>
      </c>
      <c r="D100" s="74" t="inlineStr">
        <is>
          <t>FUNDO DE INVESTIMENTO EM DIREITOS CREDITÓRIOS INCLUSÃO CREDIÁRIA RESPONSABILIDADE LIMITADA</t>
        </is>
      </c>
      <c r="E100" s="74" t="inlineStr">
        <is>
          <t>concluído</t>
        </is>
      </c>
      <c r="F100" s="141" t="n">
        <v>7</v>
      </c>
      <c r="G100" s="74" t="inlineStr">
        <is>
          <t>consultado</t>
        </is>
      </c>
      <c r="H100" s="74" t="inlineStr">
        <is>
          <t>N/D</t>
        </is>
      </c>
      <c r="I100" s="74" t="inlineStr">
        <is>
          <t>N/D</t>
        </is>
      </c>
      <c r="J100" s="74" t="inlineStr">
        <is>
          <t>não encontrado</t>
        </is>
      </c>
      <c r="K100" s="74" t="inlineStr">
        <is>
          <t>N/D</t>
        </is>
      </c>
      <c r="L100" s="74" t="inlineStr">
        <is>
          <t>N/D</t>
        </is>
      </c>
      <c r="M100" s="74" t="inlineStr">
        <is>
          <t>N/D</t>
        </is>
      </c>
      <c r="N100" s="74" t="inlineStr">
        <is>
          <t>N/D</t>
        </is>
      </c>
      <c r="O100" s="74" t="inlineStr">
        <is>
          <t>N/D</t>
        </is>
      </c>
      <c r="P100" s="74" t="inlineStr">
        <is>
          <t>N/D</t>
        </is>
      </c>
      <c r="Q100" s="74" t="inlineStr">
        <is>
          <t>Supersim</t>
        </is>
      </c>
      <c r="R100" s="74" t="inlineStr">
        <is>
          <t>aceito_payload</t>
        </is>
      </c>
      <c r="S100" s="74" t="inlineStr">
        <is>
          <t>N/D</t>
        </is>
      </c>
      <c r="T100" s="74" t="inlineStr">
        <is>
          <t>IMG_8707.jpg</t>
        </is>
      </c>
      <c r="U100" s="74" t="inlineStr">
        <is>
          <t>2026-01-15</t>
        </is>
      </c>
      <c r="V100" s="74" t="inlineStr">
        <is>
          <t>12</t>
        </is>
      </c>
      <c r="W100" s="74" t="inlineStr">
        <is>
          <t>N/D</t>
        </is>
      </c>
      <c r="X100" s="74" t="inlineStr">
        <is>
          <t>planilha_manual</t>
        </is>
      </c>
      <c r="Y100" s="74" t="inlineStr">
        <is>
          <t>N/D</t>
        </is>
      </c>
      <c r="Z100" s="74" t="inlineStr">
        <is>
          <t>não encontrado</t>
        </is>
      </c>
      <c r="AA100" s="74" t="inlineStr">
        <is>
          <t>N/D</t>
        </is>
      </c>
      <c r="AB100" s="74" t="inlineStr">
        <is>
          <t>N/D</t>
        </is>
      </c>
      <c r="AC100" s="74" t="inlineStr">
        <is>
          <t>N/D</t>
        </is>
      </c>
      <c r="AD100" s="74" t="inlineStr">
        <is>
          <t>N/D</t>
        </is>
      </c>
      <c r="AE100" s="74" t="inlineStr">
        <is>
          <t>N/D</t>
        </is>
      </c>
      <c r="AF100" s="74" t="inlineStr">
        <is>
          <t>N/D</t>
        </is>
      </c>
      <c r="AG100" s="74" t="inlineStr">
        <is>
          <t>todos os direitos de crédito vincendos adquiridos ou a serem adquiridos pela Classe Única, representados por CCBs decorrentes da concessão de Crédito Docusign Envelope ID: 9DE35450-3BDE-4638-A712-3F4C7F8F1EF5</t>
        </is>
      </c>
      <c r="AH100" s="74" t="inlineStr">
        <is>
          <t>encontrado_explicito</t>
        </is>
      </c>
      <c r="AI100" s="74" t="inlineStr">
        <is>
          <t>N/D</t>
        </is>
      </c>
      <c r="AJ100" s="74" t="inlineStr">
        <is>
          <t>1085943</t>
        </is>
      </c>
      <c r="AK100" s="74" t="inlineStr">
        <is>
          <t>2026-01-15</t>
        </is>
      </c>
      <c r="AL100" s="74" t="inlineStr">
        <is>
          <t>14</t>
        </is>
      </c>
      <c r="AM100" s="74" t="inlineStr">
        <is>
          <t>https://fnet.bmfbovespa.com.br/fnet/publico/downloadDocumento?id=1085943</t>
        </is>
      </c>
      <c r="AN100" s="74" t="inlineStr">
        <is>
          <t>regulamento</t>
        </is>
      </c>
      <c r="AO100" s="74" t="inlineStr">
        <is>
          <t>12.5%</t>
        </is>
      </c>
      <c r="AP100" s="74" t="inlineStr">
        <is>
          <t>aceito_payload</t>
        </is>
      </c>
      <c r="AQ100" s="74" t="inlineStr">
        <is>
          <t>junior_pl</t>
        </is>
      </c>
      <c r="AR100" s="74" t="inlineStr">
        <is>
          <t>1085946</t>
        </is>
      </c>
      <c r="AS100" s="74" t="inlineStr">
        <is>
          <t>2026-01-15</t>
        </is>
      </c>
      <c r="AT100" s="74" t="inlineStr">
        <is>
          <t>12</t>
        </is>
      </c>
      <c r="AU100" s="74" t="inlineStr">
        <is>
          <t>https://fnet.bmfbovespa.com.br/fnet/publico/downloadDocumento?id=1085946</t>
        </is>
      </c>
      <c r="AV100" s="74" t="inlineStr">
        <is>
          <t>payload_documental</t>
        </is>
      </c>
      <c r="AW100" s="74" t="inlineStr">
        <is>
          <t>N/D</t>
        </is>
      </c>
      <c r="AX100" s="74" t="inlineStr">
        <is>
          <t>não encontrado</t>
        </is>
      </c>
      <c r="AY100" s="74" t="inlineStr">
        <is>
          <t>N/D</t>
        </is>
      </c>
      <c r="AZ100" s="74" t="inlineStr">
        <is>
          <t>N/D</t>
        </is>
      </c>
      <c r="BA100" s="74" t="inlineStr">
        <is>
          <t>N/D</t>
        </is>
      </c>
      <c r="BB100" s="74" t="inlineStr">
        <is>
          <t>N/D</t>
        </is>
      </c>
      <c r="BC100" s="74" t="inlineStr">
        <is>
          <t>N/D</t>
        </is>
      </c>
      <c r="BD100" s="74" t="inlineStr">
        <is>
          <t>N/D</t>
        </is>
      </c>
      <c r="BE100" s="74" t="inlineStr">
        <is>
          <t>junior_pl</t>
        </is>
      </c>
      <c r="BF100" s="74" t="inlineStr">
        <is>
          <t>aceito_payload</t>
        </is>
      </c>
      <c r="BG100" s="74" t="inlineStr">
        <is>
          <t>junior_pl</t>
        </is>
      </c>
      <c r="BH100" s="74" t="inlineStr">
        <is>
          <t>1085946</t>
        </is>
      </c>
      <c r="BI100" s="74" t="inlineStr">
        <is>
          <t>2026-01-15</t>
        </is>
      </c>
      <c r="BJ100" s="74" t="inlineStr">
        <is>
          <t>12</t>
        </is>
      </c>
      <c r="BK100" s="74" t="inlineStr">
        <is>
          <t>https://fnet.bmfbovespa.com.br/fnet/publico/downloadDocumento?id=1085946</t>
        </is>
      </c>
      <c r="BL100" s="74" t="inlineStr">
        <is>
          <t>payload_documental</t>
        </is>
      </c>
    </row>
    <row r="101" ht="42" customHeight="1">
      <c r="A101" s="145" t="n">
        <v>97</v>
      </c>
      <c r="B101" s="142" t="n">
        <v>65836995000170</v>
      </c>
      <c r="C101" s="75" t="inlineStr">
        <is>
          <t>65.836.995/0001-70</t>
        </is>
      </c>
      <c r="D101" s="75" t="inlineStr">
        <is>
          <t>PNEUCASH II FUNDO DE INVESTIMENTO EM DIREITOS CREDITÓRIOS DE CLASSE ÚNICA FECHADA RESP LIMITADA</t>
        </is>
      </c>
      <c r="E101" s="75" t="inlineStr">
        <is>
          <t>concluído</t>
        </is>
      </c>
      <c r="F101" s="145" t="n">
        <v>6</v>
      </c>
      <c r="G101" s="75" t="inlineStr">
        <is>
          <t>consultado</t>
        </is>
      </c>
      <c r="H101" s="75" t="inlineStr">
        <is>
          <t>N/D</t>
        </is>
      </c>
      <c r="I101" s="75" t="inlineStr">
        <is>
          <t>N/D</t>
        </is>
      </c>
      <c r="J101" s="75" t="inlineStr">
        <is>
          <t>não encontrado</t>
        </is>
      </c>
      <c r="K101" s="75" t="inlineStr">
        <is>
          <t>N/D</t>
        </is>
      </c>
      <c r="L101" s="75" t="inlineStr">
        <is>
          <t>N/D</t>
        </is>
      </c>
      <c r="M101" s="75" t="inlineStr">
        <is>
          <t>N/D</t>
        </is>
      </c>
      <c r="N101" s="75" t="inlineStr">
        <is>
          <t>N/D</t>
        </is>
      </c>
      <c r="O101" s="75" t="inlineStr">
        <is>
          <t>N/D</t>
        </is>
      </c>
      <c r="P101" s="75" t="inlineStr">
        <is>
          <t>N/D</t>
        </is>
      </c>
      <c r="Q101" s="75" t="inlineStr">
        <is>
          <t>Cantu Store</t>
        </is>
      </c>
      <c r="R101" s="75" t="inlineStr">
        <is>
          <t>aceito_payload</t>
        </is>
      </c>
      <c r="S101" s="75" t="inlineStr">
        <is>
          <t>N/D</t>
        </is>
      </c>
      <c r="T101" s="75" t="inlineStr">
        <is>
          <t>IMG_8707.jpg</t>
        </is>
      </c>
      <c r="U101" s="75" t="inlineStr">
        <is>
          <t>2026-05-11</t>
        </is>
      </c>
      <c r="V101" s="75" t="inlineStr">
        <is>
          <t>49–50</t>
        </is>
      </c>
      <c r="W101" s="75" t="inlineStr">
        <is>
          <t>N/D</t>
        </is>
      </c>
      <c r="X101" s="75" t="inlineStr">
        <is>
          <t>planilha_manual</t>
        </is>
      </c>
      <c r="Y101" s="75" t="inlineStr">
        <is>
          <t>os devedores (sacados), pessoas físicas ou jurídicas, que tenham estabelecido relação de consumo dos Direitos Creditórios com as Cedentes</t>
        </is>
      </c>
      <c r="Z101" s="75" t="inlineStr">
        <is>
          <t>encontrado_explicito</t>
        </is>
      </c>
      <c r="AA101" s="75" t="inlineStr">
        <is>
          <t>N/D</t>
        </is>
      </c>
      <c r="AB101" s="75" t="inlineStr">
        <is>
          <t>1184844</t>
        </is>
      </c>
      <c r="AC101" s="75" t="inlineStr">
        <is>
          <t>07/05/2026</t>
        </is>
      </c>
      <c r="AD101" s="75" t="inlineStr">
        <is>
          <t>18</t>
        </is>
      </c>
      <c r="AE101" s="75" t="inlineStr">
        <is>
          <t>https://fnet.bmfbovespa.com.br/fnet/publico/downloadDocumento?id=1184844</t>
        </is>
      </c>
      <c r="AF101" s="75" t="inlineStr">
        <is>
          <t>regulamento</t>
        </is>
      </c>
      <c r="AG101" s="75" t="inlineStr">
        <is>
          <t>os direitos creditórios performados (cujos respectivos Produtos foram entregues ou retirados, ou com pedidos emitidos) vincendos, existentes, livres e desimpedidos de quaisquer ônus, gravames ou restrições, de titularidade das Cedentes, originados no âmbito de Operações a Prazo envolvendo Produtos celebradas entre as Cedentes e seus respectivos Devedores, no mercado local, expressos em moeda corrente nacional, cujas respectivas transações sejam sempre representadas por Documentos Comprobatórios</t>
        </is>
      </c>
      <c r="AH101" s="75" t="inlineStr">
        <is>
          <t>encontrado_explicito</t>
        </is>
      </c>
      <c r="AI101" s="75" t="inlineStr">
        <is>
          <t>N/D</t>
        </is>
      </c>
      <c r="AJ101" s="75" t="inlineStr">
        <is>
          <t>1184844</t>
        </is>
      </c>
      <c r="AK101" s="75" t="inlineStr">
        <is>
          <t>07/05/2026</t>
        </is>
      </c>
      <c r="AL101" s="75" t="inlineStr">
        <is>
          <t>19</t>
        </is>
      </c>
      <c r="AM101" s="75" t="inlineStr">
        <is>
          <t>https://fnet.bmfbovespa.com.br/fnet/publico/downloadDocumento?id=1184844</t>
        </is>
      </c>
      <c r="AN101" s="75" t="inlineStr">
        <is>
          <t>regulamento</t>
        </is>
      </c>
      <c r="AO101" s="75" t="inlineStr">
        <is>
          <t>N/D</t>
        </is>
      </c>
      <c r="AP101" s="75" t="inlineStr">
        <is>
          <t>não encontrado</t>
        </is>
      </c>
      <c r="AQ101" s="75" t="inlineStr">
        <is>
          <t>N/D</t>
        </is>
      </c>
      <c r="AR101" s="75" t="inlineStr">
        <is>
          <t>N/D</t>
        </is>
      </c>
      <c r="AS101" s="75" t="inlineStr">
        <is>
          <t>N/D</t>
        </is>
      </c>
      <c r="AT101" s="75" t="inlineStr">
        <is>
          <t>N/D</t>
        </is>
      </c>
      <c r="AU101" s="75" t="inlineStr">
        <is>
          <t>N/D</t>
        </is>
      </c>
      <c r="AV101" s="75" t="inlineStr">
        <is>
          <t>N/D</t>
        </is>
      </c>
      <c r="AW101" s="75" t="inlineStr">
        <is>
          <t>20%</t>
        </is>
      </c>
      <c r="AX101" s="75" t="inlineStr">
        <is>
          <t>aceito_payload</t>
        </is>
      </c>
      <c r="AY101" s="75" t="inlineStr">
        <is>
          <t>suporte_total_pl</t>
        </is>
      </c>
      <c r="AZ101" s="75" t="inlineStr">
        <is>
          <t>1184847</t>
        </is>
      </c>
      <c r="BA101" s="75" t="inlineStr">
        <is>
          <t>2026-05-11</t>
        </is>
      </c>
      <c r="BB101" s="75" t="inlineStr">
        <is>
          <t>49–50</t>
        </is>
      </c>
      <c r="BC101" s="75" t="inlineStr">
        <is>
          <t>https://fnet.bmfbovespa.com.br/fnet/publico/downloadDocumento?id=1184847</t>
        </is>
      </c>
      <c r="BD101" s="75" t="inlineStr">
        <is>
          <t>payload_documental</t>
        </is>
      </c>
      <c r="BE101" s="75" t="inlineStr">
        <is>
          <t>suporte_total_pl</t>
        </is>
      </c>
      <c r="BF101" s="75" t="inlineStr">
        <is>
          <t>aceito_payload</t>
        </is>
      </c>
      <c r="BG101" s="75" t="inlineStr">
        <is>
          <t>suporte_total_pl</t>
        </is>
      </c>
      <c r="BH101" s="75" t="inlineStr">
        <is>
          <t>1184847</t>
        </is>
      </c>
      <c r="BI101" s="75" t="inlineStr">
        <is>
          <t>2026-05-11</t>
        </is>
      </c>
      <c r="BJ101" s="75" t="inlineStr">
        <is>
          <t>49–50</t>
        </is>
      </c>
      <c r="BK101" s="75" t="inlineStr">
        <is>
          <t>https://fnet.bmfbovespa.com.br/fnet/publico/downloadDocumento?id=1184847</t>
        </is>
      </c>
      <c r="BL101" s="75" t="inlineStr">
        <is>
          <t>payload_documental</t>
        </is>
      </c>
    </row>
    <row r="102" ht="42" customHeight="1">
      <c r="A102" s="141" t="n">
        <v>98</v>
      </c>
      <c r="B102" s="138" t="n">
        <v>65873297000145</v>
      </c>
      <c r="C102" s="74" t="inlineStr">
        <is>
          <t>65.873.297/0001-45</t>
        </is>
      </c>
      <c r="D102" s="74" t="inlineStr">
        <is>
          <t>ARCELORMITTAL VÉRTICE FUNDO DE INVESTIMENTO EM DIREITOS CREDITÓRIOS COMERCIAIS - RESP LIMITADA</t>
        </is>
      </c>
      <c r="E102" s="74" t="inlineStr">
        <is>
          <t>concluído</t>
        </is>
      </c>
      <c r="F102" s="141" t="n">
        <v>7</v>
      </c>
      <c r="G102" s="74" t="inlineStr">
        <is>
          <t>consultado</t>
        </is>
      </c>
      <c r="H102" s="74" t="inlineStr">
        <is>
          <t>N/D</t>
        </is>
      </c>
      <c r="I102" s="74" t="inlineStr">
        <is>
          <t>N/D</t>
        </is>
      </c>
      <c r="J102" s="74" t="inlineStr">
        <is>
          <t>não encontrado</t>
        </is>
      </c>
      <c r="K102" s="74" t="inlineStr">
        <is>
          <t>N/D</t>
        </is>
      </c>
      <c r="L102" s="74" t="inlineStr">
        <is>
          <t>N/D</t>
        </is>
      </c>
      <c r="M102" s="74" t="inlineStr">
        <is>
          <t>N/D</t>
        </is>
      </c>
      <c r="N102" s="74" t="inlineStr">
        <is>
          <t>N/D</t>
        </is>
      </c>
      <c r="O102" s="74" t="inlineStr">
        <is>
          <t>N/D</t>
        </is>
      </c>
      <c r="P102" s="74" t="inlineStr">
        <is>
          <t>N/D</t>
        </is>
      </c>
      <c r="Q102" s="74" t="inlineStr">
        <is>
          <t>os Fornecedores que cedem Direitos Creditórios à Classe</t>
        </is>
      </c>
      <c r="R102" s="74" t="inlineStr">
        <is>
          <t>encontrado_explicito</t>
        </is>
      </c>
      <c r="S102" s="74" t="inlineStr">
        <is>
          <t>N/D</t>
        </is>
      </c>
      <c r="T102" s="74" t="inlineStr">
        <is>
          <t>1226438</t>
        </is>
      </c>
      <c r="U102" s="74" t="inlineStr">
        <is>
          <t>20/05/2026</t>
        </is>
      </c>
      <c r="V102" s="74" t="inlineStr">
        <is>
          <t>4</t>
        </is>
      </c>
      <c r="W102" s="74" t="inlineStr">
        <is>
          <t>https://fnet.bmfbovespa.com.br/fnet/publico/downloadDocumento?id=1226438</t>
        </is>
      </c>
      <c r="X102" s="74" t="inlineStr">
        <is>
          <t>regulamento</t>
        </is>
      </c>
      <c r="Y102" s="74" t="inlineStr">
        <is>
          <t>N/D</t>
        </is>
      </c>
      <c r="Z102" s="74" t="inlineStr">
        <is>
          <t>não encontrado</t>
        </is>
      </c>
      <c r="AA102" s="74" t="inlineStr">
        <is>
          <t>N/D</t>
        </is>
      </c>
      <c r="AB102" s="74" t="inlineStr">
        <is>
          <t>N/D</t>
        </is>
      </c>
      <c r="AC102" s="74" t="inlineStr">
        <is>
          <t>N/D</t>
        </is>
      </c>
      <c r="AD102" s="74" t="inlineStr">
        <is>
          <t>N/D</t>
        </is>
      </c>
      <c r="AE102" s="74" t="inlineStr">
        <is>
          <t>N/D</t>
        </is>
      </c>
      <c r="AF102" s="74" t="inlineStr">
        <is>
          <t>N/D</t>
        </is>
      </c>
      <c r="AG102" s="74" t="inlineStr">
        <is>
          <t>os direitos creditórios performados, decorrentes das Notas Fiscais, devidos pelas Devedoras, representativos de operações comerciais de venda de produtos ou prestação de serviços pelos Fornecedores às Devedoras, representados pelos Documentos Comprobatórios</t>
        </is>
      </c>
      <c r="AH102" s="74" t="inlineStr">
        <is>
          <t>encontrado_explicito</t>
        </is>
      </c>
      <c r="AI102" s="74" t="inlineStr">
        <is>
          <t>N/D</t>
        </is>
      </c>
      <c r="AJ102" s="74" t="inlineStr">
        <is>
          <t>1226438</t>
        </is>
      </c>
      <c r="AK102" s="74" t="inlineStr">
        <is>
          <t>20/05/2026</t>
        </is>
      </c>
      <c r="AL102" s="74" t="inlineStr">
        <is>
          <t>5</t>
        </is>
      </c>
      <c r="AM102" s="74" t="inlineStr">
        <is>
          <t>https://fnet.bmfbovespa.com.br/fnet/publico/downloadDocumento?id=1226438</t>
        </is>
      </c>
      <c r="AN102" s="74" t="inlineStr">
        <is>
          <t>regulamento</t>
        </is>
      </c>
      <c r="AO102" s="74" t="inlineStr">
        <is>
          <t>12%</t>
        </is>
      </c>
      <c r="AP102" s="74" t="inlineStr">
        <is>
          <t>aceito_payload</t>
        </is>
      </c>
      <c r="AQ102" s="74" t="inlineStr">
        <is>
          <t>junior_pl</t>
        </is>
      </c>
      <c r="AR102" s="74" t="inlineStr">
        <is>
          <t>1226438</t>
        </is>
      </c>
      <c r="AS102" s="74" t="inlineStr">
        <is>
          <t>2026-05-20</t>
        </is>
      </c>
      <c r="AT102" s="74" t="inlineStr">
        <is>
          <t>34</t>
        </is>
      </c>
      <c r="AU102" s="74" t="inlineStr">
        <is>
          <t>https://fnet.bmfbovespa.com.br/fnet/publico/downloadDocumento?id=1226438</t>
        </is>
      </c>
      <c r="AV102" s="74" t="inlineStr">
        <is>
          <t>payload_documental</t>
        </is>
      </c>
      <c r="AW102" s="74" t="inlineStr">
        <is>
          <t>12%</t>
        </is>
      </c>
      <c r="AX102" s="74" t="inlineStr">
        <is>
          <t>aceito_payload</t>
        </is>
      </c>
      <c r="AY102" s="74" t="inlineStr">
        <is>
          <t>suporte_total_pl</t>
        </is>
      </c>
      <c r="AZ102" s="74" t="inlineStr">
        <is>
          <t>1226438</t>
        </is>
      </c>
      <c r="BA102" s="74" t="inlineStr">
        <is>
          <t>2026-05-20</t>
        </is>
      </c>
      <c r="BB102" s="74" t="inlineStr">
        <is>
          <t>34</t>
        </is>
      </c>
      <c r="BC102" s="74" t="inlineStr">
        <is>
          <t>https://fnet.bmfbovespa.com.br/fnet/publico/downloadDocumento?id=1226438</t>
        </is>
      </c>
      <c r="BD102" s="74" t="inlineStr">
        <is>
          <t>payload_documental</t>
        </is>
      </c>
      <c r="BE102" s="74" t="inlineStr">
        <is>
          <t>junior_pl</t>
        </is>
      </c>
      <c r="BF102" s="74" t="inlineStr">
        <is>
          <t>aceito_payload</t>
        </is>
      </c>
      <c r="BG102" s="74" t="inlineStr">
        <is>
          <t>junior_pl</t>
        </is>
      </c>
      <c r="BH102" s="74" t="inlineStr">
        <is>
          <t>1226438</t>
        </is>
      </c>
      <c r="BI102" s="74" t="inlineStr">
        <is>
          <t>2026-05-20</t>
        </is>
      </c>
      <c r="BJ102" s="74" t="inlineStr">
        <is>
          <t>34</t>
        </is>
      </c>
      <c r="BK102" s="74" t="inlineStr">
        <is>
          <t>https://fnet.bmfbovespa.com.br/fnet/publico/downloadDocumento?id=1226438</t>
        </is>
      </c>
      <c r="BL102" s="74" t="inlineStr">
        <is>
          <t>payload_documental</t>
        </is>
      </c>
    </row>
    <row r="103" ht="42" customHeight="1">
      <c r="A103" s="145" t="n">
        <v>99</v>
      </c>
      <c r="B103" s="142" t="n">
        <v>65347578000164</v>
      </c>
      <c r="C103" s="75" t="inlineStr">
        <is>
          <t>65.347.578/0001-64</t>
        </is>
      </c>
      <c r="D103" s="75" t="inlineStr">
        <is>
          <t>ICRED INSS III FUNDO DE INVESTIMENTO EM DIREITOS CREDITÓRIOS RESPONSABILIDADE LIMITADA</t>
        </is>
      </c>
      <c r="E103" s="75" t="inlineStr">
        <is>
          <t>concluído</t>
        </is>
      </c>
      <c r="F103" s="145" t="n">
        <v>5</v>
      </c>
      <c r="G103" s="75" t="inlineStr">
        <is>
          <t>consultado</t>
        </is>
      </c>
      <c r="H103" s="75" t="inlineStr">
        <is>
          <t>N/D</t>
        </is>
      </c>
      <c r="I103" s="75" t="inlineStr">
        <is>
          <t>N/D</t>
        </is>
      </c>
      <c r="J103" s="75" t="inlineStr">
        <is>
          <t>não encontrado</t>
        </is>
      </c>
      <c r="K103" s="75" t="inlineStr">
        <is>
          <t>N/D</t>
        </is>
      </c>
      <c r="L103" s="75" t="inlineStr">
        <is>
          <t>N/D</t>
        </is>
      </c>
      <c r="M103" s="75" t="inlineStr">
        <is>
          <t>N/D</t>
        </is>
      </c>
      <c r="N103" s="75" t="inlineStr">
        <is>
          <t>N/D</t>
        </is>
      </c>
      <c r="O103" s="75" t="inlineStr">
        <is>
          <t>N/D</t>
        </is>
      </c>
      <c r="P103" s="75" t="inlineStr">
        <is>
          <t>N/D</t>
        </is>
      </c>
      <c r="Q103" s="75" t="inlineStr">
        <is>
          <t>N/D</t>
        </is>
      </c>
      <c r="R103" s="75" t="inlineStr">
        <is>
          <t>não encontrado</t>
        </is>
      </c>
      <c r="S103" s="75" t="inlineStr">
        <is>
          <t>N/D</t>
        </is>
      </c>
      <c r="T103" s="75" t="inlineStr">
        <is>
          <t>N/D</t>
        </is>
      </c>
      <c r="U103" s="75" t="inlineStr">
        <is>
          <t>N/D</t>
        </is>
      </c>
      <c r="V103" s="75" t="inlineStr">
        <is>
          <t>N/D</t>
        </is>
      </c>
      <c r="W103" s="75" t="inlineStr">
        <is>
          <t>N/D</t>
        </is>
      </c>
      <c r="X103" s="75" t="inlineStr">
        <is>
          <t>N/D</t>
        </is>
      </c>
      <c r="Y103" s="75" t="inlineStr">
        <is>
          <t>N/D</t>
        </is>
      </c>
      <c r="Z103" s="75" t="inlineStr">
        <is>
          <t>não encontrado</t>
        </is>
      </c>
      <c r="AA103" s="75" t="inlineStr">
        <is>
          <t>N/D</t>
        </is>
      </c>
      <c r="AB103" s="75" t="inlineStr">
        <is>
          <t>N/D</t>
        </is>
      </c>
      <c r="AC103" s="75" t="inlineStr">
        <is>
          <t>N/D</t>
        </is>
      </c>
      <c r="AD103" s="75" t="inlineStr">
        <is>
          <t>N/D</t>
        </is>
      </c>
      <c r="AE103" s="75" t="inlineStr">
        <is>
          <t>N/D</t>
        </is>
      </c>
      <c r="AF103" s="75" t="inlineStr">
        <is>
          <t>N/D</t>
        </is>
      </c>
      <c r="AG103" s="75" t="inlineStr">
        <is>
          <t>N/D</t>
        </is>
      </c>
      <c r="AH103" s="75" t="inlineStr">
        <is>
          <t>não encontrado</t>
        </is>
      </c>
      <c r="AI103" s="75" t="inlineStr">
        <is>
          <t>N/D</t>
        </is>
      </c>
      <c r="AJ103" s="75" t="inlineStr">
        <is>
          <t>N/D</t>
        </is>
      </c>
      <c r="AK103" s="75" t="inlineStr">
        <is>
          <t>N/D</t>
        </is>
      </c>
      <c r="AL103" s="75" t="inlineStr">
        <is>
          <t>N/D</t>
        </is>
      </c>
      <c r="AM103" s="75" t="inlineStr">
        <is>
          <t>N/D</t>
        </is>
      </c>
      <c r="AN103" s="75" t="inlineStr">
        <is>
          <t>N/D</t>
        </is>
      </c>
      <c r="AO103" s="75" t="inlineStr">
        <is>
          <t>2.5%</t>
        </is>
      </c>
      <c r="AP103" s="75" t="inlineStr">
        <is>
          <t>aceito_payload</t>
        </is>
      </c>
      <c r="AQ103" s="75" t="inlineStr">
        <is>
          <t>junior_pl</t>
        </is>
      </c>
      <c r="AR103" s="75" t="inlineStr">
        <is>
          <t>1211821</t>
        </is>
      </c>
      <c r="AS103" s="75" t="inlineStr">
        <is>
          <t>2026-05-25</t>
        </is>
      </c>
      <c r="AT103" s="75" t="inlineStr">
        <is>
          <t>186</t>
        </is>
      </c>
      <c r="AU103" s="75" t="inlineStr">
        <is>
          <t>https://fnet.bmfbovespa.com.br/fnet/publico/downloadDocumento?id=1211821</t>
        </is>
      </c>
      <c r="AV103" s="75" t="inlineStr">
        <is>
          <t>payload_documental</t>
        </is>
      </c>
      <c r="AW103" s="75" t="inlineStr">
        <is>
          <t>N/D</t>
        </is>
      </c>
      <c r="AX103" s="75" t="inlineStr">
        <is>
          <t>não encontrado</t>
        </is>
      </c>
      <c r="AY103" s="75" t="inlineStr">
        <is>
          <t>N/D</t>
        </is>
      </c>
      <c r="AZ103" s="75" t="inlineStr">
        <is>
          <t>N/D</t>
        </is>
      </c>
      <c r="BA103" s="75" t="inlineStr">
        <is>
          <t>N/D</t>
        </is>
      </c>
      <c r="BB103" s="75" t="inlineStr">
        <is>
          <t>N/D</t>
        </is>
      </c>
      <c r="BC103" s="75" t="inlineStr">
        <is>
          <t>N/D</t>
        </is>
      </c>
      <c r="BD103" s="75" t="inlineStr">
        <is>
          <t>N/D</t>
        </is>
      </c>
      <c r="BE103" s="75" t="inlineStr">
        <is>
          <t>junior_pl</t>
        </is>
      </c>
      <c r="BF103" s="75" t="inlineStr">
        <is>
          <t>aceito_payload</t>
        </is>
      </c>
      <c r="BG103" s="75" t="inlineStr">
        <is>
          <t>junior_pl</t>
        </is>
      </c>
      <c r="BH103" s="75" t="inlineStr">
        <is>
          <t>1211821</t>
        </is>
      </c>
      <c r="BI103" s="75" t="inlineStr">
        <is>
          <t>2026-05-25</t>
        </is>
      </c>
      <c r="BJ103" s="75" t="inlineStr">
        <is>
          <t>186</t>
        </is>
      </c>
      <c r="BK103" s="75" t="inlineStr">
        <is>
          <t>https://fnet.bmfbovespa.com.br/fnet/publico/downloadDocumento?id=1211821</t>
        </is>
      </c>
      <c r="BL103" s="75" t="inlineStr">
        <is>
          <t>payload_documental</t>
        </is>
      </c>
    </row>
    <row r="104" ht="42" customHeight="1">
      <c r="A104" s="141" t="n">
        <v>100</v>
      </c>
      <c r="B104" s="138" t="n">
        <v>18185812000114</v>
      </c>
      <c r="C104" s="74" t="inlineStr">
        <is>
          <t>18.185.812/0001-14</t>
        </is>
      </c>
      <c r="D104" s="74" t="inlineStr">
        <is>
          <t>GAVEA SUL FUNDO DE INVESTIMENTO EM DIREITOS CREDITÓRIOS MULTISSETORIAL LP</t>
        </is>
      </c>
      <c r="E104" s="74" t="inlineStr">
        <is>
          <t>concluído</t>
        </is>
      </c>
      <c r="F104" s="141" t="n">
        <v>12</v>
      </c>
      <c r="G104" s="74" t="inlineStr">
        <is>
          <t>consultado</t>
        </is>
      </c>
      <c r="H104" s="74" t="inlineStr">
        <is>
          <t>N/D</t>
        </is>
      </c>
      <c r="I104" s="74" t="inlineStr">
        <is>
          <t>N/D</t>
        </is>
      </c>
      <c r="J104" s="74" t="inlineStr">
        <is>
          <t>não encontrado</t>
        </is>
      </c>
      <c r="K104" s="74" t="inlineStr">
        <is>
          <t>N/D</t>
        </is>
      </c>
      <c r="L104" s="74" t="inlineStr">
        <is>
          <t>N/D</t>
        </is>
      </c>
      <c r="M104" s="74" t="inlineStr">
        <is>
          <t>N/D</t>
        </is>
      </c>
      <c r="N104" s="74" t="inlineStr">
        <is>
          <t>N/D</t>
        </is>
      </c>
      <c r="O104" s="74" t="inlineStr">
        <is>
          <t>N/D</t>
        </is>
      </c>
      <c r="P104" s="74" t="inlineStr">
        <is>
          <t>N/D</t>
        </is>
      </c>
      <c r="Q104" s="74" t="inlineStr">
        <is>
          <t>5 outros 4,62% 3,17% 3,03% 2,46% 2,41% 84,29%</t>
        </is>
      </c>
      <c r="R104" s="74" t="inlineStr">
        <is>
          <t>encontrado_explicito</t>
        </is>
      </c>
      <c r="S104" s="74" t="inlineStr">
        <is>
          <t>rótulo explícito de participante v2</t>
        </is>
      </c>
      <c r="T104" s="74" t="inlineStr">
        <is>
          <t>1118448</t>
        </is>
      </c>
      <c r="U104" s="74" t="inlineStr">
        <is>
          <t>22/01/2026</t>
        </is>
      </c>
      <c r="V104" s="74" t="inlineStr">
        <is>
          <t>4</t>
        </is>
      </c>
      <c r="W104" s="74" t="inlineStr">
        <is>
          <t>https://fnet.bmfbovespa.com.br/fnet/publico/downloadDocumento?id=1118448</t>
        </is>
      </c>
      <c r="X104" s="74" t="inlineStr">
        <is>
          <t>rating_report</t>
        </is>
      </c>
      <c r="Y104" s="74" t="inlineStr">
        <is>
          <t>5 outros Tipo Recebível valor % PL Duplicata 318.392.662,74R$ 68,17% Duplicata de Servico Fisico 27.816.143,36R$ 5,96% Nota Comercial Pós 37.486.768,91R$ 8,03%</t>
        </is>
      </c>
      <c r="Z104" s="74" t="inlineStr">
        <is>
          <t>encontrado_explicito</t>
        </is>
      </c>
      <c r="AA104" s="74" t="inlineStr">
        <is>
          <t>rótulo explícito de participante v2</t>
        </is>
      </c>
      <c r="AB104" s="74" t="inlineStr">
        <is>
          <t>1118448</t>
        </is>
      </c>
      <c r="AC104" s="74" t="inlineStr">
        <is>
          <t>22/01/2026</t>
        </is>
      </c>
      <c r="AD104" s="74" t="inlineStr">
        <is>
          <t>4</t>
        </is>
      </c>
      <c r="AE104" s="74" t="inlineStr">
        <is>
          <t>https://fnet.bmfbovespa.com.br/fnet/publico/downloadDocumento?id=1118448</t>
        </is>
      </c>
      <c r="AF104" s="74" t="inlineStr">
        <is>
          <t>rating_report</t>
        </is>
      </c>
      <c r="AG104" s="74" t="inlineStr">
        <is>
          <t>N/D</t>
        </is>
      </c>
      <c r="AH104" s="74" t="inlineStr">
        <is>
          <t>não encontrado</t>
        </is>
      </c>
      <c r="AI104" s="74" t="inlineStr">
        <is>
          <t>N/D</t>
        </is>
      </c>
      <c r="AJ104" s="74" t="inlineStr">
        <is>
          <t>N/D</t>
        </is>
      </c>
      <c r="AK104" s="74" t="inlineStr">
        <is>
          <t>N/D</t>
        </is>
      </c>
      <c r="AL104" s="74" t="inlineStr">
        <is>
          <t>N/D</t>
        </is>
      </c>
      <c r="AM104" s="74" t="inlineStr">
        <is>
          <t>N/D</t>
        </is>
      </c>
      <c r="AN104" s="74" t="inlineStr">
        <is>
          <t>N/D</t>
        </is>
      </c>
      <c r="AO104" s="74" t="inlineStr">
        <is>
          <t>22%</t>
        </is>
      </c>
      <c r="AP104" s="74" t="inlineStr">
        <is>
          <t>aceito_payload</t>
        </is>
      </c>
      <c r="AQ104" s="74" t="inlineStr">
        <is>
          <t>junior_pl</t>
        </is>
      </c>
      <c r="AR104" s="74" t="inlineStr">
        <is>
          <t>1011996</t>
        </is>
      </c>
      <c r="AS104" s="74" t="inlineStr">
        <is>
          <t>2025-10-13</t>
        </is>
      </c>
      <c r="AT104" s="74" t="inlineStr">
        <is>
          <t>53</t>
        </is>
      </c>
      <c r="AU104" s="74" t="inlineStr">
        <is>
          <t>https://fnet.bmfbovespa.com.br/fnet/publico/downloadDocumento?id=1011996</t>
        </is>
      </c>
      <c r="AV104" s="74" t="inlineStr">
        <is>
          <t>payload_documental</t>
        </is>
      </c>
      <c r="AW104" s="74" t="inlineStr">
        <is>
          <t>N/D</t>
        </is>
      </c>
      <c r="AX104" s="74" t="inlineStr">
        <is>
          <t>não encontrado</t>
        </is>
      </c>
      <c r="AY104" s="74" t="inlineStr">
        <is>
          <t>N/D</t>
        </is>
      </c>
      <c r="AZ104" s="74" t="inlineStr">
        <is>
          <t>N/D</t>
        </is>
      </c>
      <c r="BA104" s="74" t="inlineStr">
        <is>
          <t>N/D</t>
        </is>
      </c>
      <c r="BB104" s="74" t="inlineStr">
        <is>
          <t>N/D</t>
        </is>
      </c>
      <c r="BC104" s="74" t="inlineStr">
        <is>
          <t>N/D</t>
        </is>
      </c>
      <c r="BD104" s="74" t="inlineStr">
        <is>
          <t>N/D</t>
        </is>
      </c>
      <c r="BE104" s="74" t="inlineStr">
        <is>
          <t>junior_pl</t>
        </is>
      </c>
      <c r="BF104" s="74" t="inlineStr">
        <is>
          <t>aceito_payload</t>
        </is>
      </c>
      <c r="BG104" s="74" t="inlineStr">
        <is>
          <t>junior_pl</t>
        </is>
      </c>
      <c r="BH104" s="74" t="inlineStr">
        <is>
          <t>1011996</t>
        </is>
      </c>
      <c r="BI104" s="74" t="inlineStr">
        <is>
          <t>2025-10-13</t>
        </is>
      </c>
      <c r="BJ104" s="74" t="inlineStr">
        <is>
          <t>53</t>
        </is>
      </c>
      <c r="BK104" s="74" t="inlineStr">
        <is>
          <t>https://fnet.bmfbovespa.com.br/fnet/publico/downloadDocumento?id=1011996</t>
        </is>
      </c>
      <c r="BL104" s="74" t="inlineStr">
        <is>
          <t>payload_documental</t>
        </is>
      </c>
    </row>
    <row r="105" ht="42" customHeight="1">
      <c r="A105" s="145" t="n">
        <v>101</v>
      </c>
      <c r="B105" s="142" t="n">
        <v>49113994000141</v>
      </c>
      <c r="C105" s="75" t="inlineStr">
        <is>
          <t>49.113.994/0001-41</t>
        </is>
      </c>
      <c r="D105" s="75" t="inlineStr">
        <is>
          <t>FUNDO DE INVESTIMENTO EM DIREITOS CREDITÓRIOS CAP - RESPONSABILIDADE LIMITADA</t>
        </is>
      </c>
      <c r="E105" s="75" t="inlineStr">
        <is>
          <t>concluído</t>
        </is>
      </c>
      <c r="F105" s="145" t="n">
        <v>8</v>
      </c>
      <c r="G105" s="75" t="inlineStr">
        <is>
          <t>consultado</t>
        </is>
      </c>
      <c r="H105" s="75" t="inlineStr">
        <is>
          <t>N/D</t>
        </is>
      </c>
      <c r="I105" s="75" t="inlineStr">
        <is>
          <t>N/D</t>
        </is>
      </c>
      <c r="J105" s="75" t="inlineStr">
        <is>
          <t>não encontrado</t>
        </is>
      </c>
      <c r="K105" s="75" t="inlineStr">
        <is>
          <t>N/D</t>
        </is>
      </c>
      <c r="L105" s="75" t="inlineStr">
        <is>
          <t>N/D</t>
        </is>
      </c>
      <c r="M105" s="75" t="inlineStr">
        <is>
          <t>N/D</t>
        </is>
      </c>
      <c r="N105" s="75" t="inlineStr">
        <is>
          <t>N/D</t>
        </is>
      </c>
      <c r="O105" s="75" t="inlineStr">
        <is>
          <t>N/D</t>
        </is>
      </c>
      <c r="P105" s="75" t="inlineStr">
        <is>
          <t>N/D</t>
        </is>
      </c>
      <c r="Q105" s="75" t="inlineStr">
        <is>
          <t>N/D</t>
        </is>
      </c>
      <c r="R105" s="75" t="inlineStr">
        <is>
          <t>não encontrado</t>
        </is>
      </c>
      <c r="S105" s="75" t="inlineStr">
        <is>
          <t>N/D</t>
        </is>
      </c>
      <c r="T105" s="75" t="inlineStr">
        <is>
          <t>N/D</t>
        </is>
      </c>
      <c r="U105" s="75" t="inlineStr">
        <is>
          <t>N/D</t>
        </is>
      </c>
      <c r="V105" s="75" t="inlineStr">
        <is>
          <t>N/D</t>
        </is>
      </c>
      <c r="W105" s="75" t="inlineStr">
        <is>
          <t>N/D</t>
        </is>
      </c>
      <c r="X105" s="75" t="inlineStr">
        <is>
          <t>N/D</t>
        </is>
      </c>
      <c r="Y105" s="75" t="inlineStr">
        <is>
          <t>N/D</t>
        </is>
      </c>
      <c r="Z105" s="75" t="inlineStr">
        <is>
          <t>não encontrado</t>
        </is>
      </c>
      <c r="AA105" s="75" t="inlineStr">
        <is>
          <t>N/D</t>
        </is>
      </c>
      <c r="AB105" s="75" t="inlineStr">
        <is>
          <t>N/D</t>
        </is>
      </c>
      <c r="AC105" s="75" t="inlineStr">
        <is>
          <t>N/D</t>
        </is>
      </c>
      <c r="AD105" s="75" t="inlineStr">
        <is>
          <t>N/D</t>
        </is>
      </c>
      <c r="AE105" s="75" t="inlineStr">
        <is>
          <t>N/D</t>
        </is>
      </c>
      <c r="AF105" s="75" t="inlineStr">
        <is>
          <t>N/D</t>
        </is>
      </c>
      <c r="AG105" s="75" t="inlineStr">
        <is>
          <t>N/D</t>
        </is>
      </c>
      <c r="AH105" s="75" t="inlineStr">
        <is>
          <t>não encontrado</t>
        </is>
      </c>
      <c r="AI105" s="75" t="inlineStr">
        <is>
          <t>N/D</t>
        </is>
      </c>
      <c r="AJ105" s="75" t="inlineStr">
        <is>
          <t>N/D</t>
        </is>
      </c>
      <c r="AK105" s="75" t="inlineStr">
        <is>
          <t>N/D</t>
        </is>
      </c>
      <c r="AL105" s="75" t="inlineStr">
        <is>
          <t>N/D</t>
        </is>
      </c>
      <c r="AM105" s="75" t="inlineStr">
        <is>
          <t>N/D</t>
        </is>
      </c>
      <c r="AN105" s="75" t="inlineStr">
        <is>
          <t>N/D</t>
        </is>
      </c>
      <c r="AO105" s="75" t="inlineStr">
        <is>
          <t>14%</t>
        </is>
      </c>
      <c r="AP105" s="75" t="inlineStr">
        <is>
          <t>aceito_payload</t>
        </is>
      </c>
      <c r="AQ105" s="75" t="inlineStr">
        <is>
          <t>junior_pl</t>
        </is>
      </c>
      <c r="AR105" s="75" t="inlineStr">
        <is>
          <t>788104</t>
        </is>
      </c>
      <c r="AS105" s="75" t="inlineStr">
        <is>
          <t>2024-11-22</t>
        </is>
      </c>
      <c r="AT105" s="75" t="inlineStr">
        <is>
          <t>53</t>
        </is>
      </c>
      <c r="AU105" s="75" t="inlineStr">
        <is>
          <t>https://fnet.bmfbovespa.com.br/fnet/publico/downloadDocumento?id=788104</t>
        </is>
      </c>
      <c r="AV105" s="75" t="inlineStr">
        <is>
          <t>payload_documental</t>
        </is>
      </c>
      <c r="AW105" s="75" t="inlineStr">
        <is>
          <t>N/D</t>
        </is>
      </c>
      <c r="AX105" s="75" t="inlineStr">
        <is>
          <t>não encontrado</t>
        </is>
      </c>
      <c r="AY105" s="75" t="inlineStr">
        <is>
          <t>N/D</t>
        </is>
      </c>
      <c r="AZ105" s="75" t="inlineStr">
        <is>
          <t>N/D</t>
        </is>
      </c>
      <c r="BA105" s="75" t="inlineStr">
        <is>
          <t>N/D</t>
        </is>
      </c>
      <c r="BB105" s="75" t="inlineStr">
        <is>
          <t>N/D</t>
        </is>
      </c>
      <c r="BC105" s="75" t="inlineStr">
        <is>
          <t>N/D</t>
        </is>
      </c>
      <c r="BD105" s="75" t="inlineStr">
        <is>
          <t>N/D</t>
        </is>
      </c>
      <c r="BE105" s="75" t="inlineStr">
        <is>
          <t>junior_pl</t>
        </is>
      </c>
      <c r="BF105" s="75" t="inlineStr">
        <is>
          <t>aceito_payload</t>
        </is>
      </c>
      <c r="BG105" s="75" t="inlineStr">
        <is>
          <t>junior_pl</t>
        </is>
      </c>
      <c r="BH105" s="75" t="inlineStr">
        <is>
          <t>788104</t>
        </is>
      </c>
      <c r="BI105" s="75" t="inlineStr">
        <is>
          <t>2024-11-22</t>
        </is>
      </c>
      <c r="BJ105" s="75" t="inlineStr">
        <is>
          <t>53</t>
        </is>
      </c>
      <c r="BK105" s="75" t="inlineStr">
        <is>
          <t>https://fnet.bmfbovespa.com.br/fnet/publico/downloadDocumento?id=788104</t>
        </is>
      </c>
      <c r="BL105" s="75" t="inlineStr">
        <is>
          <t>payload_documental</t>
        </is>
      </c>
    </row>
  </sheetData>
  <mergeCells count="2">
    <mergeCell ref="A2:BL2"/>
    <mergeCell ref="A1:BL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O718"/>
  <sheetViews>
    <sheetView workbookViewId="0">
      <pane xSplit="4" ySplit="4" topLeftCell="E5" activePane="bottomRight" state="frozen"/>
      <selection activeCell="A1" sqref="A1"/>
    </sheetView>
  </sheetViews>
  <sheetFormatPr baseColWidth="8" defaultRowHeight="15"/>
  <cols>
    <col width="15.63000011444092" customWidth="1" min="1" max="1"/>
    <col width="18.1299991607666" customWidth="1" min="2" max="2"/>
    <col width="21.25" customWidth="1" min="3" max="3"/>
    <col width="60" customWidth="1" min="4" max="4"/>
    <col width="22.5" customWidth="1" min="5" max="5"/>
    <col width="18.1299991607666" customWidth="1" min="6" max="6"/>
    <col width="20" customWidth="1" min="7" max="7"/>
    <col width="19.3799991607666" customWidth="1" min="8" max="8"/>
    <col width="15.63000011444092" customWidth="1" min="9" max="9"/>
    <col width="10" customWidth="1" min="10" max="10"/>
    <col width="20" customWidth="1" min="11" max="11"/>
    <col width="12.5" customWidth="1" min="12" max="12"/>
    <col width="48.75" customWidth="1" min="13" max="13"/>
    <col width="48.75" customWidth="1" min="14" max="14"/>
    <col width="80" customWidth="1" min="15" max="15"/>
  </cols>
  <sheetData>
    <row r="1" ht="25.5" customHeight="1">
      <c r="A1" s="26" t="inlineStr">
        <is>
          <t>Evidências documentais · trilha completa por CNPJ</t>
        </is>
      </c>
    </row>
    <row r="2" ht="33" customHeight="1">
      <c r="A2" s="29" t="inlineStr">
        <is>
          <t>Cada trecho localizado preserva campo, valor, natureza, fonte, página, status e confiança. Evidência não equivale automaticamente a campo aceito.</t>
        </is>
      </c>
    </row>
    <row r="4" ht="25.5" customHeight="1">
      <c r="A4" s="32" t="inlineStr">
        <is>
          <t>CNPJ</t>
        </is>
      </c>
      <c r="B4" s="32" t="inlineStr">
        <is>
          <t>CNPJ formatado</t>
        </is>
      </c>
      <c r="C4" s="32" t="inlineStr">
        <is>
          <t>Campo</t>
        </is>
      </c>
      <c r="D4" s="32" t="inlineStr">
        <is>
          <t>Valor encontrado</t>
        </is>
      </c>
      <c r="E4" s="32" t="inlineStr">
        <is>
          <t>Natureza</t>
        </is>
      </c>
      <c r="F4" s="32" t="inlineStr">
        <is>
          <t>Tipo de fonte</t>
        </is>
      </c>
      <c r="G4" s="32" t="inlineStr">
        <is>
          <t>Documento</t>
        </is>
      </c>
      <c r="H4" s="32" t="inlineStr">
        <is>
          <t>Classe documental</t>
        </is>
      </c>
      <c r="I4" s="32" t="inlineStr">
        <is>
          <t>Data do documento</t>
        </is>
      </c>
      <c r="J4" s="32" t="inlineStr">
        <is>
          <t>Página</t>
        </is>
      </c>
      <c r="K4" s="32" t="inlineStr">
        <is>
          <t>Status</t>
        </is>
      </c>
      <c r="L4" s="32" t="inlineStr">
        <is>
          <t>Confiança</t>
        </is>
      </c>
      <c r="M4" s="32" t="inlineStr">
        <is>
          <t>Caminho da fonte</t>
        </is>
      </c>
      <c r="N4" s="32" t="inlineStr">
        <is>
          <t>Link da fonte</t>
        </is>
      </c>
      <c r="O4" s="32" t="inlineStr">
        <is>
          <t>Trecho documental</t>
        </is>
      </c>
    </row>
    <row r="5" ht="43.5" customHeight="1">
      <c r="A5" s="134" t="n">
        <v>11468186000124</v>
      </c>
      <c r="B5" s="73" t="inlineStr">
        <is>
          <t>11.468.186/0001-24</t>
        </is>
      </c>
      <c r="C5" s="73" t="inlineStr">
        <is>
          <t>cedente</t>
        </is>
      </c>
      <c r="D5" s="73" t="inlineStr">
        <is>
          <t>Multicedentes e Multisacados</t>
        </is>
      </c>
      <c r="E5" s="73" t="inlineStr">
        <is>
          <t>N/D</t>
        </is>
      </c>
      <c r="F5" s="73" t="inlineStr">
        <is>
          <t>planilha_manual</t>
        </is>
      </c>
      <c r="G5" s="73" t="inlineStr">
        <is>
          <t>IMG_8707.jpg</t>
        </is>
      </c>
      <c r="H5" s="73" t="inlineStr">
        <is>
          <t>payload</t>
        </is>
      </c>
      <c r="I5" s="73" t="inlineStr">
        <is>
          <t>2026-03-06</t>
        </is>
      </c>
      <c r="J5" s="73" t="inlineStr">
        <is>
          <t>47</t>
        </is>
      </c>
      <c r="K5" s="73" t="inlineStr">
        <is>
          <t>aceito_payload</t>
        </is>
      </c>
      <c r="L5" s="136" t="n">
        <v>1</v>
      </c>
      <c r="M5" s="73" t="inlineStr">
        <is>
          <t>data/industry_study/generated_revision/artifact_payload.json</t>
        </is>
      </c>
      <c r="N5" s="73" t="inlineStr">
        <is>
          <t>N/D</t>
        </is>
      </c>
      <c r="O5" s="73" t="inlineStr">
        <is>
          <t>N/D</t>
        </is>
      </c>
    </row>
    <row r="6" ht="43.5" customHeight="1">
      <c r="A6" s="142" t="n">
        <v>11468186000124</v>
      </c>
      <c r="B6" s="75" t="inlineStr">
        <is>
          <t>11.468.186/0001-24</t>
        </is>
      </c>
      <c r="C6" s="75" t="inlineStr">
        <is>
          <t>minimo_junior</t>
        </is>
      </c>
      <c r="D6" s="75" t="inlineStr">
        <is>
          <t>50%</t>
        </is>
      </c>
      <c r="E6" s="75" t="inlineStr">
        <is>
          <t>junior_pl</t>
        </is>
      </c>
      <c r="F6" s="75" t="inlineStr">
        <is>
          <t>payload_documental</t>
        </is>
      </c>
      <c r="G6" s="75" t="inlineStr">
        <is>
          <t>1130308</t>
        </is>
      </c>
      <c r="H6" s="75" t="inlineStr">
        <is>
          <t>documento_curado</t>
        </is>
      </c>
      <c r="I6" s="75" t="inlineStr">
        <is>
          <t>2026-03-06</t>
        </is>
      </c>
      <c r="J6" s="75" t="inlineStr">
        <is>
          <t>47</t>
        </is>
      </c>
      <c r="K6" s="75" t="inlineStr">
        <is>
          <t>aceito_payload</t>
        </is>
      </c>
      <c r="L6" s="144" t="n">
        <v>1</v>
      </c>
      <c r="M6" s="75" t="inlineStr">
        <is>
          <t>data/industry_study/generated_revision/artifact_payload.json</t>
        </is>
      </c>
      <c r="N6" s="75" t="inlineStr">
        <is>
          <t>https://fnet.bmfbovespa.com.br/fnet/publico/downloadDocumento?id=1130308</t>
        </is>
      </c>
      <c r="O6" s="75" t="inlineStr">
        <is>
          <t>Cotas subordinadas júnior / PL, mínimo de 50,0%.</t>
        </is>
      </c>
    </row>
    <row r="7" ht="43.5" customHeight="1">
      <c r="A7" s="142" t="n">
        <v>11468186000124</v>
      </c>
      <c r="B7" s="75" t="inlineStr">
        <is>
          <t>11.468.186/0001-24</t>
        </is>
      </c>
      <c r="C7" s="75" t="inlineStr">
        <is>
          <t>natureza_indice</t>
        </is>
      </c>
      <c r="D7" s="75" t="inlineStr">
        <is>
          <t>junior_pl</t>
        </is>
      </c>
      <c r="E7" s="75" t="inlineStr">
        <is>
          <t>junior_pl</t>
        </is>
      </c>
      <c r="F7" s="75" t="inlineStr">
        <is>
          <t>payload_documental</t>
        </is>
      </c>
      <c r="G7" s="75" t="inlineStr">
        <is>
          <t>1130308</t>
        </is>
      </c>
      <c r="H7" s="75" t="inlineStr">
        <is>
          <t>documento_curado</t>
        </is>
      </c>
      <c r="I7" s="75" t="inlineStr">
        <is>
          <t>2026-03-06</t>
        </is>
      </c>
      <c r="J7" s="75" t="inlineStr">
        <is>
          <t>47</t>
        </is>
      </c>
      <c r="K7" s="75" t="inlineStr">
        <is>
          <t>aceito_payload</t>
        </is>
      </c>
      <c r="L7" s="144" t="n">
        <v>1</v>
      </c>
      <c r="M7" s="75" t="inlineStr">
        <is>
          <t>data/industry_study/generated_revision/artifact_payload.json</t>
        </is>
      </c>
      <c r="N7" s="75" t="inlineStr">
        <is>
          <t>https://fnet.bmfbovespa.com.br/fnet/publico/downloadDocumento?id=1130308</t>
        </is>
      </c>
      <c r="O7" s="75" t="inlineStr">
        <is>
          <t>Cotas subordinadas júnior / PL, mínimo de 50,0%.</t>
        </is>
      </c>
    </row>
    <row r="8" ht="43.5" customHeight="1">
      <c r="A8" s="142" t="n">
        <v>11468186000124</v>
      </c>
      <c r="B8" s="75" t="inlineStr">
        <is>
          <t>11.468.186/0001-24</t>
        </is>
      </c>
      <c r="C8" s="75" t="inlineStr">
        <is>
          <t>tipo_recebivel</t>
        </is>
      </c>
      <c r="D8" s="75" t="inlineStr">
        <is>
          <t>FIDC Multicedentes &amp; Multisacados</t>
        </is>
      </c>
      <c r="E8" s="75" t="inlineStr">
        <is>
          <t>N/D</t>
        </is>
      </c>
      <c r="F8" s="75" t="inlineStr">
        <is>
          <t>planilha_manual</t>
        </is>
      </c>
      <c r="G8" s="75" t="inlineStr">
        <is>
          <t>IMG_8707.jpg</t>
        </is>
      </c>
      <c r="H8" s="75" t="inlineStr">
        <is>
          <t>payload</t>
        </is>
      </c>
      <c r="I8" s="75" t="inlineStr">
        <is>
          <t>2026-03-06</t>
        </is>
      </c>
      <c r="J8" s="75" t="inlineStr">
        <is>
          <t>47</t>
        </is>
      </c>
      <c r="K8" s="75" t="inlineStr">
        <is>
          <t>aceito_payload</t>
        </is>
      </c>
      <c r="L8" s="144" t="n">
        <v>1</v>
      </c>
      <c r="M8" s="75" t="inlineStr">
        <is>
          <t>data/industry_study/generated_revision/artifact_payload.json</t>
        </is>
      </c>
      <c r="N8" s="75" t="inlineStr">
        <is>
          <t>N/D</t>
        </is>
      </c>
      <c r="O8" s="75" t="inlineStr">
        <is>
          <t>N/D</t>
        </is>
      </c>
    </row>
    <row r="9" ht="43.5" customHeight="1">
      <c r="A9" s="142" t="n">
        <v>17468142000180</v>
      </c>
      <c r="B9" s="75" t="inlineStr">
        <is>
          <t>17.468.142/0001-80</t>
        </is>
      </c>
      <c r="C9" s="75" t="inlineStr">
        <is>
          <t>cedente</t>
        </is>
      </c>
      <c r="D9" s="75" t="inlineStr">
        <is>
          <t>todas as pessoas físicas ou jurídicas que cedem os Direitos Creditórios para a Classe</t>
        </is>
      </c>
      <c r="E9" s="75" t="inlineStr">
        <is>
          <t>N/D</t>
        </is>
      </c>
      <c r="F9" s="75" t="inlineStr">
        <is>
          <t>regulamento</t>
        </is>
      </c>
      <c r="G9" s="75" t="inlineStr">
        <is>
          <t>927399</t>
        </is>
      </c>
      <c r="H9" s="75" t="inlineStr">
        <is>
          <t>regulamento</t>
        </is>
      </c>
      <c r="I9" s="75" t="inlineStr">
        <is>
          <t>2025-06-16</t>
        </is>
      </c>
      <c r="J9" s="75" t="inlineStr">
        <is>
          <t>50</t>
        </is>
      </c>
      <c r="K9" s="75" t="inlineStr">
        <is>
          <t>encontrado_explicito</t>
        </is>
      </c>
      <c r="L9" s="144" t="n">
        <v>0.95</v>
      </c>
      <c r="M9" s="75" t="inlineStr">
        <is>
          <t>data/raw/17468142000180/927399_regulamento_regulamento_927399_2025-06-16.pdf</t>
        </is>
      </c>
      <c r="N9" s="75" t="inlineStr">
        <is>
          <t>https://fnet.bmfbovespa.com.br/fnet/publico/downloadDocumento?id=927399</t>
        </is>
      </c>
      <c r="O9" s="75" t="inlineStr">
        <is>
          <t>conta corrente aberta para todas as movimentações de recursos, inclusive para pagamento das obrigações da Classe. “Cedente” Significa todas as pessoas físicas ou jurídicas que cedem os Direitos Creditórios para a Classe. “Classe” ou “Classe Única” Significa, quando utilizado neste Anexo Descritivo, a presente classe de Cotas do Fun</t>
        </is>
      </c>
    </row>
    <row r="10" ht="43.5" customHeight="1">
      <c r="A10" s="142" t="n">
        <v>17468142000180</v>
      </c>
      <c r="B10" s="75" t="inlineStr">
        <is>
          <t>17.468.142/0001-80</t>
        </is>
      </c>
      <c r="C10" s="75" t="inlineStr">
        <is>
          <t>cedente</t>
        </is>
      </c>
      <c r="D10" s="75" t="inlineStr">
        <is>
          <t>todas as pessoas físicas ou jurídicas que cedem os Direitos Creditórios para a Classe</t>
        </is>
      </c>
      <c r="E10" s="75" t="inlineStr">
        <is>
          <t>N/D</t>
        </is>
      </c>
      <c r="F10" s="75" t="inlineStr">
        <is>
          <t>regulamento</t>
        </is>
      </c>
      <c r="G10" s="75" t="inlineStr">
        <is>
          <t>1157934</t>
        </is>
      </c>
      <c r="H10" s="75" t="inlineStr">
        <is>
          <t>regulamento</t>
        </is>
      </c>
      <c r="I10" s="75" t="inlineStr">
        <is>
          <t>2026-04-09</t>
        </is>
      </c>
      <c r="J10" s="75" t="inlineStr">
        <is>
          <t>50</t>
        </is>
      </c>
      <c r="K10" s="75" t="inlineStr">
        <is>
          <t>encontrado_explicito</t>
        </is>
      </c>
      <c r="L10" s="144" t="n">
        <v>0.95</v>
      </c>
      <c r="M10" s="75" t="inlineStr">
        <is>
          <t>data/raw/17468142000180/1157934_regulamento_regulamento_1157934_2026-04-09.pdf</t>
        </is>
      </c>
      <c r="N10" s="75" t="inlineStr">
        <is>
          <t>https://fnet.bmfbovespa.com.br/fnet/publico/downloadDocumento?id=1157934</t>
        </is>
      </c>
      <c r="O10" s="75" t="inlineStr">
        <is>
          <t>conta corrente aberta para todas as movimentações de recursos, inclusive para pagamento das obrigações da Classe. “Cedente” Significa todas as pessoas físicas ou jurídicas que cedem os Direitos Creditórios para a Classe. “Classe” ou “Classe Única” Significa, quando utilizado neste Anexo Descritivo, a presente classe de Cotas do Fun</t>
        </is>
      </c>
    </row>
    <row r="11" ht="43.5" customHeight="1">
      <c r="A11" s="142" t="n">
        <v>17468142000180</v>
      </c>
      <c r="B11" s="75" t="inlineStr">
        <is>
          <t>17.468.142/0001-80</t>
        </is>
      </c>
      <c r="C11" s="75" t="inlineStr">
        <is>
          <t>cedente</t>
        </is>
      </c>
      <c r="D11" s="75" t="inlineStr">
        <is>
          <t>todas as pessoas físicas ou jurídicas que cedem os Direitos Creditórios para a Classe</t>
        </is>
      </c>
      <c r="E11" s="75" t="inlineStr">
        <is>
          <t>N/D</t>
        </is>
      </c>
      <c r="F11" s="75" t="inlineStr">
        <is>
          <t>regulamento</t>
        </is>
      </c>
      <c r="G11" s="75" t="inlineStr">
        <is>
          <t>1271235</t>
        </is>
      </c>
      <c r="H11" s="75" t="inlineStr">
        <is>
          <t>Regulamento</t>
        </is>
      </c>
      <c r="I11" s="75" t="inlineStr">
        <is>
          <t>30/07/2026</t>
        </is>
      </c>
      <c r="J11" s="75" t="inlineStr">
        <is>
          <t>50</t>
        </is>
      </c>
      <c r="K11" s="75" t="inlineStr">
        <is>
          <t>encontrado_explicito</t>
        </is>
      </c>
      <c r="L11" s="144" t="n">
        <v>0.95</v>
      </c>
      <c r="M11" s="75" t="inlineStr">
        <is>
          <t>.cache/carteira_101_document_scan/17468142000180/1271235.json.gz</t>
        </is>
      </c>
      <c r="N11" s="75" t="inlineStr">
        <is>
          <t>https://fnet.bmfbovespa.com.br/fnet/publico/downloadDocumento?id=1271235</t>
        </is>
      </c>
      <c r="O11" s="75" t="inlineStr">
        <is>
          <t>conta corrente aberta para todas as movimentações de recursos, inclusive para pagamento das obrigações da Classe. “Cedente” Significa todas as pessoas físicas ou jurídicas que cedem os Direitos Creditórios para a Classe. “Classe” ou “Classe Única” Significa, quando utilizado neste Anexo Descritivo, a presente classe de Cotas do Fun</t>
        </is>
      </c>
    </row>
    <row r="12" ht="43.5" customHeight="1">
      <c r="A12" s="142" t="n">
        <v>17468142000180</v>
      </c>
      <c r="B12" s="75" t="inlineStr">
        <is>
          <t>17.468.142/0001-80</t>
        </is>
      </c>
      <c r="C12" s="75" t="inlineStr">
        <is>
          <t>cedente</t>
        </is>
      </c>
      <c r="D12" s="75" t="inlineStr">
        <is>
          <t>Multicedentes &amp; Multisacados</t>
        </is>
      </c>
      <c r="E12" s="75" t="inlineStr">
        <is>
          <t>N/D</t>
        </is>
      </c>
      <c r="F12" s="75" t="inlineStr">
        <is>
          <t>planilha_manual</t>
        </is>
      </c>
      <c r="G12" s="75" t="inlineStr">
        <is>
          <t>IMG_8706.JPG</t>
        </is>
      </c>
      <c r="H12" s="75" t="inlineStr">
        <is>
          <t>payload</t>
        </is>
      </c>
      <c r="I12" s="75" t="inlineStr">
        <is>
          <t>2026-04-09</t>
        </is>
      </c>
      <c r="J12" s="75" t="inlineStr">
        <is>
          <t>102</t>
        </is>
      </c>
      <c r="K12" s="75" t="inlineStr">
        <is>
          <t>aceito_payload</t>
        </is>
      </c>
      <c r="L12" s="144" t="n">
        <v>1</v>
      </c>
      <c r="M12" s="75" t="inlineStr">
        <is>
          <t>data/industry_study/generated_revision/artifact_payload.json</t>
        </is>
      </c>
      <c r="N12" s="75" t="inlineStr">
        <is>
          <t>N/D</t>
        </is>
      </c>
      <c r="O12" s="75" t="inlineStr">
        <is>
          <t>N/D</t>
        </is>
      </c>
    </row>
    <row r="13" ht="43.5" customHeight="1">
      <c r="A13" s="142" t="n">
        <v>17468142000180</v>
      </c>
      <c r="B13" s="75" t="inlineStr">
        <is>
          <t>17.468.142/0001-80</t>
        </is>
      </c>
      <c r="C13" s="75" t="inlineStr">
        <is>
          <t>minimo_estrutural_total</t>
        </is>
      </c>
      <c r="D13" s="75" t="inlineStr">
        <is>
          <t>45%</t>
        </is>
      </c>
      <c r="E13" s="75" t="inlineStr">
        <is>
          <t>suporte_total_pl</t>
        </is>
      </c>
      <c r="F13" s="75" t="inlineStr">
        <is>
          <t>regulamento</t>
        </is>
      </c>
      <c r="G13" s="75" t="inlineStr">
        <is>
          <t>927399</t>
        </is>
      </c>
      <c r="H13" s="75" t="inlineStr">
        <is>
          <t>regulamento</t>
        </is>
      </c>
      <c r="I13" s="75" t="inlineStr">
        <is>
          <t>2025-06-16</t>
        </is>
      </c>
      <c r="J13" s="75" t="inlineStr">
        <is>
          <t>101</t>
        </is>
      </c>
      <c r="K13" s="75" t="inlineStr">
        <is>
          <t>encontrado_explicito</t>
        </is>
      </c>
      <c r="L13" s="144" t="n">
        <v>0.95</v>
      </c>
      <c r="M13" s="75" t="inlineStr">
        <is>
          <t>data/raw/17468142000180/927399_regulamento_regulamento_927399_2025-06-16.pdf</t>
        </is>
      </c>
      <c r="N13" s="75" t="inlineStr">
        <is>
          <t>https://fnet.bmfbovespa.com.br/fnet/publico/downloadDocumento?id=927399</t>
        </is>
      </c>
      <c r="O13" s="75" t="inlineStr">
        <is>
          <t>Subordinadas Juniores em circulação , dividido pelo Patrimônio Líquido da Classe) 10.1. Desde a data da primeira Emissão de Cotas Seniores até a última Data de Resgate, o Índice de Subordinação Sênior deverá ser igual ou superior a 45% ( quarenta e cinco por cento) de seu Patrimônio Líquido (“Índice de Subordinação Mínimo Sênior”). 10.2. Desde a data da primeira Emissão de Cotas Subordinadas Mezaninos até a última Data de Resgate, o Índice</t>
        </is>
      </c>
    </row>
    <row r="14" ht="43.5" customHeight="1">
      <c r="A14" s="142" t="n">
        <v>17468142000180</v>
      </c>
      <c r="B14" s="75" t="inlineStr">
        <is>
          <t>17.468.142/0001-80</t>
        </is>
      </c>
      <c r="C14" s="75" t="inlineStr">
        <is>
          <t>minimo_estrutural_total</t>
        </is>
      </c>
      <c r="D14" s="75" t="inlineStr">
        <is>
          <t>45%</t>
        </is>
      </c>
      <c r="E14" s="75" t="inlineStr">
        <is>
          <t>suporte_total_pl</t>
        </is>
      </c>
      <c r="F14" s="75" t="inlineStr">
        <is>
          <t>regulamento</t>
        </is>
      </c>
      <c r="G14" s="75" t="inlineStr">
        <is>
          <t>1157934</t>
        </is>
      </c>
      <c r="H14" s="75" t="inlineStr">
        <is>
          <t>regulamento</t>
        </is>
      </c>
      <c r="I14" s="75" t="inlineStr">
        <is>
          <t>2026-04-09</t>
        </is>
      </c>
      <c r="J14" s="75" t="inlineStr">
        <is>
          <t>101</t>
        </is>
      </c>
      <c r="K14" s="75" t="inlineStr">
        <is>
          <t>encontrado_explicito</t>
        </is>
      </c>
      <c r="L14" s="144" t="n">
        <v>0.95</v>
      </c>
      <c r="M14" s="75" t="inlineStr">
        <is>
          <t>data/raw/17468142000180/1157934_regulamento_regulamento_1157934_2026-04-09.pdf</t>
        </is>
      </c>
      <c r="N14" s="75" t="inlineStr">
        <is>
          <t>https://fnet.bmfbovespa.com.br/fnet/publico/downloadDocumento?id=1157934</t>
        </is>
      </c>
      <c r="O14" s="75" t="inlineStr">
        <is>
          <t>ordinadas Juniores em circulação, dividido pelo Patrimônio Líquido da Classe) 10.1. Desde a data da primeira Emissão de Cotas Seniores até a última Data de Resgate, o Índice de Subordinação Sênior deverá ser igual ou superior a 45% (quarenta e cinco por cento) de seu Patrimônio Líquido (“Índice de Subordinação Mínimo Sênior”). 10.2. Desde a data da primeira Emissão de Cotas Subordinadas Mezaninos até a última Data de Resgate, o Índice de</t>
        </is>
      </c>
    </row>
    <row r="15" ht="43.5" customHeight="1">
      <c r="A15" s="142" t="n">
        <v>17468142000180</v>
      </c>
      <c r="B15" s="75" t="inlineStr">
        <is>
          <t>17.468.142/0001-80</t>
        </is>
      </c>
      <c r="C15" s="75" t="inlineStr">
        <is>
          <t>minimo_estrutural_total</t>
        </is>
      </c>
      <c r="D15" s="75" t="inlineStr">
        <is>
          <t>45%</t>
        </is>
      </c>
      <c r="E15" s="75" t="inlineStr">
        <is>
          <t>suporte_total_pl</t>
        </is>
      </c>
      <c r="F15" s="75" t="inlineStr">
        <is>
          <t>regulamento</t>
        </is>
      </c>
      <c r="G15" s="75" t="inlineStr">
        <is>
          <t>1271235</t>
        </is>
      </c>
      <c r="H15" s="75" t="inlineStr">
        <is>
          <t>Regulamento</t>
        </is>
      </c>
      <c r="I15" s="75" t="inlineStr">
        <is>
          <t>30/07/2026</t>
        </is>
      </c>
      <c r="J15" s="75" t="inlineStr">
        <is>
          <t>102</t>
        </is>
      </c>
      <c r="K15" s="75" t="inlineStr">
        <is>
          <t>encontrado_explicito</t>
        </is>
      </c>
      <c r="L15" s="144" t="n">
        <v>0.95</v>
      </c>
      <c r="M15" s="75" t="inlineStr">
        <is>
          <t>.cache/carteira_101_document_scan/17468142000180/1271235.json.gz</t>
        </is>
      </c>
      <c r="N15" s="75" t="inlineStr">
        <is>
          <t>https://fnet.bmfbovespa.com.br/fnet/publico/downloadDocumento?id=1271235</t>
        </is>
      </c>
      <c r="O15" s="75" t="inlineStr">
        <is>
          <t>ordinadas Juniores em circulação, dividido pelo Patrimônio Líquido da Classe) 10.1. Desde a data da primeira Emissão de Cotas Seniores até a última Data de Resgate, o Índice de Subordinação Sênior deverá ser igual ou superior a 45% (quarenta e cinco por cento) de seu Patrimônio Líquido (“Índice de Subordinação Mínimo Sênior”). 10.2. Desde a data da primeira Emissão de Cotas Subordinadas Mezaninos até a última Data de Resgate, o Índice de</t>
        </is>
      </c>
    </row>
    <row r="16" ht="43.5" customHeight="1">
      <c r="A16" s="142" t="n">
        <v>17468142000180</v>
      </c>
      <c r="B16" s="75" t="inlineStr">
        <is>
          <t>17.468.142/0001-80</t>
        </is>
      </c>
      <c r="C16" s="75" t="inlineStr">
        <is>
          <t>minimo_junior</t>
        </is>
      </c>
      <c r="D16" s="75" t="inlineStr">
        <is>
          <t>15%</t>
        </is>
      </c>
      <c r="E16" s="75" t="inlineStr">
        <is>
          <t>junior_pl</t>
        </is>
      </c>
      <c r="F16" s="75" t="inlineStr">
        <is>
          <t>payload_documental</t>
        </is>
      </c>
      <c r="G16" s="75" t="inlineStr">
        <is>
          <t>1157934</t>
        </is>
      </c>
      <c r="H16" s="75" t="inlineStr">
        <is>
          <t>documento_curado</t>
        </is>
      </c>
      <c r="I16" s="75" t="inlineStr">
        <is>
          <t>2026-04-09</t>
        </is>
      </c>
      <c r="J16" s="75" t="inlineStr">
        <is>
          <t>102</t>
        </is>
      </c>
      <c r="K16" s="75" t="inlineStr">
        <is>
          <t>aceito_payload</t>
        </is>
      </c>
      <c r="L16" s="144" t="n">
        <v>1</v>
      </c>
      <c r="M16" s="75" t="inlineStr">
        <is>
          <t>data/industry_study/generated_revision/artifact_payload.json</t>
        </is>
      </c>
      <c r="N16" s="75" t="inlineStr">
        <is>
          <t>https://fnet.bmfbovespa.com.br/fnet/publico/downloadDocumento?id=1157934</t>
        </is>
      </c>
      <c r="O16" s="75" t="inlineStr">
        <is>
          <t>Índice de Subordinação Mezanino: cotas júnior / PL, mínimo de 15,0%.</t>
        </is>
      </c>
    </row>
    <row r="17" ht="43.5" customHeight="1">
      <c r="A17" s="142" t="n">
        <v>17468142000180</v>
      </c>
      <c r="B17" s="75" t="inlineStr">
        <is>
          <t>17.468.142/0001-80</t>
        </is>
      </c>
      <c r="C17" s="75" t="inlineStr">
        <is>
          <t>natureza_indice</t>
        </is>
      </c>
      <c r="D17" s="75" t="inlineStr">
        <is>
          <t>junior_pl</t>
        </is>
      </c>
      <c r="E17" s="75" t="inlineStr">
        <is>
          <t>junior_pl</t>
        </is>
      </c>
      <c r="F17" s="75" t="inlineStr">
        <is>
          <t>payload_documental</t>
        </is>
      </c>
      <c r="G17" s="75" t="inlineStr">
        <is>
          <t>1157934</t>
        </is>
      </c>
      <c r="H17" s="75" t="inlineStr">
        <is>
          <t>documento_curado</t>
        </is>
      </c>
      <c r="I17" s="75" t="inlineStr">
        <is>
          <t>2026-04-09</t>
        </is>
      </c>
      <c r="J17" s="75" t="inlineStr">
        <is>
          <t>102</t>
        </is>
      </c>
      <c r="K17" s="75" t="inlineStr">
        <is>
          <t>aceito_payload</t>
        </is>
      </c>
      <c r="L17" s="144" t="n">
        <v>1</v>
      </c>
      <c r="M17" s="75" t="inlineStr">
        <is>
          <t>data/industry_study/generated_revision/artifact_payload.json</t>
        </is>
      </c>
      <c r="N17" s="75" t="inlineStr">
        <is>
          <t>https://fnet.bmfbovespa.com.br/fnet/publico/downloadDocumento?id=1157934</t>
        </is>
      </c>
      <c r="O17" s="75" t="inlineStr">
        <is>
          <t>Índice de Subordinação Mezanino: cotas júnior / PL, mínimo de 15,0%.</t>
        </is>
      </c>
    </row>
    <row r="18" ht="43.5" customHeight="1">
      <c r="A18" s="142" t="n">
        <v>17468142000180</v>
      </c>
      <c r="B18" s="75" t="inlineStr">
        <is>
          <t>17.468.142/0001-80</t>
        </is>
      </c>
      <c r="C18" s="75" t="inlineStr">
        <is>
          <t>sacado_devedor</t>
        </is>
      </c>
      <c r="D18" s="75" t="inlineStr">
        <is>
          <t>pessoas físicas e/ou jurídicas que figurem na qualidade de devedores dos Direitos Creditórios, podendo ser denominado também como “Sacado”</t>
        </is>
      </c>
      <c r="E18" s="75" t="inlineStr">
        <is>
          <t>N/D</t>
        </is>
      </c>
      <c r="F18" s="75" t="inlineStr">
        <is>
          <t>regulamento</t>
        </is>
      </c>
      <c r="G18" s="75" t="inlineStr">
        <is>
          <t>927399</t>
        </is>
      </c>
      <c r="H18" s="75" t="inlineStr">
        <is>
          <t>regulamento</t>
        </is>
      </c>
      <c r="I18" s="75" t="inlineStr">
        <is>
          <t>2025-06-16</t>
        </is>
      </c>
      <c r="J18" s="75" t="inlineStr">
        <is>
          <t>55</t>
        </is>
      </c>
      <c r="K18" s="75" t="inlineStr">
        <is>
          <t>encontrado_explicito</t>
        </is>
      </c>
      <c r="L18" s="144" t="n">
        <v>0.95</v>
      </c>
      <c r="M18" s="75" t="inlineStr">
        <is>
          <t>data/raw/17468142000180/927399_regulamento_regulamento_927399_2025-06-16.pdf</t>
        </is>
      </c>
      <c r="N18" s="75" t="inlineStr">
        <is>
          <t>https://fnet.bmfbovespa.com.br/fnet/publico/downloadDocumento?id=927399</t>
        </is>
      </c>
      <c r="O18" s="75" t="inlineStr">
        <is>
          <t>argos e despesas exclusivos da Classe Única estimados pelo Administrador a serem incorridos periodicamente. “Devedores” Significam pessoas físicas e/ou jurídicas que figurem na qualidade de devedores dos Direitos Creditórios, podendo ser denominado também como “Sacado”. “Direitos Creditórios” Significam a) direitos e títulos representativos de crédito ,; b) valores mobiliários repr</t>
        </is>
      </c>
    </row>
    <row r="19" ht="43.5" customHeight="1">
      <c r="A19" s="142" t="n">
        <v>17468142000180</v>
      </c>
      <c r="B19" s="75" t="inlineStr">
        <is>
          <t>17.468.142/0001-80</t>
        </is>
      </c>
      <c r="C19" s="75" t="inlineStr">
        <is>
          <t>sacado_devedor</t>
        </is>
      </c>
      <c r="D19" s="75" t="inlineStr">
        <is>
          <t>pessoas físicas e/ou jurídicas que figurem na qualidade de devedores dos Direitos Creditórios, podendo ser denominado também como “Sacado”</t>
        </is>
      </c>
      <c r="E19" s="75" t="inlineStr">
        <is>
          <t>N/D</t>
        </is>
      </c>
      <c r="F19" s="75" t="inlineStr">
        <is>
          <t>regulamento</t>
        </is>
      </c>
      <c r="G19" s="75" t="inlineStr">
        <is>
          <t>1157934</t>
        </is>
      </c>
      <c r="H19" s="75" t="inlineStr">
        <is>
          <t>regulamento</t>
        </is>
      </c>
      <c r="I19" s="75" t="inlineStr">
        <is>
          <t>2026-04-09</t>
        </is>
      </c>
      <c r="J19" s="75" t="inlineStr">
        <is>
          <t>55</t>
        </is>
      </c>
      <c r="K19" s="75" t="inlineStr">
        <is>
          <t>encontrado_explicito</t>
        </is>
      </c>
      <c r="L19" s="144" t="n">
        <v>0.95</v>
      </c>
      <c r="M19" s="75" t="inlineStr">
        <is>
          <t>data/raw/17468142000180/1157934_regulamento_regulamento_1157934_2026-04-09.pdf</t>
        </is>
      </c>
      <c r="N19" s="75" t="inlineStr">
        <is>
          <t>https://fnet.bmfbovespa.com.br/fnet/publico/downloadDocumento?id=1157934</t>
        </is>
      </c>
      <c r="O19" s="75" t="inlineStr">
        <is>
          <t>cargos e despesas exclusivos da Classe Única estimados pelo Administrador a serem incorridos periodicamente. “Devedores” Significam pessoas físicas e/ou jurídicas que figurem na qualidade de devedores dos Direitos Creditórios, podendo ser denominado também como “Sacado”. “Direitos Creditórios” Significam a) direitos e títulos representativos de crédito,; b) valores mobiliários repres</t>
        </is>
      </c>
    </row>
    <row r="20" ht="43.5" customHeight="1">
      <c r="A20" s="142" t="n">
        <v>17468142000180</v>
      </c>
      <c r="B20" s="75" t="inlineStr">
        <is>
          <t>17.468.142/0001-80</t>
        </is>
      </c>
      <c r="C20" s="75" t="inlineStr">
        <is>
          <t>sacado_devedor</t>
        </is>
      </c>
      <c r="D20" s="75" t="inlineStr">
        <is>
          <t>pessoas físicas e/ou jurídicas que figurem na qualidade de devedores dos Direitos Creditórios, podendo ser denominado também como “Sacado”</t>
        </is>
      </c>
      <c r="E20" s="75" t="inlineStr">
        <is>
          <t>N/D</t>
        </is>
      </c>
      <c r="F20" s="75" t="inlineStr">
        <is>
          <t>regulamento</t>
        </is>
      </c>
      <c r="G20" s="75" t="inlineStr">
        <is>
          <t>1271235</t>
        </is>
      </c>
      <c r="H20" s="75" t="inlineStr">
        <is>
          <t>Regulamento</t>
        </is>
      </c>
      <c r="I20" s="75" t="inlineStr">
        <is>
          <t>30/07/2026</t>
        </is>
      </c>
      <c r="J20" s="75" t="inlineStr">
        <is>
          <t>55</t>
        </is>
      </c>
      <c r="K20" s="75" t="inlineStr">
        <is>
          <t>encontrado_explicito</t>
        </is>
      </c>
      <c r="L20" s="144" t="n">
        <v>0.95</v>
      </c>
      <c r="M20" s="75" t="inlineStr">
        <is>
          <t>.cache/carteira_101_document_scan/17468142000180/1271235.json.gz</t>
        </is>
      </c>
      <c r="N20" s="75" t="inlineStr">
        <is>
          <t>https://fnet.bmfbovespa.com.br/fnet/publico/downloadDocumento?id=1271235</t>
        </is>
      </c>
      <c r="O20" s="75" t="inlineStr">
        <is>
          <t>cargos e despesas exclusivos da Classe Única estimados pelo Administrador a serem incorridos periodicamente. “Devedores” Significam pessoas físicas e/ou jurídicas que figurem na qualidade de devedores dos Direitos Creditórios, podendo ser denominado também como “Sacado”. “Direitos Creditórios” Significam a) direitos e títulos representativos de crédito,; b) valores mobiliários repres</t>
        </is>
      </c>
    </row>
    <row r="21" ht="43.5" customHeight="1">
      <c r="A21" s="142" t="n">
        <v>17468142000180</v>
      </c>
      <c r="B21" s="75" t="inlineStr">
        <is>
          <t>17.468.142/0001-80</t>
        </is>
      </c>
      <c r="C21" s="75" t="inlineStr">
        <is>
          <t>tipo_recebivel</t>
        </is>
      </c>
      <c r="D21" s="75" t="inlineStr">
        <is>
          <t>a) direitos e títulos representativos de crédito ,</t>
        </is>
      </c>
      <c r="E21" s="75" t="inlineStr">
        <is>
          <t>N/D</t>
        </is>
      </c>
      <c r="F21" s="75" t="inlineStr">
        <is>
          <t>regulamento</t>
        </is>
      </c>
      <c r="G21" s="75" t="inlineStr">
        <is>
          <t>927399</t>
        </is>
      </c>
      <c r="H21" s="75" t="inlineStr">
        <is>
          <t>regulamento</t>
        </is>
      </c>
      <c r="I21" s="75" t="inlineStr">
        <is>
          <t>2025-06-16</t>
        </is>
      </c>
      <c r="J21" s="75" t="inlineStr">
        <is>
          <t>55</t>
        </is>
      </c>
      <c r="K21" s="75" t="inlineStr">
        <is>
          <t>encontrado_explicito</t>
        </is>
      </c>
      <c r="L21" s="144" t="n">
        <v>0.92</v>
      </c>
      <c r="M21" s="75" t="inlineStr">
        <is>
          <t>data/raw/17468142000180/927399_regulamento_regulamento_927399_2025-06-16.pdf</t>
        </is>
      </c>
      <c r="N21" s="75" t="inlineStr">
        <is>
          <t>https://fnet.bmfbovespa.com.br/fnet/publico/downloadDocumento?id=927399</t>
        </is>
      </c>
      <c r="O21" s="75" t="inlineStr">
        <is>
          <t>qualidade de devedores dos Direitos Creditórios, podendo ser denominado também como “Sacado”. “Direitos Creditórios” Significam a) direitos e títulos representativos de crédito ,; b) valores mobiliários representativos de crédito; e c) certificados de recebíveis e outros valo</t>
        </is>
      </c>
    </row>
    <row r="22" ht="43.5" customHeight="1">
      <c r="A22" s="142" t="n">
        <v>17468142000180</v>
      </c>
      <c r="B22" s="75" t="inlineStr">
        <is>
          <t>17.468.142/0001-80</t>
        </is>
      </c>
      <c r="C22" s="75" t="inlineStr">
        <is>
          <t>tipo_recebivel</t>
        </is>
      </c>
      <c r="D22" s="75" t="inlineStr">
        <is>
          <t>a) direitos e títulos representativos de crédito,</t>
        </is>
      </c>
      <c r="E22" s="75" t="inlineStr">
        <is>
          <t>N/D</t>
        </is>
      </c>
      <c r="F22" s="75" t="inlineStr">
        <is>
          <t>regulamento</t>
        </is>
      </c>
      <c r="G22" s="75" t="inlineStr">
        <is>
          <t>1157934</t>
        </is>
      </c>
      <c r="H22" s="75" t="inlineStr">
        <is>
          <t>regulamento</t>
        </is>
      </c>
      <c r="I22" s="75" t="inlineStr">
        <is>
          <t>2026-04-09</t>
        </is>
      </c>
      <c r="J22" s="75" t="inlineStr">
        <is>
          <t>55</t>
        </is>
      </c>
      <c r="K22" s="75" t="inlineStr">
        <is>
          <t>encontrado_explicito</t>
        </is>
      </c>
      <c r="L22" s="144" t="n">
        <v>0.92</v>
      </c>
      <c r="M22" s="75" t="inlineStr">
        <is>
          <t>data/raw/17468142000180/1157934_regulamento_regulamento_1157934_2026-04-09.pdf</t>
        </is>
      </c>
      <c r="N22" s="75" t="inlineStr">
        <is>
          <t>https://fnet.bmfbovespa.com.br/fnet/publico/downloadDocumento?id=1157934</t>
        </is>
      </c>
      <c r="O22" s="75" t="inlineStr">
        <is>
          <t>qualidade de devedores dos Direitos Creditórios, podendo ser denominado também como “Sacado”. “Direitos Creditórios” Significam a) direitos e títulos representativos de crédito,; b) valores mobiliários representativos de crédito; e c) certificados de recebíveis e outros valo</t>
        </is>
      </c>
    </row>
    <row r="23" ht="43.5" customHeight="1">
      <c r="A23" s="142" t="n">
        <v>17468142000180</v>
      </c>
      <c r="B23" s="75" t="inlineStr">
        <is>
          <t>17.468.142/0001-80</t>
        </is>
      </c>
      <c r="C23" s="75" t="inlineStr">
        <is>
          <t>tipo_recebivel</t>
        </is>
      </c>
      <c r="D23" s="75" t="inlineStr">
        <is>
          <t>a) direitos e títulos representativos de crédito,</t>
        </is>
      </c>
      <c r="E23" s="75" t="inlineStr">
        <is>
          <t>N/D</t>
        </is>
      </c>
      <c r="F23" s="75" t="inlineStr">
        <is>
          <t>regulamento</t>
        </is>
      </c>
      <c r="G23" s="75" t="inlineStr">
        <is>
          <t>1271235</t>
        </is>
      </c>
      <c r="H23" s="75" t="inlineStr">
        <is>
          <t>Regulamento</t>
        </is>
      </c>
      <c r="I23" s="75" t="inlineStr">
        <is>
          <t>30/07/2026</t>
        </is>
      </c>
      <c r="J23" s="75" t="inlineStr">
        <is>
          <t>55</t>
        </is>
      </c>
      <c r="K23" s="75" t="inlineStr">
        <is>
          <t>encontrado_explicito</t>
        </is>
      </c>
      <c r="L23" s="144" t="n">
        <v>0.92</v>
      </c>
      <c r="M23" s="75" t="inlineStr">
        <is>
          <t>.cache/carteira_101_document_scan/17468142000180/1271235.json.gz</t>
        </is>
      </c>
      <c r="N23" s="75" t="inlineStr">
        <is>
          <t>https://fnet.bmfbovespa.com.br/fnet/publico/downloadDocumento?id=1271235</t>
        </is>
      </c>
      <c r="O23" s="75" t="inlineStr">
        <is>
          <t>qualidade de devedores dos Direitos Creditórios, podendo ser denominado também como “Sacado”. “Direitos Creditórios” Significam a) direitos e títulos representativos de crédito,; b) valores mobiliários representativos de crédito; e c) certificados de recebíveis e outros valo</t>
        </is>
      </c>
    </row>
    <row r="24" ht="43.5" customHeight="1">
      <c r="A24" s="142" t="n">
        <v>17468142000180</v>
      </c>
      <c r="B24" s="75" t="inlineStr">
        <is>
          <t>17.468.142/0001-80</t>
        </is>
      </c>
      <c r="C24" s="75" t="inlineStr">
        <is>
          <t>tipo_recebivel</t>
        </is>
      </c>
      <c r="D24" s="75" t="inlineStr">
        <is>
          <t>FIDC MultiCedente / Multisacado</t>
        </is>
      </c>
      <c r="E24" s="75" t="inlineStr">
        <is>
          <t>N/D</t>
        </is>
      </c>
      <c r="F24" s="75" t="inlineStr">
        <is>
          <t>planilha_manual</t>
        </is>
      </c>
      <c r="G24" s="75" t="inlineStr">
        <is>
          <t>IMG_8706.JPG</t>
        </is>
      </c>
      <c r="H24" s="75" t="inlineStr">
        <is>
          <t>payload</t>
        </is>
      </c>
      <c r="I24" s="75" t="inlineStr">
        <is>
          <t>2026-04-09</t>
        </is>
      </c>
      <c r="J24" s="75" t="inlineStr">
        <is>
          <t>102</t>
        </is>
      </c>
      <c r="K24" s="75" t="inlineStr">
        <is>
          <t>aceito_payload</t>
        </is>
      </c>
      <c r="L24" s="144" t="n">
        <v>1</v>
      </c>
      <c r="M24" s="75" t="inlineStr">
        <is>
          <t>data/industry_study/generated_revision/artifact_payload.json</t>
        </is>
      </c>
      <c r="N24" s="75" t="inlineStr">
        <is>
          <t>N/D</t>
        </is>
      </c>
      <c r="O24" s="75" t="inlineStr">
        <is>
          <t>N/D</t>
        </is>
      </c>
    </row>
    <row r="25" ht="43.5" customHeight="1">
      <c r="A25" s="142" t="n">
        <v>18185812000114</v>
      </c>
      <c r="B25" s="75" t="inlineStr">
        <is>
          <t>18.185.812/0001-14</t>
        </is>
      </c>
      <c r="C25" s="75" t="inlineStr">
        <is>
          <t>cedente</t>
        </is>
      </c>
      <c r="D25" s="75" t="inlineStr">
        <is>
          <t>5 outros 4,62% 3,17% 3,03% 2,46% 2,41% 84,29%</t>
        </is>
      </c>
      <c r="E25" s="75" t="inlineStr">
        <is>
          <t>rótulo explícito de participante v2</t>
        </is>
      </c>
      <c r="F25" s="75" t="inlineStr">
        <is>
          <t>rating_report</t>
        </is>
      </c>
      <c r="G25" s="75" t="inlineStr">
        <is>
          <t>1118448</t>
        </is>
      </c>
      <c r="H25" s="75" t="inlineStr">
        <is>
          <t>Relatórios Relatório de Agência de Rating</t>
        </is>
      </c>
      <c r="I25" s="75" t="inlineStr">
        <is>
          <t>22/01/2026</t>
        </is>
      </c>
      <c r="J25" s="75" t="inlineStr">
        <is>
          <t>4</t>
        </is>
      </c>
      <c r="K25" s="75" t="inlineStr">
        <is>
          <t>encontrado_explicito</t>
        </is>
      </c>
      <c r="L25" s="144" t="n">
        <v>0.93</v>
      </c>
      <c r="M25" s="75" t="inlineStr">
        <is>
          <t>.cache/carteira_101_document_scan/18185812000114/1118448.json.gz</t>
        </is>
      </c>
      <c r="N25" s="75" t="inlineStr">
        <is>
          <t>https://fnet.bmfbovespa.com.br/fnet/publico/downloadDocumento?id=1118448</t>
        </is>
      </c>
      <c r="O25" s="75" t="inlineStr">
        <is>
          <t>,32% 3,17% 77,29% Concentração cedentes cedente 1 cedente 2 cedente 3 cedente 4 cedente 5 outros 4,62% 3,17% 3,03% 2,46% 2,41% 84,29% Concentração sacados sacado 1 sacado 2 sacado 3 sacado 4 sacado 5 outros Tipo R</t>
        </is>
      </c>
    </row>
    <row r="26" ht="43.5" customHeight="1">
      <c r="A26" s="142" t="n">
        <v>18185812000114</v>
      </c>
      <c r="B26" s="75" t="inlineStr">
        <is>
          <t>18.185.812/0001-14</t>
        </is>
      </c>
      <c r="C26" s="75" t="inlineStr">
        <is>
          <t>minimo_junior</t>
        </is>
      </c>
      <c r="D26" s="75" t="inlineStr">
        <is>
          <t>22%</t>
        </is>
      </c>
      <c r="E26" s="75" t="inlineStr">
        <is>
          <t>junior_pl</t>
        </is>
      </c>
      <c r="F26" s="75" t="inlineStr">
        <is>
          <t>regulamento</t>
        </is>
      </c>
      <c r="G26" s="75" t="inlineStr">
        <is>
          <t>913534</t>
        </is>
      </c>
      <c r="H26" s="75" t="inlineStr">
        <is>
          <t>regulamento</t>
        </is>
      </c>
      <c r="I26" s="75" t="inlineStr">
        <is>
          <t>2025-05-28</t>
        </is>
      </c>
      <c r="J26" s="75" t="inlineStr">
        <is>
          <t>52</t>
        </is>
      </c>
      <c r="K26" s="75" t="inlineStr">
        <is>
          <t>encontrado_explicito</t>
        </is>
      </c>
      <c r="L26" s="144" t="n">
        <v>0.95</v>
      </c>
      <c r="M26" s="75" t="inlineStr">
        <is>
          <t>data/raw/18185812000114/913534_regulamento_regulamento_913534_2025-05-28.pdf</t>
        </is>
      </c>
      <c r="N26" s="75" t="inlineStr">
        <is>
          <t>https://fnet.bmfbovespa.com.br/fnet/publico/downloadDocumento?id=913534</t>
        </is>
      </c>
      <c r="O26" s="75" t="inlineStr">
        <is>
          <t>seja de subclasse Subordinada Mezanino ou da Júnior; b) Observado o disposto no Item anterior e enquanto existirem Cotas Subordinadas Mezanino em circulação, o Fundo terá como Índice de Subordinação Junior o percentual mínimo de 22% (vinte dois por cento) de seu Patrimônio Líquido representados por Cotas Subordinadas Junior. Artigo 142 - Na hipótese de inobservância de qualquer umas dos Índices de Subordinação, serão adotados os seguintes proc</t>
        </is>
      </c>
    </row>
    <row r="27" ht="43.5" customHeight="1">
      <c r="A27" s="142" t="n">
        <v>18185812000114</v>
      </c>
      <c r="B27" s="75" t="inlineStr">
        <is>
          <t>18.185.812/0001-14</t>
        </is>
      </c>
      <c r="C27" s="75" t="inlineStr">
        <is>
          <t>minimo_junior</t>
        </is>
      </c>
      <c r="D27" s="75" t="inlineStr">
        <is>
          <t>22%</t>
        </is>
      </c>
      <c r="E27" s="75" t="inlineStr">
        <is>
          <t>junior_pl</t>
        </is>
      </c>
      <c r="F27" s="75" t="inlineStr">
        <is>
          <t>regulamento</t>
        </is>
      </c>
      <c r="G27" s="75" t="inlineStr">
        <is>
          <t>1011996</t>
        </is>
      </c>
      <c r="H27" s="75" t="inlineStr">
        <is>
          <t>regulamento</t>
        </is>
      </c>
      <c r="I27" s="75" t="inlineStr">
        <is>
          <t>2025-10-13</t>
        </is>
      </c>
      <c r="J27" s="75" t="inlineStr">
        <is>
          <t>53</t>
        </is>
      </c>
      <c r="K27" s="75" t="inlineStr">
        <is>
          <t>encontrado_explicito</t>
        </is>
      </c>
      <c r="L27" s="144" t="n">
        <v>0.95</v>
      </c>
      <c r="M27" s="75" t="inlineStr">
        <is>
          <t>data/raw/18185812000114/1011996_regulamento_regulamento_1011996_2025-10-13.pdf</t>
        </is>
      </c>
      <c r="N27" s="75" t="inlineStr">
        <is>
          <t>https://fnet.bmfbovespa.com.br/fnet/publico/downloadDocumento?id=1011996</t>
        </is>
      </c>
      <c r="O27" s="75" t="inlineStr">
        <is>
          <t>seja de subclasse Subordinada Mezanino ou da Júnior; b) Observado o disposto no Item anterior e enquanto existirem Cotas Subordinadas Mezanino em circulação, o Fundo terá como Índice de Subordinação Junior o percentual mínimo de 22% (vinte dois por cento) de seu Patrimônio Líquido representados por Cotas Subordinadas Junior. Artigo 142 - Na hipótese de inobservância de qualquer umas dos Índices de Subordinação, serão adotados os seguintes proc</t>
        </is>
      </c>
    </row>
    <row r="28" ht="43.5" customHeight="1">
      <c r="A28" s="142" t="n">
        <v>18185812000114</v>
      </c>
      <c r="B28" s="75" t="inlineStr">
        <is>
          <t>18.185.812/0001-14</t>
        </is>
      </c>
      <c r="C28" s="75" t="inlineStr">
        <is>
          <t>minimo_junior</t>
        </is>
      </c>
      <c r="D28" s="75" t="inlineStr">
        <is>
          <t>22%</t>
        </is>
      </c>
      <c r="E28" s="75" t="inlineStr">
        <is>
          <t>junior_pl</t>
        </is>
      </c>
      <c r="F28" s="75" t="inlineStr">
        <is>
          <t>payload_documental</t>
        </is>
      </c>
      <c r="G28" s="75" t="inlineStr">
        <is>
          <t>1011996</t>
        </is>
      </c>
      <c r="H28" s="75" t="inlineStr">
        <is>
          <t>documento_curado</t>
        </is>
      </c>
      <c r="I28" s="75" t="inlineStr">
        <is>
          <t>2025-10-13</t>
        </is>
      </c>
      <c r="J28" s="75" t="inlineStr">
        <is>
          <t>53</t>
        </is>
      </c>
      <c r="K28" s="75" t="inlineStr">
        <is>
          <t>aceito_payload</t>
        </is>
      </c>
      <c r="L28" s="144" t="n">
        <v>1</v>
      </c>
      <c r="M28" s="75" t="inlineStr">
        <is>
          <t>data/industry_study/generated_revision/artifact_payload.json</t>
        </is>
      </c>
      <c r="N28" s="75" t="inlineStr">
        <is>
          <t>https://fnet.bmfbovespa.com.br/fnet/publico/downloadDocumento?id=1011996</t>
        </is>
      </c>
      <c r="O28" s="75" t="inlineStr">
        <is>
          <t>Cotas subordinadas júnior / PL, mínimo de 22,0%.</t>
        </is>
      </c>
    </row>
    <row r="29" ht="43.5" customHeight="1">
      <c r="A29" s="142" t="n">
        <v>18185812000114</v>
      </c>
      <c r="B29" s="75" t="inlineStr">
        <is>
          <t>18.185.812/0001-14</t>
        </is>
      </c>
      <c r="C29" s="75" t="inlineStr">
        <is>
          <t>natureza_indice</t>
        </is>
      </c>
      <c r="D29" s="75" t="inlineStr">
        <is>
          <t>junior_pl</t>
        </is>
      </c>
      <c r="E29" s="75" t="inlineStr">
        <is>
          <t>junior_pl</t>
        </is>
      </c>
      <c r="F29" s="75" t="inlineStr">
        <is>
          <t>payload_documental</t>
        </is>
      </c>
      <c r="G29" s="75" t="inlineStr">
        <is>
          <t>1011996</t>
        </is>
      </c>
      <c r="H29" s="75" t="inlineStr">
        <is>
          <t>documento_curado</t>
        </is>
      </c>
      <c r="I29" s="75" t="inlineStr">
        <is>
          <t>2025-10-13</t>
        </is>
      </c>
      <c r="J29" s="75" t="inlineStr">
        <is>
          <t>53</t>
        </is>
      </c>
      <c r="K29" s="75" t="inlineStr">
        <is>
          <t>aceito_payload</t>
        </is>
      </c>
      <c r="L29" s="144" t="n">
        <v>1</v>
      </c>
      <c r="M29" s="75" t="inlineStr">
        <is>
          <t>data/industry_study/generated_revision/artifact_payload.json</t>
        </is>
      </c>
      <c r="N29" s="75" t="inlineStr">
        <is>
          <t>https://fnet.bmfbovespa.com.br/fnet/publico/downloadDocumento?id=1011996</t>
        </is>
      </c>
      <c r="O29" s="75" t="inlineStr">
        <is>
          <t>Cotas subordinadas júnior / PL, mínimo de 22,0%.</t>
        </is>
      </c>
    </row>
    <row r="30" ht="43.5" customHeight="1">
      <c r="A30" s="142" t="n">
        <v>18185812000114</v>
      </c>
      <c r="B30" s="75" t="inlineStr">
        <is>
          <t>18.185.812/0001-14</t>
        </is>
      </c>
      <c r="C30" s="75" t="inlineStr">
        <is>
          <t>sacado_devedor</t>
        </is>
      </c>
      <c r="D30" s="75" t="inlineStr">
        <is>
          <t>5 outros Tipo Recebível valor % PL Duplicata 318.392.662,74R$ 68,17% Duplicata de Servico Fisico 27.816.143,36R$ 5,96% Nota Comercial Pós 37.486.768,91R$ 8,03%</t>
        </is>
      </c>
      <c r="E30" s="75" t="inlineStr">
        <is>
          <t>rótulo explícito de participante v2</t>
        </is>
      </c>
      <c r="F30" s="75" t="inlineStr">
        <is>
          <t>rating_report</t>
        </is>
      </c>
      <c r="G30" s="75" t="inlineStr">
        <is>
          <t>1118448</t>
        </is>
      </c>
      <c r="H30" s="75" t="inlineStr">
        <is>
          <t>Relatórios Relatório de Agência de Rating</t>
        </is>
      </c>
      <c r="I30" s="75" t="inlineStr">
        <is>
          <t>22/01/2026</t>
        </is>
      </c>
      <c r="J30" s="75" t="inlineStr">
        <is>
          <t>4</t>
        </is>
      </c>
      <c r="K30" s="75" t="inlineStr">
        <is>
          <t>encontrado_explicito</t>
        </is>
      </c>
      <c r="L30" s="144" t="n">
        <v>0.93</v>
      </c>
      <c r="M30" s="75" t="inlineStr">
        <is>
          <t>.cache/carteira_101_document_scan/18185812000114/1118448.json.gz</t>
        </is>
      </c>
      <c r="N30" s="75" t="inlineStr">
        <is>
          <t>https://fnet.bmfbovespa.com.br/fnet/publico/downloadDocumento?id=1118448</t>
        </is>
      </c>
      <c r="O30" s="75" t="inlineStr">
        <is>
          <t>03% 2,46% 2,41% 84,29% Concentração sacados sacado 1 sacado 2 sacado 3 sacado 4 sacado 5 outros Tipo Recebível valor % PL Duplicata 318.392.662,74R$ 68,17% Duplicata de Servico Fisico 27.816.143,36R$ 5,96% Nota Comercial Pós 37.486.768,91R$ 8,03% Nota Comercial Pre Fixada 24.226.256,37R$ 5,19% Cheque 2.174.456,14R$ 0</t>
        </is>
      </c>
    </row>
    <row r="31" ht="43.5" customHeight="1">
      <c r="A31" s="142" t="n">
        <v>18185812000114</v>
      </c>
      <c r="B31" s="75" t="inlineStr">
        <is>
          <t>18.185.812/0001-14</t>
        </is>
      </c>
      <c r="C31" s="75" t="inlineStr">
        <is>
          <t>sacado_devedor</t>
        </is>
      </c>
      <c r="D31" s="75" t="inlineStr">
        <is>
          <t>de multiplos setores. * Risco legal. GAVEA SUL FIDC MULTISSETORIAL LP Fundo de Investimento FORÇAS FRAQUEZAS</t>
        </is>
      </c>
      <c r="E31" s="75" t="inlineStr">
        <is>
          <t>rótulo explícito de participante v2</t>
        </is>
      </c>
      <c r="F31" s="75" t="inlineStr">
        <is>
          <t>rating_report</t>
        </is>
      </c>
      <c r="G31" s="75" t="inlineStr">
        <is>
          <t>1118448</t>
        </is>
      </c>
      <c r="H31" s="75" t="inlineStr">
        <is>
          <t>Relatórios Relatório de Agência de Rating</t>
        </is>
      </c>
      <c r="I31" s="75" t="inlineStr">
        <is>
          <t>22/01/2026</t>
        </is>
      </c>
      <c r="J31" s="75" t="inlineStr">
        <is>
          <t>6</t>
        </is>
      </c>
      <c r="K31" s="75" t="inlineStr">
        <is>
          <t>encontrado_explicito</t>
        </is>
      </c>
      <c r="L31" s="144" t="n">
        <v>0.93</v>
      </c>
      <c r="M31" s="75" t="inlineStr">
        <is>
          <t>.cache/carteira_101_document_scan/18185812000114/1118448.json.gz</t>
        </is>
      </c>
      <c r="N31" s="75" t="inlineStr">
        <is>
          <t>https://fnet.bmfbovespa.com.br/fnet/publico/downloadDocumento?id=1118448</t>
        </is>
      </c>
      <c r="O31" s="75" t="inlineStr">
        <is>
          <t>co macroeconômico elevado poderá levar a afetação na qualidade de crédito dos sacados de multiplos setores. * Risco legal. GAVEA SUL FIDC MULTISSETORIAL LP Fundo de Investimento FORÇAS FRAQUEZAS OPORTUNIDADES AMEAÇAS 7 GAVEA SUL FIDC MULTISSETORIAL LP Rating mon</t>
        </is>
      </c>
    </row>
    <row r="32" ht="43.5" customHeight="1">
      <c r="A32" s="142" t="n">
        <v>26749095000134</v>
      </c>
      <c r="B32" s="75" t="inlineStr">
        <is>
          <t>26.749.095/0001-34</t>
        </is>
      </c>
      <c r="C32" s="75" t="inlineStr">
        <is>
          <t>cedente</t>
        </is>
      </c>
      <c r="D32" s="75" t="inlineStr">
        <is>
          <t>Pravaler</t>
        </is>
      </c>
      <c r="E32" s="75" t="inlineStr">
        <is>
          <t>N/D</t>
        </is>
      </c>
      <c r="F32" s="75" t="inlineStr">
        <is>
          <t>planilha_manual</t>
        </is>
      </c>
      <c r="G32" s="75" t="inlineStr">
        <is>
          <t>IMG_8706.JPG</t>
        </is>
      </c>
      <c r="H32" s="75" t="inlineStr">
        <is>
          <t>payload</t>
        </is>
      </c>
      <c r="I32" s="75" t="inlineStr">
        <is>
          <t>2025-11-19</t>
        </is>
      </c>
      <c r="J32" s="75" t="inlineStr">
        <is>
          <t>152</t>
        </is>
      </c>
      <c r="K32" s="75" t="inlineStr">
        <is>
          <t>aceito_payload</t>
        </is>
      </c>
      <c r="L32" s="144" t="n">
        <v>1</v>
      </c>
      <c r="M32" s="75" t="inlineStr">
        <is>
          <t>data/industry_study/generated_revision/artifact_payload.json</t>
        </is>
      </c>
      <c r="N32" s="75" t="inlineStr">
        <is>
          <t>N/D</t>
        </is>
      </c>
      <c r="O32" s="75" t="inlineStr">
        <is>
          <t>Denominação cortada pela largura da coluna na foto.</t>
        </is>
      </c>
    </row>
    <row r="33" ht="43.5" customHeight="1">
      <c r="A33" s="142" t="n">
        <v>26749095000134</v>
      </c>
      <c r="B33" s="75" t="inlineStr">
        <is>
          <t>26.749.095/0001-34</t>
        </is>
      </c>
      <c r="C33" s="75" t="inlineStr">
        <is>
          <t>minimo_junior</t>
        </is>
      </c>
      <c r="D33" s="75" t="inlineStr">
        <is>
          <t>10%</t>
        </is>
      </c>
      <c r="E33" s="75" t="inlineStr">
        <is>
          <t>junior_pl</t>
        </is>
      </c>
      <c r="F33" s="75" t="inlineStr">
        <is>
          <t>payload_documental</t>
        </is>
      </c>
      <c r="G33" s="75" t="inlineStr">
        <is>
          <t>1061833</t>
        </is>
      </c>
      <c r="H33" s="75" t="inlineStr">
        <is>
          <t>documento_curado</t>
        </is>
      </c>
      <c r="I33" s="75" t="inlineStr">
        <is>
          <t>2025-11-19</t>
        </is>
      </c>
      <c r="J33" s="75" t="inlineStr">
        <is>
          <t>152</t>
        </is>
      </c>
      <c r="K33" s="75" t="inlineStr">
        <is>
          <t>aceito_payload</t>
        </is>
      </c>
      <c r="L33" s="144" t="n">
        <v>1</v>
      </c>
      <c r="M33" s="75" t="inlineStr">
        <is>
          <t>data/industry_study/generated_revision/artifact_payload.json</t>
        </is>
      </c>
      <c r="N33" s="75" t="inlineStr">
        <is>
          <t>https://fnet.bmfbovespa.com.br/fnet/publico/downloadDocumento?id=1061833</t>
        </is>
      </c>
      <c r="O33" s="75" t="inlineStr">
        <is>
          <t>Cotas júnior / PL, mínimo de 10,0%; passa a 15,0% quando o atraso supera 6,0%.</t>
        </is>
      </c>
    </row>
    <row r="34" ht="43.5" customHeight="1">
      <c r="A34" s="142" t="n">
        <v>26749095000134</v>
      </c>
      <c r="B34" s="75" t="inlineStr">
        <is>
          <t>26.749.095/0001-34</t>
        </is>
      </c>
      <c r="C34" s="75" t="inlineStr">
        <is>
          <t>natureza_indice</t>
        </is>
      </c>
      <c r="D34" s="75" t="inlineStr">
        <is>
          <t>junior_pl</t>
        </is>
      </c>
      <c r="E34" s="75" t="inlineStr">
        <is>
          <t>junior_pl</t>
        </is>
      </c>
      <c r="F34" s="75" t="inlineStr">
        <is>
          <t>payload_documental</t>
        </is>
      </c>
      <c r="G34" s="75" t="inlineStr">
        <is>
          <t>1061833</t>
        </is>
      </c>
      <c r="H34" s="75" t="inlineStr">
        <is>
          <t>documento_curado</t>
        </is>
      </c>
      <c r="I34" s="75" t="inlineStr">
        <is>
          <t>2025-11-19</t>
        </is>
      </c>
      <c r="J34" s="75" t="inlineStr">
        <is>
          <t>152</t>
        </is>
      </c>
      <c r="K34" s="75" t="inlineStr">
        <is>
          <t>aceito_payload</t>
        </is>
      </c>
      <c r="L34" s="144" t="n">
        <v>1</v>
      </c>
      <c r="M34" s="75" t="inlineStr">
        <is>
          <t>data/industry_study/generated_revision/artifact_payload.json</t>
        </is>
      </c>
      <c r="N34" s="75" t="inlineStr">
        <is>
          <t>https://fnet.bmfbovespa.com.br/fnet/publico/downloadDocumento?id=1061833</t>
        </is>
      </c>
      <c r="O34" s="75" t="inlineStr">
        <is>
          <t>Cotas júnior / PL, mínimo de 10,0%; passa a 15,0% quando o atraso supera 6,0%.</t>
        </is>
      </c>
    </row>
    <row r="35" ht="43.5" customHeight="1">
      <c r="A35" s="142" t="n">
        <v>26749095000134</v>
      </c>
      <c r="B35" s="75" t="inlineStr">
        <is>
          <t>26.749.095/0001-34</t>
        </is>
      </c>
      <c r="C35" s="75" t="inlineStr">
        <is>
          <t>tipo_recebivel</t>
        </is>
      </c>
      <c r="D35" s="75" t="inlineStr">
        <is>
          <t>Crédito Estudantil</t>
        </is>
      </c>
      <c r="E35" s="75" t="inlineStr">
        <is>
          <t>N/D</t>
        </is>
      </c>
      <c r="F35" s="75" t="inlineStr">
        <is>
          <t>planilha_manual</t>
        </is>
      </c>
      <c r="G35" s="75" t="inlineStr">
        <is>
          <t>IMG_8706.JPG</t>
        </is>
      </c>
      <c r="H35" s="75" t="inlineStr">
        <is>
          <t>payload</t>
        </is>
      </c>
      <c r="I35" s="75" t="inlineStr">
        <is>
          <t>2025-11-19</t>
        </is>
      </c>
      <c r="J35" s="75" t="inlineStr">
        <is>
          <t>152</t>
        </is>
      </c>
      <c r="K35" s="75" t="inlineStr">
        <is>
          <t>aceito_payload</t>
        </is>
      </c>
      <c r="L35" s="144" t="n">
        <v>1</v>
      </c>
      <c r="M35" s="75" t="inlineStr">
        <is>
          <t>data/industry_study/generated_revision/artifact_payload.json</t>
        </is>
      </c>
      <c r="N35" s="75" t="inlineStr">
        <is>
          <t>N/D</t>
        </is>
      </c>
      <c r="O35" s="75" t="inlineStr">
        <is>
          <t>Denominação cortada pela largura da coluna na foto.</t>
        </is>
      </c>
    </row>
    <row r="36" ht="43.5" customHeight="1">
      <c r="A36" s="142" t="n">
        <v>28169275000172</v>
      </c>
      <c r="B36" s="75" t="inlineStr">
        <is>
          <t>28.169.275/0001-72</t>
        </is>
      </c>
      <c r="C36" s="75" t="inlineStr">
        <is>
          <t>cedente</t>
        </is>
      </c>
      <c r="D36" s="75" t="inlineStr">
        <is>
          <t>PagSeguro</t>
        </is>
      </c>
      <c r="E36" s="75" t="inlineStr">
        <is>
          <t>N/D</t>
        </is>
      </c>
      <c r="F36" s="75" t="inlineStr">
        <is>
          <t>planilha_manual</t>
        </is>
      </c>
      <c r="G36" s="75" t="inlineStr">
        <is>
          <t>IMG_8705.JPG</t>
        </is>
      </c>
      <c r="H36" s="75" t="inlineStr">
        <is>
          <t>payload</t>
        </is>
      </c>
      <c r="I36" s="75" t="inlineStr">
        <is>
          <t>2026-03-25</t>
        </is>
      </c>
      <c r="J36" s="75" t="inlineStr">
        <is>
          <t>44</t>
        </is>
      </c>
      <c r="K36" s="75" t="inlineStr">
        <is>
          <t>aceito_payload</t>
        </is>
      </c>
      <c r="L36" s="144" t="n">
        <v>1</v>
      </c>
      <c r="M36" s="75" t="inlineStr">
        <is>
          <t>data/industry_study/generated_revision/artifact_payload.json</t>
        </is>
      </c>
      <c r="N36" s="75" t="inlineStr">
        <is>
          <t>N/D</t>
        </is>
      </c>
      <c r="O36" s="75" t="inlineStr">
        <is>
          <t>OBS da foto: compra de recebíveis dos ECs correndo risco da PagSeguro. Denominação cortada.</t>
        </is>
      </c>
    </row>
    <row r="37" ht="43.5" customHeight="1">
      <c r="A37" s="142" t="n">
        <v>28169275000172</v>
      </c>
      <c r="B37" s="75" t="inlineStr">
        <is>
          <t>28.169.275/0001-72</t>
        </is>
      </c>
      <c r="C37" s="75" t="inlineStr">
        <is>
          <t>minimo_junior</t>
        </is>
      </c>
      <c r="D37" s="75" t="inlineStr">
        <is>
          <t>50%</t>
        </is>
      </c>
      <c r="E37" s="75" t="inlineStr">
        <is>
          <t>junior_pl</t>
        </is>
      </c>
      <c r="F37" s="75" t="inlineStr">
        <is>
          <t>payload_documental</t>
        </is>
      </c>
      <c r="G37" s="75" t="inlineStr">
        <is>
          <t>1149521</t>
        </is>
      </c>
      <c r="H37" s="75" t="inlineStr">
        <is>
          <t>documento_curado</t>
        </is>
      </c>
      <c r="I37" s="75" t="inlineStr">
        <is>
          <t>2026-03-25</t>
        </is>
      </c>
      <c r="J37" s="75" t="inlineStr">
        <is>
          <t>44</t>
        </is>
      </c>
      <c r="K37" s="75" t="inlineStr">
        <is>
          <t>aceito_payload</t>
        </is>
      </c>
      <c r="L37" s="144" t="n">
        <v>1</v>
      </c>
      <c r="M37" s="75" t="inlineStr">
        <is>
          <t>data/industry_study/generated_revision/artifact_payload.json</t>
        </is>
      </c>
      <c r="N37" s="75" t="inlineStr">
        <is>
          <t>https://fnet.bmfbovespa.com.br/fnet/publico/downloadDocumento?id=1149521</t>
        </is>
      </c>
      <c r="O37" s="75" t="inlineStr">
        <is>
          <t>Cotas subordinadas júnior / PL, mínimo de 50,0%; há classe mezanino.</t>
        </is>
      </c>
    </row>
    <row r="38" ht="43.5" customHeight="1">
      <c r="A38" s="142" t="n">
        <v>28169275000172</v>
      </c>
      <c r="B38" s="75" t="inlineStr">
        <is>
          <t>28.169.275/0001-72</t>
        </is>
      </c>
      <c r="C38" s="75" t="inlineStr">
        <is>
          <t>natureza_indice</t>
        </is>
      </c>
      <c r="D38" s="75" t="inlineStr">
        <is>
          <t>junior_pl</t>
        </is>
      </c>
      <c r="E38" s="75" t="inlineStr">
        <is>
          <t>junior_pl</t>
        </is>
      </c>
      <c r="F38" s="75" t="inlineStr">
        <is>
          <t>payload_documental</t>
        </is>
      </c>
      <c r="G38" s="75" t="inlineStr">
        <is>
          <t>1149521</t>
        </is>
      </c>
      <c r="H38" s="75" t="inlineStr">
        <is>
          <t>documento_curado</t>
        </is>
      </c>
      <c r="I38" s="75" t="inlineStr">
        <is>
          <t>2026-03-25</t>
        </is>
      </c>
      <c r="J38" s="75" t="inlineStr">
        <is>
          <t>44</t>
        </is>
      </c>
      <c r="K38" s="75" t="inlineStr">
        <is>
          <t>aceito_payload</t>
        </is>
      </c>
      <c r="L38" s="144" t="n">
        <v>1</v>
      </c>
      <c r="M38" s="75" t="inlineStr">
        <is>
          <t>data/industry_study/generated_revision/artifact_payload.json</t>
        </is>
      </c>
      <c r="N38" s="75" t="inlineStr">
        <is>
          <t>https://fnet.bmfbovespa.com.br/fnet/publico/downloadDocumento?id=1149521</t>
        </is>
      </c>
      <c r="O38" s="75" t="inlineStr">
        <is>
          <t>Cotas subordinadas júnior / PL, mínimo de 50,0%; há classe mezanino.</t>
        </is>
      </c>
    </row>
    <row r="39" ht="43.5" customHeight="1">
      <c r="A39" s="142" t="n">
        <v>28169275000172</v>
      </c>
      <c r="B39" s="75" t="inlineStr">
        <is>
          <t>28.169.275/0001-72</t>
        </is>
      </c>
      <c r="C39" s="75" t="inlineStr">
        <is>
          <t>tipo_recebivel</t>
        </is>
      </c>
      <c r="D39" s="75" t="inlineStr">
        <is>
          <t>as U.R.s compostas por direitos creditórios detidos pelo Estabelecimento Credenciado em face do Devedor em decorrência de Transações de Pagamento, na modalidade de crédito pós -pago à vista, e/ou crédito pós -pago parcelado sem juros, e débito, realizad as pelos Usuários Finais com a utilização de Instrumentos de Pagamento para a aquisição de bens, produtos, mercadorias ou serviços nos Estabelecimentos Credenciados e devidos pelo Devedor, conforme aplicável, após o desconto das taxas que constituem a remuneração dos Arranjos de Pagamento, dos Emissores e das Credenciadoras, bem como de outras eventuais retenções previstas nas regras do Arranjo de Pagamento, as quais serão Docusign Envelope I</t>
        </is>
      </c>
      <c r="E39" s="75" t="inlineStr">
        <is>
          <t>N/D</t>
        </is>
      </c>
      <c r="F39" s="75" t="inlineStr">
        <is>
          <t>assembleia</t>
        </is>
      </c>
      <c r="G39" s="75" t="inlineStr">
        <is>
          <t>1147067</t>
        </is>
      </c>
      <c r="H39" s="75" t="inlineStr">
        <is>
          <t>assembleia</t>
        </is>
      </c>
      <c r="I39" s="75" t="inlineStr">
        <is>
          <t>2026-03-25</t>
        </is>
      </c>
      <c r="J39" s="75" t="inlineStr">
        <is>
          <t>88</t>
        </is>
      </c>
      <c r="K39" s="75" t="inlineStr">
        <is>
          <t>encontrado_explicito</t>
        </is>
      </c>
      <c r="L39" s="144" t="n">
        <v>0.92</v>
      </c>
      <c r="M39" s="75" t="inlineStr">
        <is>
          <t>data/raw/28169275000172/1147067_assembleia_assembleia_1147067_2026-03-25.pdf</t>
        </is>
      </c>
      <c r="N39" s="75" t="inlineStr">
        <is>
          <t>https://fnet.bmfbovespa.com.br/fnet/publico/downloadDocumento?id=1147067</t>
        </is>
      </c>
      <c r="O39" s="75" t="inlineStr">
        <is>
          <t>nhada da indicação de “dia(s) útil(eis)”, entende-se que o prazo é contado em dias corridos. “Direitos Creditórios” são as U.R.s compostas por direitos creditórios detidos pelo Estabelecimento Credenciado em face do Devedor em decorrência de Transações de Pagamento, na modalidade de crédito pós -pago à vista, e/ou crédito pós -pago parcelado sem juros, e débito, realizad as pelos Usuários Finais com a utilização de Instrumentos de Pagamento para a aquisição de bens, produtos, mercadorias ou serviços nos Estabelecimentos Credenciados e devidos pelo Devedor, conforme aplicável, após o desconto das taxas que constituem a remuneração dos Arranjos de Pagamento, dos Emissores e das Credenciadoras, bem como de outras eventuais retenções previstas nas regras do Arranjo de Pagamento, as quais serão Docusign Envelope ID: 98DB6BC5-8CE6-4F60-BDA5-F19685A886D4 JUR_SP - 57153311v4 - 5574021.570066 devidamente registradas junto às Entidades Registradoras</t>
        </is>
      </c>
    </row>
    <row r="40" ht="43.5" customHeight="1">
      <c r="A40" s="142" t="n">
        <v>28169275000172</v>
      </c>
      <c r="B40" s="75" t="inlineStr">
        <is>
          <t>28.169.275/0001-72</t>
        </is>
      </c>
      <c r="C40" s="75" t="inlineStr">
        <is>
          <t>tipo_recebivel</t>
        </is>
      </c>
      <c r="D40" s="75" t="inlineStr">
        <is>
          <t>recebíveis dos ECs</t>
        </is>
      </c>
      <c r="E40" s="75" t="inlineStr">
        <is>
          <t>N/D</t>
        </is>
      </c>
      <c r="F40" s="75" t="inlineStr">
        <is>
          <t>planilha_manual</t>
        </is>
      </c>
      <c r="G40" s="75" t="inlineStr">
        <is>
          <t>IMG_8705.JPG</t>
        </is>
      </c>
      <c r="H40" s="75" t="inlineStr">
        <is>
          <t>payload</t>
        </is>
      </c>
      <c r="I40" s="75" t="inlineStr">
        <is>
          <t>2026-03-25</t>
        </is>
      </c>
      <c r="J40" s="75" t="inlineStr">
        <is>
          <t>44</t>
        </is>
      </c>
      <c r="K40" s="75" t="inlineStr">
        <is>
          <t>aceito_payload</t>
        </is>
      </c>
      <c r="L40" s="144" t="n">
        <v>1</v>
      </c>
      <c r="M40" s="75" t="inlineStr">
        <is>
          <t>data/industry_study/generated_revision/artifact_payload.json</t>
        </is>
      </c>
      <c r="N40" s="75" t="inlineStr">
        <is>
          <t>N/D</t>
        </is>
      </c>
      <c r="O40" s="75" t="inlineStr">
        <is>
          <t>OBS da foto: compra de recebíveis dos ECs correndo risco da PagSeguro. Denominação cortada.</t>
        </is>
      </c>
    </row>
    <row r="41" ht="43.5" customHeight="1">
      <c r="A41" s="142" t="n">
        <v>29226654000110</v>
      </c>
      <c r="B41" s="75" t="inlineStr">
        <is>
          <t>29.226.654/0001-10</t>
        </is>
      </c>
      <c r="C41" s="75" t="inlineStr">
        <is>
          <t>cedente</t>
        </is>
      </c>
      <c r="D41" s="75" t="inlineStr">
        <is>
          <t>CredSystem</t>
        </is>
      </c>
      <c r="E41" s="75" t="inlineStr">
        <is>
          <t>N/D</t>
        </is>
      </c>
      <c r="F41" s="75" t="inlineStr">
        <is>
          <t>planilha_manual</t>
        </is>
      </c>
      <c r="G41" s="75" t="inlineStr">
        <is>
          <t>IMG_8705.JPG</t>
        </is>
      </c>
      <c r="H41" s="75" t="inlineStr">
        <is>
          <t>payload</t>
        </is>
      </c>
      <c r="I41" s="75" t="inlineStr">
        <is>
          <t>2025-10-28</t>
        </is>
      </c>
      <c r="J41" s="75" t="inlineStr">
        <is>
          <t>3–4; 9–10</t>
        </is>
      </c>
      <c r="K41" s="75" t="inlineStr">
        <is>
          <t>aceito_payload</t>
        </is>
      </c>
      <c r="L41" s="144" t="n">
        <v>1</v>
      </c>
      <c r="M41" s="75" t="inlineStr">
        <is>
          <t>data/industry_study/generated_revision/artifact_payload.json</t>
        </is>
      </c>
      <c r="N41" s="75" t="inlineStr">
        <is>
          <t>N/D</t>
        </is>
      </c>
      <c r="O41" s="75" t="inlineStr">
        <is>
          <t>Denominação cortada pela largura da coluna na foto.</t>
        </is>
      </c>
    </row>
    <row r="42" ht="43.5" customHeight="1">
      <c r="A42" s="142" t="n">
        <v>29226654000110</v>
      </c>
      <c r="B42" s="75" t="inlineStr">
        <is>
          <t>29.226.654/0001-10</t>
        </is>
      </c>
      <c r="C42" s="75" t="inlineStr">
        <is>
          <t>minimo_estrutural_total</t>
        </is>
      </c>
      <c r="D42" s="75" t="inlineStr">
        <is>
          <t>67.4267%</t>
        </is>
      </c>
      <c r="E42" s="75" t="inlineStr">
        <is>
          <t>suporte_total_pl</t>
        </is>
      </c>
      <c r="F42" s="75" t="inlineStr">
        <is>
          <t>payload_documental</t>
        </is>
      </c>
      <c r="G42" s="75" t="inlineStr">
        <is>
          <t>1023848</t>
        </is>
      </c>
      <c r="H42" s="75" t="inlineStr">
        <is>
          <t>documento_curado</t>
        </is>
      </c>
      <c r="I42" s="75" t="inlineStr">
        <is>
          <t>2025-10-28</t>
        </is>
      </c>
      <c r="J42" s="75" t="inlineStr">
        <is>
          <t>3–4; 9–10</t>
        </is>
      </c>
      <c r="K42" s="75" t="inlineStr">
        <is>
          <t>aceito_payload</t>
        </is>
      </c>
      <c r="L42" s="144" t="n">
        <v>1</v>
      </c>
      <c r="M42" s="75" t="inlineStr">
        <is>
          <t>data/industry_study/generated_revision/artifact_payload.json</t>
        </is>
      </c>
      <c r="N42" s="75" t="inlineStr">
        <is>
          <t>https://fnet.bmfbovespa.com.br/fnet/publico/downloadDocumento?id=1023848</t>
        </is>
      </c>
      <c r="O42" s="75" t="inlineStr">
        <is>
          <t>Mínimo júnior implícito na relação PL / cotas seniores de 307,0%.</t>
        </is>
      </c>
    </row>
    <row r="43" ht="43.5" customHeight="1">
      <c r="A43" s="142" t="n">
        <v>29226654000110</v>
      </c>
      <c r="B43" s="75" t="inlineStr">
        <is>
          <t>29.226.654/0001-10</t>
        </is>
      </c>
      <c r="C43" s="75" t="inlineStr">
        <is>
          <t>minimo_junior</t>
        </is>
      </c>
      <c r="D43" s="75" t="inlineStr">
        <is>
          <t>67.4267%</t>
        </is>
      </c>
      <c r="E43" s="75" t="inlineStr">
        <is>
          <t>junior_pl_calculado</t>
        </is>
      </c>
      <c r="F43" s="75" t="inlineStr">
        <is>
          <t>payload_documental</t>
        </is>
      </c>
      <c r="G43" s="75" t="inlineStr">
        <is>
          <t>1023848</t>
        </is>
      </c>
      <c r="H43" s="75" t="inlineStr">
        <is>
          <t>documento_curado</t>
        </is>
      </c>
      <c r="I43" s="75" t="inlineStr">
        <is>
          <t>2025-10-28</t>
        </is>
      </c>
      <c r="J43" s="75" t="inlineStr">
        <is>
          <t>3–4; 9–10</t>
        </is>
      </c>
      <c r="K43" s="75" t="inlineStr">
        <is>
          <t>aceito_payload</t>
        </is>
      </c>
      <c r="L43" s="144" t="n">
        <v>1</v>
      </c>
      <c r="M43" s="75" t="inlineStr">
        <is>
          <t>data/industry_study/generated_revision/artifact_payload.json</t>
        </is>
      </c>
      <c r="N43" s="75" t="inlineStr">
        <is>
          <t>https://fnet.bmfbovespa.com.br/fnet/publico/downloadDocumento?id=1023848</t>
        </is>
      </c>
      <c r="O43" s="75" t="inlineStr">
        <is>
          <t>Mínimo júnior implícito na relação PL / cotas seniores de 307,0%.</t>
        </is>
      </c>
    </row>
    <row r="44" ht="43.5" customHeight="1">
      <c r="A44" s="142" t="n">
        <v>29226654000110</v>
      </c>
      <c r="B44" s="75" t="inlineStr">
        <is>
          <t>29.226.654/0001-10</t>
        </is>
      </c>
      <c r="C44" s="75" t="inlineStr">
        <is>
          <t>natureza_indice</t>
        </is>
      </c>
      <c r="D44" s="75" t="inlineStr">
        <is>
          <t>junior_pl_calculado</t>
        </is>
      </c>
      <c r="E44" s="75" t="inlineStr">
        <is>
          <t>junior_pl_calculado</t>
        </is>
      </c>
      <c r="F44" s="75" t="inlineStr">
        <is>
          <t>payload_documental</t>
        </is>
      </c>
      <c r="G44" s="75" t="inlineStr">
        <is>
          <t>1023848</t>
        </is>
      </c>
      <c r="H44" s="75" t="inlineStr">
        <is>
          <t>documento_curado</t>
        </is>
      </c>
      <c r="I44" s="75" t="inlineStr">
        <is>
          <t>2025-10-28</t>
        </is>
      </c>
      <c r="J44" s="75" t="inlineStr">
        <is>
          <t>3–4; 9–10</t>
        </is>
      </c>
      <c r="K44" s="75" t="inlineStr">
        <is>
          <t>aceito_payload</t>
        </is>
      </c>
      <c r="L44" s="144" t="n">
        <v>1</v>
      </c>
      <c r="M44" s="75" t="inlineStr">
        <is>
          <t>data/industry_study/generated_revision/artifact_payload.json</t>
        </is>
      </c>
      <c r="N44" s="75" t="inlineStr">
        <is>
          <t>https://fnet.bmfbovespa.com.br/fnet/publico/downloadDocumento?id=1023848</t>
        </is>
      </c>
      <c r="O44" s="75" t="inlineStr">
        <is>
          <t>Mínimo júnior implícito na relação PL / cotas seniores de 307,0%.</t>
        </is>
      </c>
    </row>
    <row r="45" ht="43.5" customHeight="1">
      <c r="A45" s="142" t="n">
        <v>29226654000110</v>
      </c>
      <c r="B45" s="75" t="inlineStr">
        <is>
          <t>29.226.654/0001-10</t>
        </is>
      </c>
      <c r="C45" s="75" t="inlineStr">
        <is>
          <t>tipo_recebivel</t>
        </is>
      </c>
      <c r="D45" s="75" t="inlineStr">
        <is>
          <t>Cartão de Crédito - ecossistema Credsystem</t>
        </is>
      </c>
      <c r="E45" s="75" t="inlineStr">
        <is>
          <t>N/D</t>
        </is>
      </c>
      <c r="F45" s="75" t="inlineStr">
        <is>
          <t>planilha_manual</t>
        </is>
      </c>
      <c r="G45" s="75" t="inlineStr">
        <is>
          <t>IMG_8705.JPG</t>
        </is>
      </c>
      <c r="H45" s="75" t="inlineStr">
        <is>
          <t>payload</t>
        </is>
      </c>
      <c r="I45" s="75" t="inlineStr">
        <is>
          <t>2025-10-28</t>
        </is>
      </c>
      <c r="J45" s="75" t="inlineStr">
        <is>
          <t>3–4; 9–10</t>
        </is>
      </c>
      <c r="K45" s="75" t="inlineStr">
        <is>
          <t>aceito_payload</t>
        </is>
      </c>
      <c r="L45" s="144" t="n">
        <v>1</v>
      </c>
      <c r="M45" s="75" t="inlineStr">
        <is>
          <t>data/industry_study/generated_revision/artifact_payload.json</t>
        </is>
      </c>
      <c r="N45" s="75" t="inlineStr">
        <is>
          <t>N/D</t>
        </is>
      </c>
      <c r="O45" s="75" t="inlineStr">
        <is>
          <t>Denominação cortada pela largura da coluna na foto.</t>
        </is>
      </c>
    </row>
    <row r="46" ht="43.5" customHeight="1">
      <c r="A46" s="142" t="n">
        <v>29492605000129</v>
      </c>
      <c r="B46" s="75" t="inlineStr">
        <is>
          <t>29.492.605/0001-29</t>
        </is>
      </c>
      <c r="C46" s="75" t="inlineStr">
        <is>
          <t>cedente</t>
        </is>
      </c>
      <c r="D46" s="75" t="inlineStr">
        <is>
          <t>Gazin</t>
        </is>
      </c>
      <c r="E46" s="75" t="inlineStr">
        <is>
          <t>rótulo explícito de participante v2</t>
        </is>
      </c>
      <c r="F46" s="75" t="inlineStr">
        <is>
          <t>rating_report</t>
        </is>
      </c>
      <c r="G46" s="75" t="inlineStr">
        <is>
          <t>321548</t>
        </is>
      </c>
      <c r="H46" s="75" t="inlineStr">
        <is>
          <t>Relatórios Relatório de Agência de Rating</t>
        </is>
      </c>
      <c r="I46" s="75" t="inlineStr">
        <is>
          <t>06/06/2022</t>
        </is>
      </c>
      <c r="J46" s="75" t="inlineStr">
        <is>
          <t>1</t>
        </is>
      </c>
      <c r="K46" s="75" t="inlineStr">
        <is>
          <t>encontrado_explicito</t>
        </is>
      </c>
      <c r="L46" s="144" t="n">
        <v>0.93</v>
      </c>
      <c r="M46" s="75" t="inlineStr">
        <is>
          <t>.cache/carteira_101_document_scan/29492605000129/321548.json.gz</t>
        </is>
      </c>
      <c r="N46" s="75" t="inlineStr">
        <is>
          <t>https://fnet.bmfbovespa.com.br/fnet/publico/downloadDocumento?id=321548</t>
        </is>
      </c>
      <c r="O46" s="75" t="inlineStr">
        <is>
          <t>itórios. A cedente - Gazin Indústria e Comércio de Móveis Eletrodomésticos Ltda.(Gazin/cedente) é controlada pela Gazin Holding S.A,(Grupo Gazin), grupo empresarial com mais</t>
        </is>
      </c>
    </row>
    <row r="47" ht="43.5" customHeight="1">
      <c r="A47" s="142" t="n">
        <v>29492605000129</v>
      </c>
      <c r="B47" s="75" t="inlineStr">
        <is>
          <t>29.492.605/0001-29</t>
        </is>
      </c>
      <c r="C47" s="75" t="inlineStr">
        <is>
          <t>minimo_estrutural_total</t>
        </is>
      </c>
      <c r="D47" s="75" t="inlineStr">
        <is>
          <t>51%</t>
        </is>
      </c>
      <c r="E47" s="75" t="inlineStr">
        <is>
          <t>suporte_total_pl</t>
        </is>
      </c>
      <c r="F47" s="75" t="inlineStr">
        <is>
          <t>payload_documental</t>
        </is>
      </c>
      <c r="G47" s="75" t="inlineStr">
        <is>
          <t>1117213</t>
        </is>
      </c>
      <c r="H47" s="75" t="inlineStr">
        <is>
          <t>documento_curado</t>
        </is>
      </c>
      <c r="I47" s="75" t="inlineStr">
        <is>
          <t>2026-02-12</t>
        </is>
      </c>
      <c r="J47" s="75" t="inlineStr">
        <is>
          <t>44</t>
        </is>
      </c>
      <c r="K47" s="75" t="inlineStr">
        <is>
          <t>aceito_payload</t>
        </is>
      </c>
      <c r="L47" s="144" t="n">
        <v>1</v>
      </c>
      <c r="M47" s="75" t="inlineStr">
        <is>
          <t>data/industry_study/generated_revision/artifact_payload.json</t>
        </is>
      </c>
      <c r="N47" s="75" t="inlineStr">
        <is>
          <t>https://fnet.bmfbovespa.com.br/fnet/publico/downloadDocumento?id=1117213</t>
        </is>
      </c>
      <c r="O47" s="75" t="inlineStr">
        <is>
          <t>O regulamento contém apenas cotas seniores e juniores; índice de subordinação mínimo de 51,0%.</t>
        </is>
      </c>
    </row>
    <row r="48" ht="43.5" customHeight="1">
      <c r="A48" s="142" t="n">
        <v>29492605000129</v>
      </c>
      <c r="B48" s="75" t="inlineStr">
        <is>
          <t>29.492.605/0001-29</t>
        </is>
      </c>
      <c r="C48" s="75" t="inlineStr">
        <is>
          <t>minimo_junior</t>
        </is>
      </c>
      <c r="D48" s="75" t="inlineStr">
        <is>
          <t>51%</t>
        </is>
      </c>
      <c r="E48" s="75" t="inlineStr">
        <is>
          <t>junior_pl</t>
        </is>
      </c>
      <c r="F48" s="75" t="inlineStr">
        <is>
          <t>payload_documental</t>
        </is>
      </c>
      <c r="G48" s="75" t="inlineStr">
        <is>
          <t>1117213</t>
        </is>
      </c>
      <c r="H48" s="75" t="inlineStr">
        <is>
          <t>documento_curado</t>
        </is>
      </c>
      <c r="I48" s="75" t="inlineStr">
        <is>
          <t>2026-02-12</t>
        </is>
      </c>
      <c r="J48" s="75" t="inlineStr">
        <is>
          <t>44</t>
        </is>
      </c>
      <c r="K48" s="75" t="inlineStr">
        <is>
          <t>aceito_payload</t>
        </is>
      </c>
      <c r="L48" s="144" t="n">
        <v>1</v>
      </c>
      <c r="M48" s="75" t="inlineStr">
        <is>
          <t>data/industry_study/generated_revision/artifact_payload.json</t>
        </is>
      </c>
      <c r="N48" s="75" t="inlineStr">
        <is>
          <t>https://fnet.bmfbovespa.com.br/fnet/publico/downloadDocumento?id=1117213</t>
        </is>
      </c>
      <c r="O48" s="75" t="inlineStr">
        <is>
          <t>O regulamento contém apenas cotas seniores e juniores; índice de subordinação mínimo de 51,0%.</t>
        </is>
      </c>
    </row>
    <row r="49" ht="43.5" customHeight="1">
      <c r="A49" s="142" t="n">
        <v>29492605000129</v>
      </c>
      <c r="B49" s="75" t="inlineStr">
        <is>
          <t>29.492.605/0001-29</t>
        </is>
      </c>
      <c r="C49" s="75" t="inlineStr">
        <is>
          <t>natureza_indice</t>
        </is>
      </c>
      <c r="D49" s="75" t="inlineStr">
        <is>
          <t>junior_pl</t>
        </is>
      </c>
      <c r="E49" s="75" t="inlineStr">
        <is>
          <t>junior_pl</t>
        </is>
      </c>
      <c r="F49" s="75" t="inlineStr">
        <is>
          <t>payload_documental</t>
        </is>
      </c>
      <c r="G49" s="75" t="inlineStr">
        <is>
          <t>1117213</t>
        </is>
      </c>
      <c r="H49" s="75" t="inlineStr">
        <is>
          <t>documento_curado</t>
        </is>
      </c>
      <c r="I49" s="75" t="inlineStr">
        <is>
          <t>2026-02-12</t>
        </is>
      </c>
      <c r="J49" s="75" t="inlineStr">
        <is>
          <t>44</t>
        </is>
      </c>
      <c r="K49" s="75" t="inlineStr">
        <is>
          <t>aceito_payload</t>
        </is>
      </c>
      <c r="L49" s="144" t="n">
        <v>1</v>
      </c>
      <c r="M49" s="75" t="inlineStr">
        <is>
          <t>data/industry_study/generated_revision/artifact_payload.json</t>
        </is>
      </c>
      <c r="N49" s="75" t="inlineStr">
        <is>
          <t>https://fnet.bmfbovespa.com.br/fnet/publico/downloadDocumento?id=1117213</t>
        </is>
      </c>
      <c r="O49" s="75" t="inlineStr">
        <is>
          <t>O regulamento contém apenas cotas seniores e juniores; índice de subordinação mínimo de 51,0%.</t>
        </is>
      </c>
    </row>
    <row r="50" ht="43.5" customHeight="1">
      <c r="A50" s="142" t="n">
        <v>30035329000159</v>
      </c>
      <c r="B50" s="75" t="inlineStr">
        <is>
          <t>30.035.329/0001-59</t>
        </is>
      </c>
      <c r="C50" s="75" t="inlineStr">
        <is>
          <t>cedente</t>
        </is>
      </c>
      <c r="D50" s="75" t="inlineStr">
        <is>
          <t>BMP (Bancarizador)</t>
        </is>
      </c>
      <c r="E50" s="75" t="inlineStr">
        <is>
          <t>N/D</t>
        </is>
      </c>
      <c r="F50" s="75" t="inlineStr">
        <is>
          <t>planilha_manual</t>
        </is>
      </c>
      <c r="G50" s="75" t="inlineStr">
        <is>
          <t>IMG_8707.jpg</t>
        </is>
      </c>
      <c r="H50" s="75" t="inlineStr">
        <is>
          <t>payload</t>
        </is>
      </c>
      <c r="I50" s="75" t="inlineStr">
        <is>
          <t>2025-09-22</t>
        </is>
      </c>
      <c r="J50" s="75" t="inlineStr">
        <is>
          <t>44; 64</t>
        </is>
      </c>
      <c r="K50" s="75" t="inlineStr">
        <is>
          <t>aceito_payload</t>
        </is>
      </c>
      <c r="L50" s="144" t="n">
        <v>1</v>
      </c>
      <c r="M50" s="75" t="inlineStr">
        <is>
          <t>data/industry_study/generated_revision/artifact_payload.json</t>
        </is>
      </c>
      <c r="N50" s="75" t="inlineStr">
        <is>
          <t>N/D</t>
        </is>
      </c>
      <c r="O50" s="75" t="inlineStr">
        <is>
          <t>OBS parcialmente legível: Via Invest (Gestorada grupo faz co-gestão). Denominação cortada.</t>
        </is>
      </c>
    </row>
    <row r="51" ht="43.5" customHeight="1">
      <c r="A51" s="142" t="n">
        <v>30035329000159</v>
      </c>
      <c r="B51" s="75" t="inlineStr">
        <is>
          <t>30.035.329/0001-59</t>
        </is>
      </c>
      <c r="C51" s="75" t="inlineStr">
        <is>
          <t>minimo_junior</t>
        </is>
      </c>
      <c r="D51" s="75" t="inlineStr">
        <is>
          <t>15%</t>
        </is>
      </c>
      <c r="E51" s="75" t="inlineStr">
        <is>
          <t>junior_pl</t>
        </is>
      </c>
      <c r="F51" s="75" t="inlineStr">
        <is>
          <t>payload_documental</t>
        </is>
      </c>
      <c r="G51" s="75" t="inlineStr">
        <is>
          <t>998769</t>
        </is>
      </c>
      <c r="H51" s="75" t="inlineStr">
        <is>
          <t>documento_curado</t>
        </is>
      </c>
      <c r="I51" s="75" t="inlineStr">
        <is>
          <t>2025-09-22</t>
        </is>
      </c>
      <c r="J51" s="75" t="inlineStr">
        <is>
          <t>44; 64</t>
        </is>
      </c>
      <c r="K51" s="75" t="inlineStr">
        <is>
          <t>aceito_payload</t>
        </is>
      </c>
      <c r="L51" s="144" t="n">
        <v>1</v>
      </c>
      <c r="M51" s="75" t="inlineStr">
        <is>
          <t>data/industry_study/generated_revision/artifact_payload.json</t>
        </is>
      </c>
      <c r="N51" s="75" t="inlineStr">
        <is>
          <t>https://fnet.bmfbovespa.com.br/fnet/publico/downloadDocumento?id=998769</t>
        </is>
      </c>
      <c r="O51" s="75" t="inlineStr">
        <is>
          <t>Índice mantido pelas cotas júnior / PL, mínimo de 15,0%; há classe mezanino.</t>
        </is>
      </c>
    </row>
    <row r="52" ht="43.5" customHeight="1">
      <c r="A52" s="142" t="n">
        <v>30035329000159</v>
      </c>
      <c r="B52" s="75" t="inlineStr">
        <is>
          <t>30.035.329/0001-59</t>
        </is>
      </c>
      <c r="C52" s="75" t="inlineStr">
        <is>
          <t>natureza_indice</t>
        </is>
      </c>
      <c r="D52" s="75" t="inlineStr">
        <is>
          <t>junior_pl</t>
        </is>
      </c>
      <c r="E52" s="75" t="inlineStr">
        <is>
          <t>junior_pl</t>
        </is>
      </c>
      <c r="F52" s="75" t="inlineStr">
        <is>
          <t>payload_documental</t>
        </is>
      </c>
      <c r="G52" s="75" t="inlineStr">
        <is>
          <t>998769</t>
        </is>
      </c>
      <c r="H52" s="75" t="inlineStr">
        <is>
          <t>documento_curado</t>
        </is>
      </c>
      <c r="I52" s="75" t="inlineStr">
        <is>
          <t>2025-09-22</t>
        </is>
      </c>
      <c r="J52" s="75" t="inlineStr">
        <is>
          <t>44; 64</t>
        </is>
      </c>
      <c r="K52" s="75" t="inlineStr">
        <is>
          <t>aceito_payload</t>
        </is>
      </c>
      <c r="L52" s="144" t="n">
        <v>1</v>
      </c>
      <c r="M52" s="75" t="inlineStr">
        <is>
          <t>data/industry_study/generated_revision/artifact_payload.json</t>
        </is>
      </c>
      <c r="N52" s="75" t="inlineStr">
        <is>
          <t>https://fnet.bmfbovespa.com.br/fnet/publico/downloadDocumento?id=998769</t>
        </is>
      </c>
      <c r="O52" s="75" t="inlineStr">
        <is>
          <t>Índice mantido pelas cotas júnior / PL, mínimo de 15,0%; há classe mezanino.</t>
        </is>
      </c>
    </row>
    <row r="53" ht="43.5" customHeight="1">
      <c r="A53" s="142" t="n">
        <v>30035329000159</v>
      </c>
      <c r="B53" s="75" t="inlineStr">
        <is>
          <t>30.035.329/0001-59</t>
        </is>
      </c>
      <c r="C53" s="75" t="inlineStr">
        <is>
          <t>sacado_devedor</t>
        </is>
      </c>
      <c r="D53"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E53" s="75" t="inlineStr">
        <is>
          <t>N/D</t>
        </is>
      </c>
      <c r="F53" s="75" t="inlineStr">
        <is>
          <t>regulamento</t>
        </is>
      </c>
      <c r="G53" s="75" t="inlineStr">
        <is>
          <t>989553</t>
        </is>
      </c>
      <c r="H53" s="75" t="inlineStr">
        <is>
          <t>Regulamento</t>
        </is>
      </c>
      <c r="I53" s="75" t="inlineStr">
        <is>
          <t>11/09/2025</t>
        </is>
      </c>
      <c r="J53" s="75" t="inlineStr">
        <is>
          <t>6</t>
        </is>
      </c>
      <c r="K53" s="75" t="inlineStr">
        <is>
          <t>encontrado_explicito</t>
        </is>
      </c>
      <c r="L53" s="144" t="n">
        <v>0.95</v>
      </c>
      <c r="M53" s="75" t="inlineStr">
        <is>
          <t>.cache/carteira_101_document_scan/30035329000159/989553.json.gz</t>
        </is>
      </c>
      <c r="N53" s="75" t="inlineStr">
        <is>
          <t>https://fnet.bmfbovespa.com.br/fnet/publico/downloadDocumento?id=989553</t>
        </is>
      </c>
      <c r="O53" s="75" t="inlineStr">
        <is>
          <t>no Capítulo 7 deste Regulamento. “Data de Integralização Inicial” A data da primeira integralização de Cotas. “Devedores” Significam pessoas físicas titulares de contas vinculadas do FGTS e que estejam com a opção da modalidade de Saque Aniversário vigente na data da contratação do empréstimo e emissão de CCBs, e que figurem na qualidade de devedores dos Direitos Creditórios. “Dia Útil” Qualquer dia que não seja (a) sábado, domingo ou feriado nacional; ou (b) dia em que, por qualquer moti</t>
        </is>
      </c>
    </row>
    <row r="54" ht="43.5" customHeight="1">
      <c r="A54" s="142" t="n">
        <v>30035329000159</v>
      </c>
      <c r="B54" s="75" t="inlineStr">
        <is>
          <t>30.035.329/0001-59</t>
        </is>
      </c>
      <c r="C54" s="75" t="inlineStr">
        <is>
          <t>sacado_devedor</t>
        </is>
      </c>
      <c r="D54"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E54" s="75" t="inlineStr">
        <is>
          <t>N/D</t>
        </is>
      </c>
      <c r="F54" s="75" t="inlineStr">
        <is>
          <t>regulamento</t>
        </is>
      </c>
      <c r="G54" s="75" t="inlineStr">
        <is>
          <t>998769</t>
        </is>
      </c>
      <c r="H54" s="75" t="inlineStr">
        <is>
          <t>Regulamento</t>
        </is>
      </c>
      <c r="I54" s="75" t="inlineStr">
        <is>
          <t>22/09/2025</t>
        </is>
      </c>
      <c r="J54" s="75" t="inlineStr">
        <is>
          <t>6</t>
        </is>
      </c>
      <c r="K54" s="75" t="inlineStr">
        <is>
          <t>encontrado_explicito</t>
        </is>
      </c>
      <c r="L54" s="144" t="n">
        <v>0.95</v>
      </c>
      <c r="M54" s="75" t="inlineStr">
        <is>
          <t>.cache/carteira_101_document_scan/30035329000159/998769.json.gz</t>
        </is>
      </c>
      <c r="N54" s="75" t="inlineStr">
        <is>
          <t>https://fnet.bmfbovespa.com.br/fnet/publico/downloadDocumento?id=998769</t>
        </is>
      </c>
      <c r="O54" s="75" t="inlineStr">
        <is>
          <t>postos no Capítulo 7 deste Regulamento. “Data de Integralização Inicial” A data da primeira integralização de Cotas. “Devedores” Significam pessoas físicas titulares de contas vinculadas do FGTS e que estejam com a opção da modalidade de Saque Aniversário vigente na data da contratação do empréstimo e emissão de CCBs, e que figurem na qualidade de devedores dos Direitos Creditórios. “Dia Útil” Qualquer dia que não seja (a) sábado, domingo ou feriado nacional; ou (b) dia em que, por qualquer motivo,</t>
        </is>
      </c>
    </row>
    <row r="55" ht="43.5" customHeight="1">
      <c r="A55" s="142" t="n">
        <v>31570767000180</v>
      </c>
      <c r="B55" s="75" t="inlineStr">
        <is>
          <t>31.570.767/0001-80</t>
        </is>
      </c>
      <c r="C55" s="75" t="inlineStr">
        <is>
          <t>cedente</t>
        </is>
      </c>
      <c r="D55" s="75" t="inlineStr">
        <is>
          <t>Trademaster</t>
        </is>
      </c>
      <c r="E55" s="75" t="inlineStr">
        <is>
          <t>N/D</t>
        </is>
      </c>
      <c r="F55" s="75" t="inlineStr">
        <is>
          <t>planilha_manual</t>
        </is>
      </c>
      <c r="G55" s="75" t="inlineStr">
        <is>
          <t>IMG_8706.JPG</t>
        </is>
      </c>
      <c r="H55" s="75" t="inlineStr">
        <is>
          <t>payload</t>
        </is>
      </c>
      <c r="I55" s="75" t="inlineStr">
        <is>
          <t>2026-05-25</t>
        </is>
      </c>
      <c r="J55" s="75" t="inlineStr">
        <is>
          <t>39</t>
        </is>
      </c>
      <c r="K55" s="75" t="inlineStr">
        <is>
          <t>aceito_payload</t>
        </is>
      </c>
      <c r="L55" s="144" t="n">
        <v>1</v>
      </c>
      <c r="M55" s="75" t="inlineStr">
        <is>
          <t>data/industry_study/generated_revision/artifact_payload.json</t>
        </is>
      </c>
      <c r="N55" s="75" t="inlineStr">
        <is>
          <t>N/D</t>
        </is>
      </c>
      <c r="O55" s="75" t="inlineStr">
        <is>
          <t>Denominação cortada pela largura da coluna na foto.</t>
        </is>
      </c>
    </row>
    <row r="56" ht="43.5" customHeight="1">
      <c r="A56" s="142" t="n">
        <v>31570767000180</v>
      </c>
      <c r="B56" s="75" t="inlineStr">
        <is>
          <t>31.570.767/0001-80</t>
        </is>
      </c>
      <c r="C56" s="75" t="inlineStr">
        <is>
          <t>minimo_junior</t>
        </is>
      </c>
      <c r="D56" s="75" t="inlineStr">
        <is>
          <t>5%</t>
        </is>
      </c>
      <c r="E56" s="75" t="inlineStr">
        <is>
          <t>junior_pl</t>
        </is>
      </c>
      <c r="F56" s="75" t="inlineStr">
        <is>
          <t>payload_documental</t>
        </is>
      </c>
      <c r="G56" s="75" t="inlineStr">
        <is>
          <t>1203635</t>
        </is>
      </c>
      <c r="H56" s="75" t="inlineStr">
        <is>
          <t>documento_curado</t>
        </is>
      </c>
      <c r="I56" s="75" t="inlineStr">
        <is>
          <t>2026-05-25</t>
        </is>
      </c>
      <c r="J56" s="75" t="inlineStr">
        <is>
          <t>39</t>
        </is>
      </c>
      <c r="K56" s="75" t="inlineStr">
        <is>
          <t>aceito_payload</t>
        </is>
      </c>
      <c r="L56" s="144" t="n">
        <v>1</v>
      </c>
      <c r="M56" s="75" t="inlineStr">
        <is>
          <t>data/industry_study/generated_revision/artifact_payload.json</t>
        </is>
      </c>
      <c r="N56" s="75" t="inlineStr">
        <is>
          <t>https://fnet.bmfbovespa.com.br/fnet/publico/downloadDocumento?id=1203635</t>
        </is>
      </c>
      <c r="O56" s="75" t="inlineStr">
        <is>
          <t>Cotas subordinadas júnior / PL, mínimo de 5,0%.</t>
        </is>
      </c>
    </row>
    <row r="57" ht="43.5" customHeight="1">
      <c r="A57" s="142" t="n">
        <v>31570767000180</v>
      </c>
      <c r="B57" s="75" t="inlineStr">
        <is>
          <t>31.570.767/0001-80</t>
        </is>
      </c>
      <c r="C57" s="75" t="inlineStr">
        <is>
          <t>natureza_indice</t>
        </is>
      </c>
      <c r="D57" s="75" t="inlineStr">
        <is>
          <t>junior_pl</t>
        </is>
      </c>
      <c r="E57" s="75" t="inlineStr">
        <is>
          <t>junior_pl</t>
        </is>
      </c>
      <c r="F57" s="75" t="inlineStr">
        <is>
          <t>payload_documental</t>
        </is>
      </c>
      <c r="G57" s="75" t="inlineStr">
        <is>
          <t>1203635</t>
        </is>
      </c>
      <c r="H57" s="75" t="inlineStr">
        <is>
          <t>documento_curado</t>
        </is>
      </c>
      <c r="I57" s="75" t="inlineStr">
        <is>
          <t>2026-05-25</t>
        </is>
      </c>
      <c r="J57" s="75" t="inlineStr">
        <is>
          <t>39</t>
        </is>
      </c>
      <c r="K57" s="75" t="inlineStr">
        <is>
          <t>aceito_payload</t>
        </is>
      </c>
      <c r="L57" s="144" t="n">
        <v>1</v>
      </c>
      <c r="M57" s="75" t="inlineStr">
        <is>
          <t>data/industry_study/generated_revision/artifact_payload.json</t>
        </is>
      </c>
      <c r="N57" s="75" t="inlineStr">
        <is>
          <t>https://fnet.bmfbovespa.com.br/fnet/publico/downloadDocumento?id=1203635</t>
        </is>
      </c>
      <c r="O57" s="75" t="inlineStr">
        <is>
          <t>Cotas subordinadas júnior / PL, mínimo de 5,0%.</t>
        </is>
      </c>
    </row>
    <row r="58" ht="43.5" customHeight="1">
      <c r="A58" s="142" t="n">
        <v>31739396000117</v>
      </c>
      <c r="B58" s="75" t="inlineStr">
        <is>
          <t>31.739.396/0001-17</t>
        </is>
      </c>
      <c r="C58" s="75" t="inlineStr">
        <is>
          <t>cedente</t>
        </is>
      </c>
      <c r="D58" s="75" t="inlineStr">
        <is>
          <t>Listo IP</t>
        </is>
      </c>
      <c r="E58" s="75" t="inlineStr">
        <is>
          <t>N/D</t>
        </is>
      </c>
      <c r="F58" s="75" t="inlineStr">
        <is>
          <t>planilha_manual</t>
        </is>
      </c>
      <c r="G58" s="75" t="inlineStr">
        <is>
          <t>IMG_8706.JPG</t>
        </is>
      </c>
      <c r="H58" s="75" t="inlineStr">
        <is>
          <t>payload</t>
        </is>
      </c>
      <c r="I58" s="75" t="inlineStr">
        <is>
          <t>2026-03-27</t>
        </is>
      </c>
      <c r="J58" s="75" t="inlineStr">
        <is>
          <t>39</t>
        </is>
      </c>
      <c r="K58" s="75" t="inlineStr">
        <is>
          <t>aceito_payload</t>
        </is>
      </c>
      <c r="L58" s="144" t="n">
        <v>1</v>
      </c>
      <c r="M58" s="75" t="inlineStr">
        <is>
          <t>data/industry_study/generated_revision/artifact_payload.json</t>
        </is>
      </c>
      <c r="N58" s="75" t="inlineStr">
        <is>
          <t>N/D</t>
        </is>
      </c>
      <c r="O58" s="75" t="inlineStr">
        <is>
          <t>OBS da foto: lista de concentração pré-aprovada.</t>
        </is>
      </c>
    </row>
    <row r="59" ht="43.5" customHeight="1">
      <c r="A59" s="142" t="n">
        <v>31739396000117</v>
      </c>
      <c r="B59" s="75" t="inlineStr">
        <is>
          <t>31.739.396/0001-17</t>
        </is>
      </c>
      <c r="C59" s="75" t="inlineStr">
        <is>
          <t>minimo_junior</t>
        </is>
      </c>
      <c r="D59" s="75" t="inlineStr">
        <is>
          <t>0.5%</t>
        </is>
      </c>
      <c r="E59" s="75" t="inlineStr">
        <is>
          <t>junior_pl</t>
        </is>
      </c>
      <c r="F59" s="75" t="inlineStr">
        <is>
          <t>payload_documental</t>
        </is>
      </c>
      <c r="G59" s="75" t="inlineStr">
        <is>
          <t>1146939</t>
        </is>
      </c>
      <c r="H59" s="75" t="inlineStr">
        <is>
          <t>documento_curado</t>
        </is>
      </c>
      <c r="I59" s="75" t="inlineStr">
        <is>
          <t>2026-03-27</t>
        </is>
      </c>
      <c r="J59" s="75" t="inlineStr">
        <is>
          <t>39</t>
        </is>
      </c>
      <c r="K59" s="75" t="inlineStr">
        <is>
          <t>aceito_payload</t>
        </is>
      </c>
      <c r="L59" s="144" t="n">
        <v>1</v>
      </c>
      <c r="M59" s="75" t="inlineStr">
        <is>
          <t>data/industry_study/generated_revision/artifact_payload.json</t>
        </is>
      </c>
      <c r="N59" s="75" t="inlineStr">
        <is>
          <t>https://fnet.bmfbovespa.com.br/fnet/publico/downloadDocumento?id=1146939</t>
        </is>
      </c>
      <c r="O59" s="75" t="inlineStr">
        <is>
          <t>Cotas subordinadas júnior / PL, mínimo de 0,5%.</t>
        </is>
      </c>
    </row>
    <row r="60" ht="43.5" customHeight="1">
      <c r="A60" s="142" t="n">
        <v>31739396000117</v>
      </c>
      <c r="B60" s="75" t="inlineStr">
        <is>
          <t>31.739.396/0001-17</t>
        </is>
      </c>
      <c r="C60" s="75" t="inlineStr">
        <is>
          <t>natureza_indice</t>
        </is>
      </c>
      <c r="D60" s="75" t="inlineStr">
        <is>
          <t>junior_pl</t>
        </is>
      </c>
      <c r="E60" s="75" t="inlineStr">
        <is>
          <t>junior_pl</t>
        </is>
      </c>
      <c r="F60" s="75" t="inlineStr">
        <is>
          <t>payload_documental</t>
        </is>
      </c>
      <c r="G60" s="75" t="inlineStr">
        <is>
          <t>1146939</t>
        </is>
      </c>
      <c r="H60" s="75" t="inlineStr">
        <is>
          <t>documento_curado</t>
        </is>
      </c>
      <c r="I60" s="75" t="inlineStr">
        <is>
          <t>2026-03-27</t>
        </is>
      </c>
      <c r="J60" s="75" t="inlineStr">
        <is>
          <t>39</t>
        </is>
      </c>
      <c r="K60" s="75" t="inlineStr">
        <is>
          <t>aceito_payload</t>
        </is>
      </c>
      <c r="L60" s="144" t="n">
        <v>1</v>
      </c>
      <c r="M60" s="75" t="inlineStr">
        <is>
          <t>data/industry_study/generated_revision/artifact_payload.json</t>
        </is>
      </c>
      <c r="N60" s="75" t="inlineStr">
        <is>
          <t>https://fnet.bmfbovespa.com.br/fnet/publico/downloadDocumento?id=1146939</t>
        </is>
      </c>
      <c r="O60" s="75" t="inlineStr">
        <is>
          <t>Cotas subordinadas júnior / PL, mínimo de 0,5%.</t>
        </is>
      </c>
    </row>
    <row r="61" ht="43.5" customHeight="1">
      <c r="A61" s="142" t="n">
        <v>31739396000117</v>
      </c>
      <c r="B61" s="75" t="inlineStr">
        <is>
          <t>31.739.396/0001-17</t>
        </is>
      </c>
      <c r="C61" s="75" t="inlineStr">
        <is>
          <t>originador</t>
        </is>
      </c>
      <c r="D61" s="75" t="inlineStr">
        <is>
          <t>LISTO INSTITUIÇÃO DE PAGAMENTO LTDA.</t>
        </is>
      </c>
      <c r="E61" s="75" t="inlineStr">
        <is>
          <t>rótulo explícito de participante v2</t>
        </is>
      </c>
      <c r="F61" s="75" t="inlineStr">
        <is>
          <t>rating_report</t>
        </is>
      </c>
      <c r="G61" s="75" t="inlineStr">
        <is>
          <t>1237167</t>
        </is>
      </c>
      <c r="H61" s="75" t="inlineStr">
        <is>
          <t>Relatórios Relatório de Agência de Rating</t>
        </is>
      </c>
      <c r="I61" s="75" t="inlineStr">
        <is>
          <t>26/06/2026</t>
        </is>
      </c>
      <c r="J61" s="75" t="inlineStr">
        <is>
          <t>1</t>
        </is>
      </c>
      <c r="K61" s="75" t="inlineStr">
        <is>
          <t>encontrado_explicito</t>
        </is>
      </c>
      <c r="L61" s="144" t="n">
        <v>0.93</v>
      </c>
      <c r="M61" s="75" t="inlineStr">
        <is>
          <t>.cache/carteira_101_document_scan/31739396000117/1237167.json.gz</t>
        </is>
      </c>
      <c r="N61" s="75" t="inlineStr">
        <is>
          <t>https://fnet.bmfbovespa.com.br/fnet/publico/downloadDocumento?id=1237167</t>
        </is>
      </c>
      <c r="O61" s="75" t="inlineStr">
        <is>
          <t>e no mesmo dia útil, repassados à conta da operação. Participantes da Operação Originador LISTO INSTITUIÇÃO DE PAGAMENTO LTDA. Gestor PETRA CAPITAL GESTÃO DE INVESTIMENTOS LTDA Administrador FINAXIS CORRETO</t>
        </is>
      </c>
    </row>
    <row r="62" ht="43.5" customHeight="1">
      <c r="A62" s="142" t="n">
        <v>31739396000117</v>
      </c>
      <c r="B62" s="75" t="inlineStr">
        <is>
          <t>31.739.396/0001-17</t>
        </is>
      </c>
      <c r="C62" s="75" t="inlineStr">
        <is>
          <t>tipo_recebivel</t>
        </is>
      </c>
      <c r="D62" s="75" t="inlineStr">
        <is>
          <t>os direitos creditórios detidos pela Cedente em face dos Devedores, equivalentes ao valor total das Transações de Pagamento realizadas pelos Usuários com a utilização de Instrumentos de Pagamentos para a aquisição de bens ou serviços nos Estabeleciment os Credenciados, após o desconto das taxas que constituem a remuneração dos Devedores (Emissores) e das Bandeiras, bem como de outras eventuais retenções previstas nas regras do Arranjo de Pagamento (tais como Chargebacks), conforme aplicável</t>
        </is>
      </c>
      <c r="E62" s="75" t="inlineStr">
        <is>
          <t>N/D</t>
        </is>
      </c>
      <c r="F62" s="75" t="inlineStr">
        <is>
          <t>regulamento</t>
        </is>
      </c>
      <c r="G62" s="75" t="inlineStr">
        <is>
          <t>1017589</t>
        </is>
      </c>
      <c r="H62" s="75" t="inlineStr">
        <is>
          <t>Regulamento</t>
        </is>
      </c>
      <c r="I62" s="75" t="inlineStr">
        <is>
          <t>20/10/2025</t>
        </is>
      </c>
      <c r="J62" s="75" t="inlineStr">
        <is>
          <t>10</t>
        </is>
      </c>
      <c r="K62" s="75" t="inlineStr">
        <is>
          <t>encontrado_explicito</t>
        </is>
      </c>
      <c r="L62" s="144" t="n">
        <v>0.92</v>
      </c>
      <c r="M62" s="75" t="inlineStr">
        <is>
          <t>.cache/carteira_101_document_scan/31739396000117/1017589.json.gz</t>
        </is>
      </c>
      <c r="N62" s="75" t="inlineStr">
        <is>
          <t>https://fnet.bmfbovespa.com.br/fnet/publico/downloadDocumento?id=1017589</t>
        </is>
      </c>
      <c r="O62" s="75" t="inlineStr">
        <is>
          <t>rcado financeiro, conforme especificado na Resolução CMN nº 4.880, de 23 de dezembro de 2020. “Direitos Creditórios” são os direitos creditórios detidos pela Cedente em face dos Devedores, equivalentes ao valor total das Transações de Pagamento realizadas pelos Usuários com a utilização de Instrumentos de Pagamentos para a aquisição de bens ou serviços nos Estabeleciment os Credenciados, após o desconto das taxas que constituem a remuneração dos Devedores (Emissores) e das Bandeiras, bem como de outras eventuais retenções previstas nas regras do Arranjo de Pagamento (tais como Chargebacks), conforme aplicável. “Direitos Creditórios Cedidos” são os Direitos Creditórios Elegíveis, observados os Critério</t>
        </is>
      </c>
    </row>
    <row r="63" ht="43.5" customHeight="1">
      <c r="A63" s="142" t="n">
        <v>31739396000117</v>
      </c>
      <c r="B63" s="75" t="inlineStr">
        <is>
          <t>31.739.396/0001-17</t>
        </is>
      </c>
      <c r="C63" s="75" t="inlineStr">
        <is>
          <t>tipo_recebivel</t>
        </is>
      </c>
      <c r="D63" s="75" t="inlineStr">
        <is>
          <t>os direitos creditórios detidos pela Cedente em face dos Devedores, equivalentes ao valor total das Transações de Pagamento realizadas pelos Usuários com a utilização de Instrumentos de Pagamentos para a aquisição de bens ou serviços nos Estabeleciment os Credenciados, após o desconto das taxas que constituem a remuneração dos Devedores (Emissores) e das Bandeiras, bem como de outras eventuais retenções previstas nas regras do Arranjo de Pagamento (tais como Chargebacks), conforme aplicável</t>
        </is>
      </c>
      <c r="E63" s="75" t="inlineStr">
        <is>
          <t>N/D</t>
        </is>
      </c>
      <c r="F63" s="75" t="inlineStr">
        <is>
          <t>regulamento</t>
        </is>
      </c>
      <c r="G63" s="75" t="inlineStr">
        <is>
          <t>1146939</t>
        </is>
      </c>
      <c r="H63" s="75" t="inlineStr">
        <is>
          <t>Regulamento</t>
        </is>
      </c>
      <c r="I63" s="75" t="inlineStr">
        <is>
          <t>27/03/2026</t>
        </is>
      </c>
      <c r="J63" s="75" t="inlineStr">
        <is>
          <t>10</t>
        </is>
      </c>
      <c r="K63" s="75" t="inlineStr">
        <is>
          <t>encontrado_explicito</t>
        </is>
      </c>
      <c r="L63" s="144" t="n">
        <v>0.92</v>
      </c>
      <c r="M63" s="75" t="inlineStr">
        <is>
          <t>.cache/carteira_101_document_scan/31739396000117/1146939.json.gz</t>
        </is>
      </c>
      <c r="N63" s="75" t="inlineStr">
        <is>
          <t>https://fnet.bmfbovespa.com.br/fnet/publico/downloadDocumento?id=1146939</t>
        </is>
      </c>
      <c r="O63" s="75" t="inlineStr">
        <is>
          <t>rcado financeiro, conforme especificado na Resolução CMN nº 4.880, de 23 de dezembro de 2020. “Direitos Creditórios” são os direitos creditórios detidos pela Cedente em face dos Devedores, equivalentes ao valor total das Transações de Pagamento realizadas pelos Usuários com a utilização de Instrumentos de Pagamentos para a aquisição de bens ou serviços nos Estabeleciment os Credenciados, após o desconto das taxas que constituem a remuneração dos Devedores (Emissores) e das Bandeiras, bem como de outras eventuais retenções previstas nas regras do Arranjo de Pagamento (tais como Chargebacks), conforme aplicável. “Direitos Creditórios Cedidos” são os Direitos Creditórios Elegíveis, observados os Critério</t>
        </is>
      </c>
    </row>
    <row r="64" ht="43.5" customHeight="1">
      <c r="A64" s="142" t="n">
        <v>31739396000117</v>
      </c>
      <c r="B64" s="75" t="inlineStr">
        <is>
          <t>31.739.396/0001-17</t>
        </is>
      </c>
      <c r="C64" s="75" t="inlineStr">
        <is>
          <t>tipo_recebivel</t>
        </is>
      </c>
      <c r="D64" s="75" t="inlineStr">
        <is>
          <t>Risco Bancos Emissores Diversos</t>
        </is>
      </c>
      <c r="E64" s="75" t="inlineStr">
        <is>
          <t>N/D</t>
        </is>
      </c>
      <c r="F64" s="75" t="inlineStr">
        <is>
          <t>planilha_manual</t>
        </is>
      </c>
      <c r="G64" s="75" t="inlineStr">
        <is>
          <t>IMG_8706.JPG</t>
        </is>
      </c>
      <c r="H64" s="75" t="inlineStr">
        <is>
          <t>payload</t>
        </is>
      </c>
      <c r="I64" s="75" t="inlineStr">
        <is>
          <t>2026-03-27</t>
        </is>
      </c>
      <c r="J64" s="75" t="inlineStr">
        <is>
          <t>39</t>
        </is>
      </c>
      <c r="K64" s="75" t="inlineStr">
        <is>
          <t>aceito_payload</t>
        </is>
      </c>
      <c r="L64" s="144" t="n">
        <v>1</v>
      </c>
      <c r="M64" s="75" t="inlineStr">
        <is>
          <t>data/industry_study/generated_revision/artifact_payload.json</t>
        </is>
      </c>
      <c r="N64" s="75" t="inlineStr">
        <is>
          <t>N/D</t>
        </is>
      </c>
      <c r="O64" s="75" t="inlineStr">
        <is>
          <t>OBS da foto: lista de concentração pré-aprovada.</t>
        </is>
      </c>
    </row>
    <row r="65" ht="43.5" customHeight="1">
      <c r="A65" s="142" t="n">
        <v>32526025000110</v>
      </c>
      <c r="B65" s="75" t="inlineStr">
        <is>
          <t>32.526.025/0001-10</t>
        </is>
      </c>
      <c r="C65" s="75" t="inlineStr">
        <is>
          <t>minimo_junior</t>
        </is>
      </c>
      <c r="D65" s="75" t="inlineStr">
        <is>
          <t>75%</t>
        </is>
      </c>
      <c r="E65" s="75" t="inlineStr">
        <is>
          <t>junior_pl</t>
        </is>
      </c>
      <c r="F65" s="75" t="inlineStr">
        <is>
          <t>payload_documental</t>
        </is>
      </c>
      <c r="G65" s="75" t="inlineStr">
        <is>
          <t>1186789</t>
        </is>
      </c>
      <c r="H65" s="75" t="inlineStr">
        <is>
          <t>documento_curado</t>
        </is>
      </c>
      <c r="I65" s="75" t="inlineStr">
        <is>
          <t>2026-05-12</t>
        </is>
      </c>
      <c r="J65" s="75" t="inlineStr">
        <is>
          <t>57</t>
        </is>
      </c>
      <c r="K65" s="75" t="inlineStr">
        <is>
          <t>aceito_payload</t>
        </is>
      </c>
      <c r="L65" s="144" t="n">
        <v>1</v>
      </c>
      <c r="M65" s="75" t="inlineStr">
        <is>
          <t>data/industry_study/generated_revision/artifact_payload.json</t>
        </is>
      </c>
      <c r="N65" s="75" t="inlineStr">
        <is>
          <t>https://fnet.bmfbovespa.com.br/fnet/publico/downloadDocumento?id=1186789</t>
        </is>
      </c>
      <c r="O65" s="75" t="inlineStr">
        <is>
          <t>Enquanto não houver cota mezanino, cotas júnior / PL, mínimo de 75,0%.</t>
        </is>
      </c>
    </row>
    <row r="66" ht="43.5" customHeight="1">
      <c r="A66" s="142" t="n">
        <v>32526025000110</v>
      </c>
      <c r="B66" s="75" t="inlineStr">
        <is>
          <t>32.526.025/0001-10</t>
        </is>
      </c>
      <c r="C66" s="75" t="inlineStr">
        <is>
          <t>natureza_indice</t>
        </is>
      </c>
      <c r="D66" s="75" t="inlineStr">
        <is>
          <t>junior_pl</t>
        </is>
      </c>
      <c r="E66" s="75" t="inlineStr">
        <is>
          <t>junior_pl</t>
        </is>
      </c>
      <c r="F66" s="75" t="inlineStr">
        <is>
          <t>payload_documental</t>
        </is>
      </c>
      <c r="G66" s="75" t="inlineStr">
        <is>
          <t>1186789</t>
        </is>
      </c>
      <c r="H66" s="75" t="inlineStr">
        <is>
          <t>documento_curado</t>
        </is>
      </c>
      <c r="I66" s="75" t="inlineStr">
        <is>
          <t>2026-05-12</t>
        </is>
      </c>
      <c r="J66" s="75" t="inlineStr">
        <is>
          <t>57</t>
        </is>
      </c>
      <c r="K66" s="75" t="inlineStr">
        <is>
          <t>aceito_payload</t>
        </is>
      </c>
      <c r="L66" s="144" t="n">
        <v>1</v>
      </c>
      <c r="M66" s="75" t="inlineStr">
        <is>
          <t>data/industry_study/generated_revision/artifact_payload.json</t>
        </is>
      </c>
      <c r="N66" s="75" t="inlineStr">
        <is>
          <t>https://fnet.bmfbovespa.com.br/fnet/publico/downloadDocumento?id=1186789</t>
        </is>
      </c>
      <c r="O66" s="75" t="inlineStr">
        <is>
          <t>Enquanto não houver cota mezanino, cotas júnior / PL, mínimo de 75,0%.</t>
        </is>
      </c>
    </row>
    <row r="67" ht="43.5" customHeight="1">
      <c r="A67" s="142" t="n">
        <v>33076242000118</v>
      </c>
      <c r="B67" s="75" t="inlineStr">
        <is>
          <t>33.076.242/0001-18</t>
        </is>
      </c>
      <c r="C67" s="75" t="inlineStr">
        <is>
          <t>cedente</t>
        </is>
      </c>
      <c r="D67" s="75" t="inlineStr">
        <is>
          <t>Albaugh Agro</t>
        </is>
      </c>
      <c r="E67" s="75" t="inlineStr">
        <is>
          <t>rótulo explícito de participante v2</t>
        </is>
      </c>
      <c r="F67" s="75" t="inlineStr">
        <is>
          <t>rating_report</t>
        </is>
      </c>
      <c r="G67" s="75" t="inlineStr">
        <is>
          <t>901460</t>
        </is>
      </c>
      <c r="H67" s="75" t="inlineStr">
        <is>
          <t>Relatórios Relatório de Agência de Rating</t>
        </is>
      </c>
      <c r="I67" s="75" t="inlineStr">
        <is>
          <t>08/05/2025</t>
        </is>
      </c>
      <c r="J67" s="75" t="inlineStr">
        <is>
          <t>6</t>
        </is>
      </c>
      <c r="K67" s="75" t="inlineStr">
        <is>
          <t>encontrado_explicito</t>
        </is>
      </c>
      <c r="L67" s="144" t="n">
        <v>0.93</v>
      </c>
      <c r="M67" s="75" t="inlineStr">
        <is>
          <t>.cache/carteira_101_document_scan/33076242000118/901460.json.gz</t>
        </is>
      </c>
      <c r="N67" s="75" t="inlineStr">
        <is>
          <t>https://fnet.bmfbovespa.com.br/fnet/publico/downloadDocumento?id=901460</t>
        </is>
      </c>
      <c r="O67" s="75" t="inlineStr">
        <is>
          <t>ões provenientes da(s) seguinte(s) fonte(s): Oliveira Trust (Administradora) e Albaugh Agro (Cedente). 7. As informações obtidas pela Austin Rating foram consideradas suficientes p</t>
        </is>
      </c>
    </row>
    <row r="68" ht="43.5" customHeight="1">
      <c r="A68" s="142" t="n">
        <v>33076242000118</v>
      </c>
      <c r="B68" s="75" t="inlineStr">
        <is>
          <t>33.076.242/0001-18</t>
        </is>
      </c>
      <c r="C68" s="75" t="inlineStr">
        <is>
          <t>cedente</t>
        </is>
      </c>
      <c r="D68" s="75" t="inlineStr">
        <is>
          <t>Albaugh Agro</t>
        </is>
      </c>
      <c r="E68" s="75" t="inlineStr">
        <is>
          <t>rótulo explícito de participante v2</t>
        </is>
      </c>
      <c r="F68" s="75" t="inlineStr">
        <is>
          <t>rating_report</t>
        </is>
      </c>
      <c r="G68" s="75" t="inlineStr">
        <is>
          <t>978141</t>
        </is>
      </c>
      <c r="H68" s="75" t="inlineStr">
        <is>
          <t>Relatórios Relatório de Agência de Rating</t>
        </is>
      </c>
      <c r="I68" s="75" t="inlineStr">
        <is>
          <t>22/08/2025</t>
        </is>
      </c>
      <c r="J68" s="75" t="inlineStr">
        <is>
          <t>5</t>
        </is>
      </c>
      <c r="K68" s="75" t="inlineStr">
        <is>
          <t>encontrado_explicito</t>
        </is>
      </c>
      <c r="L68" s="144" t="n">
        <v>0.93</v>
      </c>
      <c r="M68" s="75" t="inlineStr">
        <is>
          <t>.cache/carteira_101_document_scan/33076242000118/978141.json.gz</t>
        </is>
      </c>
      <c r="N68" s="75" t="inlineStr">
        <is>
          <t>https://fnet.bmfbovespa.com.br/fnet/publico/downloadDocumento?id=978141</t>
        </is>
      </c>
      <c r="O68" s="75" t="inlineStr">
        <is>
          <t>ões provenientes da(s) seguinte(s) fonte(s): Oliveira Trust (Administradora) e Albaugh Agro (Cedente). 7. As informações obtidas pela Austin Rating foram consideradas suficientes p</t>
        </is>
      </c>
    </row>
    <row r="69" ht="43.5" customHeight="1">
      <c r="A69" s="142" t="n">
        <v>33076242000118</v>
      </c>
      <c r="B69" s="75" t="inlineStr">
        <is>
          <t>33.076.242/0001-18</t>
        </is>
      </c>
      <c r="C69" s="75" t="inlineStr">
        <is>
          <t>cedente</t>
        </is>
      </c>
      <c r="D69" s="75" t="inlineStr">
        <is>
          <t>Albaugh</t>
        </is>
      </c>
      <c r="E69" s="75" t="inlineStr">
        <is>
          <t>N/D</t>
        </is>
      </c>
      <c r="F69" s="75" t="inlineStr">
        <is>
          <t>planilha_manual</t>
        </is>
      </c>
      <c r="G69" s="75" t="inlineStr">
        <is>
          <t>IMG_8704.JPG</t>
        </is>
      </c>
      <c r="H69" s="75" t="inlineStr">
        <is>
          <t>payload</t>
        </is>
      </c>
      <c r="I69" s="75" t="inlineStr">
        <is>
          <t>2025-12-12</t>
        </is>
      </c>
      <c r="J69" s="75" t="inlineStr">
        <is>
          <t>61</t>
        </is>
      </c>
      <c r="K69" s="75" t="inlineStr">
        <is>
          <t>aceito_payload</t>
        </is>
      </c>
      <c r="L69" s="144" t="n">
        <v>1</v>
      </c>
      <c r="M69" s="75" t="inlineStr">
        <is>
          <t>data/industry_study/generated_revision/artifact_payload.json</t>
        </is>
      </c>
      <c r="N69" s="75" t="inlineStr">
        <is>
          <t>N/D</t>
        </is>
      </c>
      <c r="O69" s="75" t="inlineStr">
        <is>
          <t>OBS legível: evento de avaliação por não pagamento de juros; o identificador de concentração e o restante do texto exigem revisão.</t>
        </is>
      </c>
    </row>
    <row r="70" ht="43.5" customHeight="1">
      <c r="A70" s="142" t="n">
        <v>33076242000118</v>
      </c>
      <c r="B70" s="75" t="inlineStr">
        <is>
          <t>33.076.242/0001-18</t>
        </is>
      </c>
      <c r="C70" s="75" t="inlineStr">
        <is>
          <t>minimo_estrutural_total</t>
        </is>
      </c>
      <c r="D70" s="75" t="inlineStr">
        <is>
          <t>20%</t>
        </is>
      </c>
      <c r="E70" s="75" t="inlineStr">
        <is>
          <t>suporte_total_pl</t>
        </is>
      </c>
      <c r="F70" s="75" t="inlineStr">
        <is>
          <t>payload_documental</t>
        </is>
      </c>
      <c r="G70" s="75" t="inlineStr">
        <is>
          <t>1060211</t>
        </is>
      </c>
      <c r="H70" s="75" t="inlineStr">
        <is>
          <t>documento_curado</t>
        </is>
      </c>
      <c r="I70" s="75" t="inlineStr">
        <is>
          <t>2025-12-12</t>
        </is>
      </c>
      <c r="J70" s="75" t="inlineStr">
        <is>
          <t>61</t>
        </is>
      </c>
      <c r="K70" s="75" t="inlineStr">
        <is>
          <t>aceito_payload</t>
        </is>
      </c>
      <c r="L70" s="144" t="n">
        <v>1</v>
      </c>
      <c r="M70" s="75" t="inlineStr">
        <is>
          <t>data/industry_study/generated_revision/artifact_payload.json</t>
        </is>
      </c>
      <c r="N70" s="75" t="inlineStr">
        <is>
          <t>https://fnet.bmfbovespa.com.br/fnet/publico/downloadDocumento?id=1060211</t>
        </is>
      </c>
      <c r="O70" s="75" t="inlineStr">
        <is>
          <t>Cotas subordinadas / PL, mínimo de 20,0%; estrutura com uma única classe residual.</t>
        </is>
      </c>
    </row>
    <row r="71" ht="43.5" customHeight="1">
      <c r="A71" s="142" t="n">
        <v>33076242000118</v>
      </c>
      <c r="B71" s="75" t="inlineStr">
        <is>
          <t>33.076.242/0001-18</t>
        </is>
      </c>
      <c r="C71" s="75" t="inlineStr">
        <is>
          <t>minimo_junior</t>
        </is>
      </c>
      <c r="D71" s="75" t="inlineStr">
        <is>
          <t>20%</t>
        </is>
      </c>
      <c r="E71" s="75" t="inlineStr">
        <is>
          <t>junior_pl</t>
        </is>
      </c>
      <c r="F71" s="75" t="inlineStr">
        <is>
          <t>payload_documental</t>
        </is>
      </c>
      <c r="G71" s="75" t="inlineStr">
        <is>
          <t>1060211</t>
        </is>
      </c>
      <c r="H71" s="75" t="inlineStr">
        <is>
          <t>documento_curado</t>
        </is>
      </c>
      <c r="I71" s="75" t="inlineStr">
        <is>
          <t>2025-12-12</t>
        </is>
      </c>
      <c r="J71" s="75" t="inlineStr">
        <is>
          <t>61</t>
        </is>
      </c>
      <c r="K71" s="75" t="inlineStr">
        <is>
          <t>aceito_payload</t>
        </is>
      </c>
      <c r="L71" s="144" t="n">
        <v>1</v>
      </c>
      <c r="M71" s="75" t="inlineStr">
        <is>
          <t>data/industry_study/generated_revision/artifact_payload.json</t>
        </is>
      </c>
      <c r="N71" s="75" t="inlineStr">
        <is>
          <t>https://fnet.bmfbovespa.com.br/fnet/publico/downloadDocumento?id=1060211</t>
        </is>
      </c>
      <c r="O71" s="75" t="inlineStr">
        <is>
          <t>Cotas subordinadas / PL, mínimo de 20,0%; estrutura com uma única classe residual.</t>
        </is>
      </c>
    </row>
    <row r="72" ht="43.5" customHeight="1">
      <c r="A72" s="142" t="n">
        <v>33076242000118</v>
      </c>
      <c r="B72" s="75" t="inlineStr">
        <is>
          <t>33.076.242/0001-18</t>
        </is>
      </c>
      <c r="C72" s="75" t="inlineStr">
        <is>
          <t>natureza_indice</t>
        </is>
      </c>
      <c r="D72" s="75" t="inlineStr">
        <is>
          <t>junior_pl</t>
        </is>
      </c>
      <c r="E72" s="75" t="inlineStr">
        <is>
          <t>junior_pl</t>
        </is>
      </c>
      <c r="F72" s="75" t="inlineStr">
        <is>
          <t>payload_documental</t>
        </is>
      </c>
      <c r="G72" s="75" t="inlineStr">
        <is>
          <t>1060211</t>
        </is>
      </c>
      <c r="H72" s="75" t="inlineStr">
        <is>
          <t>documento_curado</t>
        </is>
      </c>
      <c r="I72" s="75" t="inlineStr">
        <is>
          <t>2025-12-12</t>
        </is>
      </c>
      <c r="J72" s="75" t="inlineStr">
        <is>
          <t>61</t>
        </is>
      </c>
      <c r="K72" s="75" t="inlineStr">
        <is>
          <t>aceito_payload</t>
        </is>
      </c>
      <c r="L72" s="144" t="n">
        <v>1</v>
      </c>
      <c r="M72" s="75" t="inlineStr">
        <is>
          <t>data/industry_study/generated_revision/artifact_payload.json</t>
        </is>
      </c>
      <c r="N72" s="75" t="inlineStr">
        <is>
          <t>https://fnet.bmfbovespa.com.br/fnet/publico/downloadDocumento?id=1060211</t>
        </is>
      </c>
      <c r="O72" s="75" t="inlineStr">
        <is>
          <t>Cotas subordinadas / PL, mínimo de 20,0%; estrutura com uma única classe residual.</t>
        </is>
      </c>
    </row>
    <row r="73" ht="43.5" customHeight="1">
      <c r="A73" s="142" t="n">
        <v>35868110000154</v>
      </c>
      <c r="B73" s="75" t="inlineStr">
        <is>
          <t>35.868.110/0001-54</t>
        </is>
      </c>
      <c r="C73" s="75" t="inlineStr">
        <is>
          <t>cedente</t>
        </is>
      </c>
      <c r="D73" s="75" t="inlineStr">
        <is>
          <t>Banco Votorantim</t>
        </is>
      </c>
      <c r="E73" s="75" t="inlineStr">
        <is>
          <t>N/D</t>
        </is>
      </c>
      <c r="F73" s="75" t="inlineStr">
        <is>
          <t>planilha_manual</t>
        </is>
      </c>
      <c r="G73" s="75" t="inlineStr">
        <is>
          <t>IMG_8705.JPG</t>
        </is>
      </c>
      <c r="H73" s="75" t="inlineStr">
        <is>
          <t>payload</t>
        </is>
      </c>
      <c r="I73" s="75" t="inlineStr">
        <is>
          <t>2024-11-27</t>
        </is>
      </c>
      <c r="J73" s="75" t="inlineStr">
        <is>
          <t>48</t>
        </is>
      </c>
      <c r="K73" s="75" t="inlineStr">
        <is>
          <t>aceito_payload</t>
        </is>
      </c>
      <c r="L73" s="144" t="n">
        <v>1</v>
      </c>
      <c r="M73" s="75" t="inlineStr">
        <is>
          <t>data/industry_study/generated_revision/artifact_payload.json</t>
        </is>
      </c>
      <c r="N73" s="75" t="inlineStr">
        <is>
          <t>N/D</t>
        </is>
      </c>
      <c r="O73" s="75" t="inlineStr">
        <is>
          <t>N/D</t>
        </is>
      </c>
    </row>
    <row r="74" ht="43.5" customHeight="1">
      <c r="A74" s="142" t="n">
        <v>35868110000154</v>
      </c>
      <c r="B74" s="75" t="inlineStr">
        <is>
          <t>35.868.110/0001-54</t>
        </is>
      </c>
      <c r="C74" s="75" t="inlineStr">
        <is>
          <t>cedente</t>
        </is>
      </c>
      <c r="D74" s="75" t="inlineStr">
        <is>
          <t>09.346.601/0001-25</t>
        </is>
      </c>
      <c r="E74" s="75" t="inlineStr">
        <is>
          <t>N/D</t>
        </is>
      </c>
      <c r="F74" s="75" t="inlineStr">
        <is>
          <t>candidate_extraction</t>
        </is>
      </c>
      <c r="G74" s="75" t="inlineStr">
        <is>
          <t>35868110000154</t>
        </is>
      </c>
      <c r="H74" s="75" t="inlineStr">
        <is>
          <t>extração heurística</t>
        </is>
      </c>
      <c r="I74" s="75" t="inlineStr">
        <is>
          <t>N/D</t>
        </is>
      </c>
      <c r="J74" s="75" t="inlineStr">
        <is>
          <t>N/D</t>
        </is>
      </c>
      <c r="K74" s="75" t="inlineStr">
        <is>
          <t>candidato_revisao</t>
        </is>
      </c>
      <c r="L74" s="144" t="n">
        <v>0.95</v>
      </c>
      <c r="M74" s="75" t="inlineStr">
        <is>
          <t>outputs/fidc_director_deep_diagnostic_20260609/pdf_text_cache/35868110000154_792021_regulamento_regulamento_792021_2024-11-27.txt</t>
        </is>
      </c>
      <c r="N74" s="75" t="inlineStr">
        <is>
          <t>https://fnet.bmfbovespa.com.br/fnet/publico/downloadDocumento?id=35868110000154</t>
        </is>
      </c>
      <c r="O74" s="75" t="inlineStr">
        <is>
          <t>.º 09.346.601/0001-25. C3 Central de Cessão de Créditos, operada pela Câmara Interbancária de Pagam entos (CIP), na qual deverão ser registradas e liquidadas as operações de cessão de Direitos Creditórios entre o Cedente e o Fundo, nos termos da Resolução CMN 3.998/11 e da Circular BACEN 3.553/11. Cedente Significa o Banco Votorantim S.A., acima qualificado, na qualidade de cedente dos Direitos Creditórios ao Fundo, nos termos do C</t>
        </is>
      </c>
    </row>
    <row r="75" ht="43.5" customHeight="1">
      <c r="A75" s="142" t="n">
        <v>35868110000154</v>
      </c>
      <c r="B75" s="75" t="inlineStr">
        <is>
          <t>35.868.110/0001-54</t>
        </is>
      </c>
      <c r="C75" s="75" t="inlineStr">
        <is>
          <t>minimo_estrutural_total</t>
        </is>
      </c>
      <c r="D75" s="75" t="inlineStr">
        <is>
          <t>25%</t>
        </is>
      </c>
      <c r="E75" s="75" t="inlineStr">
        <is>
          <t>suporte_total_pl</t>
        </is>
      </c>
      <c r="F75" s="75" t="inlineStr">
        <is>
          <t>payload_documental</t>
        </is>
      </c>
      <c r="G75" s="75" t="inlineStr">
        <is>
          <t>792021</t>
        </is>
      </c>
      <c r="H75" s="75" t="inlineStr">
        <is>
          <t>documento_curado</t>
        </is>
      </c>
      <c r="I75" s="75" t="inlineStr">
        <is>
          <t>2024-11-27</t>
        </is>
      </c>
      <c r="J75" s="75" t="inlineStr">
        <is>
          <t>48</t>
        </is>
      </c>
      <c r="K75" s="75" t="inlineStr">
        <is>
          <t>aceito_payload</t>
        </is>
      </c>
      <c r="L75" s="144" t="n">
        <v>1</v>
      </c>
      <c r="M75" s="75" t="inlineStr">
        <is>
          <t>data/industry_study/generated_revision/artifact_payload.json</t>
        </is>
      </c>
      <c r="N75" s="75" t="inlineStr">
        <is>
          <t>https://fnet.bmfbovespa.com.br/fnet/publico/downloadDocumento?id=792021</t>
        </is>
      </c>
      <c r="O75" s="75" t="inlineStr">
        <is>
          <t>Cotas subordinadas / PL, mínimo de 25,0%; estrutura com uma única classe residual.</t>
        </is>
      </c>
    </row>
    <row r="76" ht="43.5" customHeight="1">
      <c r="A76" s="142" t="n">
        <v>35868110000154</v>
      </c>
      <c r="B76" s="75" t="inlineStr">
        <is>
          <t>35.868.110/0001-54</t>
        </is>
      </c>
      <c r="C76" s="75" t="inlineStr">
        <is>
          <t>minimo_junior</t>
        </is>
      </c>
      <c r="D76" s="75" t="inlineStr">
        <is>
          <t>25%</t>
        </is>
      </c>
      <c r="E76" s="75" t="inlineStr">
        <is>
          <t>junior_pl</t>
        </is>
      </c>
      <c r="F76" s="75" t="inlineStr">
        <is>
          <t>payload_documental</t>
        </is>
      </c>
      <c r="G76" s="75" t="inlineStr">
        <is>
          <t>792021</t>
        </is>
      </c>
      <c r="H76" s="75" t="inlineStr">
        <is>
          <t>documento_curado</t>
        </is>
      </c>
      <c r="I76" s="75" t="inlineStr">
        <is>
          <t>2024-11-27</t>
        </is>
      </c>
      <c r="J76" s="75" t="inlineStr">
        <is>
          <t>48</t>
        </is>
      </c>
      <c r="K76" s="75" t="inlineStr">
        <is>
          <t>aceito_payload</t>
        </is>
      </c>
      <c r="L76" s="144" t="n">
        <v>1</v>
      </c>
      <c r="M76" s="75" t="inlineStr">
        <is>
          <t>data/industry_study/generated_revision/artifact_payload.json</t>
        </is>
      </c>
      <c r="N76" s="75" t="inlineStr">
        <is>
          <t>https://fnet.bmfbovespa.com.br/fnet/publico/downloadDocumento?id=792021</t>
        </is>
      </c>
      <c r="O76" s="75" t="inlineStr">
        <is>
          <t>Cotas subordinadas / PL, mínimo de 25,0%; estrutura com uma única classe residual.</t>
        </is>
      </c>
    </row>
    <row r="77" ht="43.5" customHeight="1">
      <c r="A77" s="142" t="n">
        <v>35868110000154</v>
      </c>
      <c r="B77" s="75" t="inlineStr">
        <is>
          <t>35.868.110/0001-54</t>
        </is>
      </c>
      <c r="C77" s="75" t="inlineStr">
        <is>
          <t>natureza_indice</t>
        </is>
      </c>
      <c r="D77" s="75" t="inlineStr">
        <is>
          <t>junior_pl</t>
        </is>
      </c>
      <c r="E77" s="75" t="inlineStr">
        <is>
          <t>junior_pl</t>
        </is>
      </c>
      <c r="F77" s="75" t="inlineStr">
        <is>
          <t>payload_documental</t>
        </is>
      </c>
      <c r="G77" s="75" t="inlineStr">
        <is>
          <t>792021</t>
        </is>
      </c>
      <c r="H77" s="75" t="inlineStr">
        <is>
          <t>documento_curado</t>
        </is>
      </c>
      <c r="I77" s="75" t="inlineStr">
        <is>
          <t>2024-11-27</t>
        </is>
      </c>
      <c r="J77" s="75" t="inlineStr">
        <is>
          <t>48</t>
        </is>
      </c>
      <c r="K77" s="75" t="inlineStr">
        <is>
          <t>aceito_payload</t>
        </is>
      </c>
      <c r="L77" s="144" t="n">
        <v>1</v>
      </c>
      <c r="M77" s="75" t="inlineStr">
        <is>
          <t>data/industry_study/generated_revision/artifact_payload.json</t>
        </is>
      </c>
      <c r="N77" s="75" t="inlineStr">
        <is>
          <t>https://fnet.bmfbovespa.com.br/fnet/publico/downloadDocumento?id=792021</t>
        </is>
      </c>
      <c r="O77" s="75" t="inlineStr">
        <is>
          <t>Cotas subordinadas / PL, mínimo de 25,0%; estrutura com uma única classe residual.</t>
        </is>
      </c>
    </row>
    <row r="78" ht="43.5" customHeight="1">
      <c r="A78" s="142" t="n">
        <v>35868110000154</v>
      </c>
      <c r="B78" s="75" t="inlineStr">
        <is>
          <t>35.868.110/0001-54</t>
        </is>
      </c>
      <c r="C78" s="75" t="inlineStr">
        <is>
          <t>sacado_devedor</t>
        </is>
      </c>
      <c r="D78" s="75" t="inlineStr">
        <is>
          <t>59.588.111/0001-03</t>
        </is>
      </c>
      <c r="E78" s="75" t="inlineStr">
        <is>
          <t>N/D</t>
        </is>
      </c>
      <c r="F78" s="75" t="inlineStr">
        <is>
          <t>candidate_extraction</t>
        </is>
      </c>
      <c r="G78" s="75" t="inlineStr">
        <is>
          <t>35868110000154</t>
        </is>
      </c>
      <c r="H78" s="75" t="inlineStr">
        <is>
          <t>extração heurística</t>
        </is>
      </c>
      <c r="I78" s="75" t="inlineStr">
        <is>
          <t>N/D</t>
        </is>
      </c>
      <c r="J78" s="75" t="inlineStr">
        <is>
          <t>N/D</t>
        </is>
      </c>
      <c r="K78" s="75" t="inlineStr">
        <is>
          <t>candidato_revisao</t>
        </is>
      </c>
      <c r="L78" s="144" t="n">
        <v>0.95</v>
      </c>
      <c r="M78" s="75" t="inlineStr">
        <is>
          <t>outputs/fidc_director_deep_diagnostic_20260609/pdf_text_cache/35868110000154_792021_regulamento_regulamento_792021_2024-11-27.txt</t>
        </is>
      </c>
      <c r="N78" s="75" t="inlineStr">
        <is>
          <t>https://fnet.bmfbovespa.com.br/fnet/publico/downloadDocumento?id=35868110000154</t>
        </is>
      </c>
      <c r="O78" s="75" t="inlineStr">
        <is>
          <t>Young Auditores Independentes S/S, (ii) PriceWaterhouseCoopers Auditores Independentes; (iii) Deloitte Touche Tohmatsu Auditores Independentes; ou (iv) KPMG Auditores Independentes. BACEN Banco Central do Brasil. Banco Emissor de Boletos Banco Votorantim S.A., com sede na Cidade de São Paulo, Estado de São Paulo, na Av. das Nações Unidas, 14.171, Torre A, 18º andar, inscrito no CNPJ sob o n.º 59.588.111/0001-03, ou seu sucessor a qualqu</t>
        </is>
      </c>
    </row>
    <row r="79" ht="43.5" customHeight="1">
      <c r="A79" s="142" t="n">
        <v>35868110000154</v>
      </c>
      <c r="B79" s="75" t="inlineStr">
        <is>
          <t>35.868.110/0001-54</t>
        </is>
      </c>
      <c r="C79" s="75" t="inlineStr">
        <is>
          <t>tipo_recebivel</t>
        </is>
      </c>
      <c r="D79" s="75" t="inlineStr">
        <is>
          <t>Carteira Veículos com coobrigação BV</t>
        </is>
      </c>
      <c r="E79" s="75" t="inlineStr">
        <is>
          <t>N/D</t>
        </is>
      </c>
      <c r="F79" s="75" t="inlineStr">
        <is>
          <t>planilha_manual</t>
        </is>
      </c>
      <c r="G79" s="75" t="inlineStr">
        <is>
          <t>IMG_8705.JPG</t>
        </is>
      </c>
      <c r="H79" s="75" t="inlineStr">
        <is>
          <t>payload</t>
        </is>
      </c>
      <c r="I79" s="75" t="inlineStr">
        <is>
          <t>2024-11-27</t>
        </is>
      </c>
      <c r="J79" s="75" t="inlineStr">
        <is>
          <t>48</t>
        </is>
      </c>
      <c r="K79" s="75" t="inlineStr">
        <is>
          <t>aceito_payload</t>
        </is>
      </c>
      <c r="L79" s="144" t="n">
        <v>1</v>
      </c>
      <c r="M79" s="75" t="inlineStr">
        <is>
          <t>data/industry_study/generated_revision/artifact_payload.json</t>
        </is>
      </c>
      <c r="N79" s="75" t="inlineStr">
        <is>
          <t>N/D</t>
        </is>
      </c>
      <c r="O79" s="75" t="inlineStr">
        <is>
          <t>N/D</t>
        </is>
      </c>
    </row>
    <row r="80" ht="43.5" customHeight="1">
      <c r="A80" s="142" t="n">
        <v>37035970000132</v>
      </c>
      <c r="B80" s="75" t="inlineStr">
        <is>
          <t>37.035.970/0001-32</t>
        </is>
      </c>
      <c r="C80" s="75" t="inlineStr">
        <is>
          <t>cedente</t>
        </is>
      </c>
      <c r="D80" s="75" t="inlineStr">
        <is>
          <t>CHDS do Brasil</t>
        </is>
      </c>
      <c r="E80" s="75" t="inlineStr">
        <is>
          <t>rótulo explícito de participante v2</t>
        </is>
      </c>
      <c r="F80" s="75" t="inlineStr">
        <is>
          <t>rating_report</t>
        </is>
      </c>
      <c r="G80" s="75" t="inlineStr">
        <is>
          <t>1126929</t>
        </is>
      </c>
      <c r="H80" s="75" t="inlineStr">
        <is>
          <t>Relatórios Relatório de Agência de Rating</t>
        </is>
      </c>
      <c r="I80" s="75" t="inlineStr">
        <is>
          <t>11/02/2026</t>
        </is>
      </c>
      <c r="J80" s="75" t="inlineStr">
        <is>
          <t>6</t>
        </is>
      </c>
      <c r="K80" s="75" t="inlineStr">
        <is>
          <t>encontrado_explicito</t>
        </is>
      </c>
      <c r="L80" s="144" t="n">
        <v>0.93</v>
      </c>
      <c r="M80" s="75" t="inlineStr">
        <is>
          <t>.cache/carteira_101_document_scan/37035970000132/1126929.json.gz</t>
        </is>
      </c>
      <c r="N80" s="75" t="inlineStr">
        <is>
          <t>https://fnet.bmfbovespa.com.br/fnet/publico/downloadDocumento?id=1126929</t>
        </is>
      </c>
      <c r="O80" s="75" t="inlineStr">
        <is>
          <t>(s) seguinte(s) fonte(s): Singulare (Administradora), Orram Gestão (Gestora) e CHDS do Brasil (Cedente). Adicionalmente, os analistas fizeram uso de informações públicas, especialme</t>
        </is>
      </c>
    </row>
    <row r="81" ht="43.5" customHeight="1">
      <c r="A81" s="142" t="n">
        <v>37035970000132</v>
      </c>
      <c r="B81" s="75" t="inlineStr">
        <is>
          <t>37.035.970/0001-32</t>
        </is>
      </c>
      <c r="C81" s="75" t="inlineStr">
        <is>
          <t>cedente</t>
        </is>
      </c>
      <c r="D81" s="75" t="inlineStr">
        <is>
          <t>CHDS do Brasil</t>
        </is>
      </c>
      <c r="E81" s="75" t="inlineStr">
        <is>
          <t>rótulo explícito de participante v2</t>
        </is>
      </c>
      <c r="F81" s="75" t="inlineStr">
        <is>
          <t>rating_report</t>
        </is>
      </c>
      <c r="G81" s="75" t="inlineStr">
        <is>
          <t>1128089</t>
        </is>
      </c>
      <c r="H81" s="75" t="inlineStr">
        <is>
          <t>Relatórios Relatório de Agência de Rating</t>
        </is>
      </c>
      <c r="I81" s="75" t="inlineStr">
        <is>
          <t>20/08/2025</t>
        </is>
      </c>
      <c r="J81" s="75" t="inlineStr">
        <is>
          <t>6</t>
        </is>
      </c>
      <c r="K81" s="75" t="inlineStr">
        <is>
          <t>encontrado_explicito</t>
        </is>
      </c>
      <c r="L81" s="144" t="n">
        <v>0.93</v>
      </c>
      <c r="M81" s="75" t="inlineStr">
        <is>
          <t>.cache/carteira_101_document_scan/37035970000132/1128089.json.gz</t>
        </is>
      </c>
      <c r="N81" s="75" t="inlineStr">
        <is>
          <t>https://fnet.bmfbovespa.com.br/fnet/publico/downloadDocumento?id=1128089</t>
        </is>
      </c>
      <c r="O81" s="75" t="inlineStr">
        <is>
          <t>(s) seguinte(s) fonte(s): Singulare (Administradora), Orram Gestão (Gestora) e CHDS do Brasil (Cedente). Adicionalmente, os analistas fizeram uso de informações públicas, especialme</t>
        </is>
      </c>
    </row>
    <row r="82" ht="43.5" customHeight="1">
      <c r="A82" s="142" t="n">
        <v>37035970000132</v>
      </c>
      <c r="B82" s="75" t="inlineStr">
        <is>
          <t>37.035.970/0001-32</t>
        </is>
      </c>
      <c r="C82" s="75" t="inlineStr">
        <is>
          <t>cedente</t>
        </is>
      </c>
      <c r="D82" s="75" t="inlineStr">
        <is>
          <t>CHD'S</t>
        </is>
      </c>
      <c r="E82" s="75" t="inlineStr">
        <is>
          <t>N/D</t>
        </is>
      </c>
      <c r="F82" s="75" t="inlineStr">
        <is>
          <t>planilha_manual</t>
        </is>
      </c>
      <c r="G82" s="75" t="inlineStr">
        <is>
          <t>IMG_8706.JPG</t>
        </is>
      </c>
      <c r="H82" s="75" t="inlineStr">
        <is>
          <t>payload</t>
        </is>
      </c>
      <c r="I82" s="75" t="inlineStr">
        <is>
          <t>2026-05-12</t>
        </is>
      </c>
      <c r="J82" s="75" t="inlineStr">
        <is>
          <t>43</t>
        </is>
      </c>
      <c r="K82" s="75" t="inlineStr">
        <is>
          <t>aceito_payload</t>
        </is>
      </c>
      <c r="L82" s="144" t="n">
        <v>1</v>
      </c>
      <c r="M82" s="75" t="inlineStr">
        <is>
          <t>data/industry_study/generated_revision/artifact_payload.json</t>
        </is>
      </c>
      <c r="N82" s="75" t="inlineStr">
        <is>
          <t>N/D</t>
        </is>
      </c>
      <c r="O82" s="75" t="inlineStr">
        <is>
          <t>N/D</t>
        </is>
      </c>
    </row>
    <row r="83" ht="43.5" customHeight="1">
      <c r="A83" s="142" t="n">
        <v>37035970000132</v>
      </c>
      <c r="B83" s="75" t="inlineStr">
        <is>
          <t>37.035.970/0001-32</t>
        </is>
      </c>
      <c r="C83" s="75" t="inlineStr">
        <is>
          <t>cedente</t>
        </is>
      </c>
      <c r="D83" s="75" t="inlineStr">
        <is>
          <t>É A CHDS DO BRASIL COMÉRCIO DE INSUMOS AGRÍCOLAS LTDA</t>
        </is>
      </c>
      <c r="E83" s="75" t="inlineStr">
        <is>
          <t>N/D</t>
        </is>
      </c>
      <c r="F83" s="75" t="inlineStr">
        <is>
          <t>candidate_extraction</t>
        </is>
      </c>
      <c r="G83" s="75" t="inlineStr">
        <is>
          <t>37035970000132</t>
        </is>
      </c>
      <c r="H83" s="75" t="inlineStr">
        <is>
          <t>extração heurística</t>
        </is>
      </c>
      <c r="I83" s="75" t="inlineStr">
        <is>
          <t>N/D</t>
        </is>
      </c>
      <c r="J83" s="75" t="inlineStr">
        <is>
          <t>N/D</t>
        </is>
      </c>
      <c r="K83" s="75" t="inlineStr">
        <is>
          <t>candidato_revisao</t>
        </is>
      </c>
      <c r="L83" s="144" t="n">
        <v>0.95</v>
      </c>
      <c r="M83" s="75" t="inlineStr">
        <is>
          <t>outputs/fidc_director_deep_diagnostic_20260609/pdf_text_cache/37035970000132_1187379_regulamento_regulamento_1187379_2026-05-12_2026-05-12.txt</t>
        </is>
      </c>
      <c r="N83" s="75" t="inlineStr">
        <is>
          <t>https://fnet.bmfbovespa.com.br/fnet/publico/downloadDocumento?id=37035970000132</t>
        </is>
      </c>
      <c r="O83" s="75" t="inlineStr">
        <is>
          <t>dora, em nome do Fundo, para prestar 3 Corporativo | Interno serviços de auditoria independente dos documentos contábeis do Fundo e da Classe, conforme aplicável. “BACEN” O Banco Central do Brasil. “Cedentes” É a CHDS DO BRASIL COMÉRCIO DE INSUMOS AGRÍCOLAS LTDA., inscrita no CNPJ sob o nº 18.858.234/0001-30, suas filiais e seu grupo econômico. “Classe” Classe única de Cotas, constituída sob a forma de condomínio fecha</t>
        </is>
      </c>
    </row>
    <row r="84" ht="43.5" customHeight="1">
      <c r="A84" s="142" t="n">
        <v>37035970000132</v>
      </c>
      <c r="B84" s="75" t="inlineStr">
        <is>
          <t>37.035.970/0001-32</t>
        </is>
      </c>
      <c r="C84" s="75" t="inlineStr">
        <is>
          <t>minimo_junior</t>
        </is>
      </c>
      <c r="D84" s="75" t="inlineStr">
        <is>
          <t>30%</t>
        </is>
      </c>
      <c r="E84" s="75" t="inlineStr">
        <is>
          <t>junior_pl</t>
        </is>
      </c>
      <c r="F84" s="75" t="inlineStr">
        <is>
          <t>payload_documental</t>
        </is>
      </c>
      <c r="G84" s="75" t="inlineStr">
        <is>
          <t>1187379</t>
        </is>
      </c>
      <c r="H84" s="75" t="inlineStr">
        <is>
          <t>documento_curado</t>
        </is>
      </c>
      <c r="I84" s="75" t="inlineStr">
        <is>
          <t>2026-05-12</t>
        </is>
      </c>
      <c r="J84" s="75" t="inlineStr">
        <is>
          <t>43</t>
        </is>
      </c>
      <c r="K84" s="75" t="inlineStr">
        <is>
          <t>aceito_payload</t>
        </is>
      </c>
      <c r="L84" s="144" t="n">
        <v>1</v>
      </c>
      <c r="M84" s="75" t="inlineStr">
        <is>
          <t>data/industry_study/generated_revision/artifact_payload.json</t>
        </is>
      </c>
      <c r="N84" s="75" t="inlineStr">
        <is>
          <t>https://fnet.bmfbovespa.com.br/fnet/publico/downloadDocumento?id=1187379</t>
        </is>
      </c>
      <c r="O84" s="75" t="inlineStr">
        <is>
          <t>Mínimo júnior calculado: subordinadas = 40,0% do PL e júnior = 75,0% das subordinadas.</t>
        </is>
      </c>
    </row>
    <row r="85" ht="43.5" customHeight="1">
      <c r="A85" s="142" t="n">
        <v>37035970000132</v>
      </c>
      <c r="B85" s="75" t="inlineStr">
        <is>
          <t>37.035.970/0001-32</t>
        </is>
      </c>
      <c r="C85" s="75" t="inlineStr">
        <is>
          <t>natureza_indice</t>
        </is>
      </c>
      <c r="D85" s="75" t="inlineStr">
        <is>
          <t>junior_pl</t>
        </is>
      </c>
      <c r="E85" s="75" t="inlineStr">
        <is>
          <t>junior_pl</t>
        </is>
      </c>
      <c r="F85" s="75" t="inlineStr">
        <is>
          <t>payload_documental</t>
        </is>
      </c>
      <c r="G85" s="75" t="inlineStr">
        <is>
          <t>1187379</t>
        </is>
      </c>
      <c r="H85" s="75" t="inlineStr">
        <is>
          <t>documento_curado</t>
        </is>
      </c>
      <c r="I85" s="75" t="inlineStr">
        <is>
          <t>2026-05-12</t>
        </is>
      </c>
      <c r="J85" s="75" t="inlineStr">
        <is>
          <t>43</t>
        </is>
      </c>
      <c r="K85" s="75" t="inlineStr">
        <is>
          <t>aceito_payload</t>
        </is>
      </c>
      <c r="L85" s="144" t="n">
        <v>1</v>
      </c>
      <c r="M85" s="75" t="inlineStr">
        <is>
          <t>data/industry_study/generated_revision/artifact_payload.json</t>
        </is>
      </c>
      <c r="N85" s="75" t="inlineStr">
        <is>
          <t>https://fnet.bmfbovespa.com.br/fnet/publico/downloadDocumento?id=1187379</t>
        </is>
      </c>
      <c r="O85" s="75" t="inlineStr">
        <is>
          <t>Mínimo júnior calculado: subordinadas = 40,0% do PL e júnior = 75,0% das subordinadas.</t>
        </is>
      </c>
    </row>
    <row r="86" ht="43.5" customHeight="1">
      <c r="A86" s="142" t="n">
        <v>37035970000132</v>
      </c>
      <c r="B86" s="75" t="inlineStr">
        <is>
          <t>37.035.970/0001-32</t>
        </is>
      </c>
      <c r="C86" s="75" t="inlineStr">
        <is>
          <t>tipo_recebivel</t>
        </is>
      </c>
      <c r="D86" s="75" t="inlineStr">
        <is>
          <t>Insumos Agrícolas - prazo Safra; possui não performados</t>
        </is>
      </c>
      <c r="E86" s="75" t="inlineStr">
        <is>
          <t>N/D</t>
        </is>
      </c>
      <c r="F86" s="75" t="inlineStr">
        <is>
          <t>planilha_manual</t>
        </is>
      </c>
      <c r="G86" s="75" t="inlineStr">
        <is>
          <t>IMG_8706.JPG</t>
        </is>
      </c>
      <c r="H86" s="75" t="inlineStr">
        <is>
          <t>payload</t>
        </is>
      </c>
      <c r="I86" s="75" t="inlineStr">
        <is>
          <t>2026-05-12</t>
        </is>
      </c>
      <c r="J86" s="75" t="inlineStr">
        <is>
          <t>43</t>
        </is>
      </c>
      <c r="K86" s="75" t="inlineStr">
        <is>
          <t>aceito_payload</t>
        </is>
      </c>
      <c r="L86" s="144" t="n">
        <v>1</v>
      </c>
      <c r="M86" s="75" t="inlineStr">
        <is>
          <t>data/industry_study/generated_revision/artifact_payload.json</t>
        </is>
      </c>
      <c r="N86" s="75" t="inlineStr">
        <is>
          <t>N/D</t>
        </is>
      </c>
      <c r="O86" s="75" t="inlineStr">
        <is>
          <t>N/D</t>
        </is>
      </c>
    </row>
    <row r="87" ht="43.5" customHeight="1">
      <c r="A87" s="142" t="n">
        <v>37294759000134</v>
      </c>
      <c r="B87" s="75" t="inlineStr">
        <is>
          <t>37.294.759/0001-34</t>
        </is>
      </c>
      <c r="C87" s="75" t="inlineStr">
        <is>
          <t>cedente</t>
        </is>
      </c>
      <c r="D87" s="75" t="inlineStr">
        <is>
          <t>Galleria SCD</t>
        </is>
      </c>
      <c r="E87" s="75" t="inlineStr">
        <is>
          <t>N/D</t>
        </is>
      </c>
      <c r="F87" s="75" t="inlineStr">
        <is>
          <t>planilha_manual</t>
        </is>
      </c>
      <c r="G87" s="75" t="inlineStr">
        <is>
          <t>IMG_8707.jpg</t>
        </is>
      </c>
      <c r="H87" s="75" t="inlineStr">
        <is>
          <t>payload</t>
        </is>
      </c>
      <c r="I87" s="75" t="inlineStr">
        <is>
          <t>2026-07-10</t>
        </is>
      </c>
      <c r="J87" s="75" t="inlineStr">
        <is>
          <t>110</t>
        </is>
      </c>
      <c r="K87" s="75" t="inlineStr">
        <is>
          <t>aceito_payload</t>
        </is>
      </c>
      <c r="L87" s="144" t="n">
        <v>1</v>
      </c>
      <c r="M87" s="75" t="inlineStr">
        <is>
          <t>data/industry_study/generated_revision/artifact_payload.json</t>
        </is>
      </c>
      <c r="N87" s="75" t="inlineStr">
        <is>
          <t>N/D</t>
        </is>
      </c>
      <c r="O87" s="75" t="inlineStr">
        <is>
          <t>N/D</t>
        </is>
      </c>
    </row>
    <row r="88" ht="43.5" customHeight="1">
      <c r="A88" s="142" t="n">
        <v>37294759000134</v>
      </c>
      <c r="B88" s="75" t="inlineStr">
        <is>
          <t>37.294.759/0001-34</t>
        </is>
      </c>
      <c r="C88" s="75" t="inlineStr">
        <is>
          <t>minimo_estrutural_total</t>
        </is>
      </c>
      <c r="D88" s="75" t="inlineStr">
        <is>
          <t>4.7619%</t>
        </is>
      </c>
      <c r="E88" s="75" t="inlineStr">
        <is>
          <t>suporte_total_pl</t>
        </is>
      </c>
      <c r="F88" s="75" t="inlineStr">
        <is>
          <t>payload_documental</t>
        </is>
      </c>
      <c r="G88" s="75" t="inlineStr">
        <is>
          <t>927443</t>
        </is>
      </c>
      <c r="H88" s="75" t="inlineStr">
        <is>
          <t>documento_curado</t>
        </is>
      </c>
      <c r="I88" s="75" t="inlineStr">
        <is>
          <t>2026-07-10</t>
        </is>
      </c>
      <c r="J88" s="75" t="inlineStr">
        <is>
          <t>110</t>
        </is>
      </c>
      <c r="K88" s="75" t="inlineStr">
        <is>
          <t>aceito_payload</t>
        </is>
      </c>
      <c r="L88" s="144" t="n">
        <v>1</v>
      </c>
      <c r="M88" s="75" t="inlineStr">
        <is>
          <t>data/industry_study/generated_revision/artifact_payload.json</t>
        </is>
      </c>
      <c r="N88" s="75" t="inlineStr">
        <is>
          <t>https://fnet.bmfbovespa.com.br/fnet/publico/downloadDocumento?id=927443</t>
        </is>
      </c>
      <c r="O88" s="75" t="inlineStr">
        <is>
          <t>N/D</t>
        </is>
      </c>
    </row>
    <row r="89" ht="43.5" customHeight="1">
      <c r="A89" s="142" t="n">
        <v>37294759000134</v>
      </c>
      <c r="B89" s="75" t="inlineStr">
        <is>
          <t>37.294.759/0001-34</t>
        </is>
      </c>
      <c r="C89" s="75" t="inlineStr">
        <is>
          <t>natureza_indice</t>
        </is>
      </c>
      <c r="D89" s="75" t="inlineStr">
        <is>
          <t>suporte_total_pl</t>
        </is>
      </c>
      <c r="E89" s="75" t="inlineStr">
        <is>
          <t>suporte_total_pl</t>
        </is>
      </c>
      <c r="F89" s="75" t="inlineStr">
        <is>
          <t>payload_documental</t>
        </is>
      </c>
      <c r="G89" s="75" t="inlineStr">
        <is>
          <t>927443</t>
        </is>
      </c>
      <c r="H89" s="75" t="inlineStr">
        <is>
          <t>documento_curado</t>
        </is>
      </c>
      <c r="I89" s="75" t="inlineStr">
        <is>
          <t>2026-07-10</t>
        </is>
      </c>
      <c r="J89" s="75" t="inlineStr">
        <is>
          <t>110</t>
        </is>
      </c>
      <c r="K89" s="75" t="inlineStr">
        <is>
          <t>aceito_payload</t>
        </is>
      </c>
      <c r="L89" s="144" t="n">
        <v>1</v>
      </c>
      <c r="M89" s="75" t="inlineStr">
        <is>
          <t>data/industry_study/generated_revision/artifact_payload.json</t>
        </is>
      </c>
      <c r="N89" s="75" t="inlineStr">
        <is>
          <t>https://fnet.bmfbovespa.com.br/fnet/publico/downloadDocumento?id=927443</t>
        </is>
      </c>
      <c r="O89" s="75" t="inlineStr">
        <is>
          <t>N/D</t>
        </is>
      </c>
    </row>
    <row r="90" ht="43.5" customHeight="1">
      <c r="A90" s="142" t="n">
        <v>37294759000134</v>
      </c>
      <c r="B90" s="75" t="inlineStr">
        <is>
          <t>37.294.759/0001-34</t>
        </is>
      </c>
      <c r="C90" s="75" t="inlineStr">
        <is>
          <t>tipo_recebivel</t>
        </is>
      </c>
      <c r="D90" s="75" t="inlineStr">
        <is>
          <t>CCBs com AF de Imóvel oriundos de empréstimo PF e PJs</t>
        </is>
      </c>
      <c r="E90" s="75" t="inlineStr">
        <is>
          <t>N/D</t>
        </is>
      </c>
      <c r="F90" s="75" t="inlineStr">
        <is>
          <t>planilha_manual</t>
        </is>
      </c>
      <c r="G90" s="75" t="inlineStr">
        <is>
          <t>IMG_8707.jpg</t>
        </is>
      </c>
      <c r="H90" s="75" t="inlineStr">
        <is>
          <t>payload</t>
        </is>
      </c>
      <c r="I90" s="75" t="inlineStr">
        <is>
          <t>2026-07-10</t>
        </is>
      </c>
      <c r="J90" s="75" t="inlineStr">
        <is>
          <t>110</t>
        </is>
      </c>
      <c r="K90" s="75" t="inlineStr">
        <is>
          <t>aceito_payload</t>
        </is>
      </c>
      <c r="L90" s="144" t="n">
        <v>1</v>
      </c>
      <c r="M90" s="75" t="inlineStr">
        <is>
          <t>data/industry_study/generated_revision/artifact_payload.json</t>
        </is>
      </c>
      <c r="N90" s="75" t="inlineStr">
        <is>
          <t>N/D</t>
        </is>
      </c>
      <c r="O90" s="75" t="inlineStr">
        <is>
          <t>N/D</t>
        </is>
      </c>
    </row>
    <row r="91" ht="43.5" customHeight="1">
      <c r="A91" s="142" t="n">
        <v>37645417000111</v>
      </c>
      <c r="B91" s="75" t="inlineStr">
        <is>
          <t>37.645.417/0001-11</t>
        </is>
      </c>
      <c r="C91" s="75" t="inlineStr">
        <is>
          <t>cedente</t>
        </is>
      </c>
      <c r="D91" s="75" t="inlineStr">
        <is>
          <t>Uby Agroquímica</t>
        </is>
      </c>
      <c r="E91" s="75" t="inlineStr">
        <is>
          <t>rótulo explícito de participante v2</t>
        </is>
      </c>
      <c r="F91" s="75" t="inlineStr">
        <is>
          <t>rating_report</t>
        </is>
      </c>
      <c r="G91" s="75" t="inlineStr">
        <is>
          <t>779236</t>
        </is>
      </c>
      <c r="H91" s="75" t="inlineStr">
        <is>
          <t>Relatórios Relatório de Agência de Rating</t>
        </is>
      </c>
      <c r="I91" s="75" t="inlineStr">
        <is>
          <t>14/11/2024</t>
        </is>
      </c>
      <c r="J91" s="75" t="inlineStr">
        <is>
          <t>2</t>
        </is>
      </c>
      <c r="K91" s="75" t="inlineStr">
        <is>
          <t>encontrado_explicito</t>
        </is>
      </c>
      <c r="L91" s="144" t="n">
        <v>0.93</v>
      </c>
      <c r="M91" s="75" t="inlineStr">
        <is>
          <t>.cache/carteira_101_document_scan/37645417000111/779236.json.gz</t>
        </is>
      </c>
      <c r="N91" s="75" t="inlineStr">
        <is>
          <t>https://fnet.bmfbovespa.com.br/fnet/publico/downloadDocumento?id=779236</t>
        </is>
      </c>
      <c r="O91" s="75" t="inlineStr">
        <is>
          <t>de produtos e de prestação de serviços realizadas entre a Uby Agroquímica S.A. (Uby Agroquímica / Cedente) e seus clientes no setor do agronegócio (Devedores). A afirmação das classific</t>
        </is>
      </c>
    </row>
    <row r="92" ht="43.5" customHeight="1">
      <c r="A92" s="142" t="n">
        <v>37645417000111</v>
      </c>
      <c r="B92" s="75" t="inlineStr">
        <is>
          <t>37.645.417/0001-11</t>
        </is>
      </c>
      <c r="C92" s="75" t="inlineStr">
        <is>
          <t>cedente</t>
        </is>
      </c>
      <c r="D92" s="75" t="inlineStr">
        <is>
          <t>Ubyfol</t>
        </is>
      </c>
      <c r="E92" s="75" t="inlineStr">
        <is>
          <t>N/D</t>
        </is>
      </c>
      <c r="F92" s="75" t="inlineStr">
        <is>
          <t>planilha_manual</t>
        </is>
      </c>
      <c r="G92" s="75" t="inlineStr">
        <is>
          <t>IMG_8704.JPG</t>
        </is>
      </c>
      <c r="H92" s="75" t="inlineStr">
        <is>
          <t>payload</t>
        </is>
      </c>
      <c r="I92" s="75" t="inlineStr">
        <is>
          <t>2025-10-16</t>
        </is>
      </c>
      <c r="J92" s="75" t="inlineStr">
        <is>
          <t>12</t>
        </is>
      </c>
      <c r="K92" s="75" t="inlineStr">
        <is>
          <t>aceito_payload</t>
        </is>
      </c>
      <c r="L92" s="144" t="n">
        <v>1</v>
      </c>
      <c r="M92" s="75" t="inlineStr">
        <is>
          <t>data/industry_study/generated_revision/artifact_payload.json</t>
        </is>
      </c>
      <c r="N92" s="75" t="inlineStr">
        <is>
          <t>N/D</t>
        </is>
      </c>
      <c r="O92" s="75" t="inlineStr">
        <is>
          <t>N/D</t>
        </is>
      </c>
    </row>
    <row r="93" ht="43.5" customHeight="1">
      <c r="A93" s="142" t="n">
        <v>37645417000111</v>
      </c>
      <c r="B93" s="75" t="inlineStr">
        <is>
          <t>37.645.417/0001-11</t>
        </is>
      </c>
      <c r="C93" s="75" t="inlineStr">
        <is>
          <t>minimo_junior</t>
        </is>
      </c>
      <c r="D93" s="75" t="inlineStr">
        <is>
          <t>10%</t>
        </is>
      </c>
      <c r="E93" s="75" t="inlineStr">
        <is>
          <t>junior_pl</t>
        </is>
      </c>
      <c r="F93" s="75" t="inlineStr">
        <is>
          <t>payload_documental</t>
        </is>
      </c>
      <c r="G93" s="75" t="inlineStr">
        <is>
          <t>1016909</t>
        </is>
      </c>
      <c r="H93" s="75" t="inlineStr">
        <is>
          <t>documento_curado</t>
        </is>
      </c>
      <c r="I93" s="75" t="inlineStr">
        <is>
          <t>2025-10-16</t>
        </is>
      </c>
      <c r="J93" s="75" t="inlineStr">
        <is>
          <t>12</t>
        </is>
      </c>
      <c r="K93" s="75" t="inlineStr">
        <is>
          <t>aceito_payload</t>
        </is>
      </c>
      <c r="L93" s="144" t="n">
        <v>1</v>
      </c>
      <c r="M93" s="75" t="inlineStr">
        <is>
          <t>data/industry_study/generated_revision/artifact_payload.json</t>
        </is>
      </c>
      <c r="N93" s="75" t="inlineStr">
        <is>
          <t>https://fnet.bmfbovespa.com.br/fnet/publico/downloadDocumento?id=1016909</t>
        </is>
      </c>
      <c r="O93" s="75" t="inlineStr">
        <is>
          <t>Índice de Subordinação Mínima Mezanino: cotas júnior / PL, mínimo de 10,0%.</t>
        </is>
      </c>
    </row>
    <row r="94" ht="43.5" customHeight="1">
      <c r="A94" s="142" t="n">
        <v>37645417000111</v>
      </c>
      <c r="B94" s="75" t="inlineStr">
        <is>
          <t>37.645.417/0001-11</t>
        </is>
      </c>
      <c r="C94" s="75" t="inlineStr">
        <is>
          <t>natureza_indice</t>
        </is>
      </c>
      <c r="D94" s="75" t="inlineStr">
        <is>
          <t>junior_pl</t>
        </is>
      </c>
      <c r="E94" s="75" t="inlineStr">
        <is>
          <t>junior_pl</t>
        </is>
      </c>
      <c r="F94" s="75" t="inlineStr">
        <is>
          <t>payload_documental</t>
        </is>
      </c>
      <c r="G94" s="75" t="inlineStr">
        <is>
          <t>1016909</t>
        </is>
      </c>
      <c r="H94" s="75" t="inlineStr">
        <is>
          <t>documento_curado</t>
        </is>
      </c>
      <c r="I94" s="75" t="inlineStr">
        <is>
          <t>2025-10-16</t>
        </is>
      </c>
      <c r="J94" s="75" t="inlineStr">
        <is>
          <t>12</t>
        </is>
      </c>
      <c r="K94" s="75" t="inlineStr">
        <is>
          <t>aceito_payload</t>
        </is>
      </c>
      <c r="L94" s="144" t="n">
        <v>1</v>
      </c>
      <c r="M94" s="75" t="inlineStr">
        <is>
          <t>data/industry_study/generated_revision/artifact_payload.json</t>
        </is>
      </c>
      <c r="N94" s="75" t="inlineStr">
        <is>
          <t>https://fnet.bmfbovespa.com.br/fnet/publico/downloadDocumento?id=1016909</t>
        </is>
      </c>
      <c r="O94" s="75" t="inlineStr">
        <is>
          <t>Índice de Subordinação Mínima Mezanino: cotas júnior / PL, mínimo de 10,0%.</t>
        </is>
      </c>
    </row>
    <row r="95" ht="43.5" customHeight="1">
      <c r="A95" s="142" t="n">
        <v>37645417000111</v>
      </c>
      <c r="B95" s="75" t="inlineStr">
        <is>
          <t>37.645.417/0001-11</t>
        </is>
      </c>
      <c r="C95" s="75" t="inlineStr">
        <is>
          <t>tipo_recebivel</t>
        </is>
      </c>
      <c r="D95" s="75" t="inlineStr">
        <is>
          <t>Insumos Agrícolas - prazo Safra</t>
        </is>
      </c>
      <c r="E95" s="75" t="inlineStr">
        <is>
          <t>N/D</t>
        </is>
      </c>
      <c r="F95" s="75" t="inlineStr">
        <is>
          <t>planilha_manual</t>
        </is>
      </c>
      <c r="G95" s="75" t="inlineStr">
        <is>
          <t>IMG_8704.JPG</t>
        </is>
      </c>
      <c r="H95" s="75" t="inlineStr">
        <is>
          <t>payload</t>
        </is>
      </c>
      <c r="I95" s="75" t="inlineStr">
        <is>
          <t>2025-10-16</t>
        </is>
      </c>
      <c r="J95" s="75" t="inlineStr">
        <is>
          <t>12</t>
        </is>
      </c>
      <c r="K95" s="75" t="inlineStr">
        <is>
          <t>aceito_payload</t>
        </is>
      </c>
      <c r="L95" s="144" t="n">
        <v>1</v>
      </c>
      <c r="M95" s="75" t="inlineStr">
        <is>
          <t>data/industry_study/generated_revision/artifact_payload.json</t>
        </is>
      </c>
      <c r="N95" s="75" t="inlineStr">
        <is>
          <t>N/D</t>
        </is>
      </c>
      <c r="O95" s="75" t="inlineStr">
        <is>
          <t>N/D</t>
        </is>
      </c>
    </row>
    <row r="96" ht="43.5" customHeight="1">
      <c r="A96" s="142" t="n">
        <v>38376526000143</v>
      </c>
      <c r="B96" s="75" t="inlineStr">
        <is>
          <t>38.376.526/0001-43</t>
        </is>
      </c>
      <c r="C96" s="75" t="inlineStr">
        <is>
          <t>cedente</t>
        </is>
      </c>
      <c r="D96" s="75" t="inlineStr">
        <is>
          <t>os Produtores, que, a seu exclusivo critério, cedem a totalidade ou parte de seus respectivos Direitos Creditórios Elegíveis à Classe e, para tanto, tenham realizado e/ou venham a realizar Formalização(ões) Eletrônica(s) de Cessão com a Classe, representados pela Hotmart, na qualidade de sua mandatária, nos termos dos Termos de Uso Hotmart</t>
        </is>
      </c>
      <c r="E96" s="75" t="inlineStr">
        <is>
          <t>N/D</t>
        </is>
      </c>
      <c r="F96" s="75" t="inlineStr">
        <is>
          <t>regulamento</t>
        </is>
      </c>
      <c r="G96" s="75" t="inlineStr">
        <is>
          <t>948252</t>
        </is>
      </c>
      <c r="H96" s="75" t="inlineStr">
        <is>
          <t>Regulamento</t>
        </is>
      </c>
      <c r="I96" s="75" t="inlineStr">
        <is>
          <t>02/07/2025</t>
        </is>
      </c>
      <c r="J96" s="75" t="inlineStr">
        <is>
          <t>61</t>
        </is>
      </c>
      <c r="K96" s="75" t="inlineStr">
        <is>
          <t>encontrado_explicito</t>
        </is>
      </c>
      <c r="L96" s="144" t="n">
        <v>0.95</v>
      </c>
      <c r="M96" s="75" t="inlineStr">
        <is>
          <t>.cache/carteira_101_document_scan/38376526000143/948252.json.gz</t>
        </is>
      </c>
      <c r="N96" s="75" t="inlineStr">
        <is>
          <t>https://fnet.bmfbovespa.com.br/fnet/publico/downloadDocumento?id=948252</t>
        </is>
      </c>
      <c r="O96" s="75" t="inlineStr">
        <is>
          <t>logomarcas admitidas no Sistema Hotpay, instrumento este utilizado em Transações de Pagamento no referido sistema. “Cedentes” significam os Produtores, que, a seu exclusivo critério, cedem a totalidade ou parte de seus respectivos Direitos Creditórios Elegíveis à Classe e, para tanto, tenham realizado e/ou venham a realizar Formalização(ões) Eletrônica(s) de Cessão com a Classe, representados pela Hotmart, na qualidade de sua mandatária, nos termos dos Termos de Uso Hotmart. “Chargeback” significa a contestação de Transação(ões) de Pagamento gerada por Cartão, seja no todo ou em parte,</t>
        </is>
      </c>
    </row>
    <row r="97" ht="43.5" customHeight="1">
      <c r="A97" s="142" t="n">
        <v>38376526000143</v>
      </c>
      <c r="B97" s="75" t="inlineStr">
        <is>
          <t>38.376.526/0001-43</t>
        </is>
      </c>
      <c r="C97" s="75" t="inlineStr">
        <is>
          <t>cedente</t>
        </is>
      </c>
      <c r="D97" s="75" t="inlineStr">
        <is>
          <t>Hotmart</t>
        </is>
      </c>
      <c r="E97" s="75" t="inlineStr">
        <is>
          <t>N/D</t>
        </is>
      </c>
      <c r="F97" s="75" t="inlineStr">
        <is>
          <t>planilha_manual</t>
        </is>
      </c>
      <c r="G97" s="75" t="inlineStr">
        <is>
          <t>IMG_8705.JPG</t>
        </is>
      </c>
      <c r="H97" s="75" t="inlineStr">
        <is>
          <t>payload</t>
        </is>
      </c>
      <c r="I97" s="75" t="inlineStr">
        <is>
          <t>2025-07-02</t>
        </is>
      </c>
      <c r="J97" s="75" t="inlineStr">
        <is>
          <t>68</t>
        </is>
      </c>
      <c r="K97" s="75" t="inlineStr">
        <is>
          <t>aceito_payload</t>
        </is>
      </c>
      <c r="L97" s="144" t="n">
        <v>1</v>
      </c>
      <c r="M97" s="75" t="inlineStr">
        <is>
          <t>data/industry_study/generated_revision/artifact_payload.json</t>
        </is>
      </c>
      <c r="N97" s="75" t="inlineStr">
        <is>
          <t>N/D</t>
        </is>
      </c>
      <c r="O97" s="75" t="inlineStr">
        <is>
          <t>OBS parcialmente legível: FIDC antecipa recebíveis de funding para a Hotmart antecipar parcelas aos criadores de conteúdo; final cortado pela foto.</t>
        </is>
      </c>
    </row>
    <row r="98" ht="43.5" customHeight="1">
      <c r="A98" s="142" t="n">
        <v>38376526000143</v>
      </c>
      <c r="B98" s="75" t="inlineStr">
        <is>
          <t>38.376.526/0001-43</t>
        </is>
      </c>
      <c r="C98" s="75" t="inlineStr">
        <is>
          <t>minimo_junior</t>
        </is>
      </c>
      <c r="D98" s="75" t="inlineStr">
        <is>
          <t>21%</t>
        </is>
      </c>
      <c r="E98" s="75" t="inlineStr">
        <is>
          <t>junior_pl</t>
        </is>
      </c>
      <c r="F98" s="75" t="inlineStr">
        <is>
          <t>payload_documental</t>
        </is>
      </c>
      <c r="G98" s="75" t="inlineStr">
        <is>
          <t>948252</t>
        </is>
      </c>
      <c r="H98" s="75" t="inlineStr">
        <is>
          <t>documento_curado</t>
        </is>
      </c>
      <c r="I98" s="75" t="inlineStr">
        <is>
          <t>2025-07-02</t>
        </is>
      </c>
      <c r="J98" s="75" t="inlineStr">
        <is>
          <t>68</t>
        </is>
      </c>
      <c r="K98" s="75" t="inlineStr">
        <is>
          <t>aceito_payload</t>
        </is>
      </c>
      <c r="L98" s="144" t="n">
        <v>1</v>
      </c>
      <c r="M98" s="75" t="inlineStr">
        <is>
          <t>data/industry_study/generated_revision/artifact_payload.json</t>
        </is>
      </c>
      <c r="N98" s="75" t="inlineStr">
        <is>
          <t>https://fnet.bmfbovespa.com.br/fnet/publico/downloadDocumento?id=948252</t>
        </is>
      </c>
      <c r="O98" s="75" t="inlineStr">
        <is>
          <t>Cotas subordinadas júnior / PL, mínimo de 21,0%.</t>
        </is>
      </c>
    </row>
    <row r="99" ht="43.5" customHeight="1">
      <c r="A99" s="142" t="n">
        <v>38376526000143</v>
      </c>
      <c r="B99" s="75" t="inlineStr">
        <is>
          <t>38.376.526/0001-43</t>
        </is>
      </c>
      <c r="C99" s="75" t="inlineStr">
        <is>
          <t>natureza_indice</t>
        </is>
      </c>
      <c r="D99" s="75" t="inlineStr">
        <is>
          <t>junior_pl</t>
        </is>
      </c>
      <c r="E99" s="75" t="inlineStr">
        <is>
          <t>junior_pl</t>
        </is>
      </c>
      <c r="F99" s="75" t="inlineStr">
        <is>
          <t>payload_documental</t>
        </is>
      </c>
      <c r="G99" s="75" t="inlineStr">
        <is>
          <t>948252</t>
        </is>
      </c>
      <c r="H99" s="75" t="inlineStr">
        <is>
          <t>documento_curado</t>
        </is>
      </c>
      <c r="I99" s="75" t="inlineStr">
        <is>
          <t>2025-07-02</t>
        </is>
      </c>
      <c r="J99" s="75" t="inlineStr">
        <is>
          <t>68</t>
        </is>
      </c>
      <c r="K99" s="75" t="inlineStr">
        <is>
          <t>aceito_payload</t>
        </is>
      </c>
      <c r="L99" s="144" t="n">
        <v>1</v>
      </c>
      <c r="M99" s="75" t="inlineStr">
        <is>
          <t>data/industry_study/generated_revision/artifact_payload.json</t>
        </is>
      </c>
      <c r="N99" s="75" t="inlineStr">
        <is>
          <t>https://fnet.bmfbovespa.com.br/fnet/publico/downloadDocumento?id=948252</t>
        </is>
      </c>
      <c r="O99" s="75" t="inlineStr">
        <is>
          <t>Cotas subordinadas júnior / PL, mínimo de 21,0%.</t>
        </is>
      </c>
    </row>
    <row r="100" ht="43.5" customHeight="1">
      <c r="A100" s="142" t="n">
        <v>38376526000143</v>
      </c>
      <c r="B100" s="75" t="inlineStr">
        <is>
          <t>38.376.526/0001-43</t>
        </is>
      </c>
      <c r="C100" s="75" t="inlineStr">
        <is>
          <t>sacado_devedor</t>
        </is>
      </c>
      <c r="D100" s="75" t="inlineStr">
        <is>
          <t>a Hotmart, na qualidade de devedora dos Direitos Creditórios Cartões</t>
        </is>
      </c>
      <c r="E100" s="75" t="inlineStr">
        <is>
          <t>N/D</t>
        </is>
      </c>
      <c r="F100" s="75" t="inlineStr">
        <is>
          <t>regulamento</t>
        </is>
      </c>
      <c r="G100" s="75" t="inlineStr">
        <is>
          <t>948252</t>
        </is>
      </c>
      <c r="H100" s="75" t="inlineStr">
        <is>
          <t>Regulamento</t>
        </is>
      </c>
      <c r="I100" s="75" t="inlineStr">
        <is>
          <t>02/07/2025</t>
        </is>
      </c>
      <c r="J100" s="75" t="inlineStr">
        <is>
          <t>65</t>
        </is>
      </c>
      <c r="K100" s="75" t="inlineStr">
        <is>
          <t>encontrado_explicito</t>
        </is>
      </c>
      <c r="L100" s="144" t="n">
        <v>0.95</v>
      </c>
      <c r="M100" s="75" t="inlineStr">
        <is>
          <t>.cache/carteira_101_document_scan/38376526000143/948252.json.gz</t>
        </is>
      </c>
      <c r="N100" s="75" t="inlineStr">
        <is>
          <t>https://fnet.bmfbovespa.com.br/fnet/publico/downloadDocumento?id=948252</t>
        </is>
      </c>
      <c r="O100" s="75" t="inlineStr">
        <is>
          <t>tão e os Devedores dos Direitos Creditórios Recebíveis a Prazo , quando referidos em conjunto ou indistintamente. “Devedor dos Direitos Creditórios Cartão” significa a Hotmart, na qualidade de devedora dos Direitos Creditórios Cartões. “Devedor dos Direitos Creditórios Recebíveis a Prazo” significa o Usuário Comprador , e, exclusivamente em relaç</t>
        </is>
      </c>
    </row>
    <row r="101" ht="43.5" customHeight="1">
      <c r="A101" s="142" t="n">
        <v>38376526000143</v>
      </c>
      <c r="B101" s="75" t="inlineStr">
        <is>
          <t>38.376.526/0001-43</t>
        </is>
      </c>
      <c r="C101" s="75" t="inlineStr">
        <is>
          <t>tipo_recebivel</t>
        </is>
      </c>
      <c r="D101" s="75" t="inlineStr">
        <is>
          <t>os Direitos Creditórios Cartões e os Direitos Creditórios Recebíveis a Prazo, quando referidos em conjunto ou indistintamente</t>
        </is>
      </c>
      <c r="E101" s="75" t="inlineStr">
        <is>
          <t>N/D</t>
        </is>
      </c>
      <c r="F101" s="75" t="inlineStr">
        <is>
          <t>regulamento</t>
        </is>
      </c>
      <c r="G101" s="75" t="inlineStr">
        <is>
          <t>948252</t>
        </is>
      </c>
      <c r="H101" s="75" t="inlineStr">
        <is>
          <t>Regulamento</t>
        </is>
      </c>
      <c r="I101" s="75" t="inlineStr">
        <is>
          <t>02/07/2025</t>
        </is>
      </c>
      <c r="J101" s="75" t="inlineStr">
        <is>
          <t>65</t>
        </is>
      </c>
      <c r="K101" s="75" t="inlineStr">
        <is>
          <t>encontrado_explicito</t>
        </is>
      </c>
      <c r="L101" s="144" t="n">
        <v>0.92</v>
      </c>
      <c r="M101" s="75" t="inlineStr">
        <is>
          <t>.cache/carteira_101_document_scan/38376526000143/948252.json.gz</t>
        </is>
      </c>
      <c r="N101" s="75" t="inlineStr">
        <is>
          <t>https://fnet.bmfbovespa.com.br/fnet/publico/downloadDocumento?id=948252</t>
        </is>
      </c>
      <c r="O101" s="75" t="inlineStr">
        <is>
          <t>as Transações de Pagamento passam a ser processadas , a Hotmart, na qualidade de subadquirente. “Direitos Creditórios” significam os Direitos Creditórios Cartões e os Direitos Creditórios Recebíveis a Prazo, quando referidos em conjunto ou indistintamente. “Direitos Creditórios Cartões” significam os direitos creditórios performados, de tempos em te</t>
        </is>
      </c>
    </row>
    <row r="102" ht="43.5" customHeight="1">
      <c r="A102" s="142" t="n">
        <v>38376526000143</v>
      </c>
      <c r="B102" s="75" t="inlineStr">
        <is>
          <t>38.376.526/0001-43</t>
        </is>
      </c>
      <c r="C102" s="75" t="inlineStr">
        <is>
          <t>tipo_recebivel</t>
        </is>
      </c>
      <c r="D102" s="75" t="inlineStr">
        <is>
          <t>antecipação de parcelas de criadores de conteúdo</t>
        </is>
      </c>
      <c r="E102" s="75" t="inlineStr">
        <is>
          <t>N/D</t>
        </is>
      </c>
      <c r="F102" s="75" t="inlineStr">
        <is>
          <t>planilha_manual</t>
        </is>
      </c>
      <c r="G102" s="75" t="inlineStr">
        <is>
          <t>IMG_8705.JPG</t>
        </is>
      </c>
      <c r="H102" s="75" t="inlineStr">
        <is>
          <t>payload</t>
        </is>
      </c>
      <c r="I102" s="75" t="inlineStr">
        <is>
          <t>2025-07-02</t>
        </is>
      </c>
      <c r="J102" s="75" t="inlineStr">
        <is>
          <t>68</t>
        </is>
      </c>
      <c r="K102" s="75" t="inlineStr">
        <is>
          <t>aceito_payload</t>
        </is>
      </c>
      <c r="L102" s="144" t="n">
        <v>1</v>
      </c>
      <c r="M102" s="75" t="inlineStr">
        <is>
          <t>data/industry_study/generated_revision/artifact_payload.json</t>
        </is>
      </c>
      <c r="N102" s="75" t="inlineStr">
        <is>
          <t>N/D</t>
        </is>
      </c>
      <c r="O102" s="75" t="inlineStr">
        <is>
          <t>OBS parcialmente legível: FIDC antecipa recebíveis de funding para a Hotmart antecipar parcelas aos criadores de conteúdo; final cortado pela foto.</t>
        </is>
      </c>
    </row>
    <row r="103" ht="43.5" customHeight="1">
      <c r="A103" s="142" t="n">
        <v>38385876000176</v>
      </c>
      <c r="B103" s="75" t="inlineStr">
        <is>
          <t>38.385.876/0001-76</t>
        </is>
      </c>
      <c r="C103" s="75" t="inlineStr">
        <is>
          <t>cedente</t>
        </is>
      </c>
      <c r="D103" s="75" t="inlineStr">
        <is>
          <t>Estratégia Concursos</t>
        </is>
      </c>
      <c r="E103" s="75" t="inlineStr">
        <is>
          <t>N/D</t>
        </is>
      </c>
      <c r="F103" s="75" t="inlineStr">
        <is>
          <t>planilha_manual</t>
        </is>
      </c>
      <c r="G103" s="75" t="inlineStr">
        <is>
          <t>IMG_8705.JPG</t>
        </is>
      </c>
      <c r="H103" s="75" t="inlineStr">
        <is>
          <t>payload</t>
        </is>
      </c>
      <c r="I103" s="75" t="inlineStr">
        <is>
          <t>2024-08-14</t>
        </is>
      </c>
      <c r="J103" s="75" t="inlineStr">
        <is>
          <t>11</t>
        </is>
      </c>
      <c r="K103" s="75" t="inlineStr">
        <is>
          <t>aceito_payload</t>
        </is>
      </c>
      <c r="L103" s="144" t="n">
        <v>1</v>
      </c>
      <c r="M103" s="75" t="inlineStr">
        <is>
          <t>data/industry_study/generated_revision/artifact_payload.json</t>
        </is>
      </c>
      <c r="N103" s="75" t="inlineStr">
        <is>
          <t>N/D</t>
        </is>
      </c>
      <c r="O103" s="75" t="inlineStr">
        <is>
          <t>N/D</t>
        </is>
      </c>
    </row>
    <row r="104" ht="43.5" customHeight="1">
      <c r="A104" s="142" t="n">
        <v>38385876000176</v>
      </c>
      <c r="B104" s="75" t="inlineStr">
        <is>
          <t>38.385.876/0001-76</t>
        </is>
      </c>
      <c r="C104" s="75" t="inlineStr">
        <is>
          <t>minimo_junior</t>
        </is>
      </c>
      <c r="D104" s="75" t="inlineStr">
        <is>
          <t>10%</t>
        </is>
      </c>
      <c r="E104" s="75" t="inlineStr">
        <is>
          <t>junior_pl</t>
        </is>
      </c>
      <c r="F104" s="75" t="inlineStr">
        <is>
          <t>payload_documental</t>
        </is>
      </c>
      <c r="G104" s="75" t="inlineStr">
        <is>
          <t>719764</t>
        </is>
      </c>
      <c r="H104" s="75" t="inlineStr">
        <is>
          <t>documento_curado</t>
        </is>
      </c>
      <c r="I104" s="75" t="inlineStr">
        <is>
          <t>2024-08-14</t>
        </is>
      </c>
      <c r="J104" s="75" t="inlineStr">
        <is>
          <t>11</t>
        </is>
      </c>
      <c r="K104" s="75" t="inlineStr">
        <is>
          <t>aceito_payload</t>
        </is>
      </c>
      <c r="L104" s="144" t="n">
        <v>1</v>
      </c>
      <c r="M104" s="75" t="inlineStr">
        <is>
          <t>data/industry_study/generated_revision/artifact_payload.json</t>
        </is>
      </c>
      <c r="N104" s="75" t="inlineStr">
        <is>
          <t>https://fnet.bmfbovespa.com.br/fnet/publico/downloadDocumento?id=719764</t>
        </is>
      </c>
      <c r="O104" s="75" t="inlineStr">
        <is>
          <t>Relação Mínima Subordinada: cotas júnior / PL, mínimo de 10,0%.</t>
        </is>
      </c>
    </row>
    <row r="105" ht="43.5" customHeight="1">
      <c r="A105" s="142" t="n">
        <v>38385876000176</v>
      </c>
      <c r="B105" s="75" t="inlineStr">
        <is>
          <t>38.385.876/0001-76</t>
        </is>
      </c>
      <c r="C105" s="75" t="inlineStr">
        <is>
          <t>natureza_indice</t>
        </is>
      </c>
      <c r="D105" s="75" t="inlineStr">
        <is>
          <t>junior_pl</t>
        </is>
      </c>
      <c r="E105" s="75" t="inlineStr">
        <is>
          <t>junior_pl</t>
        </is>
      </c>
      <c r="F105" s="75" t="inlineStr">
        <is>
          <t>payload_documental</t>
        </is>
      </c>
      <c r="G105" s="75" t="inlineStr">
        <is>
          <t>719764</t>
        </is>
      </c>
      <c r="H105" s="75" t="inlineStr">
        <is>
          <t>documento_curado</t>
        </is>
      </c>
      <c r="I105" s="75" t="inlineStr">
        <is>
          <t>2024-08-14</t>
        </is>
      </c>
      <c r="J105" s="75" t="inlineStr">
        <is>
          <t>11</t>
        </is>
      </c>
      <c r="K105" s="75" t="inlineStr">
        <is>
          <t>aceito_payload</t>
        </is>
      </c>
      <c r="L105" s="144" t="n">
        <v>1</v>
      </c>
      <c r="M105" s="75" t="inlineStr">
        <is>
          <t>data/industry_study/generated_revision/artifact_payload.json</t>
        </is>
      </c>
      <c r="N105" s="75" t="inlineStr">
        <is>
          <t>https://fnet.bmfbovespa.com.br/fnet/publico/downloadDocumento?id=719764</t>
        </is>
      </c>
      <c r="O105" s="75" t="inlineStr">
        <is>
          <t>Relação Mínima Subordinada: cotas júnior / PL, mínimo de 10,0%.</t>
        </is>
      </c>
    </row>
    <row r="106" ht="43.5" customHeight="1">
      <c r="A106" s="142" t="n">
        <v>38385876000176</v>
      </c>
      <c r="B106" s="75" t="inlineStr">
        <is>
          <t>38.385.876/0001-76</t>
        </is>
      </c>
      <c r="C106" s="75" t="inlineStr">
        <is>
          <t>tipo_recebivel</t>
        </is>
      </c>
      <c r="D106" s="75" t="inlineStr">
        <is>
          <t>os direitos creditórios constantes da Agenda de Recebíveis que, d e tempos em tempos, o Cedente detém em face das Devedoras em decorrência das Transações de Pagamento, no âmbito dos Arranjos de Pagamento em que as Devedoras e o Cedente sejam participantes, os quais serão identificados pelo seguinte conjunto de informaçõe s, conforme registrados nos Sistemas de Registro: (i) CNPJ do Cedente; (ii) Devedora; (iii) Bandeira; (iv) data de liquidação (vencimento)</t>
        </is>
      </c>
      <c r="E106" s="75" t="inlineStr">
        <is>
          <t>N/D</t>
        </is>
      </c>
      <c r="F106" s="75" t="inlineStr">
        <is>
          <t>regulamento</t>
        </is>
      </c>
      <c r="G106" s="75" t="inlineStr">
        <is>
          <t>719764</t>
        </is>
      </c>
      <c r="H106" s="75" t="inlineStr">
        <is>
          <t>Regulamento</t>
        </is>
      </c>
      <c r="I106" s="75" t="inlineStr">
        <is>
          <t>14/08/2024</t>
        </is>
      </c>
      <c r="J106" s="75" t="inlineStr">
        <is>
          <t>49</t>
        </is>
      </c>
      <c r="K106" s="75" t="inlineStr">
        <is>
          <t>encontrado_explicito</t>
        </is>
      </c>
      <c r="L106" s="144" t="n">
        <v>0.92</v>
      </c>
      <c r="M106" s="75" t="inlineStr">
        <is>
          <t>.cache/carteira_101_document_scan/38385876000176/719764.json.gz</t>
        </is>
      </c>
      <c r="N106" s="75" t="inlineStr">
        <is>
          <t>https://fnet.bmfbovespa.com.br/fnet/publico/downloadDocumento?id=719764</t>
        </is>
      </c>
      <c r="O106" s="75" t="inlineStr">
        <is>
          <t>de esclarecimento, as Diluições não correspondem a inadimplência total ou parcial pela Devedora. “Direitos Creditórios” São os direitos creditórios constantes da Agenda de Recebíveis que, d e tempos em tempos, o Cedente detém em face das Devedoras em decorrência das Transações de Pagamento, no âmbito dos Arranjos de Pagamento em que as Devedoras e o Cedente sejam participantes, os quais serão identificados pelo seguinte conjunto de informaçõe s, conforme registrados nos Sistemas de Registro: (i) CNPJ do Cedente; (ii) Devedora; (iii) Bandeira; (iv) data de liquidação (vencimento); e (v) valor de face. “Direitos Creditórios Cedidos Todos os Direitos Creditórios que tenham sid</t>
        </is>
      </c>
    </row>
    <row r="107" ht="43.5" customHeight="1">
      <c r="A107" s="142" t="n">
        <v>38385876000176</v>
      </c>
      <c r="B107" s="75" t="inlineStr">
        <is>
          <t>38.385.876/0001-76</t>
        </is>
      </c>
      <c r="C107" s="75" t="inlineStr">
        <is>
          <t>tipo_recebivel</t>
        </is>
      </c>
      <c r="D107" s="75" t="inlineStr">
        <is>
          <t>recebíveis de cartão oriundos da venda de planos de cursos preparatórios</t>
        </is>
      </c>
      <c r="E107" s="75" t="inlineStr">
        <is>
          <t>N/D</t>
        </is>
      </c>
      <c r="F107" s="75" t="inlineStr">
        <is>
          <t>planilha_manual</t>
        </is>
      </c>
      <c r="G107" s="75" t="inlineStr">
        <is>
          <t>IMG_8705.JPG</t>
        </is>
      </c>
      <c r="H107" s="75" t="inlineStr">
        <is>
          <t>payload</t>
        </is>
      </c>
      <c r="I107" s="75" t="inlineStr">
        <is>
          <t>2024-08-14</t>
        </is>
      </c>
      <c r="J107" s="75" t="inlineStr">
        <is>
          <t>11</t>
        </is>
      </c>
      <c r="K107" s="75" t="inlineStr">
        <is>
          <t>aceito_payload</t>
        </is>
      </c>
      <c r="L107" s="144" t="n">
        <v>1</v>
      </c>
      <c r="M107" s="75" t="inlineStr">
        <is>
          <t>data/industry_study/generated_revision/artifact_payload.json</t>
        </is>
      </c>
      <c r="N107" s="75" t="inlineStr">
        <is>
          <t>N/D</t>
        </is>
      </c>
      <c r="O107" s="75" t="inlineStr">
        <is>
          <t>N/D</t>
        </is>
      </c>
    </row>
    <row r="108" ht="43.5" customHeight="1">
      <c r="A108" s="142" t="n">
        <v>38658727000133</v>
      </c>
      <c r="B108" s="75" t="inlineStr">
        <is>
          <t>38.658.727/0001-33</t>
        </is>
      </c>
      <c r="C108" s="75" t="inlineStr">
        <is>
          <t>cedente</t>
        </is>
      </c>
      <c r="D108" s="75" t="inlineStr">
        <is>
          <t>Fornecedores: Madeira/Madeira</t>
        </is>
      </c>
      <c r="E108" s="75" t="inlineStr">
        <is>
          <t>N/D</t>
        </is>
      </c>
      <c r="F108" s="75" t="inlineStr">
        <is>
          <t>planilha_manual</t>
        </is>
      </c>
      <c r="G108" s="75" t="inlineStr">
        <is>
          <t>IMG_8705.JPG</t>
        </is>
      </c>
      <c r="H108" s="75" t="inlineStr">
        <is>
          <t>payload</t>
        </is>
      </c>
      <c r="I108" s="75" t="inlineStr">
        <is>
          <t>2026-06-05</t>
        </is>
      </c>
      <c r="J108" s="75" t="inlineStr">
        <is>
          <t>62</t>
        </is>
      </c>
      <c r="K108" s="75" t="inlineStr">
        <is>
          <t>aceito_payload</t>
        </is>
      </c>
      <c r="L108" s="144" t="n">
        <v>1</v>
      </c>
      <c r="M108" s="75" t="inlineStr">
        <is>
          <t>data/industry_study/generated_revision/artifact_payload.json</t>
        </is>
      </c>
      <c r="N108" s="75" t="inlineStr">
        <is>
          <t>N/D</t>
        </is>
      </c>
      <c r="O108" s="75" t="inlineStr">
        <is>
          <t>OBS da foto: FIDC Multicedente (Fornecedores) &amp; Monosacado (Madeira/Madeira). O sacado foi desmembrado somente porque a função Monosacado está escrita na fonte.</t>
        </is>
      </c>
    </row>
    <row r="109" ht="43.5" customHeight="1">
      <c r="A109" s="142" t="n">
        <v>38658727000133</v>
      </c>
      <c r="B109" s="75" t="inlineStr">
        <is>
          <t>38.658.727/0001-33</t>
        </is>
      </c>
      <c r="C109" s="75" t="inlineStr">
        <is>
          <t>minimo_estrutural_total</t>
        </is>
      </c>
      <c r="D109" s="75" t="inlineStr">
        <is>
          <t>26.665%</t>
        </is>
      </c>
      <c r="E109" s="75" t="inlineStr">
        <is>
          <t>suporte_total_pl</t>
        </is>
      </c>
      <c r="F109" s="75" t="inlineStr">
        <is>
          <t>payload_documental</t>
        </is>
      </c>
      <c r="G109" s="75" t="inlineStr">
        <is>
          <t>1216296</t>
        </is>
      </c>
      <c r="H109" s="75" t="inlineStr">
        <is>
          <t>documento_curado</t>
        </is>
      </c>
      <c r="I109" s="75" t="inlineStr">
        <is>
          <t>2026-06-05</t>
        </is>
      </c>
      <c r="J109" s="75" t="inlineStr">
        <is>
          <t>62</t>
        </is>
      </c>
      <c r="K109" s="75" t="inlineStr">
        <is>
          <t>aceito_payload</t>
        </is>
      </c>
      <c r="L109" s="144" t="n">
        <v>1</v>
      </c>
      <c r="M109" s="75" t="inlineStr">
        <is>
          <t>data/industry_study/generated_revision/artifact_payload.json</t>
        </is>
      </c>
      <c r="N109" s="75" t="inlineStr">
        <is>
          <t>https://fnet.bmfbovespa.com.br/fnet/publico/downloadDocumento?id=1216296</t>
        </is>
      </c>
      <c r="O109" s="75" t="inlineStr">
        <is>
          <t>Mínimo júnior implícito na relação PL / cotas seniores de 136,36%.</t>
        </is>
      </c>
    </row>
    <row r="110" ht="43.5" customHeight="1">
      <c r="A110" s="142" t="n">
        <v>38658727000133</v>
      </c>
      <c r="B110" s="75" t="inlineStr">
        <is>
          <t>38.658.727/0001-33</t>
        </is>
      </c>
      <c r="C110" s="75" t="inlineStr">
        <is>
          <t>minimo_junior</t>
        </is>
      </c>
      <c r="D110" s="75" t="inlineStr">
        <is>
          <t>26.665%</t>
        </is>
      </c>
      <c r="E110" s="75" t="inlineStr">
        <is>
          <t>junior_pl_calculado</t>
        </is>
      </c>
      <c r="F110" s="75" t="inlineStr">
        <is>
          <t>payload_documental</t>
        </is>
      </c>
      <c r="G110" s="75" t="inlineStr">
        <is>
          <t>1216296</t>
        </is>
      </c>
      <c r="H110" s="75" t="inlineStr">
        <is>
          <t>documento_curado</t>
        </is>
      </c>
      <c r="I110" s="75" t="inlineStr">
        <is>
          <t>2026-06-05</t>
        </is>
      </c>
      <c r="J110" s="75" t="inlineStr">
        <is>
          <t>62</t>
        </is>
      </c>
      <c r="K110" s="75" t="inlineStr">
        <is>
          <t>aceito_payload</t>
        </is>
      </c>
      <c r="L110" s="144" t="n">
        <v>1</v>
      </c>
      <c r="M110" s="75" t="inlineStr">
        <is>
          <t>data/industry_study/generated_revision/artifact_payload.json</t>
        </is>
      </c>
      <c r="N110" s="75" t="inlineStr">
        <is>
          <t>https://fnet.bmfbovespa.com.br/fnet/publico/downloadDocumento?id=1216296</t>
        </is>
      </c>
      <c r="O110" s="75" t="inlineStr">
        <is>
          <t>Mínimo júnior implícito na relação PL / cotas seniores de 136,36%.</t>
        </is>
      </c>
    </row>
    <row r="111" ht="43.5" customHeight="1">
      <c r="A111" s="142" t="n">
        <v>38658727000133</v>
      </c>
      <c r="B111" s="75" t="inlineStr">
        <is>
          <t>38.658.727/0001-33</t>
        </is>
      </c>
      <c r="C111" s="75" t="inlineStr">
        <is>
          <t>natureza_indice</t>
        </is>
      </c>
      <c r="D111" s="75" t="inlineStr">
        <is>
          <t>junior_pl_calculado</t>
        </is>
      </c>
      <c r="E111" s="75" t="inlineStr">
        <is>
          <t>junior_pl_calculado</t>
        </is>
      </c>
      <c r="F111" s="75" t="inlineStr">
        <is>
          <t>payload_documental</t>
        </is>
      </c>
      <c r="G111" s="75" t="inlineStr">
        <is>
          <t>1216296</t>
        </is>
      </c>
      <c r="H111" s="75" t="inlineStr">
        <is>
          <t>documento_curado</t>
        </is>
      </c>
      <c r="I111" s="75" t="inlineStr">
        <is>
          <t>2026-06-05</t>
        </is>
      </c>
      <c r="J111" s="75" t="inlineStr">
        <is>
          <t>62</t>
        </is>
      </c>
      <c r="K111" s="75" t="inlineStr">
        <is>
          <t>aceito_payload</t>
        </is>
      </c>
      <c r="L111" s="144" t="n">
        <v>1</v>
      </c>
      <c r="M111" s="75" t="inlineStr">
        <is>
          <t>data/industry_study/generated_revision/artifact_payload.json</t>
        </is>
      </c>
      <c r="N111" s="75" t="inlineStr">
        <is>
          <t>https://fnet.bmfbovespa.com.br/fnet/publico/downloadDocumento?id=1216296</t>
        </is>
      </c>
      <c r="O111" s="75" t="inlineStr">
        <is>
          <t>Mínimo júnior implícito na relação PL / cotas seniores de 136,36%.</t>
        </is>
      </c>
    </row>
    <row r="112" ht="43.5" customHeight="1">
      <c r="A112" s="142" t="n">
        <v>38658727000133</v>
      </c>
      <c r="B112" s="75" t="inlineStr">
        <is>
          <t>38.658.727/0001-33</t>
        </is>
      </c>
      <c r="C112" s="75" t="inlineStr">
        <is>
          <t>sacado_devedor</t>
        </is>
      </c>
      <c r="D112" s="75" t="inlineStr">
        <is>
          <t>Madeira/Madeira</t>
        </is>
      </c>
      <c r="E112" s="75" t="inlineStr">
        <is>
          <t>N/D</t>
        </is>
      </c>
      <c r="F112" s="75" t="inlineStr">
        <is>
          <t>planilha_manual</t>
        </is>
      </c>
      <c r="G112" s="75" t="inlineStr">
        <is>
          <t>IMG_8705.JPG</t>
        </is>
      </c>
      <c r="H112" s="75" t="inlineStr">
        <is>
          <t>payload</t>
        </is>
      </c>
      <c r="I112" s="75" t="inlineStr">
        <is>
          <t>2026-06-05</t>
        </is>
      </c>
      <c r="J112" s="75" t="inlineStr">
        <is>
          <t>62</t>
        </is>
      </c>
      <c r="K112" s="75" t="inlineStr">
        <is>
          <t>aceito_payload</t>
        </is>
      </c>
      <c r="L112" s="144" t="n">
        <v>1</v>
      </c>
      <c r="M112" s="75" t="inlineStr">
        <is>
          <t>data/industry_study/generated_revision/artifact_payload.json</t>
        </is>
      </c>
      <c r="N112" s="75" t="inlineStr">
        <is>
          <t>N/D</t>
        </is>
      </c>
      <c r="O112" s="75" t="inlineStr">
        <is>
          <t>OBS da foto: FIDC Multicedente (Fornecedores) &amp; Monosacado (Madeira/Madeira). O sacado foi desmembrado somente porque a função Monosacado está escrita na fonte.</t>
        </is>
      </c>
    </row>
    <row r="113" ht="43.5" customHeight="1">
      <c r="A113" s="142" t="n">
        <v>38658727000133</v>
      </c>
      <c r="B113" s="75" t="inlineStr">
        <is>
          <t>38.658.727/0001-33</t>
        </is>
      </c>
      <c r="C113" s="75" t="inlineStr">
        <is>
          <t>tipo_recebivel</t>
        </is>
      </c>
      <c r="D113" s="75" t="inlineStr">
        <is>
          <t>os direitos creditórios, representados pelos Contratos Comerciais, incluindo a totalidade dos respectivos acessórios, tais como atualização monetária, juros remuneratórios, encargos moratórios, multas, penalidades, seguros, indenizações, despesa s, custas, honorários, garantias e demais encargos contratuais e legais previstos nos Contratos Comerciais</t>
        </is>
      </c>
      <c r="E113" s="75" t="inlineStr">
        <is>
          <t>N/D</t>
        </is>
      </c>
      <c r="F113" s="75" t="inlineStr">
        <is>
          <t>regulamento</t>
        </is>
      </c>
      <c r="G113" s="75" t="inlineStr">
        <is>
          <t>691063</t>
        </is>
      </c>
      <c r="H113" s="75" t="inlineStr">
        <is>
          <t>regulamento</t>
        </is>
      </c>
      <c r="I113" s="75" t="inlineStr">
        <is>
          <t>2024-06-13</t>
        </is>
      </c>
      <c r="J113" s="75" t="inlineStr">
        <is>
          <t>8</t>
        </is>
      </c>
      <c r="K113" s="75" t="inlineStr">
        <is>
          <t>encontrado_explicito</t>
        </is>
      </c>
      <c r="L113" s="144" t="n">
        <v>0.92</v>
      </c>
      <c r="M113" s="75" t="inlineStr">
        <is>
          <t>data/raw/38658727000133/691063_regulamento_regulamento_691063_2024-06-13.pdf</t>
        </is>
      </c>
      <c r="N113" s="75" t="inlineStr">
        <is>
          <t>https://fnet.bmfbovespa.com.br/fnet/publico/downloadDocumento?id=691063</t>
        </is>
      </c>
      <c r="O113" s="75" t="inlineStr">
        <is>
          <t>onsiderado Dia Útil qualquer dia que não seja sábado, domingo ou feriado declarado nacional. “Direitos Creditórios” Significam os direitos creditórios, representados pelos Contratos Comerciais, incluindo a totalidade dos respectivos acessórios, tais como atualização monetária, juros remuneratórios, encargos moratórios, multas, penalidades, seguros, indenizações, despesa s, custas, honorários, garantias e demais encargos contratuais e legais previstos nos Contratos Comerciais. “Direitos Creditórios Cedidos” Significa os Direitos Creditórios cedidos pelos Cedentes ao Fu</t>
        </is>
      </c>
    </row>
    <row r="114" ht="43.5" customHeight="1">
      <c r="A114" s="142" t="n">
        <v>40919667000107</v>
      </c>
      <c r="B114" s="75" t="inlineStr">
        <is>
          <t>40.919.667/0001-07</t>
        </is>
      </c>
      <c r="C114" s="75" t="inlineStr">
        <is>
          <t>cedente</t>
        </is>
      </c>
      <c r="D114" s="75" t="inlineStr">
        <is>
          <t>RecargaPay</t>
        </is>
      </c>
      <c r="E114" s="75" t="inlineStr">
        <is>
          <t>N/D</t>
        </is>
      </c>
      <c r="F114" s="75" t="inlineStr">
        <is>
          <t>planilha_manual</t>
        </is>
      </c>
      <c r="G114" s="75" t="inlineStr">
        <is>
          <t>IMG_8705.JPG</t>
        </is>
      </c>
      <c r="H114" s="75" t="inlineStr">
        <is>
          <t>payload</t>
        </is>
      </c>
      <c r="I114" s="75" t="inlineStr">
        <is>
          <t>2026-02-12</t>
        </is>
      </c>
      <c r="J114" s="75" t="inlineStr">
        <is>
          <t>31</t>
        </is>
      </c>
      <c r="K114" s="75" t="inlineStr">
        <is>
          <t>aceito_payload</t>
        </is>
      </c>
      <c r="L114" s="144" t="n">
        <v>1</v>
      </c>
      <c r="M114" s="75" t="inlineStr">
        <is>
          <t>data/industry_study/generated_revision/artifact_payload.json</t>
        </is>
      </c>
      <c r="N114" s="75" t="inlineStr">
        <is>
          <t>N/D</t>
        </is>
      </c>
      <c r="O114" s="75" t="inlineStr">
        <is>
          <t>OBS da foto: FIDC "Bolso próprio", onde a Recarga fez aportes iniciais e utiliza o veículo para antecipar os recebíveis de cartão. Denominação cortada.</t>
        </is>
      </c>
    </row>
    <row r="115" ht="43.5" customHeight="1">
      <c r="A115" s="142" t="n">
        <v>40919667000107</v>
      </c>
      <c r="B115" s="75" t="inlineStr">
        <is>
          <t>40.919.667/0001-07</t>
        </is>
      </c>
      <c r="C115" s="75" t="inlineStr">
        <is>
          <t>minimo_estrutural_total</t>
        </is>
      </c>
      <c r="D115" s="75" t="inlineStr">
        <is>
          <t>50%</t>
        </is>
      </c>
      <c r="E115" s="75" t="inlineStr">
        <is>
          <t>suporte_total_pl</t>
        </is>
      </c>
      <c r="F115" s="75" t="inlineStr">
        <is>
          <t>payload_documental</t>
        </is>
      </c>
      <c r="G115" s="75" t="inlineStr">
        <is>
          <t>1118056</t>
        </is>
      </c>
      <c r="H115" s="75" t="inlineStr">
        <is>
          <t>documento_curado</t>
        </is>
      </c>
      <c r="I115" s="75" t="inlineStr">
        <is>
          <t>2026-02-12</t>
        </is>
      </c>
      <c r="J115" s="75" t="inlineStr">
        <is>
          <t>31</t>
        </is>
      </c>
      <c r="K115" s="75" t="inlineStr">
        <is>
          <t>aceito_payload</t>
        </is>
      </c>
      <c r="L115" s="144" t="n">
        <v>1</v>
      </c>
      <c r="M115" s="75" t="inlineStr">
        <is>
          <t>data/industry_study/generated_revision/artifact_payload.json</t>
        </is>
      </c>
      <c r="N115" s="75" t="inlineStr">
        <is>
          <t>https://fnet.bmfbovespa.com.br/fnet/publico/downloadDocumento?id=1118056</t>
        </is>
      </c>
      <c r="O115" s="75" t="inlineStr">
        <is>
          <t>Cotas subordinadas / PL, mínimo de 50,0%; estrutura com uma única classe residual.</t>
        </is>
      </c>
    </row>
    <row r="116" ht="43.5" customHeight="1">
      <c r="A116" s="142" t="n">
        <v>40919667000107</v>
      </c>
      <c r="B116" s="75" t="inlineStr">
        <is>
          <t>40.919.667/0001-07</t>
        </is>
      </c>
      <c r="C116" s="75" t="inlineStr">
        <is>
          <t>minimo_junior</t>
        </is>
      </c>
      <c r="D116" s="75" t="inlineStr">
        <is>
          <t>50%</t>
        </is>
      </c>
      <c r="E116" s="75" t="inlineStr">
        <is>
          <t>junior_pl</t>
        </is>
      </c>
      <c r="F116" s="75" t="inlineStr">
        <is>
          <t>payload_documental</t>
        </is>
      </c>
      <c r="G116" s="75" t="inlineStr">
        <is>
          <t>1118056</t>
        </is>
      </c>
      <c r="H116" s="75" t="inlineStr">
        <is>
          <t>documento_curado</t>
        </is>
      </c>
      <c r="I116" s="75" t="inlineStr">
        <is>
          <t>2026-02-12</t>
        </is>
      </c>
      <c r="J116" s="75" t="inlineStr">
        <is>
          <t>31</t>
        </is>
      </c>
      <c r="K116" s="75" t="inlineStr">
        <is>
          <t>aceito_payload</t>
        </is>
      </c>
      <c r="L116" s="144" t="n">
        <v>1</v>
      </c>
      <c r="M116" s="75" t="inlineStr">
        <is>
          <t>data/industry_study/generated_revision/artifact_payload.json</t>
        </is>
      </c>
      <c r="N116" s="75" t="inlineStr">
        <is>
          <t>https://fnet.bmfbovespa.com.br/fnet/publico/downloadDocumento?id=1118056</t>
        </is>
      </c>
      <c r="O116" s="75" t="inlineStr">
        <is>
          <t>Cotas subordinadas / PL, mínimo de 50,0%; estrutura com uma única classe residual.</t>
        </is>
      </c>
    </row>
    <row r="117" ht="43.5" customHeight="1">
      <c r="A117" s="142" t="n">
        <v>40919667000107</v>
      </c>
      <c r="B117" s="75" t="inlineStr">
        <is>
          <t>40.919.667/0001-07</t>
        </is>
      </c>
      <c r="C117" s="75" t="inlineStr">
        <is>
          <t>natureza_indice</t>
        </is>
      </c>
      <c r="D117" s="75" t="inlineStr">
        <is>
          <t>junior_pl</t>
        </is>
      </c>
      <c r="E117" s="75" t="inlineStr">
        <is>
          <t>junior_pl</t>
        </is>
      </c>
      <c r="F117" s="75" t="inlineStr">
        <is>
          <t>payload_documental</t>
        </is>
      </c>
      <c r="G117" s="75" t="inlineStr">
        <is>
          <t>1118056</t>
        </is>
      </c>
      <c r="H117" s="75" t="inlineStr">
        <is>
          <t>documento_curado</t>
        </is>
      </c>
      <c r="I117" s="75" t="inlineStr">
        <is>
          <t>2026-02-12</t>
        </is>
      </c>
      <c r="J117" s="75" t="inlineStr">
        <is>
          <t>31</t>
        </is>
      </c>
      <c r="K117" s="75" t="inlineStr">
        <is>
          <t>aceito_payload</t>
        </is>
      </c>
      <c r="L117" s="144" t="n">
        <v>1</v>
      </c>
      <c r="M117" s="75" t="inlineStr">
        <is>
          <t>data/industry_study/generated_revision/artifact_payload.json</t>
        </is>
      </c>
      <c r="N117" s="75" t="inlineStr">
        <is>
          <t>https://fnet.bmfbovespa.com.br/fnet/publico/downloadDocumento?id=1118056</t>
        </is>
      </c>
      <c r="O117" s="75" t="inlineStr">
        <is>
          <t>Cotas subordinadas / PL, mínimo de 50,0%; estrutura com uma única classe residual.</t>
        </is>
      </c>
    </row>
    <row r="118" ht="43.5" customHeight="1">
      <c r="A118" s="142" t="n">
        <v>40919667000107</v>
      </c>
      <c r="B118" s="75" t="inlineStr">
        <is>
          <t>40.919.667/0001-07</t>
        </is>
      </c>
      <c r="C118" s="75" t="inlineStr">
        <is>
          <t>tipo_recebivel</t>
        </is>
      </c>
      <c r="D118" s="75" t="inlineStr">
        <is>
          <t>recebíveis de cartão</t>
        </is>
      </c>
      <c r="E118" s="75" t="inlineStr">
        <is>
          <t>N/D</t>
        </is>
      </c>
      <c r="F118" s="75" t="inlineStr">
        <is>
          <t>planilha_manual</t>
        </is>
      </c>
      <c r="G118" s="75" t="inlineStr">
        <is>
          <t>IMG_8705.JPG</t>
        </is>
      </c>
      <c r="H118" s="75" t="inlineStr">
        <is>
          <t>payload</t>
        </is>
      </c>
      <c r="I118" s="75" t="inlineStr">
        <is>
          <t>2026-02-12</t>
        </is>
      </c>
      <c r="J118" s="75" t="inlineStr">
        <is>
          <t>31</t>
        </is>
      </c>
      <c r="K118" s="75" t="inlineStr">
        <is>
          <t>aceito_payload</t>
        </is>
      </c>
      <c r="L118" s="144" t="n">
        <v>1</v>
      </c>
      <c r="M118" s="75" t="inlineStr">
        <is>
          <t>data/industry_study/generated_revision/artifact_payload.json</t>
        </is>
      </c>
      <c r="N118" s="75" t="inlineStr">
        <is>
          <t>N/D</t>
        </is>
      </c>
      <c r="O118" s="75" t="inlineStr">
        <is>
          <t>OBS da foto: FIDC "Bolso próprio", onde a Recarga fez aportes iniciais e utiliza o veículo para antecipar os recebíveis de cartão. Denominação cortada.</t>
        </is>
      </c>
    </row>
    <row r="119" ht="43.5" customHeight="1">
      <c r="A119" s="142" t="n">
        <v>41197066000109</v>
      </c>
      <c r="B119" s="75" t="inlineStr">
        <is>
          <t>41.197.066/0001-09</t>
        </is>
      </c>
      <c r="C119" s="75" t="inlineStr">
        <is>
          <t>cedente</t>
        </is>
      </c>
      <c r="D119" s="75" t="inlineStr">
        <is>
          <t>MovilePay / iFood</t>
        </is>
      </c>
      <c r="E119" s="75" t="inlineStr">
        <is>
          <t>N/D</t>
        </is>
      </c>
      <c r="F119" s="75" t="inlineStr">
        <is>
          <t>planilha_manual</t>
        </is>
      </c>
      <c r="G119" s="75" t="inlineStr">
        <is>
          <t>IMG_8705.JPG</t>
        </is>
      </c>
      <c r="H119" s="75" t="inlineStr">
        <is>
          <t>payload</t>
        </is>
      </c>
      <c r="I119" s="75" t="inlineStr">
        <is>
          <t>2025-12-30</t>
        </is>
      </c>
      <c r="J119" s="75" t="inlineStr">
        <is>
          <t>89</t>
        </is>
      </c>
      <c r="K119" s="75" t="inlineStr">
        <is>
          <t>aceito_payload</t>
        </is>
      </c>
      <c r="L119" s="144" t="n">
        <v>1</v>
      </c>
      <c r="M119" s="75" t="inlineStr">
        <is>
          <t>data/industry_study/generated_revision/artifact_payload.json</t>
        </is>
      </c>
      <c r="N119" s="75" t="inlineStr">
        <is>
          <t>N/D</t>
        </is>
      </c>
      <c r="O119" s="75" t="inlineStr">
        <is>
          <t>Denominação cortada pela largura da coluna na foto.</t>
        </is>
      </c>
    </row>
    <row r="120" ht="43.5" customHeight="1">
      <c r="A120" s="142" t="n">
        <v>41197066000109</v>
      </c>
      <c r="B120" s="75" t="inlineStr">
        <is>
          <t>41.197.066/0001-09</t>
        </is>
      </c>
      <c r="C120" s="75" t="inlineStr">
        <is>
          <t>minimo_junior</t>
        </is>
      </c>
      <c r="D120" s="75" t="inlineStr">
        <is>
          <t>10%</t>
        </is>
      </c>
      <c r="E120" s="75" t="inlineStr">
        <is>
          <t>junior_pl</t>
        </is>
      </c>
      <c r="F120" s="75" t="inlineStr">
        <is>
          <t>payload_documental</t>
        </is>
      </c>
      <c r="G120" s="75" t="inlineStr">
        <is>
          <t>1076481</t>
        </is>
      </c>
      <c r="H120" s="75" t="inlineStr">
        <is>
          <t>documento_curado</t>
        </is>
      </c>
      <c r="I120" s="75" t="inlineStr">
        <is>
          <t>2025-12-30</t>
        </is>
      </c>
      <c r="J120" s="75" t="inlineStr">
        <is>
          <t>89</t>
        </is>
      </c>
      <c r="K120" s="75" t="inlineStr">
        <is>
          <t>aceito_payload</t>
        </is>
      </c>
      <c r="L120" s="144" t="n">
        <v>1</v>
      </c>
      <c r="M120" s="75" t="inlineStr">
        <is>
          <t>data/industry_study/generated_revision/artifact_payload.json</t>
        </is>
      </c>
      <c r="N120" s="75" t="inlineStr">
        <is>
          <t>https://fnet.bmfbovespa.com.br/fnet/publico/downloadDocumento?id=1076481</t>
        </is>
      </c>
      <c r="O120" s="75" t="inlineStr">
        <is>
          <t>Cotas júnior / PL: 10,0% até o gatilho contratual e 20,0% depois de atingido o novo patamar.</t>
        </is>
      </c>
    </row>
    <row r="121" ht="43.5" customHeight="1">
      <c r="A121" s="142" t="n">
        <v>41197066000109</v>
      </c>
      <c r="B121" s="75" t="inlineStr">
        <is>
          <t>41.197.066/0001-09</t>
        </is>
      </c>
      <c r="C121" s="75" t="inlineStr">
        <is>
          <t>natureza_indice</t>
        </is>
      </c>
      <c r="D121" s="75" t="inlineStr">
        <is>
          <t>junior_pl</t>
        </is>
      </c>
      <c r="E121" s="75" t="inlineStr">
        <is>
          <t>junior_pl</t>
        </is>
      </c>
      <c r="F121" s="75" t="inlineStr">
        <is>
          <t>payload_documental</t>
        </is>
      </c>
      <c r="G121" s="75" t="inlineStr">
        <is>
          <t>1076481</t>
        </is>
      </c>
      <c r="H121" s="75" t="inlineStr">
        <is>
          <t>documento_curado</t>
        </is>
      </c>
      <c r="I121" s="75" t="inlineStr">
        <is>
          <t>2025-12-30</t>
        </is>
      </c>
      <c r="J121" s="75" t="inlineStr">
        <is>
          <t>89</t>
        </is>
      </c>
      <c r="K121" s="75" t="inlineStr">
        <is>
          <t>aceito_payload</t>
        </is>
      </c>
      <c r="L121" s="144" t="n">
        <v>1</v>
      </c>
      <c r="M121" s="75" t="inlineStr">
        <is>
          <t>data/industry_study/generated_revision/artifact_payload.json</t>
        </is>
      </c>
      <c r="N121" s="75" t="inlineStr">
        <is>
          <t>https://fnet.bmfbovespa.com.br/fnet/publico/downloadDocumento?id=1076481</t>
        </is>
      </c>
      <c r="O121" s="75" t="inlineStr">
        <is>
          <t>Cotas júnior / PL: 10,0% até o gatilho contratual e 20,0% depois de atingido o novo patamar.</t>
        </is>
      </c>
    </row>
    <row r="122" ht="43.5" customHeight="1">
      <c r="A122" s="142" t="n">
        <v>41197066000109</v>
      </c>
      <c r="B122" s="75" t="inlineStr">
        <is>
          <t>41.197.066/0001-09</t>
        </is>
      </c>
      <c r="C122" s="75" t="inlineStr">
        <is>
          <t>sacado_devedor</t>
        </is>
      </c>
      <c r="D122" s="75" t="inlineStr">
        <is>
          <t>a pessoa que assume a responsabilidade solidária pelo cumprimento de quaisquer das obrigações principais, acessórias e/ou moratórias, presentes e/ou futuras, no seu vencimento original ou antecipado, assumidas ou que venham a ser assumidas pelo Devedor no âmbito de uma CCB cujo valor de principal seja inferior a R$100.000,00 (cem mil reais)</t>
        </is>
      </c>
      <c r="E122" s="75" t="inlineStr">
        <is>
          <t>N/D</t>
        </is>
      </c>
      <c r="F122" s="75" t="inlineStr">
        <is>
          <t>regulamento</t>
        </is>
      </c>
      <c r="G122" s="75" t="inlineStr">
        <is>
          <t>825529</t>
        </is>
      </c>
      <c r="H122" s="75" t="inlineStr">
        <is>
          <t>Regulamento</t>
        </is>
      </c>
      <c r="I122" s="75" t="inlineStr">
        <is>
          <t>02/01/2025</t>
        </is>
      </c>
      <c r="J122" s="75" t="inlineStr">
        <is>
          <t>85</t>
        </is>
      </c>
      <c r="K122" s="75" t="inlineStr">
        <is>
          <t>encontrado_explicito</t>
        </is>
      </c>
      <c r="L122" s="144" t="n">
        <v>0.95</v>
      </c>
      <c r="M122" s="75" t="inlineStr">
        <is>
          <t>.cache/carteira_101_document_scan/41197066000109/825529.json.gz</t>
        </is>
      </c>
      <c r="N122" s="75" t="inlineStr">
        <is>
          <t>https://fnet.bmfbovespa.com.br/fnet/publico/downloadDocumento?id=825529</t>
        </is>
      </c>
      <c r="O122" s="75" t="inlineStr">
        <is>
          <t>de Referência de cada mês, iniciando -se no mês imediatamente posterior ao 1º (primeiro) Mês Completo de Alocação. “Devedor Solidário” significa a pessoa que assume a responsabilidade solidária pelo cumprimento de quaisquer das obrigações principais, acessórias e/ou moratórias, presentes e/ou futuras, no seu vencimento original ou antecipado, assumidas ou que venham a ser assumidas pelo Devedor no âmbito de uma CCB cujo valor de principal seja inferior a R$100.000,00 (cem mil reais). “Devedores” significam pessoas físicas ou jurídicas que possuam uma Conta Digital do Devedor e que emitam uma CCB e</t>
        </is>
      </c>
    </row>
    <row r="123" ht="43.5" customHeight="1">
      <c r="A123" s="142" t="n">
        <v>41197066000109</v>
      </c>
      <c r="B123" s="75" t="inlineStr">
        <is>
          <t>41.197.066/0001-09</t>
        </is>
      </c>
      <c r="C123" s="75" t="inlineStr">
        <is>
          <t>sacado_devedor</t>
        </is>
      </c>
      <c r="D123" s="75" t="inlineStr">
        <is>
          <t>pessoas físicas ou jurídicas que possuam uma Conta Digital do Devedor e que emitam uma CCB em favor da Instituição Financeira Parceira, conforme aplicável, com o objetivo de realizar uma operação de crédito</t>
        </is>
      </c>
      <c r="E123" s="75" t="inlineStr">
        <is>
          <t>N/D</t>
        </is>
      </c>
      <c r="F123" s="75" t="inlineStr">
        <is>
          <t>regulamento</t>
        </is>
      </c>
      <c r="G123" s="75" t="inlineStr">
        <is>
          <t>825529</t>
        </is>
      </c>
      <c r="H123" s="75" t="inlineStr">
        <is>
          <t>Regulamento</t>
        </is>
      </c>
      <c r="I123" s="75" t="inlineStr">
        <is>
          <t>02/01/2025</t>
        </is>
      </c>
      <c r="J123" s="75" t="inlineStr">
        <is>
          <t>85</t>
        </is>
      </c>
      <c r="K123" s="75" t="inlineStr">
        <is>
          <t>encontrado_explicito</t>
        </is>
      </c>
      <c r="L123" s="144" t="n">
        <v>0.95</v>
      </c>
      <c r="M123" s="75" t="inlineStr">
        <is>
          <t>.cache/carteira_101_document_scan/41197066000109/825529.json.gz</t>
        </is>
      </c>
      <c r="N123" s="75" t="inlineStr">
        <is>
          <t>https://fnet.bmfbovespa.com.br/fnet/publico/downloadDocumento?id=825529</t>
        </is>
      </c>
      <c r="O123" s="75" t="inlineStr">
        <is>
          <t>r assumidas pelo Devedor no âmbito de uma CCB cujo valor de principal seja inferior a R$100.000,00 (cem mil reais). “Devedores” significam pessoas físicas ou jurídicas que possuam uma Conta Digital do Devedor e que emitam uma CCB em favor da Instituição Financeira Parceira, conforme aplicável, com o objetivo de realizar uma operação de crédito. “Devedores Elegíveis” significam Devedores que atendam aos seguintes critérios mínimos: (i) tenham aberto sua Conta</t>
        </is>
      </c>
    </row>
    <row r="124" ht="43.5" customHeight="1">
      <c r="A124" s="142" t="n">
        <v>41197066000109</v>
      </c>
      <c r="B124" s="75" t="inlineStr">
        <is>
          <t>41.197.066/0001-09</t>
        </is>
      </c>
      <c r="C124" s="75" t="inlineStr">
        <is>
          <t>sacado_devedor</t>
        </is>
      </c>
      <c r="D124" s="75" t="inlineStr">
        <is>
          <t>a pessoa que assume a responsabilidade solidária pelo cumprimento de quaisquer das obrigações principais, acessórias e/ou moratórias, presentes e/ou futuras, no seu vencimento original ou antecipado, assumidas ou que venham a ser assumidas Docusign Envelope ID: 68026EB4-05F6-4277-97D7-D8C28DC37303</t>
        </is>
      </c>
      <c r="E124" s="75" t="inlineStr">
        <is>
          <t>N/D</t>
        </is>
      </c>
      <c r="F124" s="75" t="inlineStr">
        <is>
          <t>regulamento</t>
        </is>
      </c>
      <c r="G124" s="75" t="inlineStr">
        <is>
          <t>1076481</t>
        </is>
      </c>
      <c r="H124" s="75" t="inlineStr">
        <is>
          <t>regulamento</t>
        </is>
      </c>
      <c r="I124" s="75" t="inlineStr">
        <is>
          <t>2025-12-30</t>
        </is>
      </c>
      <c r="J124" s="75" t="inlineStr">
        <is>
          <t>84</t>
        </is>
      </c>
      <c r="K124" s="75" t="inlineStr">
        <is>
          <t>encontrado_explicito</t>
        </is>
      </c>
      <c r="L124" s="144" t="n">
        <v>0.95</v>
      </c>
      <c r="M124" s="75" t="inlineStr">
        <is>
          <t>data/raw/41197066000109/1076481_regulamento_regulamento_1076481_2025-12-30_2025-12-30.pdf</t>
        </is>
      </c>
      <c r="N124" s="75" t="inlineStr">
        <is>
          <t>https://fnet.bmfbovespa.com.br/fnet/publico/downloadDocumento?id=1076481</t>
        </is>
      </c>
      <c r="O124" s="75" t="inlineStr">
        <is>
          <t>ta de Referência de cada mês, iniciando-se no mês imediatamente posterior ao 1º (primeiro) Mês Completo de Alocação. “Devedor Solidário” significa a pessoa que assume a responsabilidade solidária pelo cumprimento de quaisquer das obrigações principais, acessórias e/ou moratórias, presentes e/ou futuras, no seu vencimento original ou antecipado, assumidas ou que venham a ser assumidas Docusign Envelope ID: 68026EB4-05F6-4277-97D7-D8C28DC37303 Página 85 de 130 pelo Devedor no âmbito de uma CCB cujo valor de principal seja inferior a R$100.000,00 (cem mil</t>
        </is>
      </c>
    </row>
    <row r="125" ht="43.5" customHeight="1">
      <c r="A125" s="142" t="n">
        <v>41197066000109</v>
      </c>
      <c r="B125" s="75" t="inlineStr">
        <is>
          <t>41.197.066/0001-09</t>
        </is>
      </c>
      <c r="C125" s="75" t="inlineStr">
        <is>
          <t>sacado_devedor</t>
        </is>
      </c>
      <c r="D125" s="75" t="inlineStr">
        <is>
          <t>pessoas físicas ou jurídicas que possuam uma Conta Digital do Devedor e que emitam uma CCB em favor da Instituição Financeira Parceira, conforme aplicável, com o objetivo de realizar uma operação de crédito</t>
        </is>
      </c>
      <c r="E125" s="75" t="inlineStr">
        <is>
          <t>N/D</t>
        </is>
      </c>
      <c r="F125" s="75" t="inlineStr">
        <is>
          <t>regulamento</t>
        </is>
      </c>
      <c r="G125" s="75" t="inlineStr">
        <is>
          <t>1076481</t>
        </is>
      </c>
      <c r="H125" s="75" t="inlineStr">
        <is>
          <t>regulamento</t>
        </is>
      </c>
      <c r="I125" s="75" t="inlineStr">
        <is>
          <t>2025-12-30</t>
        </is>
      </c>
      <c r="J125" s="75" t="inlineStr">
        <is>
          <t>85</t>
        </is>
      </c>
      <c r="K125" s="75" t="inlineStr">
        <is>
          <t>encontrado_explicito</t>
        </is>
      </c>
      <c r="L125" s="144" t="n">
        <v>0.95</v>
      </c>
      <c r="M125" s="75" t="inlineStr">
        <is>
          <t>data/raw/41197066000109/1076481_regulamento_regulamento_1076481_2025-12-30_2025-12-30.pdf</t>
        </is>
      </c>
      <c r="N125" s="75" t="inlineStr">
        <is>
          <t>https://fnet.bmfbovespa.com.br/fnet/publico/downloadDocumento?id=1076481</t>
        </is>
      </c>
      <c r="O125" s="75" t="inlineStr">
        <is>
          <t>85 de 130 pelo Devedor no âmbito de uma CCB cujo valor de principal seja inferior a R$100.000,00 (cem mil reais). “Devedores” significam pessoas físicas ou jurídicas que possuam uma Conta Digital do Devedor e que emitam uma CCB em favor da Instituição Financeira Parceira, conforme aplicável, com o objetivo de realizar uma operação de crédito. “Devedores Elegíveis” significam Devedores que atendam aos seguintes critérios mínimos: (i) tenham aberto sua Conta</t>
        </is>
      </c>
    </row>
    <row r="126" ht="43.5" customHeight="1">
      <c r="A126" s="142" t="n">
        <v>41197066000109</v>
      </c>
      <c r="B126" s="75" t="inlineStr">
        <is>
          <t>41.197.066/0001-09</t>
        </is>
      </c>
      <c r="C126" s="75" t="inlineStr">
        <is>
          <t>tipo_recebivel</t>
        </is>
      </c>
      <c r="D126" s="75" t="inlineStr">
        <is>
          <t>todos os direitos creditórios originários de operações de crédito contra tadas pelos Devedores Elegíveis, na qualidade de Devedores, com as Instituições Financeiras Parceiras, formalizadas por meio da emissão de CCBs pelos respectivos Devedores Elegíveis em favor das Instituições Financeiras Parceiras</t>
        </is>
      </c>
      <c r="E126" s="75" t="inlineStr">
        <is>
          <t>N/D</t>
        </is>
      </c>
      <c r="F126" s="75" t="inlineStr">
        <is>
          <t>regulamento</t>
        </is>
      </c>
      <c r="G126" s="75" t="inlineStr">
        <is>
          <t>825529</t>
        </is>
      </c>
      <c r="H126" s="75" t="inlineStr">
        <is>
          <t>Regulamento</t>
        </is>
      </c>
      <c r="I126" s="75" t="inlineStr">
        <is>
          <t>02/01/2025</t>
        </is>
      </c>
      <c r="J126" s="75" t="inlineStr">
        <is>
          <t>86</t>
        </is>
      </c>
      <c r="K126" s="75" t="inlineStr">
        <is>
          <t>encontrado_explicito</t>
        </is>
      </c>
      <c r="L126" s="144" t="n">
        <v>0.92</v>
      </c>
      <c r="M126" s="75" t="inlineStr">
        <is>
          <t>.cache/carteira_101_document_scan/41197066000109/825529.json.gz</t>
        </is>
      </c>
      <c r="N126" s="75" t="inlineStr">
        <is>
          <t>https://fnet.bmfbovespa.com.br/fnet/publico/downloadDocumento?id=825529</t>
        </is>
      </c>
      <c r="O126" s="75" t="inlineStr">
        <is>
          <t>iatamente seguinte. Docusign Envelope ID: BEFDBBDF-2562-4023-83EB-1F8D942D0E30 Página 86 de 130 “Direitos Creditórios” significam todos os direitos creditórios originários de operações de crédito contra tadas pelos Devedores Elegíveis, na qualidade de Devedores, com as Instituições Financeiras Parceiras, formalizadas por meio da emissão de CCBs pelos respectivos Devedores Elegíveis em favor das Instituições Financeiras Parceiras. “Direitos Creditórios Adquiridos” significam os Direitos Creditórios adquiridos pelo Fundo do</t>
        </is>
      </c>
    </row>
    <row r="127" ht="43.5" customHeight="1">
      <c r="A127" s="142" t="n">
        <v>41197066000109</v>
      </c>
      <c r="B127" s="75" t="inlineStr">
        <is>
          <t>41.197.066/0001-09</t>
        </is>
      </c>
      <c r="C127" s="75" t="inlineStr">
        <is>
          <t>tipo_recebivel</t>
        </is>
      </c>
      <c r="D127" s="75" t="inlineStr">
        <is>
          <t>todos os direitos creditórios originários de operações de crédito contratadas pelos Devedores Elegíveis, na qualidade de Devedores, com as Instituições Financeiras Parceiras, formalizadas por meio da emissão de CCBs pelos respectivos Devedores Elegíveis em favor das Instituições Financeiras Parceiras</t>
        </is>
      </c>
      <c r="E127" s="75" t="inlineStr">
        <is>
          <t>N/D</t>
        </is>
      </c>
      <c r="F127" s="75" t="inlineStr">
        <is>
          <t>regulamento</t>
        </is>
      </c>
      <c r="G127" s="75" t="inlineStr">
        <is>
          <t>1076481</t>
        </is>
      </c>
      <c r="H127" s="75" t="inlineStr">
        <is>
          <t>regulamento</t>
        </is>
      </c>
      <c r="I127" s="75" t="inlineStr">
        <is>
          <t>2025-12-30</t>
        </is>
      </c>
      <c r="J127" s="75" t="inlineStr">
        <is>
          <t>85</t>
        </is>
      </c>
      <c r="K127" s="75" t="inlineStr">
        <is>
          <t>encontrado_explicito</t>
        </is>
      </c>
      <c r="L127" s="144" t="n">
        <v>0.92</v>
      </c>
      <c r="M127" s="75" t="inlineStr">
        <is>
          <t>data/raw/41197066000109/1076481_regulamento_regulamento_1076481_2025-12-30_2025-12-30.pdf</t>
        </is>
      </c>
      <c r="N127" s="75" t="inlineStr">
        <is>
          <t>https://fnet.bmfbovespa.com.br/fnet/publico/downloadDocumento?id=1076481</t>
        </is>
      </c>
      <c r="O127" s="75" t="inlineStr">
        <is>
          <t>tem, considerar-se-á como a data devida para o referido evento o Dia Útil imediatamente seguinte. “Direitos Creditórios” significam todos os direitos creditórios originários de operações de crédito contratadas pelos Devedores Elegíveis, na qualidade de Devedores, com as Instituições Financeiras Parceiras, formalizadas por meio da emissão de CCBs pelos respectivos Devedores Elegíveis em favor das Instituições Financeiras Parceiras. “Direitos Creditórios Adquiridos” significam os Direitos Creditórios adquiridos pelo Fundo do</t>
        </is>
      </c>
    </row>
    <row r="128" ht="43.5" customHeight="1">
      <c r="A128" s="142" t="n">
        <v>41197066000109</v>
      </c>
      <c r="B128" s="75" t="inlineStr">
        <is>
          <t>41.197.066/0001-09</t>
        </is>
      </c>
      <c r="C128" s="75" t="inlineStr">
        <is>
          <t>tipo_recebivel</t>
        </is>
      </c>
      <c r="D128" s="75" t="inlineStr">
        <is>
          <t>CCB PJ - ecossistema iFood</t>
        </is>
      </c>
      <c r="E128" s="75" t="inlineStr">
        <is>
          <t>N/D</t>
        </is>
      </c>
      <c r="F128" s="75" t="inlineStr">
        <is>
          <t>planilha_manual</t>
        </is>
      </c>
      <c r="G128" s="75" t="inlineStr">
        <is>
          <t>IMG_8705.JPG</t>
        </is>
      </c>
      <c r="H128" s="75" t="inlineStr">
        <is>
          <t>payload</t>
        </is>
      </c>
      <c r="I128" s="75" t="inlineStr">
        <is>
          <t>2025-12-30</t>
        </is>
      </c>
      <c r="J128" s="75" t="inlineStr">
        <is>
          <t>89</t>
        </is>
      </c>
      <c r="K128" s="75" t="inlineStr">
        <is>
          <t>aceito_payload</t>
        </is>
      </c>
      <c r="L128" s="144" t="n">
        <v>1</v>
      </c>
      <c r="M128" s="75" t="inlineStr">
        <is>
          <t>data/industry_study/generated_revision/artifact_payload.json</t>
        </is>
      </c>
      <c r="N128" s="75" t="inlineStr">
        <is>
          <t>N/D</t>
        </is>
      </c>
      <c r="O128" s="75" t="inlineStr">
        <is>
          <t>Denominação cortada pela largura da coluna na foto.</t>
        </is>
      </c>
    </row>
    <row r="129" ht="43.5" customHeight="1">
      <c r="A129" s="142" t="n">
        <v>42085816000105</v>
      </c>
      <c r="B129" s="75" t="inlineStr">
        <is>
          <t>42.085.816/0001-05</t>
        </is>
      </c>
      <c r="C129" s="75" t="inlineStr">
        <is>
          <t>cedente</t>
        </is>
      </c>
      <c r="D129" s="75" t="inlineStr">
        <is>
          <t>a CloudWalk que, de tempos em tempos, nos termos do Contrato de Cessão, cede seus respectivos Dire itos Creditórios Elegíveis ao Fundo</t>
        </is>
      </c>
      <c r="E129" s="75" t="inlineStr">
        <is>
          <t>N/D</t>
        </is>
      </c>
      <c r="F129" s="75" t="inlineStr">
        <is>
          <t>regulamento</t>
        </is>
      </c>
      <c r="G129" s="75" t="inlineStr">
        <is>
          <t>210782</t>
        </is>
      </c>
      <c r="H129" s="75" t="inlineStr">
        <is>
          <t>regulamento</t>
        </is>
      </c>
      <c r="I129" s="75" t="inlineStr">
        <is>
          <t>2021-08-31</t>
        </is>
      </c>
      <c r="J129" s="75" t="inlineStr">
        <is>
          <t>62</t>
        </is>
      </c>
      <c r="K129" s="75" t="inlineStr">
        <is>
          <t>encontrado_explicito</t>
        </is>
      </c>
      <c r="L129" s="144" t="n">
        <v>0.95</v>
      </c>
      <c r="M129" s="75" t="inlineStr">
        <is>
          <t>data/raw/42085816000105/210782_regulamento_regulamento_210782_2021-08-31.pdf</t>
        </is>
      </c>
      <c r="N129" s="75" t="inlineStr">
        <is>
          <t>https://fnet.bmfbovespa.com.br/fnet/publico/downloadDocumento?id=210782</t>
        </is>
      </c>
      <c r="O129" s="75" t="inlineStr">
        <is>
          <t>-Final, que poderá resultar no estorno do(s) crédito(s) correspondente(s) efetuado(s) à Cedente. Página 62 de 77 “Cedente” Significa a CloudWalk que, de tempos em tempos, nos termos do Contrato de Cessão, cede seus respectivos Dire itos Creditórios Elegíveis ao Fundo. “Chargeback” Significa a contestação de Transação(ões) de Pagamento, seja no todo ou em parte, por parte de Usuários</t>
        </is>
      </c>
    </row>
    <row r="130" ht="43.5" customHeight="1">
      <c r="A130" s="142" t="n">
        <v>42085816000105</v>
      </c>
      <c r="B130" s="75" t="inlineStr">
        <is>
          <t>42.085.816/0001-05</t>
        </is>
      </c>
      <c r="C130" s="75" t="inlineStr">
        <is>
          <t>cedente</t>
        </is>
      </c>
      <c r="D130" s="75" t="inlineStr">
        <is>
          <t>a CloudWalk que, de tempos em tempos, nos termos do Contrato de Cessão, cede seus respectivos Direitos Creditórios Elegíveis ao Fundo</t>
        </is>
      </c>
      <c r="E130" s="75" t="inlineStr">
        <is>
          <t>N/D</t>
        </is>
      </c>
      <c r="F130" s="75" t="inlineStr">
        <is>
          <t>regulamento</t>
        </is>
      </c>
      <c r="G130" s="75" t="inlineStr">
        <is>
          <t>733165</t>
        </is>
      </c>
      <c r="H130" s="75" t="inlineStr">
        <is>
          <t>regulamento</t>
        </is>
      </c>
      <c r="I130" s="75" t="inlineStr">
        <is>
          <t>2024-09-05</t>
        </is>
      </c>
      <c r="J130" s="75" t="inlineStr">
        <is>
          <t>91</t>
        </is>
      </c>
      <c r="K130" s="75" t="inlineStr">
        <is>
          <t>encontrado_explicito</t>
        </is>
      </c>
      <c r="L130" s="144" t="n">
        <v>0.95</v>
      </c>
      <c r="M130" s="75" t="inlineStr">
        <is>
          <t>data/raw/42085816000105/733165_regulamento_regulamento_733165_2024-09-05.pdf</t>
        </is>
      </c>
      <c r="N130" s="75" t="inlineStr">
        <is>
          <t>https://fnet.bmfbovespa.com.br/fnet/publico/downloadDocumento?id=733165</t>
        </is>
      </c>
      <c r="O130" s="75" t="inlineStr">
        <is>
          <t>pedido de um Usuário-Final, que poderá resultar no estorno do(s) crédito(s) correspondente(s) efetuado(s) à Cedente. “Cedente” Significa a CloudWalk que, de tempos em tempos, nos termos do Contrato de Cessão, cede seus respectivos Direitos Creditórios Elegíveis ao Fundo. “Chargeback” Significa a contestação de Transação(ões) de Pagamento, seja no todo ou em parte, por parte de Usuário</t>
        </is>
      </c>
    </row>
    <row r="131" ht="43.5" customHeight="1">
      <c r="A131" s="142" t="n">
        <v>42085816000105</v>
      </c>
      <c r="B131" s="75" t="inlineStr">
        <is>
          <t>42.085.816/0001-05</t>
        </is>
      </c>
      <c r="C131" s="75" t="inlineStr">
        <is>
          <t>cedente</t>
        </is>
      </c>
      <c r="D131" s="75" t="inlineStr">
        <is>
          <t>a CloudWalk que, de tempos em tempos, nos termos do Contrato de Cessão, cede seus respectivos Direitos Creditórios Elegíveis ao Fundo</t>
        </is>
      </c>
      <c r="E131" s="75" t="inlineStr">
        <is>
          <t>N/D</t>
        </is>
      </c>
      <c r="F131" s="75" t="inlineStr">
        <is>
          <t>regulamento</t>
        </is>
      </c>
      <c r="G131" s="75" t="inlineStr">
        <is>
          <t>513540</t>
        </is>
      </c>
      <c r="H131" s="75" t="inlineStr">
        <is>
          <t>Regulamento</t>
        </is>
      </c>
      <c r="I131" s="75" t="inlineStr">
        <is>
          <t>28/08/2023</t>
        </is>
      </c>
      <c r="J131" s="75" t="inlineStr">
        <is>
          <t>62</t>
        </is>
      </c>
      <c r="K131" s="75" t="inlineStr">
        <is>
          <t>encontrado_explicito</t>
        </is>
      </c>
      <c r="L131" s="144" t="n">
        <v>0.95</v>
      </c>
      <c r="M131" s="75" t="inlineStr">
        <is>
          <t>.cache/carteira_101_document_scan/42085816000105/513540.json.gz</t>
        </is>
      </c>
      <c r="N131" s="75" t="inlineStr">
        <is>
          <t>https://fnet.bmfbovespa.com.br/fnet/publico/downloadDocumento?id=513540</t>
        </is>
      </c>
      <c r="O131" s="75" t="inlineStr">
        <is>
          <t>Final, que poderá resultar no estorno do(s) crédito(s) correspondente(s) efetuado(s) à Cedente. Página 62 de 77 “Cedente” Significa a CloudWalk que, de tempos em tempos, nos termos do Contrato de Cessão, cede seus respectivos Direitos Creditórios Elegíveis ao Fundo. “Chargeback” Significa a contestação de Transação(ões) de Pagamento, seja no todo ou em parte, por parte de Usuári</t>
        </is>
      </c>
    </row>
    <row r="132" ht="43.5" customHeight="1">
      <c r="A132" s="142" t="n">
        <v>42085816000105</v>
      </c>
      <c r="B132" s="75" t="inlineStr">
        <is>
          <t>42.085.816/0001-05</t>
        </is>
      </c>
      <c r="C132" s="75" t="inlineStr">
        <is>
          <t>cedente</t>
        </is>
      </c>
      <c r="D132" s="75" t="inlineStr">
        <is>
          <t>Cloudwalk IP</t>
        </is>
      </c>
      <c r="E132" s="75" t="inlineStr">
        <is>
          <t>N/D</t>
        </is>
      </c>
      <c r="F132" s="75" t="inlineStr">
        <is>
          <t>planilha_manual</t>
        </is>
      </c>
      <c r="G132" s="75" t="inlineStr">
        <is>
          <t>IMG_8705.JPG</t>
        </is>
      </c>
      <c r="H132" s="75" t="inlineStr">
        <is>
          <t>payload</t>
        </is>
      </c>
      <c r="I132" s="75" t="inlineStr">
        <is>
          <t>2024-09-05</t>
        </is>
      </c>
      <c r="J132" s="75" t="inlineStr">
        <is>
          <t>98</t>
        </is>
      </c>
      <c r="K132" s="75" t="inlineStr">
        <is>
          <t>aceito_payload</t>
        </is>
      </c>
      <c r="L132" s="144" t="n">
        <v>1</v>
      </c>
      <c r="M132" s="75" t="inlineStr">
        <is>
          <t>data/industry_study/generated_revision/artifact_payload.json</t>
        </is>
      </c>
      <c r="N132" s="75" t="inlineStr">
        <is>
          <t>N/D</t>
        </is>
      </c>
      <c r="O132" s="75" t="inlineStr">
        <is>
          <t>OBS da foto: Risco Banco Emissor Itaú. Denominação cortada.</t>
        </is>
      </c>
    </row>
    <row r="133" ht="43.5" customHeight="1">
      <c r="A133" s="142" t="n">
        <v>42085816000105</v>
      </c>
      <c r="B133" s="75" t="inlineStr">
        <is>
          <t>42.085.816/0001-05</t>
        </is>
      </c>
      <c r="C133" s="75" t="inlineStr">
        <is>
          <t>minimo_estrutural_total</t>
        </is>
      </c>
      <c r="D133" s="75" t="inlineStr">
        <is>
          <t>4.8%</t>
        </is>
      </c>
      <c r="E133" s="75" t="inlineStr">
        <is>
          <t>suporte_total_pl</t>
        </is>
      </c>
      <c r="F133" s="75" t="inlineStr">
        <is>
          <t>payload_documental</t>
        </is>
      </c>
      <c r="G133" s="75" t="inlineStr">
        <is>
          <t>733165</t>
        </is>
      </c>
      <c r="H133" s="75" t="inlineStr">
        <is>
          <t>documento_curado</t>
        </is>
      </c>
      <c r="I133" s="75" t="inlineStr">
        <is>
          <t>2024-09-05</t>
        </is>
      </c>
      <c r="J133" s="75" t="inlineStr">
        <is>
          <t>98</t>
        </is>
      </c>
      <c r="K133" s="75" t="inlineStr">
        <is>
          <t>aceito_payload</t>
        </is>
      </c>
      <c r="L133" s="144" t="n">
        <v>1</v>
      </c>
      <c r="M133" s="75" t="inlineStr">
        <is>
          <t>data/industry_study/generated_revision/artifact_payload.json</t>
        </is>
      </c>
      <c r="N133" s="75" t="inlineStr">
        <is>
          <t>https://fnet.bmfbovespa.com.br/fnet/publico/downloadDocumento?id=733165</t>
        </is>
      </c>
      <c r="O133" s="75" t="inlineStr">
        <is>
          <t>Cotas subordinadas / PL, mínimo de 4,8%; estrutura com uma única classe residual.</t>
        </is>
      </c>
    </row>
    <row r="134" ht="43.5" customHeight="1">
      <c r="A134" s="142" t="n">
        <v>42085816000105</v>
      </c>
      <c r="B134" s="75" t="inlineStr">
        <is>
          <t>42.085.816/0001-05</t>
        </is>
      </c>
      <c r="C134" s="75" t="inlineStr">
        <is>
          <t>minimo_junior</t>
        </is>
      </c>
      <c r="D134" s="75" t="inlineStr">
        <is>
          <t>4.8%</t>
        </is>
      </c>
      <c r="E134" s="75" t="inlineStr">
        <is>
          <t>junior_pl</t>
        </is>
      </c>
      <c r="F134" s="75" t="inlineStr">
        <is>
          <t>payload_documental</t>
        </is>
      </c>
      <c r="G134" s="75" t="inlineStr">
        <is>
          <t>733165</t>
        </is>
      </c>
      <c r="H134" s="75" t="inlineStr">
        <is>
          <t>documento_curado</t>
        </is>
      </c>
      <c r="I134" s="75" t="inlineStr">
        <is>
          <t>2024-09-05</t>
        </is>
      </c>
      <c r="J134" s="75" t="inlineStr">
        <is>
          <t>98</t>
        </is>
      </c>
      <c r="K134" s="75" t="inlineStr">
        <is>
          <t>aceito_payload</t>
        </is>
      </c>
      <c r="L134" s="144" t="n">
        <v>1</v>
      </c>
      <c r="M134" s="75" t="inlineStr">
        <is>
          <t>data/industry_study/generated_revision/artifact_payload.json</t>
        </is>
      </c>
      <c r="N134" s="75" t="inlineStr">
        <is>
          <t>https://fnet.bmfbovespa.com.br/fnet/publico/downloadDocumento?id=733165</t>
        </is>
      </c>
      <c r="O134" s="75" t="inlineStr">
        <is>
          <t>Cotas subordinadas / PL, mínimo de 4,8%; estrutura com uma única classe residual.</t>
        </is>
      </c>
    </row>
    <row r="135" ht="43.5" customHeight="1">
      <c r="A135" s="142" t="n">
        <v>42085816000105</v>
      </c>
      <c r="B135" s="75" t="inlineStr">
        <is>
          <t>42.085.816/0001-05</t>
        </is>
      </c>
      <c r="C135" s="75" t="inlineStr">
        <is>
          <t>natureza_indice</t>
        </is>
      </c>
      <c r="D135" s="75" t="inlineStr">
        <is>
          <t>junior_pl</t>
        </is>
      </c>
      <c r="E135" s="75" t="inlineStr">
        <is>
          <t>junior_pl</t>
        </is>
      </c>
      <c r="F135" s="75" t="inlineStr">
        <is>
          <t>payload_documental</t>
        </is>
      </c>
      <c r="G135" s="75" t="inlineStr">
        <is>
          <t>733165</t>
        </is>
      </c>
      <c r="H135" s="75" t="inlineStr">
        <is>
          <t>documento_curado</t>
        </is>
      </c>
      <c r="I135" s="75" t="inlineStr">
        <is>
          <t>2024-09-05</t>
        </is>
      </c>
      <c r="J135" s="75" t="inlineStr">
        <is>
          <t>98</t>
        </is>
      </c>
      <c r="K135" s="75" t="inlineStr">
        <is>
          <t>aceito_payload</t>
        </is>
      </c>
      <c r="L135" s="144" t="n">
        <v>1</v>
      </c>
      <c r="M135" s="75" t="inlineStr">
        <is>
          <t>data/industry_study/generated_revision/artifact_payload.json</t>
        </is>
      </c>
      <c r="N135" s="75" t="inlineStr">
        <is>
          <t>https://fnet.bmfbovespa.com.br/fnet/publico/downloadDocumento?id=733165</t>
        </is>
      </c>
      <c r="O135" s="75" t="inlineStr">
        <is>
          <t>Cotas subordinadas / PL, mínimo de 4,8%; estrutura com uma única classe residual.</t>
        </is>
      </c>
    </row>
    <row r="136" ht="43.5" customHeight="1">
      <c r="A136" s="142" t="n">
        <v>42085816000105</v>
      </c>
      <c r="B136" s="75" t="inlineStr">
        <is>
          <t>42.085.816/0001-05</t>
        </is>
      </c>
      <c r="C136" s="75" t="inlineStr">
        <is>
          <t>sacado_devedor</t>
        </is>
      </c>
      <c r="D136" s="75" t="inlineStr">
        <is>
          <t>os Emissores Qualificados</t>
        </is>
      </c>
      <c r="E136" s="75" t="inlineStr">
        <is>
          <t>N/D</t>
        </is>
      </c>
      <c r="F136" s="75" t="inlineStr">
        <is>
          <t>regulamento</t>
        </is>
      </c>
      <c r="G136" s="75" t="inlineStr">
        <is>
          <t>210782</t>
        </is>
      </c>
      <c r="H136" s="75" t="inlineStr">
        <is>
          <t>regulamento</t>
        </is>
      </c>
      <c r="I136" s="75" t="inlineStr">
        <is>
          <t>2021-08-31</t>
        </is>
      </c>
      <c r="J136" s="75" t="inlineStr">
        <is>
          <t>66</t>
        </is>
      </c>
      <c r="K136" s="75" t="inlineStr">
        <is>
          <t>encontrado_explicito</t>
        </is>
      </c>
      <c r="L136" s="144" t="n">
        <v>0.95</v>
      </c>
      <c r="M136" s="75" t="inlineStr">
        <is>
          <t>data/raw/42085816000105/210782_regulamento_regulamento_210782_2021-08-31.pdf</t>
        </is>
      </c>
      <c r="N136" s="75" t="inlineStr">
        <is>
          <t>https://fnet.bmfbovespa.com.br/fnet/publico/downloadDocumento?id=210782</t>
        </is>
      </c>
      <c r="O136" s="75" t="inlineStr">
        <is>
          <t>da antecipação de recebíveis dos Usuários -Finais em relação aos quais os Direitos Creditórios Cedidos se referem. “Devedores” Significam os Emissores Qualificados. “Dia Útil” ou “Dias Úteis” Significa qualquer dia que não seja sábado, domingo ou feriado declarado como nacional, o</t>
        </is>
      </c>
    </row>
    <row r="137" ht="43.5" customHeight="1">
      <c r="A137" s="142" t="n">
        <v>42085816000105</v>
      </c>
      <c r="B137" s="75" t="inlineStr">
        <is>
          <t>42.085.816/0001-05</t>
        </is>
      </c>
      <c r="C137" s="75" t="inlineStr">
        <is>
          <t>sacado_devedor</t>
        </is>
      </c>
      <c r="D137" s="75" t="inlineStr">
        <is>
          <t>os Emissores Qualificados</t>
        </is>
      </c>
      <c r="E137" s="75" t="inlineStr">
        <is>
          <t>N/D</t>
        </is>
      </c>
      <c r="F137" s="75" t="inlineStr">
        <is>
          <t>regulamento</t>
        </is>
      </c>
      <c r="G137" s="75" t="inlineStr">
        <is>
          <t>733165</t>
        </is>
      </c>
      <c r="H137" s="75" t="inlineStr">
        <is>
          <t>regulamento</t>
        </is>
      </c>
      <c r="I137" s="75" t="inlineStr">
        <is>
          <t>2024-09-05</t>
        </is>
      </c>
      <c r="J137" s="75" t="inlineStr">
        <is>
          <t>95</t>
        </is>
      </c>
      <c r="K137" s="75" t="inlineStr">
        <is>
          <t>encontrado_explicito</t>
        </is>
      </c>
      <c r="L137" s="144" t="n">
        <v>0.95</v>
      </c>
      <c r="M137" s="75" t="inlineStr">
        <is>
          <t>data/raw/42085816000105/733165_regulamento_regulamento_733165_2024-09-05.pdf</t>
        </is>
      </c>
      <c r="N137" s="75" t="inlineStr">
        <is>
          <t>https://fnet.bmfbovespa.com.br/fnet/publico/downloadDocumento?id=733165</t>
        </is>
      </c>
      <c r="O137" s="75" t="inlineStr">
        <is>
          <t>to da antecipação de recebíveis dos Usuários-Finais em relação aos quais os Direitos Creditórios Cedidos se referem. “Devedores” Significam os Emissores Qualificados. “Dia Útil” ou “Dias Úteis” Significa qualquer dia que não seja sábado, domingo ou feriado declarado como nacional, o</t>
        </is>
      </c>
    </row>
    <row r="138" ht="43.5" customHeight="1">
      <c r="A138" s="142" t="n">
        <v>42085816000105</v>
      </c>
      <c r="B138" s="75" t="inlineStr">
        <is>
          <t>42.085.816/0001-05</t>
        </is>
      </c>
      <c r="C138" s="75" t="inlineStr">
        <is>
          <t>sacado_devedor</t>
        </is>
      </c>
      <c r="D138" s="75" t="inlineStr">
        <is>
          <t>os Emissores Qualificados</t>
        </is>
      </c>
      <c r="E138" s="75" t="inlineStr">
        <is>
          <t>N/D</t>
        </is>
      </c>
      <c r="F138" s="75" t="inlineStr">
        <is>
          <t>regulamento</t>
        </is>
      </c>
      <c r="G138" s="75" t="inlineStr">
        <is>
          <t>513540</t>
        </is>
      </c>
      <c r="H138" s="75" t="inlineStr">
        <is>
          <t>Regulamento</t>
        </is>
      </c>
      <c r="I138" s="75" t="inlineStr">
        <is>
          <t>28/08/2023</t>
        </is>
      </c>
      <c r="J138" s="75" t="inlineStr">
        <is>
          <t>66</t>
        </is>
      </c>
      <c r="K138" s="75" t="inlineStr">
        <is>
          <t>encontrado_explicito</t>
        </is>
      </c>
      <c r="L138" s="144" t="n">
        <v>0.95</v>
      </c>
      <c r="M138" s="75" t="inlineStr">
        <is>
          <t>.cache/carteira_101_document_scan/42085816000105/513540.json.gz</t>
        </is>
      </c>
      <c r="N138" s="75" t="inlineStr">
        <is>
          <t>https://fnet.bmfbovespa.com.br/fnet/publico/downloadDocumento?id=513540</t>
        </is>
      </c>
      <c r="O138" s="75" t="inlineStr">
        <is>
          <t>da antecipação de recebíveis dos Usuários -Finais em relação aos quais os Direitos Creditórios Cedidos se referem. “Devedores” Significam os Emissores Qualificados. “Dia Útil” ou “Dias Úteis” Significa qualquer dia que não seja sábado, domingo ou feriado declarado como nacional,</t>
        </is>
      </c>
    </row>
    <row r="139" ht="43.5" customHeight="1">
      <c r="A139" s="142" t="n">
        <v>42085816000105</v>
      </c>
      <c r="B139" s="75" t="inlineStr">
        <is>
          <t>42.085.816/0001-05</t>
        </is>
      </c>
      <c r="C139" s="75" t="inlineStr">
        <is>
          <t>tipo_recebivel</t>
        </is>
      </c>
      <c r="D139" s="75" t="inlineStr">
        <is>
          <t>os direitos creditórios de tempos em tempos detidos pela Cedente em face dos Devedores , conforme as regras dos Arranjos de Pagamentos, dec 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Aplicáveis</t>
        </is>
      </c>
      <c r="E139" s="75" t="inlineStr">
        <is>
          <t>N/D</t>
        </is>
      </c>
      <c r="F139" s="75" t="inlineStr">
        <is>
          <t>regulamento</t>
        </is>
      </c>
      <c r="G139" s="75" t="inlineStr">
        <is>
          <t>210782</t>
        </is>
      </c>
      <c r="H139" s="75" t="inlineStr">
        <is>
          <t>regulamento</t>
        </is>
      </c>
      <c r="I139" s="75" t="inlineStr">
        <is>
          <t>2021-08-31</t>
        </is>
      </c>
      <c r="J139" s="75" t="inlineStr">
        <is>
          <t>66</t>
        </is>
      </c>
      <c r="K139" s="75" t="inlineStr">
        <is>
          <t>encontrado_explicito</t>
        </is>
      </c>
      <c r="L139" s="144" t="n">
        <v>0.92</v>
      </c>
      <c r="M139" s="75" t="inlineStr">
        <is>
          <t>data/raw/42085816000105/210782_regulamento_regulamento_210782_2021-08-31.pdf</t>
        </is>
      </c>
      <c r="N139" s="75" t="inlineStr">
        <is>
          <t>https://fnet.bmfbovespa.com.br/fnet/publico/downloadDocumento?id=210782</t>
        </is>
      </c>
      <c r="O139" s="75" t="inlineStr">
        <is>
          <t>tiva do Brasil. “Direito de Recompra” Tem o significado atribuído no item 11.7 deste Regulamento. “Direitos Creditórios” Significam os direitos creditórios de tempos em tempos detidos pela Cedente em face dos Devedores , conforme as regras dos Arranjos de Pagamentos, dec 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Aplicáveis. Um Direito Creditório considerado individualmente poderá ser correspondente à integralidade de u</t>
        </is>
      </c>
    </row>
    <row r="140" ht="43.5" customHeight="1">
      <c r="A140" s="142" t="n">
        <v>42085816000105</v>
      </c>
      <c r="B140" s="75" t="inlineStr">
        <is>
          <t>42.085.816/0001-05</t>
        </is>
      </c>
      <c r="C140" s="75" t="inlineStr">
        <is>
          <t>tipo_recebivel</t>
        </is>
      </c>
      <c r="D140" s="75" t="inlineStr">
        <is>
          <t>os direitos creditórios de tempos em tempos detidos pela Cedente em face dos Devedores , conforme as regras dos Arranjos de Pagamentos, decorrentes de Transações de Pagamento realizadas por Usuários-Finais com a utilização de Instrumentos de Pagamento, operacionalizadas pelo Sistema CloudWalk , para a Docusign Envelope ID: 6757FF4E-4336-4FEF-95ED-9C90633326D8</t>
        </is>
      </c>
      <c r="E140" s="75" t="inlineStr">
        <is>
          <t>N/D</t>
        </is>
      </c>
      <c r="F140" s="75" t="inlineStr">
        <is>
          <t>regulamento</t>
        </is>
      </c>
      <c r="G140" s="75" t="inlineStr">
        <is>
          <t>733165</t>
        </is>
      </c>
      <c r="H140" s="75" t="inlineStr">
        <is>
          <t>regulamento</t>
        </is>
      </c>
      <c r="I140" s="75" t="inlineStr">
        <is>
          <t>2024-09-05</t>
        </is>
      </c>
      <c r="J140" s="75" t="inlineStr">
        <is>
          <t>95</t>
        </is>
      </c>
      <c r="K140" s="75" t="inlineStr">
        <is>
          <t>encontrado_explicito</t>
        </is>
      </c>
      <c r="L140" s="144" t="n">
        <v>0.92</v>
      </c>
      <c r="M140" s="75" t="inlineStr">
        <is>
          <t>data/raw/42085816000105/733165_regulamento_regulamento_733165_2024-09-05.pdf</t>
        </is>
      </c>
      <c r="N140" s="75" t="inlineStr">
        <is>
          <t>https://fnet.bmfbovespa.com.br/fnet/publico/downloadDocumento?id=733165</t>
        </is>
      </c>
      <c r="O140" s="75" t="inlineStr">
        <is>
          <t>va do Brasil. “Direito de Recompra” Tem o significado at ribuído no item 13.7 deste Regulamento. “Direitos Creditórios” Significam os direitos creditórios de tempos em tempos detidos pela Cedente em face dos Devedores , conforme as regras dos Arranjos de Pagamentos, decorrentes de Transações de Pagamento realizadas por Usuários-Finais com a utilização de Instrumentos de Pagamento, operacionalizadas pelo Sistema CloudWalk , para a Docusign Envelope ID: 6757FF4E-4336-4FEF-95ED-9C90633326D8 Página 96 de 111 aquisição de bens ou serviços nos Estabeleci mentos Credenciados, equivale</t>
        </is>
      </c>
    </row>
    <row r="141" ht="43.5" customHeight="1">
      <c r="A141" s="142" t="n">
        <v>42085816000105</v>
      </c>
      <c r="B141" s="75" t="inlineStr">
        <is>
          <t>42.085.816/0001-05</t>
        </is>
      </c>
      <c r="C141" s="75" t="inlineStr">
        <is>
          <t>tipo_recebivel</t>
        </is>
      </c>
      <c r="D141" s="75" t="inlineStr">
        <is>
          <t>os direitos creditórios de tempos em tempos detidos pela Cedente em face dos Devedores, conforme as regras dos Arranjos de Pagamentos, decorrentes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Aplicáveis</t>
        </is>
      </c>
      <c r="E141" s="75" t="inlineStr">
        <is>
          <t>N/D</t>
        </is>
      </c>
      <c r="F141" s="75" t="inlineStr">
        <is>
          <t>regulamento</t>
        </is>
      </c>
      <c r="G141" s="75" t="inlineStr">
        <is>
          <t>513540</t>
        </is>
      </c>
      <c r="H141" s="75" t="inlineStr">
        <is>
          <t>Regulamento</t>
        </is>
      </c>
      <c r="I141" s="75" t="inlineStr">
        <is>
          <t>28/08/2023</t>
        </is>
      </c>
      <c r="J141" s="75" t="inlineStr">
        <is>
          <t>66</t>
        </is>
      </c>
      <c r="K141" s="75" t="inlineStr">
        <is>
          <t>encontrado_explicito</t>
        </is>
      </c>
      <c r="L141" s="144" t="n">
        <v>0.92</v>
      </c>
      <c r="M141" s="75" t="inlineStr">
        <is>
          <t>.cache/carteira_101_document_scan/42085816000105/513540.json.gz</t>
        </is>
      </c>
      <c r="N141" s="75" t="inlineStr">
        <is>
          <t>https://fnet.bmfbovespa.com.br/fnet/publico/downloadDocumento?id=513540</t>
        </is>
      </c>
      <c r="O141" s="75" t="inlineStr">
        <is>
          <t>tiva do Brasil. “Direito de Recompra” Tem o significado atribuído no item 11.7 deste Regulamento. “Direitos Creditórios” Significam os direitos creditórios de tempos em tempos detidos pela Cedente em face dos Devedores, conforme as regras dos Arranjos de Pagamentos, decorrentes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Aplicáveis. Um Direito Creditório considerado individualmente poderá ser correspondente à integralidade de u</t>
        </is>
      </c>
    </row>
    <row r="142" ht="43.5" customHeight="1">
      <c r="A142" s="142" t="n">
        <v>42085830000109</v>
      </c>
      <c r="B142" s="75" t="inlineStr">
        <is>
          <t>42.085.830/0001-09</t>
        </is>
      </c>
      <c r="C142" s="75" t="inlineStr">
        <is>
          <t>cedente</t>
        </is>
      </c>
      <c r="D142" s="75" t="inlineStr">
        <is>
          <t>a CloudWalk que, de tempos em tempos, nos termos do Contrato de Cessão, cede seus respectivos Direitos Creditórios Elegíveis ao Fundo</t>
        </is>
      </c>
      <c r="E142" s="75" t="inlineStr">
        <is>
          <t>N/D</t>
        </is>
      </c>
      <c r="F142" s="75" t="inlineStr">
        <is>
          <t>regulamento</t>
        </is>
      </c>
      <c r="G142" s="75" t="inlineStr">
        <is>
          <t>733255</t>
        </is>
      </c>
      <c r="H142" s="75" t="inlineStr">
        <is>
          <t>regulamento</t>
        </is>
      </c>
      <c r="I142" s="75" t="inlineStr">
        <is>
          <t>2024-09-05</t>
        </is>
      </c>
      <c r="J142" s="75" t="inlineStr">
        <is>
          <t>93</t>
        </is>
      </c>
      <c r="K142" s="75" t="inlineStr">
        <is>
          <t>encontrado_explicito</t>
        </is>
      </c>
      <c r="L142" s="144" t="n">
        <v>0.95</v>
      </c>
      <c r="M142" s="75" t="inlineStr">
        <is>
          <t>data/raw/42085830000109/733255_regulamento_regulamento_733255_2024-09-05.pdf</t>
        </is>
      </c>
      <c r="N142" s="75" t="inlineStr">
        <is>
          <t>https://fnet.bmfbovespa.com.br/fnet/publico/downloadDocumento?id=733255</t>
        </is>
      </c>
      <c r="O142" s="75" t="inlineStr">
        <is>
          <t>edido de um Usuário -Final, que poderá resultar no estorno do(s) crédito(s) correspondente(s) efetuado(s) à Cedente. “Cedente” Significa a CloudWalk que, de tempos em tempos, nos termos do Contrato de Cessão, cede seus respectivos Direitos Creditórios Elegíveis ao Fundo. “Chargeback” Significa a contestação de Transação(ões) de Pagamento, seja no todo ou em parte, por parte de Usuário</t>
        </is>
      </c>
    </row>
    <row r="143" ht="43.5" customHeight="1">
      <c r="A143" s="142" t="n">
        <v>42085830000109</v>
      </c>
      <c r="B143" s="75" t="inlineStr">
        <is>
          <t>42.085.830/0001-09</t>
        </is>
      </c>
      <c r="C143" s="75" t="inlineStr">
        <is>
          <t>cedente</t>
        </is>
      </c>
      <c r="D143" s="75" t="inlineStr">
        <is>
          <t>a CloudWalk que, de tempos em tempos, nos termos do Contrato de Cessão, cede seus respectivos Direitos Creditórios Elegíveis ao Fundo</t>
        </is>
      </c>
      <c r="E143" s="75" t="inlineStr">
        <is>
          <t>N/D</t>
        </is>
      </c>
      <c r="F143" s="75" t="inlineStr">
        <is>
          <t>regulamento</t>
        </is>
      </c>
      <c r="G143" s="75" t="inlineStr">
        <is>
          <t>966441</t>
        </is>
      </c>
      <c r="H143" s="75" t="inlineStr">
        <is>
          <t>regulamento</t>
        </is>
      </c>
      <c r="I143" s="75" t="inlineStr">
        <is>
          <t>2025-07-24</t>
        </is>
      </c>
      <c r="J143" s="75" t="inlineStr">
        <is>
          <t>92</t>
        </is>
      </c>
      <c r="K143" s="75" t="inlineStr">
        <is>
          <t>encontrado_explicito</t>
        </is>
      </c>
      <c r="L143" s="144" t="n">
        <v>0.95</v>
      </c>
      <c r="M143" s="75" t="inlineStr">
        <is>
          <t>data/raw/42085830000109/966441_regulamento_regulamento_966441_2025-07-24.pdf</t>
        </is>
      </c>
      <c r="N143" s="75" t="inlineStr">
        <is>
          <t>https://fnet.bmfbovespa.com.br/fnet/publico/downloadDocumento?id=966441</t>
        </is>
      </c>
      <c r="O143" s="75" t="inlineStr">
        <is>
          <t>edido de um Usuário -Final, que poderá resultar no estorno do(s) crédito(s) correspondente(s) efetuado(s) à Cedente. “Cedente” Significa a CloudWalk que, de tempos em tempos, nos termos do Contrato de Cessão, cede seus respectivos Direitos Creditórios Elegíveis ao Fundo. “Chargeback” Significa a contestação de Transação(ões) de Pagamento, seja no todo ou em parte, por parte de Usuário</t>
        </is>
      </c>
    </row>
    <row r="144" ht="43.5" customHeight="1">
      <c r="A144" s="142" t="n">
        <v>42085830000109</v>
      </c>
      <c r="B144" s="75" t="inlineStr">
        <is>
          <t>42.085.830/0001-09</t>
        </is>
      </c>
      <c r="C144" s="75" t="inlineStr">
        <is>
          <t>cedente</t>
        </is>
      </c>
      <c r="D144" s="75" t="inlineStr">
        <is>
          <t>Cloudwalk IP</t>
        </is>
      </c>
      <c r="E144" s="75" t="inlineStr">
        <is>
          <t>N/D</t>
        </is>
      </c>
      <c r="F144" s="75" t="inlineStr">
        <is>
          <t>planilha_manual</t>
        </is>
      </c>
      <c r="G144" s="75" t="inlineStr">
        <is>
          <t>IMG_8707.jpg</t>
        </is>
      </c>
      <c r="H144" s="75" t="inlineStr">
        <is>
          <t>payload</t>
        </is>
      </c>
      <c r="I144" s="75" t="inlineStr">
        <is>
          <t>2025-07-24</t>
        </is>
      </c>
      <c r="J144" s="75" t="inlineStr">
        <is>
          <t>99</t>
        </is>
      </c>
      <c r="K144" s="75" t="inlineStr">
        <is>
          <t>aceito_payload</t>
        </is>
      </c>
      <c r="L144" s="144" t="n">
        <v>1</v>
      </c>
      <c r="M144" s="75" t="inlineStr">
        <is>
          <t>data/industry_study/generated_revision/artifact_payload.json</t>
        </is>
      </c>
      <c r="N144" s="75" t="inlineStr">
        <is>
          <t>N/D</t>
        </is>
      </c>
      <c r="O144" s="75" t="inlineStr">
        <is>
          <t>OBS da foto: Risco Banco Emissor Itaú. Denominação cortada.</t>
        </is>
      </c>
    </row>
    <row r="145" ht="43.5" customHeight="1">
      <c r="A145" s="142" t="n">
        <v>42085830000109</v>
      </c>
      <c r="B145" s="75" t="inlineStr">
        <is>
          <t>42.085.830/0001-09</t>
        </is>
      </c>
      <c r="C145" s="75" t="inlineStr">
        <is>
          <t>minimo_estrutural_total</t>
        </is>
      </c>
      <c r="D145" s="75" t="inlineStr">
        <is>
          <t>3%</t>
        </is>
      </c>
      <c r="E145" s="75" t="inlineStr">
        <is>
          <t>suporte_total_pl</t>
        </is>
      </c>
      <c r="F145" s="75" t="inlineStr">
        <is>
          <t>payload_documental</t>
        </is>
      </c>
      <c r="G145" s="75" t="inlineStr">
        <is>
          <t>966441</t>
        </is>
      </c>
      <c r="H145" s="75" t="inlineStr">
        <is>
          <t>documento_curado</t>
        </is>
      </c>
      <c r="I145" s="75" t="inlineStr">
        <is>
          <t>2025-07-24</t>
        </is>
      </c>
      <c r="J145" s="75" t="inlineStr">
        <is>
          <t>99</t>
        </is>
      </c>
      <c r="K145" s="75" t="inlineStr">
        <is>
          <t>aceito_payload</t>
        </is>
      </c>
      <c r="L145" s="144" t="n">
        <v>1</v>
      </c>
      <c r="M145" s="75" t="inlineStr">
        <is>
          <t>data/industry_study/generated_revision/artifact_payload.json</t>
        </is>
      </c>
      <c r="N145" s="75" t="inlineStr">
        <is>
          <t>https://fnet.bmfbovespa.com.br/fnet/publico/downloadDocumento?id=966441</t>
        </is>
      </c>
      <c r="O145" s="75" t="inlineStr">
        <is>
          <t>Cotas subordinadas / PL, mínimo de 3,0%; estrutura com uma única classe residual.</t>
        </is>
      </c>
    </row>
    <row r="146" ht="43.5" customHeight="1">
      <c r="A146" s="142" t="n">
        <v>42085830000109</v>
      </c>
      <c r="B146" s="75" t="inlineStr">
        <is>
          <t>42.085.830/0001-09</t>
        </is>
      </c>
      <c r="C146" s="75" t="inlineStr">
        <is>
          <t>minimo_junior</t>
        </is>
      </c>
      <c r="D146" s="75" t="inlineStr">
        <is>
          <t>3%</t>
        </is>
      </c>
      <c r="E146" s="75" t="inlineStr">
        <is>
          <t>junior_pl</t>
        </is>
      </c>
      <c r="F146" s="75" t="inlineStr">
        <is>
          <t>payload_documental</t>
        </is>
      </c>
      <c r="G146" s="75" t="inlineStr">
        <is>
          <t>966441</t>
        </is>
      </c>
      <c r="H146" s="75" t="inlineStr">
        <is>
          <t>documento_curado</t>
        </is>
      </c>
      <c r="I146" s="75" t="inlineStr">
        <is>
          <t>2025-07-24</t>
        </is>
      </c>
      <c r="J146" s="75" t="inlineStr">
        <is>
          <t>99</t>
        </is>
      </c>
      <c r="K146" s="75" t="inlineStr">
        <is>
          <t>aceito_payload</t>
        </is>
      </c>
      <c r="L146" s="144" t="n">
        <v>1</v>
      </c>
      <c r="M146" s="75" t="inlineStr">
        <is>
          <t>data/industry_study/generated_revision/artifact_payload.json</t>
        </is>
      </c>
      <c r="N146" s="75" t="inlineStr">
        <is>
          <t>https://fnet.bmfbovespa.com.br/fnet/publico/downloadDocumento?id=966441</t>
        </is>
      </c>
      <c r="O146" s="75" t="inlineStr">
        <is>
          <t>Cotas subordinadas / PL, mínimo de 3,0%; estrutura com uma única classe residual.</t>
        </is>
      </c>
    </row>
    <row r="147" ht="43.5" customHeight="1">
      <c r="A147" s="142" t="n">
        <v>42085830000109</v>
      </c>
      <c r="B147" s="75" t="inlineStr">
        <is>
          <t>42.085.830/0001-09</t>
        </is>
      </c>
      <c r="C147" s="75" t="inlineStr">
        <is>
          <t>natureza_indice</t>
        </is>
      </c>
      <c r="D147" s="75" t="inlineStr">
        <is>
          <t>junior_pl</t>
        </is>
      </c>
      <c r="E147" s="75" t="inlineStr">
        <is>
          <t>junior_pl</t>
        </is>
      </c>
      <c r="F147" s="75" t="inlineStr">
        <is>
          <t>payload_documental</t>
        </is>
      </c>
      <c r="G147" s="75" t="inlineStr">
        <is>
          <t>966441</t>
        </is>
      </c>
      <c r="H147" s="75" t="inlineStr">
        <is>
          <t>documento_curado</t>
        </is>
      </c>
      <c r="I147" s="75" t="inlineStr">
        <is>
          <t>2025-07-24</t>
        </is>
      </c>
      <c r="J147" s="75" t="inlineStr">
        <is>
          <t>99</t>
        </is>
      </c>
      <c r="K147" s="75" t="inlineStr">
        <is>
          <t>aceito_payload</t>
        </is>
      </c>
      <c r="L147" s="144" t="n">
        <v>1</v>
      </c>
      <c r="M147" s="75" t="inlineStr">
        <is>
          <t>data/industry_study/generated_revision/artifact_payload.json</t>
        </is>
      </c>
      <c r="N147" s="75" t="inlineStr">
        <is>
          <t>https://fnet.bmfbovespa.com.br/fnet/publico/downloadDocumento?id=966441</t>
        </is>
      </c>
      <c r="O147" s="75" t="inlineStr">
        <is>
          <t>Cotas subordinadas / PL, mínimo de 3,0%; estrutura com uma única classe residual.</t>
        </is>
      </c>
    </row>
    <row r="148" ht="43.5" customHeight="1">
      <c r="A148" s="142" t="n">
        <v>42085830000109</v>
      </c>
      <c r="B148" s="75" t="inlineStr">
        <is>
          <t>42.085.830/0001-09</t>
        </is>
      </c>
      <c r="C148" s="75" t="inlineStr">
        <is>
          <t>sacado_devedor</t>
        </is>
      </c>
      <c r="D148" s="75" t="inlineStr">
        <is>
          <t>os Emissores Qualificados</t>
        </is>
      </c>
      <c r="E148" s="75" t="inlineStr">
        <is>
          <t>N/D</t>
        </is>
      </c>
      <c r="F148" s="75" t="inlineStr">
        <is>
          <t>regulamento</t>
        </is>
      </c>
      <c r="G148" s="75" t="inlineStr">
        <is>
          <t>733255</t>
        </is>
      </c>
      <c r="H148" s="75" t="inlineStr">
        <is>
          <t>regulamento</t>
        </is>
      </c>
      <c r="I148" s="75" t="inlineStr">
        <is>
          <t>2024-09-05</t>
        </is>
      </c>
      <c r="J148" s="75" t="inlineStr">
        <is>
          <t>97</t>
        </is>
      </c>
      <c r="K148" s="75" t="inlineStr">
        <is>
          <t>encontrado_explicito</t>
        </is>
      </c>
      <c r="L148" s="144" t="n">
        <v>0.95</v>
      </c>
      <c r="M148" s="75" t="inlineStr">
        <is>
          <t>data/raw/42085830000109/733255_regulamento_regulamento_733255_2024-09-05.pdf</t>
        </is>
      </c>
      <c r="N148" s="75" t="inlineStr">
        <is>
          <t>https://fnet.bmfbovespa.com.br/fnet/publico/downloadDocumento?id=733255</t>
        </is>
      </c>
      <c r="O148" s="75" t="inlineStr">
        <is>
          <t>to da antecipação de recebíveis dos Usuários-Finais em relação aos quais os Direitos Creditórios Cedidos se referem. “Devedores” Significam os Emissores Qualificados. “Dia Útil” ou “Dias Úteis” Significa qualquer dia que não seja sábado, domingo ou feriado declarado como nacional, o</t>
        </is>
      </c>
    </row>
    <row r="149" ht="43.5" customHeight="1">
      <c r="A149" s="142" t="n">
        <v>42085830000109</v>
      </c>
      <c r="B149" s="75" t="inlineStr">
        <is>
          <t>42.085.830/0001-09</t>
        </is>
      </c>
      <c r="C149" s="75" t="inlineStr">
        <is>
          <t>sacado_devedor</t>
        </is>
      </c>
      <c r="D149" s="75" t="inlineStr">
        <is>
          <t>os Emissores Qualificados</t>
        </is>
      </c>
      <c r="E149" s="75" t="inlineStr">
        <is>
          <t>N/D</t>
        </is>
      </c>
      <c r="F149" s="75" t="inlineStr">
        <is>
          <t>regulamento</t>
        </is>
      </c>
      <c r="G149" s="75" t="inlineStr">
        <is>
          <t>966441</t>
        </is>
      </c>
      <c r="H149" s="75" t="inlineStr">
        <is>
          <t>regulamento</t>
        </is>
      </c>
      <c r="I149" s="75" t="inlineStr">
        <is>
          <t>2025-07-24</t>
        </is>
      </c>
      <c r="J149" s="75" t="inlineStr">
        <is>
          <t>96</t>
        </is>
      </c>
      <c r="K149" s="75" t="inlineStr">
        <is>
          <t>encontrado_explicito</t>
        </is>
      </c>
      <c r="L149" s="144" t="n">
        <v>0.95</v>
      </c>
      <c r="M149" s="75" t="inlineStr">
        <is>
          <t>data/raw/42085830000109/966441_regulamento_regulamento_966441_2025-07-24.pdf</t>
        </is>
      </c>
      <c r="N149" s="75" t="inlineStr">
        <is>
          <t>https://fnet.bmfbovespa.com.br/fnet/publico/downloadDocumento?id=966441</t>
        </is>
      </c>
      <c r="O149" s="75" t="inlineStr">
        <is>
          <t>to da antecipação de recebíveis dos Usuários-Finais em relação aos quais os Direitos Creditórios Cedidos se referem. “Devedores” Significam os Emissores Qualificados. “Dia Útil” ou “Dias Úteis” Significa qualquer dia que não seja sábado, domingo ou feriado declarado como nacional, o</t>
        </is>
      </c>
    </row>
    <row r="150" ht="43.5" customHeight="1">
      <c r="A150" s="142" t="n">
        <v>42085830000109</v>
      </c>
      <c r="B150" s="75" t="inlineStr">
        <is>
          <t>42.085.830/0001-09</t>
        </is>
      </c>
      <c r="C150" s="75" t="inlineStr">
        <is>
          <t>tipo_recebivel</t>
        </is>
      </c>
      <c r="D150" s="75" t="inlineStr">
        <is>
          <t>os direitos creditórios de tempos em tempos detidos pela Cedente em face dos Devedores , conforme as regras dos Arranjos de Pagamentos, decorrentes de Transações de Pagamento realizadas por Usuários-Finais com a utilização de Instrumentos de Pagamento, Página 97 de 116</t>
        </is>
      </c>
      <c r="E150" s="75" t="inlineStr">
        <is>
          <t>N/D</t>
        </is>
      </c>
      <c r="F150" s="75" t="inlineStr">
        <is>
          <t>regulamento</t>
        </is>
      </c>
      <c r="G150" s="75" t="inlineStr">
        <is>
          <t>966441</t>
        </is>
      </c>
      <c r="H150" s="75" t="inlineStr">
        <is>
          <t>regulamento</t>
        </is>
      </c>
      <c r="I150" s="75" t="inlineStr">
        <is>
          <t>2025-07-24</t>
        </is>
      </c>
      <c r="J150" s="75" t="inlineStr">
        <is>
          <t>96</t>
        </is>
      </c>
      <c r="K150" s="75" t="inlineStr">
        <is>
          <t>encontrado_explicito</t>
        </is>
      </c>
      <c r="L150" s="144" t="n">
        <v>0.92</v>
      </c>
      <c r="M150" s="75" t="inlineStr">
        <is>
          <t>data/raw/42085830000109/966441_regulamento_regulamento_966441_2025-07-24.pdf</t>
        </is>
      </c>
      <c r="N150" s="75" t="inlineStr">
        <is>
          <t>https://fnet.bmfbovespa.com.br/fnet/publico/downloadDocumento?id=966441</t>
        </is>
      </c>
      <c r="O150" s="75" t="inlineStr">
        <is>
          <t>ativa do Brasil. “Direito de Recompra” Tem o significado atribuído no item .7 deste Regulamento. “Direitos Creditórios” Significam os direitos creditórios de tempos em tempos detidos pela Cedente em face dos Devedores , conforme as regras dos Arranjos de Pagamentos, decorrentes de Transações de Pagamento realizadas por Usuários-Finais com a utilização de Instrumentos de Pagamento, Página 97 de 116 operacionalizadas pelo Sistema CloudWalk , para a aquisição de bens ou serviços nos Estabeleci</t>
        </is>
      </c>
    </row>
    <row r="151" ht="43.5" customHeight="1">
      <c r="A151" s="142" t="n">
        <v>42102603000144</v>
      </c>
      <c r="B151" s="75" t="inlineStr">
        <is>
          <t>42.102.603/0001-44</t>
        </is>
      </c>
      <c r="C151" s="75" t="inlineStr">
        <is>
          <t>cedente</t>
        </is>
      </c>
      <c r="D151" s="75" t="inlineStr">
        <is>
          <t>a CloudWalk que, de tempos em tempos, nos termos do Contrato de Cessão, cede seus respectivos Direitos Creditórios Elegíveis ao Fundo</t>
        </is>
      </c>
      <c r="E151" s="75" t="inlineStr">
        <is>
          <t>N/D</t>
        </is>
      </c>
      <c r="F151" s="75" t="inlineStr">
        <is>
          <t>regulamento</t>
        </is>
      </c>
      <c r="G151" s="75" t="inlineStr">
        <is>
          <t>733239</t>
        </is>
      </c>
      <c r="H151" s="75" t="inlineStr">
        <is>
          <t>regulamento</t>
        </is>
      </c>
      <c r="I151" s="75" t="inlineStr">
        <is>
          <t>2024-09-05</t>
        </is>
      </c>
      <c r="J151" s="75" t="inlineStr">
        <is>
          <t>92</t>
        </is>
      </c>
      <c r="K151" s="75" t="inlineStr">
        <is>
          <t>encontrado_explicito</t>
        </is>
      </c>
      <c r="L151" s="144" t="n">
        <v>0.95</v>
      </c>
      <c r="M151" s="75" t="inlineStr">
        <is>
          <t>data/raw/42102603000144/733239_regulamento_regulamento_733239_2024-09-05.pdf</t>
        </is>
      </c>
      <c r="N151" s="75" t="inlineStr">
        <is>
          <t>https://fnet.bmfbovespa.com.br/fnet/publico/downloadDocumento?id=733239</t>
        </is>
      </c>
      <c r="O151" s="75" t="inlineStr">
        <is>
          <t>pedido de um Usuário-Final, que poderá resultar no estorno do(s) crédito(s) correspondente(s) efetuado(s) à Cedente. “Cedente” Significa a CloudWalk que, de tempos em tempos, nos termos do Contrato de Cessão, cede seus respectivos Direitos Creditórios Elegíveis ao Fundo. “Chargeback” Significa a contestação de Transação(ões) de Pagamento, seja no todo ou em parte, por parte de Usuário</t>
        </is>
      </c>
    </row>
    <row r="152" ht="43.5" customHeight="1">
      <c r="A152" s="142" t="n">
        <v>42102603000144</v>
      </c>
      <c r="B152" s="75" t="inlineStr">
        <is>
          <t>42.102.603/0001-44</t>
        </is>
      </c>
      <c r="C152" s="75" t="inlineStr">
        <is>
          <t>cedente</t>
        </is>
      </c>
      <c r="D152" s="75" t="inlineStr">
        <is>
          <t>Cloudwalk</t>
        </is>
      </c>
      <c r="E152" s="75" t="inlineStr">
        <is>
          <t>N/D</t>
        </is>
      </c>
      <c r="F152" s="75" t="inlineStr">
        <is>
          <t>planilha_manual</t>
        </is>
      </c>
      <c r="G152" s="75" t="inlineStr">
        <is>
          <t>IMG_8705.JPG</t>
        </is>
      </c>
      <c r="H152" s="75" t="inlineStr">
        <is>
          <t>payload</t>
        </is>
      </c>
      <c r="I152" s="75" t="inlineStr">
        <is>
          <t>2024-09-05</t>
        </is>
      </c>
      <c r="J152" s="75" t="inlineStr">
        <is>
          <t>99</t>
        </is>
      </c>
      <c r="K152" s="75" t="inlineStr">
        <is>
          <t>aceito_payload</t>
        </is>
      </c>
      <c r="L152" s="144" t="n">
        <v>1</v>
      </c>
      <c r="M152" s="75" t="inlineStr">
        <is>
          <t>data/industry_study/generated_revision/artifact_payload.json</t>
        </is>
      </c>
      <c r="N152" s="75" t="inlineStr">
        <is>
          <t>N/D</t>
        </is>
      </c>
      <c r="O152" s="75" t="inlineStr">
        <is>
          <t>OBS da foto: Alongamento discutido recentemente (mas com run-off). Denominação cortada.</t>
        </is>
      </c>
    </row>
    <row r="153" ht="43.5" customHeight="1">
      <c r="A153" s="142" t="n">
        <v>42102603000144</v>
      </c>
      <c r="B153" s="75" t="inlineStr">
        <is>
          <t>42.102.603/0001-44</t>
        </is>
      </c>
      <c r="C153" s="75" t="inlineStr">
        <is>
          <t>minimo_estrutural_total</t>
        </is>
      </c>
      <c r="D153" s="75" t="inlineStr">
        <is>
          <t>6.8%</t>
        </is>
      </c>
      <c r="E153" s="75" t="inlineStr">
        <is>
          <t>suporte_total_pl</t>
        </is>
      </c>
      <c r="F153" s="75" t="inlineStr">
        <is>
          <t>payload_documental</t>
        </is>
      </c>
      <c r="G153" s="75" t="inlineStr">
        <is>
          <t>733239</t>
        </is>
      </c>
      <c r="H153" s="75" t="inlineStr">
        <is>
          <t>documento_curado</t>
        </is>
      </c>
      <c r="I153" s="75" t="inlineStr">
        <is>
          <t>2024-09-05</t>
        </is>
      </c>
      <c r="J153" s="75" t="inlineStr">
        <is>
          <t>99</t>
        </is>
      </c>
      <c r="K153" s="75" t="inlineStr">
        <is>
          <t>aceito_payload</t>
        </is>
      </c>
      <c r="L153" s="144" t="n">
        <v>1</v>
      </c>
      <c r="M153" s="75" t="inlineStr">
        <is>
          <t>data/industry_study/generated_revision/artifact_payload.json</t>
        </is>
      </c>
      <c r="N153" s="75" t="inlineStr">
        <is>
          <t>https://fnet.bmfbovespa.com.br/fnet/publico/downloadDocumento?id=733239</t>
        </is>
      </c>
      <c r="O153" s="75" t="inlineStr">
        <is>
          <t>Cotas subordinadas / PL, mínimo de 6,8%; estrutura com uma única classe residual.</t>
        </is>
      </c>
    </row>
    <row r="154" ht="43.5" customHeight="1">
      <c r="A154" s="142" t="n">
        <v>42102603000144</v>
      </c>
      <c r="B154" s="75" t="inlineStr">
        <is>
          <t>42.102.603/0001-44</t>
        </is>
      </c>
      <c r="C154" s="75" t="inlineStr">
        <is>
          <t>minimo_junior</t>
        </is>
      </c>
      <c r="D154" s="75" t="inlineStr">
        <is>
          <t>6.8%</t>
        </is>
      </c>
      <c r="E154" s="75" t="inlineStr">
        <is>
          <t>junior_pl</t>
        </is>
      </c>
      <c r="F154" s="75" t="inlineStr">
        <is>
          <t>payload_documental</t>
        </is>
      </c>
      <c r="G154" s="75" t="inlineStr">
        <is>
          <t>733239</t>
        </is>
      </c>
      <c r="H154" s="75" t="inlineStr">
        <is>
          <t>documento_curado</t>
        </is>
      </c>
      <c r="I154" s="75" t="inlineStr">
        <is>
          <t>2024-09-05</t>
        </is>
      </c>
      <c r="J154" s="75" t="inlineStr">
        <is>
          <t>99</t>
        </is>
      </c>
      <c r="K154" s="75" t="inlineStr">
        <is>
          <t>aceito_payload</t>
        </is>
      </c>
      <c r="L154" s="144" t="n">
        <v>1</v>
      </c>
      <c r="M154" s="75" t="inlineStr">
        <is>
          <t>data/industry_study/generated_revision/artifact_payload.json</t>
        </is>
      </c>
      <c r="N154" s="75" t="inlineStr">
        <is>
          <t>https://fnet.bmfbovespa.com.br/fnet/publico/downloadDocumento?id=733239</t>
        </is>
      </c>
      <c r="O154" s="75" t="inlineStr">
        <is>
          <t>Cotas subordinadas / PL, mínimo de 6,8%; estrutura com uma única classe residual.</t>
        </is>
      </c>
    </row>
    <row r="155" ht="43.5" customHeight="1">
      <c r="A155" s="142" t="n">
        <v>42102603000144</v>
      </c>
      <c r="B155" s="75" t="inlineStr">
        <is>
          <t>42.102.603/0001-44</t>
        </is>
      </c>
      <c r="C155" s="75" t="inlineStr">
        <is>
          <t>natureza_indice</t>
        </is>
      </c>
      <c r="D155" s="75" t="inlineStr">
        <is>
          <t>junior_pl</t>
        </is>
      </c>
      <c r="E155" s="75" t="inlineStr">
        <is>
          <t>junior_pl</t>
        </is>
      </c>
      <c r="F155" s="75" t="inlineStr">
        <is>
          <t>payload_documental</t>
        </is>
      </c>
      <c r="G155" s="75" t="inlineStr">
        <is>
          <t>733239</t>
        </is>
      </c>
      <c r="H155" s="75" t="inlineStr">
        <is>
          <t>documento_curado</t>
        </is>
      </c>
      <c r="I155" s="75" t="inlineStr">
        <is>
          <t>2024-09-05</t>
        </is>
      </c>
      <c r="J155" s="75" t="inlineStr">
        <is>
          <t>99</t>
        </is>
      </c>
      <c r="K155" s="75" t="inlineStr">
        <is>
          <t>aceito_payload</t>
        </is>
      </c>
      <c r="L155" s="144" t="n">
        <v>1</v>
      </c>
      <c r="M155" s="75" t="inlineStr">
        <is>
          <t>data/industry_study/generated_revision/artifact_payload.json</t>
        </is>
      </c>
      <c r="N155" s="75" t="inlineStr">
        <is>
          <t>https://fnet.bmfbovespa.com.br/fnet/publico/downloadDocumento?id=733239</t>
        </is>
      </c>
      <c r="O155" s="75" t="inlineStr">
        <is>
          <t>Cotas subordinadas / PL, mínimo de 6,8%; estrutura com uma única classe residual.</t>
        </is>
      </c>
    </row>
    <row r="156" ht="43.5" customHeight="1">
      <c r="A156" s="142" t="n">
        <v>42102603000144</v>
      </c>
      <c r="B156" s="75" t="inlineStr">
        <is>
          <t>42.102.603/0001-44</t>
        </is>
      </c>
      <c r="C156" s="75" t="inlineStr">
        <is>
          <t>sacado_devedor</t>
        </is>
      </c>
      <c r="D156" s="75" t="inlineStr">
        <is>
          <t>cada Devedor de Direitos Creditórios Cedidos que represente 6,8% (seis inteiros e oito décimos por cento) ou mais do Patrimônio Líquido do Fundo</t>
        </is>
      </c>
      <c r="E156" s="75" t="inlineStr">
        <is>
          <t>N/D</t>
        </is>
      </c>
      <c r="F156" s="75" t="inlineStr">
        <is>
          <t>regulamento</t>
        </is>
      </c>
      <c r="G156" s="75" t="inlineStr">
        <is>
          <t>733239</t>
        </is>
      </c>
      <c r="H156" s="75" t="inlineStr">
        <is>
          <t>regulamento</t>
        </is>
      </c>
      <c r="I156" s="75" t="inlineStr">
        <is>
          <t>2024-09-05</t>
        </is>
      </c>
      <c r="J156" s="75" t="inlineStr">
        <is>
          <t>96</t>
        </is>
      </c>
      <c r="K156" s="75" t="inlineStr">
        <is>
          <t>encontrado_explicito</t>
        </is>
      </c>
      <c r="L156" s="144" t="n">
        <v>0.95</v>
      </c>
      <c r="M156" s="75" t="inlineStr">
        <is>
          <t>data/raw/42102603000144/733239_regulamento_regulamento_733239_2024-09-05.pdf</t>
        </is>
      </c>
      <c r="N156" s="75" t="inlineStr">
        <is>
          <t>https://fnet.bmfbovespa.com.br/fnet/publico/downloadDocumento?id=733239</t>
        </is>
      </c>
      <c r="O156" s="75" t="inlineStr">
        <is>
          <t>icados e os Emissores Não Qualificados, desde que observados os limites de concentração previstos neste Regulamento. “Devedor Relevante” Significa cada Devedor de Direitos Creditórios Cedidos que represente 6,8% (seis inteiros e oito décimos por cento) ou mais do Patrimônio Líquido do Fundo. “Dia Útil” ou “Dias Úteis” Significa qualquer dia que não seja sábado, domingo ou feriado declarado como nacional, o</t>
        </is>
      </c>
    </row>
    <row r="157" ht="43.5" customHeight="1">
      <c r="A157" s="142" t="n">
        <v>42102603000144</v>
      </c>
      <c r="B157" s="75" t="inlineStr">
        <is>
          <t>42.102.603/0001-44</t>
        </is>
      </c>
      <c r="C157" s="75" t="inlineStr">
        <is>
          <t>tipo_recebivel</t>
        </is>
      </c>
      <c r="D157" s="75" t="inlineStr">
        <is>
          <t>os direitos creditórios de tempos em tempos detidos pela Cedente em face dos Devedores , conforme as regras dos Arranjos de Pagamentos, decorrentes de Docusign Envelope ID: C7A68EEF-E1CC-4C50-9460-07F207F1899B</t>
        </is>
      </c>
      <c r="E157" s="75" t="inlineStr">
        <is>
          <t>N/D</t>
        </is>
      </c>
      <c r="F157" s="75" t="inlineStr">
        <is>
          <t>regulamento</t>
        </is>
      </c>
      <c r="G157" s="75" t="inlineStr">
        <is>
          <t>733239</t>
        </is>
      </c>
      <c r="H157" s="75" t="inlineStr">
        <is>
          <t>regulamento</t>
        </is>
      </c>
      <c r="I157" s="75" t="inlineStr">
        <is>
          <t>2024-09-05</t>
        </is>
      </c>
      <c r="J157" s="75" t="inlineStr">
        <is>
          <t>96</t>
        </is>
      </c>
      <c r="K157" s="75" t="inlineStr">
        <is>
          <t>encontrado_explicito</t>
        </is>
      </c>
      <c r="L157" s="144" t="n">
        <v>0.92</v>
      </c>
      <c r="M157" s="75" t="inlineStr">
        <is>
          <t>data/raw/42102603000144/733239_regulamento_regulamento_733239_2024-09-05.pdf</t>
        </is>
      </c>
      <c r="N157" s="75" t="inlineStr">
        <is>
          <t>https://fnet.bmfbovespa.com.br/fnet/publico/downloadDocumento?id=733239</t>
        </is>
      </c>
      <c r="O157" s="75" t="inlineStr">
        <is>
          <t>iva do Brasil. “Direito de Recompra” Tem o significado atribuído no item 13.7 deste Regulamento. “Direitos Creditórios” Significam os direitos creditórios de tempos em tempos detidos pela Cedente em face dos Devedores , conforme as regras dos Arranjos de Pagamentos, decorrentes de Docusign Envelope ID: C7A68EEF-E1CC-4C50-9460-07F207F1899B Página 97 de 115 Transações de Pagamento realizadas por Usuários-Finais com a utilização de</t>
        </is>
      </c>
    </row>
    <row r="158" ht="43.5" customHeight="1">
      <c r="A158" s="142" t="n">
        <v>42154687000160</v>
      </c>
      <c r="B158" s="75" t="inlineStr">
        <is>
          <t>42.154.687/0001-60</t>
        </is>
      </c>
      <c r="C158" s="75" t="inlineStr">
        <is>
          <t>cedente</t>
        </is>
      </c>
      <c r="D158" s="75" t="inlineStr">
        <is>
          <t>Multicedentes &amp; Multisacados</t>
        </is>
      </c>
      <c r="E158" s="75" t="inlineStr">
        <is>
          <t>N/D</t>
        </is>
      </c>
      <c r="F158" s="75" t="inlineStr">
        <is>
          <t>planilha_manual</t>
        </is>
      </c>
      <c r="G158" s="75" t="inlineStr">
        <is>
          <t>IMG_8705.JPG</t>
        </is>
      </c>
      <c r="H158" s="75" t="inlineStr">
        <is>
          <t>payload</t>
        </is>
      </c>
      <c r="I158" s="75" t="inlineStr">
        <is>
          <t>2026-06-08</t>
        </is>
      </c>
      <c r="J158" s="75" t="inlineStr">
        <is>
          <t>54</t>
        </is>
      </c>
      <c r="K158" s="75" t="inlineStr">
        <is>
          <t>aceito_payload</t>
        </is>
      </c>
      <c r="L158" s="144" t="n">
        <v>1</v>
      </c>
      <c r="M158" s="75" t="inlineStr">
        <is>
          <t>data/industry_study/generated_revision/artifact_payload.json</t>
        </is>
      </c>
      <c r="N158" s="75" t="inlineStr">
        <is>
          <t>N/D</t>
        </is>
      </c>
      <c r="O158" s="75" t="inlineStr">
        <is>
          <t>Denominação cortada pela largura da coluna na foto.</t>
        </is>
      </c>
    </row>
    <row r="159" ht="43.5" customHeight="1">
      <c r="A159" s="142" t="n">
        <v>42154687000160</v>
      </c>
      <c r="B159" s="75" t="inlineStr">
        <is>
          <t>42.154.687/0001-60</t>
        </is>
      </c>
      <c r="C159" s="75" t="inlineStr">
        <is>
          <t>minimo_junior</t>
        </is>
      </c>
      <c r="D159" s="75" t="inlineStr">
        <is>
          <t>20%</t>
        </is>
      </c>
      <c r="E159" s="75" t="inlineStr">
        <is>
          <t>junior_pl</t>
        </is>
      </c>
      <c r="F159" s="75" t="inlineStr">
        <is>
          <t>payload_documental</t>
        </is>
      </c>
      <c r="G159" s="75" t="inlineStr">
        <is>
          <t>1223029</t>
        </is>
      </c>
      <c r="H159" s="75" t="inlineStr">
        <is>
          <t>documento_curado</t>
        </is>
      </c>
      <c r="I159" s="75" t="inlineStr">
        <is>
          <t>2026-06-08</t>
        </is>
      </c>
      <c r="J159" s="75" t="inlineStr">
        <is>
          <t>54</t>
        </is>
      </c>
      <c r="K159" s="75" t="inlineStr">
        <is>
          <t>aceito_payload</t>
        </is>
      </c>
      <c r="L159" s="144" t="n">
        <v>1</v>
      </c>
      <c r="M159" s="75" t="inlineStr">
        <is>
          <t>data/industry_study/generated_revision/artifact_payload.json</t>
        </is>
      </c>
      <c r="N159" s="75" t="inlineStr">
        <is>
          <t>https://fnet.bmfbovespa.com.br/fnet/publico/downloadDocumento?id=1223029</t>
        </is>
      </c>
      <c r="O159" s="75" t="inlineStr">
        <is>
          <t>Mínimo júnior calculado: subordinadas = 40,0% do PL e júnior = 50,0% das subordinadas.</t>
        </is>
      </c>
    </row>
    <row r="160" ht="43.5" customHeight="1">
      <c r="A160" s="142" t="n">
        <v>42154687000160</v>
      </c>
      <c r="B160" s="75" t="inlineStr">
        <is>
          <t>42.154.687/0001-60</t>
        </is>
      </c>
      <c r="C160" s="75" t="inlineStr">
        <is>
          <t>natureza_indice</t>
        </is>
      </c>
      <c r="D160" s="75" t="inlineStr">
        <is>
          <t>junior_pl</t>
        </is>
      </c>
      <c r="E160" s="75" t="inlineStr">
        <is>
          <t>junior_pl</t>
        </is>
      </c>
      <c r="F160" s="75" t="inlineStr">
        <is>
          <t>payload_documental</t>
        </is>
      </c>
      <c r="G160" s="75" t="inlineStr">
        <is>
          <t>1223029</t>
        </is>
      </c>
      <c r="H160" s="75" t="inlineStr">
        <is>
          <t>documento_curado</t>
        </is>
      </c>
      <c r="I160" s="75" t="inlineStr">
        <is>
          <t>2026-06-08</t>
        </is>
      </c>
      <c r="J160" s="75" t="inlineStr">
        <is>
          <t>54</t>
        </is>
      </c>
      <c r="K160" s="75" t="inlineStr">
        <is>
          <t>aceito_payload</t>
        </is>
      </c>
      <c r="L160" s="144" t="n">
        <v>1</v>
      </c>
      <c r="M160" s="75" t="inlineStr">
        <is>
          <t>data/industry_study/generated_revision/artifact_payload.json</t>
        </is>
      </c>
      <c r="N160" s="75" t="inlineStr">
        <is>
          <t>https://fnet.bmfbovespa.com.br/fnet/publico/downloadDocumento?id=1223029</t>
        </is>
      </c>
      <c r="O160" s="75" t="inlineStr">
        <is>
          <t>Mínimo júnior calculado: subordinadas = 40,0% do PL e júnior = 50,0% das subordinadas.</t>
        </is>
      </c>
    </row>
    <row r="161" ht="43.5" customHeight="1">
      <c r="A161" s="142" t="n">
        <v>42154687000160</v>
      </c>
      <c r="B161" s="75" t="inlineStr">
        <is>
          <t>42.154.687/0001-60</t>
        </is>
      </c>
      <c r="C161" s="75" t="inlineStr">
        <is>
          <t>tipo_recebivel</t>
        </is>
      </c>
      <c r="D161" s="75" t="inlineStr">
        <is>
          <t>FIDC MultiCedente / Multisacado</t>
        </is>
      </c>
      <c r="E161" s="75" t="inlineStr">
        <is>
          <t>N/D</t>
        </is>
      </c>
      <c r="F161" s="75" t="inlineStr">
        <is>
          <t>planilha_manual</t>
        </is>
      </c>
      <c r="G161" s="75" t="inlineStr">
        <is>
          <t>IMG_8705.JPG</t>
        </is>
      </c>
      <c r="H161" s="75" t="inlineStr">
        <is>
          <t>payload</t>
        </is>
      </c>
      <c r="I161" s="75" t="inlineStr">
        <is>
          <t>2026-06-08</t>
        </is>
      </c>
      <c r="J161" s="75" t="inlineStr">
        <is>
          <t>54</t>
        </is>
      </c>
      <c r="K161" s="75" t="inlineStr">
        <is>
          <t>aceito_payload</t>
        </is>
      </c>
      <c r="L161" s="144" t="n">
        <v>1</v>
      </c>
      <c r="M161" s="75" t="inlineStr">
        <is>
          <t>data/industry_study/generated_revision/artifact_payload.json</t>
        </is>
      </c>
      <c r="N161" s="75" t="inlineStr">
        <is>
          <t>N/D</t>
        </is>
      </c>
      <c r="O161" s="75" t="inlineStr">
        <is>
          <t>Denominação cortada pela largura da coluna na foto.</t>
        </is>
      </c>
    </row>
    <row r="162" ht="43.5" customHeight="1">
      <c r="A162" s="142" t="n">
        <v>42462306000100</v>
      </c>
      <c r="B162" s="75" t="inlineStr">
        <is>
          <t>42.462.306/0001-00</t>
        </is>
      </c>
      <c r="C162" s="75" t="inlineStr">
        <is>
          <t>cedente</t>
        </is>
      </c>
      <c r="D162" s="75" t="inlineStr">
        <is>
          <t>Solfácil</t>
        </is>
      </c>
      <c r="E162" s="75" t="inlineStr">
        <is>
          <t>N/D</t>
        </is>
      </c>
      <c r="F162" s="75" t="inlineStr">
        <is>
          <t>planilha_manual</t>
        </is>
      </c>
      <c r="G162" s="75" t="inlineStr">
        <is>
          <t>IMG_8704.JPG</t>
        </is>
      </c>
      <c r="H162" s="75" t="inlineStr">
        <is>
          <t>payload</t>
        </is>
      </c>
      <c r="I162" s="75" t="inlineStr">
        <is>
          <t>2025-05-05</t>
        </is>
      </c>
      <c r="J162" s="75" t="inlineStr">
        <is>
          <t>12</t>
        </is>
      </c>
      <c r="K162" s="75" t="inlineStr">
        <is>
          <t>aceito_payload</t>
        </is>
      </c>
      <c r="L162" s="144" t="n">
        <v>1</v>
      </c>
      <c r="M162" s="75" t="inlineStr">
        <is>
          <t>data/industry_study/generated_revision/artifact_payload.json</t>
        </is>
      </c>
      <c r="N162" s="75" t="inlineStr">
        <is>
          <t>N/D</t>
        </is>
      </c>
      <c r="O162" s="75" t="inlineStr">
        <is>
          <t>OBS da foto: FIDC warehouse com finalidade de originar créditos para serem securitizados posteriormente em CRIs a mercado; texto final cortado pela foto.</t>
        </is>
      </c>
    </row>
    <row r="163" ht="43.5" customHeight="1">
      <c r="A163" s="142" t="n">
        <v>42462306000100</v>
      </c>
      <c r="B163" s="75" t="inlineStr">
        <is>
          <t>42.462.306/0001-00</t>
        </is>
      </c>
      <c r="C163" s="75" t="inlineStr">
        <is>
          <t>minimo_junior</t>
        </is>
      </c>
      <c r="D163" s="75" t="inlineStr">
        <is>
          <t>4.5%</t>
        </is>
      </c>
      <c r="E163" s="75" t="inlineStr">
        <is>
          <t>junior_pl</t>
        </is>
      </c>
      <c r="F163" s="75" t="inlineStr">
        <is>
          <t>payload_documental</t>
        </is>
      </c>
      <c r="G163" s="75" t="inlineStr">
        <is>
          <t>896879</t>
        </is>
      </c>
      <c r="H163" s="75" t="inlineStr">
        <is>
          <t>documento_curado</t>
        </is>
      </c>
      <c r="I163" s="75" t="inlineStr">
        <is>
          <t>2025-05-05</t>
        </is>
      </c>
      <c r="J163" s="75" t="inlineStr">
        <is>
          <t>12</t>
        </is>
      </c>
      <c r="K163" s="75" t="inlineStr">
        <is>
          <t>aceito_payload</t>
        </is>
      </c>
      <c r="L163" s="144" t="n">
        <v>1</v>
      </c>
      <c r="M163" s="75" t="inlineStr">
        <is>
          <t>data/industry_study/generated_revision/artifact_payload.json</t>
        </is>
      </c>
      <c r="N163" s="75" t="inlineStr">
        <is>
          <t>https://fnet.bmfbovespa.com.br/fnet/publico/downloadDocumento?id=896879</t>
        </is>
      </c>
      <c r="O163" s="75" t="inlineStr">
        <is>
          <t>Cotas subordinadas júnior / PL, mínimo de 4,5%.</t>
        </is>
      </c>
    </row>
    <row r="164" ht="43.5" customHeight="1">
      <c r="A164" s="142" t="n">
        <v>42462306000100</v>
      </c>
      <c r="B164" s="75" t="inlineStr">
        <is>
          <t>42.462.306/0001-00</t>
        </is>
      </c>
      <c r="C164" s="75" t="inlineStr">
        <is>
          <t>natureza_indice</t>
        </is>
      </c>
      <c r="D164" s="75" t="inlineStr">
        <is>
          <t>junior_pl</t>
        </is>
      </c>
      <c r="E164" s="75" t="inlineStr">
        <is>
          <t>junior_pl</t>
        </is>
      </c>
      <c r="F164" s="75" t="inlineStr">
        <is>
          <t>payload_documental</t>
        </is>
      </c>
      <c r="G164" s="75" t="inlineStr">
        <is>
          <t>896879</t>
        </is>
      </c>
      <c r="H164" s="75" t="inlineStr">
        <is>
          <t>documento_curado</t>
        </is>
      </c>
      <c r="I164" s="75" t="inlineStr">
        <is>
          <t>2025-05-05</t>
        </is>
      </c>
      <c r="J164" s="75" t="inlineStr">
        <is>
          <t>12</t>
        </is>
      </c>
      <c r="K164" s="75" t="inlineStr">
        <is>
          <t>aceito_payload</t>
        </is>
      </c>
      <c r="L164" s="144" t="n">
        <v>1</v>
      </c>
      <c r="M164" s="75" t="inlineStr">
        <is>
          <t>data/industry_study/generated_revision/artifact_payload.json</t>
        </is>
      </c>
      <c r="N164" s="75" t="inlineStr">
        <is>
          <t>https://fnet.bmfbovespa.com.br/fnet/publico/downloadDocumento?id=896879</t>
        </is>
      </c>
      <c r="O164" s="75" t="inlineStr">
        <is>
          <t>Cotas subordinadas júnior / PL, mínimo de 4,5%.</t>
        </is>
      </c>
    </row>
    <row r="165" ht="43.5" customHeight="1">
      <c r="A165" s="142" t="n">
        <v>42462306000100</v>
      </c>
      <c r="B165" s="75" t="inlineStr">
        <is>
          <t>42.462.306/0001-00</t>
        </is>
      </c>
      <c r="C165" s="75" t="inlineStr">
        <is>
          <t>originador</t>
        </is>
      </c>
      <c r="D165" s="75" t="inlineStr">
        <is>
          <t>Solfácil Energia</t>
        </is>
      </c>
      <c r="E165" s="75" t="inlineStr">
        <is>
          <t>rótulo explícito de participante v2</t>
        </is>
      </c>
      <c r="F165" s="75" t="inlineStr">
        <is>
          <t>rating_report</t>
        </is>
      </c>
      <c r="G165" s="75" t="inlineStr">
        <is>
          <t>721485</t>
        </is>
      </c>
      <c r="H165" s="75" t="inlineStr">
        <is>
          <t>Relatórios Relatório de Agência de Rating</t>
        </is>
      </c>
      <c r="I165" s="75" t="inlineStr">
        <is>
          <t>30/06/2024</t>
        </is>
      </c>
      <c r="J165" s="75" t="inlineStr">
        <is>
          <t>6</t>
        </is>
      </c>
      <c r="K165" s="75" t="inlineStr">
        <is>
          <t>encontrado_explicito</t>
        </is>
      </c>
      <c r="L165" s="144" t="n">
        <v>0.93</v>
      </c>
      <c r="M165" s="75" t="inlineStr">
        <is>
          <t>.cache/carteira_101_document_scan/42462306000100/721485.json.gz</t>
        </is>
      </c>
      <c r="N165" s="75" t="inlineStr">
        <is>
          <t>https://fnet.bmfbovespa.com.br/fnet/publico/downloadDocumento?id=721485</t>
        </is>
      </c>
      <c r="O165" s="75" t="inlineStr">
        <is>
          <t>. Os analistas utilizaram informações provenientes da(s) seguinte(s) fonte(s): Solfácil Energia (Originadora). 7. As informações obtidas pela Austin Rating foram consideradas suficientes p</t>
        </is>
      </c>
    </row>
    <row r="166" ht="43.5" customHeight="1">
      <c r="A166" s="142" t="n">
        <v>42462306000100</v>
      </c>
      <c r="B166" s="75" t="inlineStr">
        <is>
          <t>42.462.306/0001-00</t>
        </is>
      </c>
      <c r="C166" s="75" t="inlineStr">
        <is>
          <t>originador</t>
        </is>
      </c>
      <c r="D166" s="75" t="inlineStr">
        <is>
          <t>Solfácil Energia</t>
        </is>
      </c>
      <c r="E166" s="75" t="inlineStr">
        <is>
          <t>rótulo explícito de participante v2</t>
        </is>
      </c>
      <c r="F166" s="75" t="inlineStr">
        <is>
          <t>rating_report</t>
        </is>
      </c>
      <c r="G166" s="75" t="inlineStr">
        <is>
          <t>1023995</t>
        </is>
      </c>
      <c r="H166" s="75" t="inlineStr">
        <is>
          <t>Relatórios Relatório de Agência de Rating</t>
        </is>
      </c>
      <c r="I166" s="75" t="inlineStr">
        <is>
          <t>30/10/2025</t>
        </is>
      </c>
      <c r="J166" s="75" t="inlineStr">
        <is>
          <t>6</t>
        </is>
      </c>
      <c r="K166" s="75" t="inlineStr">
        <is>
          <t>encontrado_explicito</t>
        </is>
      </c>
      <c r="L166" s="144" t="n">
        <v>0.93</v>
      </c>
      <c r="M166" s="75" t="inlineStr">
        <is>
          <t>.cache/carteira_101_document_scan/42462306000100/1023995.json.gz</t>
        </is>
      </c>
      <c r="N166" s="75" t="inlineStr">
        <is>
          <t>https://fnet.bmfbovespa.com.br/fnet/publico/downloadDocumento?id=1023995</t>
        </is>
      </c>
      <c r="O166" s="75" t="inlineStr">
        <is>
          <t>. Os analistas utilizaram informações provenientes da(s) seguinte(s) fonte(s): Solfácil Energia (Originadora). 7. As informações obtidas pela Austin Rating foram consideradas suficientes p</t>
        </is>
      </c>
    </row>
    <row r="167" ht="43.5" customHeight="1">
      <c r="A167" s="142" t="n">
        <v>42462306000100</v>
      </c>
      <c r="B167" s="75" t="inlineStr">
        <is>
          <t>42.462.306/0001-00</t>
        </is>
      </c>
      <c r="C167" s="75" t="inlineStr">
        <is>
          <t>tipo_recebivel</t>
        </is>
      </c>
      <c r="D167" s="75" t="inlineStr">
        <is>
          <t>créditos originados para securitização posterior em CRIs</t>
        </is>
      </c>
      <c r="E167" s="75" t="inlineStr">
        <is>
          <t>N/D</t>
        </is>
      </c>
      <c r="F167" s="75" t="inlineStr">
        <is>
          <t>planilha_manual</t>
        </is>
      </c>
      <c r="G167" s="75" t="inlineStr">
        <is>
          <t>IMG_8704.JPG</t>
        </is>
      </c>
      <c r="H167" s="75" t="inlineStr">
        <is>
          <t>payload</t>
        </is>
      </c>
      <c r="I167" s="75" t="inlineStr">
        <is>
          <t>2025-05-05</t>
        </is>
      </c>
      <c r="J167" s="75" t="inlineStr">
        <is>
          <t>12</t>
        </is>
      </c>
      <c r="K167" s="75" t="inlineStr">
        <is>
          <t>aceito_payload</t>
        </is>
      </c>
      <c r="L167" s="144" t="n">
        <v>1</v>
      </c>
      <c r="M167" s="75" t="inlineStr">
        <is>
          <t>data/industry_study/generated_revision/artifact_payload.json</t>
        </is>
      </c>
      <c r="N167" s="75" t="inlineStr">
        <is>
          <t>N/D</t>
        </is>
      </c>
      <c r="O167" s="75" t="inlineStr">
        <is>
          <t>OBS da foto: FIDC warehouse com finalidade de originar créditos para serem securitizados posteriormente em CRIs a mercado; texto final cortado pela foto.</t>
        </is>
      </c>
    </row>
    <row r="168" ht="43.5" customHeight="1">
      <c r="A168" s="142" t="n">
        <v>43193260000133</v>
      </c>
      <c r="B168" s="75" t="inlineStr">
        <is>
          <t>43.193.260/0001-33</t>
        </is>
      </c>
      <c r="C168" s="75" t="inlineStr">
        <is>
          <t>cedente</t>
        </is>
      </c>
      <c r="D168" s="75" t="inlineStr">
        <is>
          <t>VCI</t>
        </is>
      </c>
      <c r="E168" s="75" t="inlineStr">
        <is>
          <t>N/D</t>
        </is>
      </c>
      <c r="F168" s="75" t="inlineStr">
        <is>
          <t>planilha_manual</t>
        </is>
      </c>
      <c r="G168" s="75" t="inlineStr">
        <is>
          <t>IMG_8707.jpg</t>
        </is>
      </c>
      <c r="H168" s="75" t="inlineStr">
        <is>
          <t>payload</t>
        </is>
      </c>
      <c r="I168" s="75" t="inlineStr">
        <is>
          <t>2025-11-17</t>
        </is>
      </c>
      <c r="J168" s="75" t="inlineStr">
        <is>
          <t>26</t>
        </is>
      </c>
      <c r="K168" s="75" t="inlineStr">
        <is>
          <t>aceito_payload</t>
        </is>
      </c>
      <c r="L168" s="144" t="n">
        <v>1</v>
      </c>
      <c r="M168" s="75" t="inlineStr">
        <is>
          <t>data/industry_study/generated_revision/artifact_payload.json</t>
        </is>
      </c>
      <c r="N168" s="75" t="inlineStr">
        <is>
          <t>N/D</t>
        </is>
      </c>
      <c r="O168" s="75" t="inlineStr">
        <is>
          <t>OBS aparece apenas como FIDC de receb... e foi excluída da transcrição estruturada.</t>
        </is>
      </c>
    </row>
    <row r="169" ht="43.5" customHeight="1">
      <c r="A169" s="142" t="n">
        <v>43193260000133</v>
      </c>
      <c r="B169" s="75" t="inlineStr">
        <is>
          <t>43.193.260/0001-33</t>
        </is>
      </c>
      <c r="C169" s="75" t="inlineStr">
        <is>
          <t>minimo_estrutural_total</t>
        </is>
      </c>
      <c r="D169" s="75" t="inlineStr">
        <is>
          <t>50%</t>
        </is>
      </c>
      <c r="E169" s="75" t="inlineStr">
        <is>
          <t>suporte_total_pl</t>
        </is>
      </c>
      <c r="F169" s="75" t="inlineStr">
        <is>
          <t>payload_documental</t>
        </is>
      </c>
      <c r="G169" s="75" t="inlineStr">
        <is>
          <t>1044387</t>
        </is>
      </c>
      <c r="H169" s="75" t="inlineStr">
        <is>
          <t>documento_curado</t>
        </is>
      </c>
      <c r="I169" s="75" t="inlineStr">
        <is>
          <t>2025-11-17</t>
        </is>
      </c>
      <c r="J169" s="75" t="inlineStr">
        <is>
          <t>26</t>
        </is>
      </c>
      <c r="K169" s="75" t="inlineStr">
        <is>
          <t>aceito_payload</t>
        </is>
      </c>
      <c r="L169" s="144" t="n">
        <v>1</v>
      </c>
      <c r="M169" s="75" t="inlineStr">
        <is>
          <t>data/industry_study/generated_revision/artifact_payload.json</t>
        </is>
      </c>
      <c r="N169" s="75" t="inlineStr">
        <is>
          <t>https://fnet.bmfbovespa.com.br/fnet/publico/downloadDocumento?id=1044387</t>
        </is>
      </c>
      <c r="O169" s="75" t="inlineStr">
        <is>
          <t>Mínimo júnior calculado: subordinadas = 50,0% do PL e júnior = 30,0% das subordinadas.</t>
        </is>
      </c>
    </row>
    <row r="170" ht="43.5" customHeight="1">
      <c r="A170" s="142" t="n">
        <v>43193260000133</v>
      </c>
      <c r="B170" s="75" t="inlineStr">
        <is>
          <t>43.193.260/0001-33</t>
        </is>
      </c>
      <c r="C170" s="75" t="inlineStr">
        <is>
          <t>minimo_junior</t>
        </is>
      </c>
      <c r="D170" s="75" t="inlineStr">
        <is>
          <t>15%</t>
        </is>
      </c>
      <c r="E170" s="75" t="inlineStr">
        <is>
          <t>junior_pl_calculado</t>
        </is>
      </c>
      <c r="F170" s="75" t="inlineStr">
        <is>
          <t>payload_documental</t>
        </is>
      </c>
      <c r="G170" s="75" t="inlineStr">
        <is>
          <t>1044387</t>
        </is>
      </c>
      <c r="H170" s="75" t="inlineStr">
        <is>
          <t>documento_curado</t>
        </is>
      </c>
      <c r="I170" s="75" t="inlineStr">
        <is>
          <t>2025-11-17</t>
        </is>
      </c>
      <c r="J170" s="75" t="inlineStr">
        <is>
          <t>26</t>
        </is>
      </c>
      <c r="K170" s="75" t="inlineStr">
        <is>
          <t>aceito_payload</t>
        </is>
      </c>
      <c r="L170" s="144" t="n">
        <v>1</v>
      </c>
      <c r="M170" s="75" t="inlineStr">
        <is>
          <t>data/industry_study/generated_revision/artifact_payload.json</t>
        </is>
      </c>
      <c r="N170" s="75" t="inlineStr">
        <is>
          <t>https://fnet.bmfbovespa.com.br/fnet/publico/downloadDocumento?id=1044387</t>
        </is>
      </c>
      <c r="O170" s="75" t="inlineStr">
        <is>
          <t>Mínimo júnior calculado: subordinadas = 50,0% do PL e júnior = 30,0% das subordinadas.</t>
        </is>
      </c>
    </row>
    <row r="171" ht="43.5" customHeight="1">
      <c r="A171" s="142" t="n">
        <v>43193260000133</v>
      </c>
      <c r="B171" s="75" t="inlineStr">
        <is>
          <t>43.193.260/0001-33</t>
        </is>
      </c>
      <c r="C171" s="75" t="inlineStr">
        <is>
          <t>natureza_indice</t>
        </is>
      </c>
      <c r="D171" s="75" t="inlineStr">
        <is>
          <t>junior_pl_calculado</t>
        </is>
      </c>
      <c r="E171" s="75" t="inlineStr">
        <is>
          <t>junior_pl_calculado</t>
        </is>
      </c>
      <c r="F171" s="75" t="inlineStr">
        <is>
          <t>payload_documental</t>
        </is>
      </c>
      <c r="G171" s="75" t="inlineStr">
        <is>
          <t>1044387</t>
        </is>
      </c>
      <c r="H171" s="75" t="inlineStr">
        <is>
          <t>documento_curado</t>
        </is>
      </c>
      <c r="I171" s="75" t="inlineStr">
        <is>
          <t>2025-11-17</t>
        </is>
      </c>
      <c r="J171" s="75" t="inlineStr">
        <is>
          <t>26</t>
        </is>
      </c>
      <c r="K171" s="75" t="inlineStr">
        <is>
          <t>aceito_payload</t>
        </is>
      </c>
      <c r="L171" s="144" t="n">
        <v>1</v>
      </c>
      <c r="M171" s="75" t="inlineStr">
        <is>
          <t>data/industry_study/generated_revision/artifact_payload.json</t>
        </is>
      </c>
      <c r="N171" s="75" t="inlineStr">
        <is>
          <t>https://fnet.bmfbovespa.com.br/fnet/publico/downloadDocumento?id=1044387</t>
        </is>
      </c>
      <c r="O171" s="75" t="inlineStr">
        <is>
          <t>Mínimo júnior calculado: subordinadas = 50,0% do PL e júnior = 30,0% das subordinadas.</t>
        </is>
      </c>
    </row>
    <row r="172" ht="43.5" customHeight="1">
      <c r="A172" s="142" t="n">
        <v>43309233000183</v>
      </c>
      <c r="B172" s="75" t="inlineStr">
        <is>
          <t>43.309.233/0001-83</t>
        </is>
      </c>
      <c r="C172" s="75" t="inlineStr">
        <is>
          <t>cedente</t>
        </is>
      </c>
      <c r="D172" s="75" t="inlineStr">
        <is>
          <t>(i) a Adama, cujas cessões não contarão com coobrigação</t>
        </is>
      </c>
      <c r="E172" s="75" t="inlineStr">
        <is>
          <t>N/D</t>
        </is>
      </c>
      <c r="F172" s="75" t="inlineStr">
        <is>
          <t>regulamento</t>
        </is>
      </c>
      <c r="G172" s="75" t="inlineStr">
        <is>
          <t>943032</t>
        </is>
      </c>
      <c r="H172" s="75" t="inlineStr">
        <is>
          <t>Regulamento</t>
        </is>
      </c>
      <c r="I172" s="75" t="inlineStr">
        <is>
          <t>09/07/2025</t>
        </is>
      </c>
      <c r="J172" s="75" t="inlineStr">
        <is>
          <t>9</t>
        </is>
      </c>
      <c r="K172" s="75" t="inlineStr">
        <is>
          <t>encontrado_explicito</t>
        </is>
      </c>
      <c r="L172" s="144" t="n">
        <v>0.95</v>
      </c>
      <c r="M172" s="75" t="inlineStr">
        <is>
          <t>.cache/carteira_101_document_scan/43309233000183/943032.json.gz</t>
        </is>
      </c>
      <c r="N172" s="75" t="inlineStr">
        <is>
          <t>https://fnet.bmfbovespa.com.br/fnet/publico/downloadDocumento?id=943032</t>
        </is>
      </c>
      <c r="O172" s="75" t="inlineStr">
        <is>
          <t>poderão ser vinculados aos CDCA quaisquer direitos creditórios previstos na Lei nº 11.076/04, conforme alterada. “Cedentes” Significa (i) a Adama, cujas cessões não contarão com coobrigação; e/ou (ii) quaisquer dos Distribuidores de Produtos, estes últimos quando indicados pelo Originador e aprovados pelo</t>
        </is>
      </c>
    </row>
    <row r="173" ht="43.5" customHeight="1">
      <c r="A173" s="142" t="n">
        <v>43309233000183</v>
      </c>
      <c r="B173" s="75" t="inlineStr">
        <is>
          <t>43.309.233/0001-83</t>
        </is>
      </c>
      <c r="C173" s="75" t="inlineStr">
        <is>
          <t>cedente</t>
        </is>
      </c>
      <c r="D173" s="75" t="inlineStr">
        <is>
          <t>Adama</t>
        </is>
      </c>
      <c r="E173" s="75" t="inlineStr">
        <is>
          <t>N/D</t>
        </is>
      </c>
      <c r="F173" s="75" t="inlineStr">
        <is>
          <t>planilha_manual</t>
        </is>
      </c>
      <c r="G173" s="75" t="inlineStr">
        <is>
          <t>IMG_8704.JPG</t>
        </is>
      </c>
      <c r="H173" s="75" t="inlineStr">
        <is>
          <t>payload</t>
        </is>
      </c>
      <c r="I173" s="75" t="inlineStr">
        <is>
          <t>2025-07-09</t>
        </is>
      </c>
      <c r="J173" s="75" t="inlineStr">
        <is>
          <t>30</t>
        </is>
      </c>
      <c r="K173" s="75" t="inlineStr">
        <is>
          <t>aceito_payload</t>
        </is>
      </c>
      <c r="L173" s="144" t="n">
        <v>1</v>
      </c>
      <c r="M173" s="75" t="inlineStr">
        <is>
          <t>data/industry_study/generated_revision/artifact_payload.json</t>
        </is>
      </c>
      <c r="N173" s="75" t="inlineStr">
        <is>
          <t>N/D</t>
        </is>
      </c>
      <c r="O173" s="75" t="inlineStr">
        <is>
          <t>OBS da foto: fomos 100% resgatados em out/25.</t>
        </is>
      </c>
    </row>
    <row r="174" ht="43.5" customHeight="1">
      <c r="A174" s="142" t="n">
        <v>43309233000183</v>
      </c>
      <c r="B174" s="75" t="inlineStr">
        <is>
          <t>43.309.233/0001-83</t>
        </is>
      </c>
      <c r="C174" s="75" t="inlineStr">
        <is>
          <t>minimo_estrutural_total</t>
        </is>
      </c>
      <c r="D174" s="75" t="inlineStr">
        <is>
          <t>15%</t>
        </is>
      </c>
      <c r="E174" s="75" t="inlineStr">
        <is>
          <t>suporte_total_pl</t>
        </is>
      </c>
      <c r="F174" s="75" t="inlineStr">
        <is>
          <t>payload_documental</t>
        </is>
      </c>
      <c r="G174" s="75" t="inlineStr">
        <is>
          <t>943032</t>
        </is>
      </c>
      <c r="H174" s="75" t="inlineStr">
        <is>
          <t>documento_curado</t>
        </is>
      </c>
      <c r="I174" s="75" t="inlineStr">
        <is>
          <t>2025-07-09</t>
        </is>
      </c>
      <c r="J174" s="75" t="inlineStr">
        <is>
          <t>30</t>
        </is>
      </c>
      <c r="K174" s="75" t="inlineStr">
        <is>
          <t>aceito_payload</t>
        </is>
      </c>
      <c r="L174" s="144" t="n">
        <v>1</v>
      </c>
      <c r="M174" s="75" t="inlineStr">
        <is>
          <t>data/industry_study/generated_revision/artifact_payload.json</t>
        </is>
      </c>
      <c r="N174" s="75" t="inlineStr">
        <is>
          <t>https://fnet.bmfbovespa.com.br/fnet/publico/downloadDocumento?id=943032</t>
        </is>
      </c>
      <c r="O174" s="75" t="inlineStr">
        <is>
          <t>N/D</t>
        </is>
      </c>
    </row>
    <row r="175" ht="43.5" customHeight="1">
      <c r="A175" s="142" t="n">
        <v>43309233000183</v>
      </c>
      <c r="B175" s="75" t="inlineStr">
        <is>
          <t>43.309.233/0001-83</t>
        </is>
      </c>
      <c r="C175" s="75" t="inlineStr">
        <is>
          <t>natureza_indice</t>
        </is>
      </c>
      <c r="D175" s="75" t="inlineStr">
        <is>
          <t>suporte_total_pl</t>
        </is>
      </c>
      <c r="E175" s="75" t="inlineStr">
        <is>
          <t>suporte_total_pl</t>
        </is>
      </c>
      <c r="F175" s="75" t="inlineStr">
        <is>
          <t>payload_documental</t>
        </is>
      </c>
      <c r="G175" s="75" t="inlineStr">
        <is>
          <t>943032</t>
        </is>
      </c>
      <c r="H175" s="75" t="inlineStr">
        <is>
          <t>documento_curado</t>
        </is>
      </c>
      <c r="I175" s="75" t="inlineStr">
        <is>
          <t>2025-07-09</t>
        </is>
      </c>
      <c r="J175" s="75" t="inlineStr">
        <is>
          <t>30</t>
        </is>
      </c>
      <c r="K175" s="75" t="inlineStr">
        <is>
          <t>aceito_payload</t>
        </is>
      </c>
      <c r="L175" s="144" t="n">
        <v>1</v>
      </c>
      <c r="M175" s="75" t="inlineStr">
        <is>
          <t>data/industry_study/generated_revision/artifact_payload.json</t>
        </is>
      </c>
      <c r="N175" s="75" t="inlineStr">
        <is>
          <t>https://fnet.bmfbovespa.com.br/fnet/publico/downloadDocumento?id=943032</t>
        </is>
      </c>
      <c r="O175" s="75" t="inlineStr">
        <is>
          <t>N/D</t>
        </is>
      </c>
    </row>
    <row r="176" ht="43.5" customHeight="1">
      <c r="A176" s="142" t="n">
        <v>43309233000183</v>
      </c>
      <c r="B176" s="75" t="inlineStr">
        <is>
          <t>43.309.233/0001-83</t>
        </is>
      </c>
      <c r="C176" s="75" t="inlineStr">
        <is>
          <t>originador</t>
        </is>
      </c>
      <c r="D176" s="75" t="inlineStr">
        <is>
          <t>a Adama e/ou qualquer outro originador indicado pelo Gestor e aprovado pela Assembleia de Cotistas na forma do presente Regulamento</t>
        </is>
      </c>
      <c r="E176" s="75" t="inlineStr">
        <is>
          <t>N/D</t>
        </is>
      </c>
      <c r="F176" s="75" t="inlineStr">
        <is>
          <t>regulamento</t>
        </is>
      </c>
      <c r="G176" s="75" t="inlineStr">
        <is>
          <t>943032</t>
        </is>
      </c>
      <c r="H176" s="75" t="inlineStr">
        <is>
          <t>Regulamento</t>
        </is>
      </c>
      <c r="I176" s="75" t="inlineStr">
        <is>
          <t>09/07/2025</t>
        </is>
      </c>
      <c r="J176" s="75" t="inlineStr">
        <is>
          <t>27</t>
        </is>
      </c>
      <c r="K176" s="75" t="inlineStr">
        <is>
          <t>encontrado_explicito</t>
        </is>
      </c>
      <c r="L176" s="144" t="n">
        <v>0.95</v>
      </c>
      <c r="M176" s="75" t="inlineStr">
        <is>
          <t>.cache/carteira_101_document_scan/43309233000183/943032.json.gz</t>
        </is>
      </c>
      <c r="N176" s="75" t="inlineStr">
        <is>
          <t>https://fnet.bmfbovespa.com.br/fnet/publico/downloadDocumento?id=943032</t>
        </is>
      </c>
      <c r="O176" s="75" t="inlineStr">
        <is>
          <t>Lote Único e Indivisível. “Ordem de Alocação de Recursos” Tem seu significado atribuído no Anexo Descritivo. “Originador” Significa a Adama e/ou qualquer outro originador indicado pelo Gestor e aprovado pela Assembleia de Cotistas na forma do presente Regulamento. “Pagadores Especiais” Significam os Devedores, aprovados pelo Gestor, conforme o disposto no Acordo Operacional, q</t>
        </is>
      </c>
    </row>
    <row r="177" ht="43.5" customHeight="1">
      <c r="A177" s="142" t="n">
        <v>43309233000183</v>
      </c>
      <c r="B177" s="75" t="inlineStr">
        <is>
          <t>43.309.233/0001-83</t>
        </is>
      </c>
      <c r="C177" s="75" t="inlineStr">
        <is>
          <t>sacado_devedor</t>
        </is>
      </c>
      <c r="D177" s="75" t="inlineStr">
        <is>
          <t>(i) no caso das CPR -F, os produtores rurais, pessoas físicas e/ou jurídicas, cooperativas de produtores rurais e a associação de produtores rurais que tenha por objeto a produção, comercialização e a industrialização dos produtos rurais, indicados pelo Origina dor ou por um Distribuidor de Produtos, nos termos dos Contratos de Cessão, e que sejam, em ambos os casos, previamente aprovados pelo Gestor; (ii) no caso de CDCA, os Emissores que são os Distribuidores de Produtos, indicados pelo Origin</t>
        </is>
      </c>
      <c r="E177" s="75" t="inlineStr">
        <is>
          <t>N/D</t>
        </is>
      </c>
      <c r="F177" s="75" t="inlineStr">
        <is>
          <t>regulamento</t>
        </is>
      </c>
      <c r="G177" s="75" t="inlineStr">
        <is>
          <t>943032</t>
        </is>
      </c>
      <c r="H177" s="75" t="inlineStr">
        <is>
          <t>Regulamento</t>
        </is>
      </c>
      <c r="I177" s="75" t="inlineStr">
        <is>
          <t>09/07/2025</t>
        </is>
      </c>
      <c r="J177" s="75" t="inlineStr">
        <is>
          <t>17</t>
        </is>
      </c>
      <c r="K177" s="75" t="inlineStr">
        <is>
          <t>encontrado_explicito</t>
        </is>
      </c>
      <c r="L177" s="144" t="n">
        <v>0.95</v>
      </c>
      <c r="M177" s="75" t="inlineStr">
        <is>
          <t>.cache/carteira_101_document_scan/43309233000183/943032.json.gz</t>
        </is>
      </c>
      <c r="N177" s="75" t="inlineStr">
        <is>
          <t>https://fnet.bmfbovespa.com.br/fnet/publico/downloadDocumento?id=943032</t>
        </is>
      </c>
      <c r="O177" s="75" t="inlineStr">
        <is>
          <t>a serem incorridos periodicamente, incluindo previsão de custos a serem incorridos com Contratos de Derivativos. “Devedores” Significam (i) no caso das CPR -F, os produtores rurais, pessoas físicas e/ou jurídicas, cooperativas de produtores rurais e a associação de produtores rurais que tenha por objeto a produção, comercialização e a industrialização dos produtos rurais, indicados pelo Origina dor ou por um Distribuidor de Produtos, nos termos dos Contratos de Cessão, e que sejam, em ambos os casos, previamente aprovados pelo Gestor; (ii) no caso de CDCA, os Emissores que são os Distribuidores de Produtos, indicados pelo Originador e previamente aprovados pelo Gestor (iii) no JUR_SP - 52901704v2 - 13189004.529751 - 24 - caso dos Direitos Creditórios Adama, os produtores rurais, pessoas fí</t>
        </is>
      </c>
    </row>
    <row r="178" ht="43.5" customHeight="1">
      <c r="A178" s="142" t="n">
        <v>43309233000183</v>
      </c>
      <c r="B178" s="75" t="inlineStr">
        <is>
          <t>43.309.233/0001-83</t>
        </is>
      </c>
      <c r="C178" s="75" t="inlineStr">
        <is>
          <t>tipo_recebivel</t>
        </is>
      </c>
      <c r="D178" s="75" t="inlineStr">
        <is>
          <t>os CDCA, as CPR -F, os Direitos Creditórios Distribuidores e os Direitos Creditórios Adama, incluindo todos os valores devidos a título de contraprestação, reajustes monetários, indexações à moeda estrangeira (somente caso permitido na forma da legislação e regulamentação aplicáveis), juros, encargos e quaisquer multas ou penalidades de qualquer natureza devidos pelos Devedores, bem como todos e quaisquer direitos, eventuais garantias que sejam soli citadas pelo Gestor, nos termos previstos neste Regulamento, nos Contratos de Cessão, na CPR-F ou CDCA, conforme o caso, privilégios, preferências, prerrogativas e ações relacionados aos Direitos Creditórios, sem prejuízo dos procedimentos de cob</t>
        </is>
      </c>
      <c r="E178" s="75" t="inlineStr">
        <is>
          <t>N/D</t>
        </is>
      </c>
      <c r="F178" s="75" t="inlineStr">
        <is>
          <t>regulamento</t>
        </is>
      </c>
      <c r="G178" s="75" t="inlineStr">
        <is>
          <t>943032</t>
        </is>
      </c>
      <c r="H178" s="75" t="inlineStr">
        <is>
          <t>Regulamento</t>
        </is>
      </c>
      <c r="I178" s="75" t="inlineStr">
        <is>
          <t>09/07/2025</t>
        </is>
      </c>
      <c r="J178" s="75" t="inlineStr">
        <is>
          <t>19</t>
        </is>
      </c>
      <c r="K178" s="75" t="inlineStr">
        <is>
          <t>encontrado_explicito</t>
        </is>
      </c>
      <c r="L178" s="144" t="n">
        <v>0.92</v>
      </c>
      <c r="M178" s="75" t="inlineStr">
        <is>
          <t>.cache/carteira_101_document_scan/43309233000183/943032.json.gz</t>
        </is>
      </c>
      <c r="N178" s="75" t="inlineStr">
        <is>
          <t>https://fnet.bmfbovespa.com.br/fnet/publico/downloadDocumento?id=943032</t>
        </is>
      </c>
      <c r="O178" s="75" t="inlineStr">
        <is>
          <t>de Cessão e dos respectivos Termos de Cessão. JUR_SP - 52901704v2 - 13189004.529751 - 25 - “Direitos Creditórios” Significam os CDCA, as CPR -F, os Direitos Creditórios Distribuidores e os Direitos Creditórios Adama, incluindo todos os valores devidos a título de contraprestação, reajustes monetários, indexações à moeda estrangeira (somente caso permitido na forma da legislação e regulamentação aplicáveis), juros, encargos e quaisquer multas ou penalidades de qualquer natureza devidos pelos Devedores, bem como todos e quaisquer direitos, eventuais garantias que sejam soli citadas pelo Gestor, nos termos previstos neste Regulamento, nos Contratos de Cessão, na CPR-F ou CDCA, conforme o caso, privilégios, preferências, prerrogativas e ações relacionados aos Direitos Creditórios, sem prejuízo dos procedimentos de cobrança prev istos no Acordo Operacional Originador, na Política de Crédito e Originação, nos Contratos de Cessão e no Contrato de Formalização e Cobrança, conforme o caso. “Direitos Creditórios Adquiridos” Significa os Direitos Creditórios Elegíveis adquiridos pel</t>
        </is>
      </c>
    </row>
    <row r="179" ht="43.5" customHeight="1">
      <c r="A179" s="142" t="n">
        <v>43309233000183</v>
      </c>
      <c r="B179" s="75" t="inlineStr">
        <is>
          <t>43.309.233/0001-83</t>
        </is>
      </c>
      <c r="C179" s="75" t="inlineStr">
        <is>
          <t>tipo_recebivel</t>
        </is>
      </c>
      <c r="D179" s="75" t="inlineStr">
        <is>
          <t>Insumos Agrícolas - prazo Safra</t>
        </is>
      </c>
      <c r="E179" s="75" t="inlineStr">
        <is>
          <t>N/D</t>
        </is>
      </c>
      <c r="F179" s="75" t="inlineStr">
        <is>
          <t>planilha_manual</t>
        </is>
      </c>
      <c r="G179" s="75" t="inlineStr">
        <is>
          <t>IMG_8704.JPG</t>
        </is>
      </c>
      <c r="H179" s="75" t="inlineStr">
        <is>
          <t>payload</t>
        </is>
      </c>
      <c r="I179" s="75" t="inlineStr">
        <is>
          <t>2025-07-09</t>
        </is>
      </c>
      <c r="J179" s="75" t="inlineStr">
        <is>
          <t>30</t>
        </is>
      </c>
      <c r="K179" s="75" t="inlineStr">
        <is>
          <t>aceito_payload</t>
        </is>
      </c>
      <c r="L179" s="144" t="n">
        <v>1</v>
      </c>
      <c r="M179" s="75" t="inlineStr">
        <is>
          <t>data/industry_study/generated_revision/artifact_payload.json</t>
        </is>
      </c>
      <c r="N179" s="75" t="inlineStr">
        <is>
          <t>N/D</t>
        </is>
      </c>
      <c r="O179" s="75" t="inlineStr">
        <is>
          <t>OBS da foto: fomos 100% resgatados em out/25.</t>
        </is>
      </c>
    </row>
    <row r="180" ht="43.5" customHeight="1">
      <c r="A180" s="142" t="n">
        <v>43616659000180</v>
      </c>
      <c r="B180" s="75" t="inlineStr">
        <is>
          <t>43.616.659/0001-80</t>
        </is>
      </c>
      <c r="C180" s="75" t="inlineStr">
        <is>
          <t>cedente</t>
        </is>
      </c>
      <c r="D180" s="75" t="inlineStr">
        <is>
          <t>(i) a Yara, cujas cessões não contarão com coobrigação</t>
        </is>
      </c>
      <c r="E180" s="75" t="inlineStr">
        <is>
          <t>N/D</t>
        </is>
      </c>
      <c r="F180" s="75" t="inlineStr">
        <is>
          <t>regulamento</t>
        </is>
      </c>
      <c r="G180" s="75" t="inlineStr">
        <is>
          <t>400836</t>
        </is>
      </c>
      <c r="H180" s="75" t="inlineStr">
        <is>
          <t>Regulamento</t>
        </is>
      </c>
      <c r="I180" s="75" t="inlineStr">
        <is>
          <t>10/01/2023</t>
        </is>
      </c>
      <c r="J180" s="75" t="inlineStr">
        <is>
          <t>7</t>
        </is>
      </c>
      <c r="K180" s="75" t="inlineStr">
        <is>
          <t>encontrado_explicito</t>
        </is>
      </c>
      <c r="L180" s="144" t="n">
        <v>0.95</v>
      </c>
      <c r="M180" s="75" t="inlineStr">
        <is>
          <t>.cache/carteira_101_document_scan/43616659000180/400836.json.gz</t>
        </is>
      </c>
      <c r="N180" s="75" t="inlineStr">
        <is>
          <t>https://fnet.bmfbovespa.com.br/fnet/publico/downloadDocumento?id=400836</t>
        </is>
      </c>
      <c r="O180" s="75" t="inlineStr">
        <is>
          <t>aos CDCA quaisquer direitos creditórios previstos na Lei nº 11.076, de 30 de dezembro de 2004, conforme alterada. “Cedentes” Significa (i) a Yara, cujas cessões não contarão com coobrigação; e/ou (ii) quaisquer das Revendas Cedentes, estas últimas quando indicadas pelo Originador e aprovadas pelo Gestor,</t>
        </is>
      </c>
    </row>
    <row r="181" ht="43.5" customHeight="1">
      <c r="A181" s="142" t="n">
        <v>43616659000180</v>
      </c>
      <c r="B181" s="75" t="inlineStr">
        <is>
          <t>43.616.659/0001-80</t>
        </is>
      </c>
      <c r="C181" s="75" t="inlineStr">
        <is>
          <t>cedente</t>
        </is>
      </c>
      <c r="D181" s="75" t="inlineStr">
        <is>
          <t>Yara</t>
        </is>
      </c>
      <c r="E181" s="75" t="inlineStr">
        <is>
          <t>N/D</t>
        </is>
      </c>
      <c r="F181" s="75" t="inlineStr">
        <is>
          <t>planilha_manual</t>
        </is>
      </c>
      <c r="G181" s="75" t="inlineStr">
        <is>
          <t>IMG_8704.JPG</t>
        </is>
      </c>
      <c r="H181" s="75" t="inlineStr">
        <is>
          <t>payload</t>
        </is>
      </c>
      <c r="I181" s="75" t="inlineStr">
        <is>
          <t>2024-11-28</t>
        </is>
      </c>
      <c r="J181" s="75" t="inlineStr">
        <is>
          <t>7</t>
        </is>
      </c>
      <c r="K181" s="75" t="inlineStr">
        <is>
          <t>aceito_payload</t>
        </is>
      </c>
      <c r="L181" s="144" t="n">
        <v>1</v>
      </c>
      <c r="M181" s="75" t="inlineStr">
        <is>
          <t>data/industry_study/generated_revision/artifact_payload.json</t>
        </is>
      </c>
      <c r="N181" s="75" t="inlineStr">
        <is>
          <t>N/D</t>
        </is>
      </c>
      <c r="O181" s="75" t="inlineStr">
        <is>
          <t>OBS da foto: subordinação mínima próxima ao limiar (atual Baa3). Denominação cortada.</t>
        </is>
      </c>
    </row>
    <row r="182" ht="43.5" customHeight="1">
      <c r="A182" s="142" t="n">
        <v>43616659000180</v>
      </c>
      <c r="B182" s="75" t="inlineStr">
        <is>
          <t>43.616.659/0001-80</t>
        </is>
      </c>
      <c r="C182" s="75" t="inlineStr">
        <is>
          <t>minimo_estrutural_total</t>
        </is>
      </c>
      <c r="D182" s="75" t="inlineStr">
        <is>
          <t>25%</t>
        </is>
      </c>
      <c r="E182" s="75" t="inlineStr">
        <is>
          <t>suporte_total_pl</t>
        </is>
      </c>
      <c r="F182" s="75" t="inlineStr">
        <is>
          <t>payload_documental</t>
        </is>
      </c>
      <c r="G182" s="75" t="inlineStr">
        <is>
          <t>791844</t>
        </is>
      </c>
      <c r="H182" s="75" t="inlineStr">
        <is>
          <t>documento_curado</t>
        </is>
      </c>
      <c r="I182" s="75" t="inlineStr">
        <is>
          <t>2024-11-28</t>
        </is>
      </c>
      <c r="J182" s="75" t="inlineStr">
        <is>
          <t>7</t>
        </is>
      </c>
      <c r="K182" s="75" t="inlineStr">
        <is>
          <t>aceito_payload</t>
        </is>
      </c>
      <c r="L182" s="144" t="n">
        <v>1</v>
      </c>
      <c r="M182" s="75" t="inlineStr">
        <is>
          <t>data/industry_study/generated_revision/artifact_payload.json</t>
        </is>
      </c>
      <c r="N182" s="75" t="inlineStr">
        <is>
          <t>https://fnet.bmfbovespa.com.br/fnet/publico/downloadDocumento?id=791844</t>
        </is>
      </c>
      <c r="O182" s="75" t="inlineStr">
        <is>
          <t>N/D</t>
        </is>
      </c>
    </row>
    <row r="183" ht="43.5" customHeight="1">
      <c r="A183" s="142" t="n">
        <v>43616659000180</v>
      </c>
      <c r="B183" s="75" t="inlineStr">
        <is>
          <t>43.616.659/0001-80</t>
        </is>
      </c>
      <c r="C183" s="75" t="inlineStr">
        <is>
          <t>natureza_indice</t>
        </is>
      </c>
      <c r="D183" s="75" t="inlineStr">
        <is>
          <t>suporte_total_pl</t>
        </is>
      </c>
      <c r="E183" s="75" t="inlineStr">
        <is>
          <t>suporte_total_pl</t>
        </is>
      </c>
      <c r="F183" s="75" t="inlineStr">
        <is>
          <t>payload_documental</t>
        </is>
      </c>
      <c r="G183" s="75" t="inlineStr">
        <is>
          <t>791844</t>
        </is>
      </c>
      <c r="H183" s="75" t="inlineStr">
        <is>
          <t>documento_curado</t>
        </is>
      </c>
      <c r="I183" s="75" t="inlineStr">
        <is>
          <t>2024-11-28</t>
        </is>
      </c>
      <c r="J183" s="75" t="inlineStr">
        <is>
          <t>7</t>
        </is>
      </c>
      <c r="K183" s="75" t="inlineStr">
        <is>
          <t>aceito_payload</t>
        </is>
      </c>
      <c r="L183" s="144" t="n">
        <v>1</v>
      </c>
      <c r="M183" s="75" t="inlineStr">
        <is>
          <t>data/industry_study/generated_revision/artifact_payload.json</t>
        </is>
      </c>
      <c r="N183" s="75" t="inlineStr">
        <is>
          <t>https://fnet.bmfbovespa.com.br/fnet/publico/downloadDocumento?id=791844</t>
        </is>
      </c>
      <c r="O183" s="75" t="inlineStr">
        <is>
          <t>N/D</t>
        </is>
      </c>
    </row>
    <row r="184" ht="43.5" customHeight="1">
      <c r="A184" s="142" t="n">
        <v>43616659000180</v>
      </c>
      <c r="B184" s="75" t="inlineStr">
        <is>
          <t>43.616.659/0001-80</t>
        </is>
      </c>
      <c r="C184" s="75" t="inlineStr">
        <is>
          <t>originador</t>
        </is>
      </c>
      <c r="D184" s="75" t="inlineStr">
        <is>
          <t>Yara Fertilizantes/Yara</t>
        </is>
      </c>
      <c r="E184" s="75" t="inlineStr">
        <is>
          <t>rótulo explícito de participante v2</t>
        </is>
      </c>
      <c r="F184" s="75" t="inlineStr">
        <is>
          <t>rating_report</t>
        </is>
      </c>
      <c r="G184" s="75" t="inlineStr">
        <is>
          <t>791810</t>
        </is>
      </c>
      <c r="H184" s="75" t="inlineStr">
        <is>
          <t>Relatórios Relatório de Agência de Rating</t>
        </is>
      </c>
      <c r="I184" s="75" t="inlineStr">
        <is>
          <t>13/11/2024</t>
        </is>
      </c>
      <c r="J184" s="75" t="inlineStr">
        <is>
          <t>1</t>
        </is>
      </c>
      <c r="K184" s="75" t="inlineStr">
        <is>
          <t>encontrado_explicito</t>
        </is>
      </c>
      <c r="L184" s="144" t="n">
        <v>0.93</v>
      </c>
      <c r="M184" s="75" t="inlineStr">
        <is>
          <t>.cache/carteira_101_document_scan/43616659000180/791810.json.gz</t>
        </is>
      </c>
      <c r="N184" s="75" t="inlineStr">
        <is>
          <t>https://fnet.bmfbovespa.com.br/fnet/publico/downloadDocumento?id=791810</t>
        </is>
      </c>
      <c r="O184" s="75" t="inlineStr">
        <is>
          <t>ções de venda a prazo de insumos agrícolas pela Yara Brasil Fertilizantes S/A (Yara Fertilizantes/Yara/Originador) junto a produtores rurais, pessoas físicas e/ou jurídicas, revendas de insumos</t>
        </is>
      </c>
    </row>
    <row r="185" ht="43.5" customHeight="1">
      <c r="A185" s="142" t="n">
        <v>43616659000180</v>
      </c>
      <c r="B185" s="75" t="inlineStr">
        <is>
          <t>43.616.659/0001-80</t>
        </is>
      </c>
      <c r="C185" s="75" t="inlineStr">
        <is>
          <t>originador</t>
        </is>
      </c>
      <c r="D185" s="75" t="inlineStr">
        <is>
          <t>Yara Fertilizantes/Yara</t>
        </is>
      </c>
      <c r="E185" s="75" t="inlineStr">
        <is>
          <t>rótulo explícito de participante v2</t>
        </is>
      </c>
      <c r="F185" s="75" t="inlineStr">
        <is>
          <t>rating_report</t>
        </is>
      </c>
      <c r="G185" s="75" t="inlineStr">
        <is>
          <t>851085</t>
        </is>
      </c>
      <c r="H185" s="75" t="inlineStr">
        <is>
          <t>Relatórios Relatório de Agência de Rating</t>
        </is>
      </c>
      <c r="I185" s="75" t="inlineStr">
        <is>
          <t>27/02/2025</t>
        </is>
      </c>
      <c r="J185" s="75" t="inlineStr">
        <is>
          <t>1</t>
        </is>
      </c>
      <c r="K185" s="75" t="inlineStr">
        <is>
          <t>encontrado_explicito</t>
        </is>
      </c>
      <c r="L185" s="144" t="n">
        <v>0.93</v>
      </c>
      <c r="M185" s="75" t="inlineStr">
        <is>
          <t>.cache/carteira_101_document_scan/43616659000180/851085.json.gz</t>
        </is>
      </c>
      <c r="N185" s="75" t="inlineStr">
        <is>
          <t>https://fnet.bmfbovespa.com.br/fnet/publico/downloadDocumento?id=851085</t>
        </is>
      </c>
      <c r="O185" s="75" t="inlineStr">
        <is>
          <t>ções de venda a prazo de insumos agrícolas pela Yara Brasil Fertilizantes S/A (Yara Fertilizantes/Yara/Originador) junto a produtores rurais, pessoas físicas e/ou jurídicas, revendas de insumos</t>
        </is>
      </c>
    </row>
    <row r="186" ht="43.5" customHeight="1">
      <c r="A186" s="142" t="n">
        <v>43866348000179</v>
      </c>
      <c r="B186" s="75" t="inlineStr">
        <is>
          <t>43.866.348/0001-79</t>
        </is>
      </c>
      <c r="C186" s="75" t="inlineStr">
        <is>
          <t>cedente</t>
        </is>
      </c>
      <c r="D186" s="75" t="inlineStr">
        <is>
          <t>(i) a Sumitomo, cujas cessões não contarão com coobrigação</t>
        </is>
      </c>
      <c r="E186" s="75" t="inlineStr">
        <is>
          <t>N/D</t>
        </is>
      </c>
      <c r="F186" s="75" t="inlineStr">
        <is>
          <t>regulamento</t>
        </is>
      </c>
      <c r="G186" s="75" t="inlineStr">
        <is>
          <t>741138</t>
        </is>
      </c>
      <c r="H186" s="75" t="inlineStr">
        <is>
          <t>Atos de Deliberação do Administrador Instrumento Particular de Alteração do Regulamento</t>
        </is>
      </c>
      <c r="I186" s="75" t="inlineStr">
        <is>
          <t>17/09/2024</t>
        </is>
      </c>
      <c r="J186" s="75" t="inlineStr">
        <is>
          <t>61</t>
        </is>
      </c>
      <c r="K186" s="75" t="inlineStr">
        <is>
          <t>encontrado_explicito</t>
        </is>
      </c>
      <c r="L186" s="144" t="n">
        <v>0.95</v>
      </c>
      <c r="M186" s="75" t="inlineStr">
        <is>
          <t>.cache/carteira_101_document_scan/43866348000179/741138.json.gz</t>
        </is>
      </c>
      <c r="N186" s="75" t="inlineStr">
        <is>
          <t>https://fnet.bmfbovespa.com.br/fnet/publico/downloadDocumento?id=741138</t>
        </is>
      </c>
      <c r="O186" s="75" t="inlineStr">
        <is>
          <t>centralizado de ativos financeiros ou de valores mobiliários, nos termos da Lei nº 11.076, de 30 de dezembro de 2004. “Cedentes” Significa (i) a Sumitomo, cujas cessões não contarão com coobrigação; e/ou (ii) quaisquer dos Distribuidores Cedentes, estes últimos quando indicados pelo Originador e aprovados pelo Gesto</t>
        </is>
      </c>
    </row>
    <row r="187" ht="43.5" customHeight="1">
      <c r="A187" s="142" t="n">
        <v>43866348000179</v>
      </c>
      <c r="B187" s="75" t="inlineStr">
        <is>
          <t>43.866.348/0001-79</t>
        </is>
      </c>
      <c r="C187" s="75" t="inlineStr">
        <is>
          <t>cedente</t>
        </is>
      </c>
      <c r="D187" s="75" t="inlineStr">
        <is>
          <t>(i) a Sumitomo, cujas cessões não contarão com coobrigação</t>
        </is>
      </c>
      <c r="E187" s="75" t="inlineStr">
        <is>
          <t>N/D</t>
        </is>
      </c>
      <c r="F187" s="75" t="inlineStr">
        <is>
          <t>regulamento</t>
        </is>
      </c>
      <c r="G187" s="75" t="inlineStr">
        <is>
          <t>741139</t>
        </is>
      </c>
      <c r="H187" s="75" t="inlineStr">
        <is>
          <t>Regulamento</t>
        </is>
      </c>
      <c r="I187" s="75" t="inlineStr">
        <is>
          <t>17/09/2024</t>
        </is>
      </c>
      <c r="J187" s="75" t="inlineStr">
        <is>
          <t>59</t>
        </is>
      </c>
      <c r="K187" s="75" t="inlineStr">
        <is>
          <t>encontrado_explicito</t>
        </is>
      </c>
      <c r="L187" s="144" t="n">
        <v>0.95</v>
      </c>
      <c r="M187" s="75" t="inlineStr">
        <is>
          <t>.cache/carteira_101_document_scan/43866348000179/741139.json.gz</t>
        </is>
      </c>
      <c r="N187" s="75" t="inlineStr">
        <is>
          <t>https://fnet.bmfbovespa.com.br/fnet/publico/downloadDocumento?id=741139</t>
        </is>
      </c>
      <c r="O187" s="75" t="inlineStr">
        <is>
          <t>centralizado de ativos financeiros ou de valores mobiliários, nos termos da Lei nº 11.076, de 30 de dezembro de 2004. “Cedentes” Significa (i) a Sumitomo, cujas cessões não contarão com coobrigação; e/ou (ii) quaisquer dos Distribuidores Cedentes, estes últimos quando indicados pelo Originador e aprovados pelo Gesto</t>
        </is>
      </c>
    </row>
    <row r="188" ht="43.5" customHeight="1">
      <c r="A188" s="142" t="n">
        <v>43866348000179</v>
      </c>
      <c r="B188" s="75" t="inlineStr">
        <is>
          <t>43.866.348/0001-79</t>
        </is>
      </c>
      <c r="C188" s="75" t="inlineStr">
        <is>
          <t>cedente</t>
        </is>
      </c>
      <c r="D188" s="75" t="inlineStr">
        <is>
          <t>SUMITOMO</t>
        </is>
      </c>
      <c r="E188" s="75" t="inlineStr">
        <is>
          <t>N/D</t>
        </is>
      </c>
      <c r="F188" s="75" t="inlineStr">
        <is>
          <t>planilha_manual</t>
        </is>
      </c>
      <c r="G188" s="75" t="inlineStr">
        <is>
          <t>IMG_8706.JPG</t>
        </is>
      </c>
      <c r="H188" s="75" t="inlineStr">
        <is>
          <t>payload</t>
        </is>
      </c>
      <c r="I188" s="75" t="inlineStr">
        <is>
          <t>2024-09-17</t>
        </is>
      </c>
      <c r="J188" s="75" t="inlineStr">
        <is>
          <t>81</t>
        </is>
      </c>
      <c r="K188" s="75" t="inlineStr">
        <is>
          <t>aceito_payload</t>
        </is>
      </c>
      <c r="L188" s="144" t="n">
        <v>1</v>
      </c>
      <c r="M188" s="75" t="inlineStr">
        <is>
          <t>data/industry_study/generated_revision/artifact_payload.json</t>
        </is>
      </c>
      <c r="N188" s="75" t="inlineStr">
        <is>
          <t>N/D</t>
        </is>
      </c>
      <c r="O188" s="75" t="inlineStr">
        <is>
          <t>OBS literal: FIDC Sumitomo. Financia revendas e produtores.</t>
        </is>
      </c>
    </row>
    <row r="189" ht="43.5" customHeight="1">
      <c r="A189" s="142" t="n">
        <v>43866348000179</v>
      </c>
      <c r="B189" s="75" t="inlineStr">
        <is>
          <t>43.866.348/0001-79</t>
        </is>
      </c>
      <c r="C189" s="75" t="inlineStr">
        <is>
          <t>minimo_junior</t>
        </is>
      </c>
      <c r="D189" s="75" t="inlineStr">
        <is>
          <t>5%</t>
        </is>
      </c>
      <c r="E189" s="75" t="inlineStr">
        <is>
          <t>junior_pl</t>
        </is>
      </c>
      <c r="F189" s="75" t="inlineStr">
        <is>
          <t>payload_documental</t>
        </is>
      </c>
      <c r="G189" s="75" t="inlineStr">
        <is>
          <t>741139</t>
        </is>
      </c>
      <c r="H189" s="75" t="inlineStr">
        <is>
          <t>documento_curado</t>
        </is>
      </c>
      <c r="I189" s="75" t="inlineStr">
        <is>
          <t>2024-09-17</t>
        </is>
      </c>
      <c r="J189" s="75" t="inlineStr">
        <is>
          <t>81</t>
        </is>
      </c>
      <c r="K189" s="75" t="inlineStr">
        <is>
          <t>aceito_payload</t>
        </is>
      </c>
      <c r="L189" s="144" t="n">
        <v>1</v>
      </c>
      <c r="M189" s="75" t="inlineStr">
        <is>
          <t>data/industry_study/generated_revision/artifact_payload.json</t>
        </is>
      </c>
      <c r="N189" s="75" t="inlineStr">
        <is>
          <t>https://fnet.bmfbovespa.com.br/fnet/publico/downloadDocumento?id=741139</t>
        </is>
      </c>
      <c r="O189" s="75" t="inlineStr">
        <is>
          <t>Cotas subordinadas júnior / total das cotas, mínimo de 5,0%, mantido pelo valor atualizado.</t>
        </is>
      </c>
    </row>
    <row r="190" ht="43.5" customHeight="1">
      <c r="A190" s="142" t="n">
        <v>43866348000179</v>
      </c>
      <c r="B190" s="75" t="inlineStr">
        <is>
          <t>43.866.348/0001-79</t>
        </is>
      </c>
      <c r="C190" s="75" t="inlineStr">
        <is>
          <t>natureza_indice</t>
        </is>
      </c>
      <c r="D190" s="75" t="inlineStr">
        <is>
          <t>junior_pl</t>
        </is>
      </c>
      <c r="E190" s="75" t="inlineStr">
        <is>
          <t>junior_pl</t>
        </is>
      </c>
      <c r="F190" s="75" t="inlineStr">
        <is>
          <t>payload_documental</t>
        </is>
      </c>
      <c r="G190" s="75" t="inlineStr">
        <is>
          <t>741139</t>
        </is>
      </c>
      <c r="H190" s="75" t="inlineStr">
        <is>
          <t>documento_curado</t>
        </is>
      </c>
      <c r="I190" s="75" t="inlineStr">
        <is>
          <t>2024-09-17</t>
        </is>
      </c>
      <c r="J190" s="75" t="inlineStr">
        <is>
          <t>81</t>
        </is>
      </c>
      <c r="K190" s="75" t="inlineStr">
        <is>
          <t>aceito_payload</t>
        </is>
      </c>
      <c r="L190" s="144" t="n">
        <v>1</v>
      </c>
      <c r="M190" s="75" t="inlineStr">
        <is>
          <t>data/industry_study/generated_revision/artifact_payload.json</t>
        </is>
      </c>
      <c r="N190" s="75" t="inlineStr">
        <is>
          <t>https://fnet.bmfbovespa.com.br/fnet/publico/downloadDocumento?id=741139</t>
        </is>
      </c>
      <c r="O190" s="75" t="inlineStr">
        <is>
          <t>Cotas subordinadas júnior / total das cotas, mínimo de 5,0%, mantido pelo valor atualizado.</t>
        </is>
      </c>
    </row>
    <row r="191" ht="43.5" customHeight="1">
      <c r="A191" s="142" t="n">
        <v>43866348000179</v>
      </c>
      <c r="B191" s="75" t="inlineStr">
        <is>
          <t>43.866.348/0001-79</t>
        </is>
      </c>
      <c r="C191" s="75" t="inlineStr">
        <is>
          <t>originador</t>
        </is>
      </c>
      <c r="D191" s="75" t="inlineStr">
        <is>
          <t>a Sumitomo</t>
        </is>
      </c>
      <c r="E191" s="75" t="inlineStr">
        <is>
          <t>N/D</t>
        </is>
      </c>
      <c r="F191" s="75" t="inlineStr">
        <is>
          <t>regulamento</t>
        </is>
      </c>
      <c r="G191" s="75" t="inlineStr">
        <is>
          <t>741138</t>
        </is>
      </c>
      <c r="H191" s="75" t="inlineStr">
        <is>
          <t>Atos de Deliberação do Administrador Instrumento Particular de Alteração do Regulamento</t>
        </is>
      </c>
      <c r="I191" s="75" t="inlineStr">
        <is>
          <t>17/09/2024</t>
        </is>
      </c>
      <c r="J191" s="75" t="inlineStr">
        <is>
          <t>79</t>
        </is>
      </c>
      <c r="K191" s="75" t="inlineStr">
        <is>
          <t>encontrado_explicito</t>
        </is>
      </c>
      <c r="L191" s="144" t="n">
        <v>0.95</v>
      </c>
      <c r="M191" s="75" t="inlineStr">
        <is>
          <t>.cache/carteira_101_document_scan/43866348000179/741138.json.gz</t>
        </is>
      </c>
      <c r="N191" s="75" t="inlineStr">
        <is>
          <t>https://fnet.bmfbovespa.com.br/fnet/publico/downloadDocumento?id=741138</t>
        </is>
      </c>
      <c r="O191" s="75" t="inlineStr">
        <is>
          <t>a emissão da nota promissória. “Ordem de Alocação de Recursos” Tem seu significado atribuído no item 10.21 abaixo. “Originador” Significa a Sumitomo. “Parâmetros Mínimos” Significam as informações mínimas referentes ao cronograma de pagamento de Cotas, a serem inclu</t>
        </is>
      </c>
    </row>
    <row r="192" ht="43.5" customHeight="1">
      <c r="A192" s="142" t="n">
        <v>43866348000179</v>
      </c>
      <c r="B192" s="75" t="inlineStr">
        <is>
          <t>43.866.348/0001-79</t>
        </is>
      </c>
      <c r="C192" s="75" t="inlineStr">
        <is>
          <t>originador</t>
        </is>
      </c>
      <c r="D192" s="75" t="inlineStr">
        <is>
          <t>a Sumitomo</t>
        </is>
      </c>
      <c r="E192" s="75" t="inlineStr">
        <is>
          <t>N/D</t>
        </is>
      </c>
      <c r="F192" s="75" t="inlineStr">
        <is>
          <t>regulamento</t>
        </is>
      </c>
      <c r="G192" s="75" t="inlineStr">
        <is>
          <t>741139</t>
        </is>
      </c>
      <c r="H192" s="75" t="inlineStr">
        <is>
          <t>Regulamento</t>
        </is>
      </c>
      <c r="I192" s="75" t="inlineStr">
        <is>
          <t>17/09/2024</t>
        </is>
      </c>
      <c r="J192" s="75" t="inlineStr">
        <is>
          <t>77</t>
        </is>
      </c>
      <c r="K192" s="75" t="inlineStr">
        <is>
          <t>encontrado_explicito</t>
        </is>
      </c>
      <c r="L192" s="144" t="n">
        <v>0.95</v>
      </c>
      <c r="M192" s="75" t="inlineStr">
        <is>
          <t>.cache/carteira_101_document_scan/43866348000179/741139.json.gz</t>
        </is>
      </c>
      <c r="N192" s="75" t="inlineStr">
        <is>
          <t>https://fnet.bmfbovespa.com.br/fnet/publico/downloadDocumento?id=741139</t>
        </is>
      </c>
      <c r="O192" s="75" t="inlineStr">
        <is>
          <t>a emissão da nota promissória. “Ordem de Alocação de Recursos” Tem seu significado atribuído no item 10.21 abaixo. “Originador” Significa a Sumitomo. “Parâmetros Mínimos” Significam as informações mínimas referentes ao cronograma de pagamento de Cotas, a serem inclu</t>
        </is>
      </c>
    </row>
    <row r="193" ht="43.5" customHeight="1">
      <c r="A193" s="142" t="n">
        <v>43866348000179</v>
      </c>
      <c r="B193" s="75" t="inlineStr">
        <is>
          <t>43.866.348/0001-79</t>
        </is>
      </c>
      <c r="C193" s="75" t="inlineStr">
        <is>
          <t>tipo_recebivel</t>
        </is>
      </c>
      <c r="D193" s="75" t="inlineStr">
        <is>
          <t>os recebíveis provenientes de (i) Notas Promissórias a serem emitidas por Distribuidores de Insumos; (ii) CPR-F a serem emitidas por Produtores, Cooperativas ou, ainda, Distribuidores, nos termos da legislação aplicável; (iii) CDCA a serem emitidos por Distribuidores</t>
        </is>
      </c>
      <c r="E193" s="75" t="inlineStr">
        <is>
          <t>N/D</t>
        </is>
      </c>
      <c r="F193" s="75" t="inlineStr">
        <is>
          <t>regulamento</t>
        </is>
      </c>
      <c r="G193" s="75" t="inlineStr">
        <is>
          <t>741138</t>
        </is>
      </c>
      <c r="H193" s="75" t="inlineStr">
        <is>
          <t>Atos de Deliberação do Administrador Instrumento Particular de Alteração do Regulamento</t>
        </is>
      </c>
      <c r="I193" s="75" t="inlineStr">
        <is>
          <t>17/09/2024</t>
        </is>
      </c>
      <c r="J193" s="75" t="inlineStr">
        <is>
          <t>70</t>
        </is>
      </c>
      <c r="K193" s="75" t="inlineStr">
        <is>
          <t>encontrado_explicito</t>
        </is>
      </c>
      <c r="L193" s="144" t="n">
        <v>0.92</v>
      </c>
      <c r="M193" s="75" t="inlineStr">
        <is>
          <t>.cache/carteira_101_document_scan/43866348000179/741138.json.gz</t>
        </is>
      </c>
      <c r="N193" s="75" t="inlineStr">
        <is>
          <t>https://fnet.bmfbovespa.com.br/fnet/publico/downloadDocumento?id=741138</t>
        </is>
      </c>
      <c r="O193" s="75" t="inlineStr">
        <is>
          <t>s que foram pagos na aquisição dos Contratos de Derivativos descritos no Anexo II do Regulamento. “Direitos Creditórios” Significam os recebíveis provenientes de (i) Notas Promissórias a serem emitidas por Distribuidores de Insumos; (ii) CPR-F a serem emitidas por Produtores, Cooperativas ou, ainda, Distribuidores, nos termos da legislação aplicável; (iii) CDCA a serem emitidos por Distribuidores; e (iv) os Direitos Creditórios Distribuidores e os Direitos Creditórios Sumitomo, cedidos nos term</t>
        </is>
      </c>
    </row>
    <row r="194" ht="43.5" customHeight="1">
      <c r="A194" s="142" t="n">
        <v>43866348000179</v>
      </c>
      <c r="B194" s="75" t="inlineStr">
        <is>
          <t>43.866.348/0001-79</t>
        </is>
      </c>
      <c r="C194" s="75" t="inlineStr">
        <is>
          <t>tipo_recebivel</t>
        </is>
      </c>
      <c r="D194" s="75" t="inlineStr">
        <is>
          <t>os recebíveis provenientes de (i) Notas Promissórias a serem emitidas por Distribuidores de Insumos; (ii) CPR-F a serem emitidas por Produtores, Cooperativas ou, ainda, Distribuidores, nos termos da legislação aplicável; (iii) CDCA a serem emitidos por Distribuidores</t>
        </is>
      </c>
      <c r="E194" s="75" t="inlineStr">
        <is>
          <t>N/D</t>
        </is>
      </c>
      <c r="F194" s="75" t="inlineStr">
        <is>
          <t>regulamento</t>
        </is>
      </c>
      <c r="G194" s="75" t="inlineStr">
        <is>
          <t>741139</t>
        </is>
      </c>
      <c r="H194" s="75" t="inlineStr">
        <is>
          <t>Regulamento</t>
        </is>
      </c>
      <c r="I194" s="75" t="inlineStr">
        <is>
          <t>17/09/2024</t>
        </is>
      </c>
      <c r="J194" s="75" t="inlineStr">
        <is>
          <t>68</t>
        </is>
      </c>
      <c r="K194" s="75" t="inlineStr">
        <is>
          <t>encontrado_explicito</t>
        </is>
      </c>
      <c r="L194" s="144" t="n">
        <v>0.92</v>
      </c>
      <c r="M194" s="75" t="inlineStr">
        <is>
          <t>.cache/carteira_101_document_scan/43866348000179/741139.json.gz</t>
        </is>
      </c>
      <c r="N194" s="75" t="inlineStr">
        <is>
          <t>https://fnet.bmfbovespa.com.br/fnet/publico/downloadDocumento?id=741139</t>
        </is>
      </c>
      <c r="O194" s="75" t="inlineStr">
        <is>
          <t>s que foram pagos na aquisição dos Contratos de Derivativos descritos no Anexo II do Regulamento. “Direitos Creditórios” Significam os recebíveis provenientes de (i) Notas Promissórias a serem emitidas por Distribuidores de Insumos; (ii) CPR-F a serem emitidas por Produtores, Cooperativas ou, ainda, Distribuidores, nos termos da legislação aplicável; (iii) CDCA a serem emitidos por Distribuidores; e (iv) os Direitos Creditórios Distribuidores e os Direitos Creditórios Sumitomo, cedidos nos term</t>
        </is>
      </c>
    </row>
    <row r="195" ht="43.5" customHeight="1">
      <c r="A195" s="142" t="n">
        <v>43866348000179</v>
      </c>
      <c r="B195" s="75" t="inlineStr">
        <is>
          <t>43.866.348/0001-79</t>
        </is>
      </c>
      <c r="C195" s="75" t="inlineStr">
        <is>
          <t>tipo_recebivel</t>
        </is>
      </c>
      <c r="D195" s="75" t="inlineStr">
        <is>
          <t>financiamento de revendas e produtores</t>
        </is>
      </c>
      <c r="E195" s="75" t="inlineStr">
        <is>
          <t>N/D</t>
        </is>
      </c>
      <c r="F195" s="75" t="inlineStr">
        <is>
          <t>planilha_manual</t>
        </is>
      </c>
      <c r="G195" s="75" t="inlineStr">
        <is>
          <t>IMG_8706.JPG</t>
        </is>
      </c>
      <c r="H195" s="75" t="inlineStr">
        <is>
          <t>payload</t>
        </is>
      </c>
      <c r="I195" s="75" t="inlineStr">
        <is>
          <t>2024-09-17</t>
        </is>
      </c>
      <c r="J195" s="75" t="inlineStr">
        <is>
          <t>81</t>
        </is>
      </c>
      <c r="K195" s="75" t="inlineStr">
        <is>
          <t>aceito_payload</t>
        </is>
      </c>
      <c r="L195" s="144" t="n">
        <v>1</v>
      </c>
      <c r="M195" s="75" t="inlineStr">
        <is>
          <t>data/industry_study/generated_revision/artifact_payload.json</t>
        </is>
      </c>
      <c r="N195" s="75" t="inlineStr">
        <is>
          <t>N/D</t>
        </is>
      </c>
      <c r="O195" s="75" t="inlineStr">
        <is>
          <t>OBS literal: FIDC Sumitomo. Financia revendas e produtores.</t>
        </is>
      </c>
    </row>
    <row r="196" ht="43.5" customHeight="1">
      <c r="A196" s="142" t="n">
        <v>44124465000120</v>
      </c>
      <c r="B196" s="75" t="inlineStr">
        <is>
          <t>44.124.465/0001-20</t>
        </is>
      </c>
      <c r="C196" s="75" t="inlineStr">
        <is>
          <t>cedente</t>
        </is>
      </c>
      <c r="D196" s="75" t="inlineStr">
        <is>
          <t>ACQIO</t>
        </is>
      </c>
      <c r="E196" s="75" t="inlineStr">
        <is>
          <t>rótulo explícito de participante v2</t>
        </is>
      </c>
      <c r="F196" s="75" t="inlineStr">
        <is>
          <t>rating_report</t>
        </is>
      </c>
      <c r="G196" s="75" t="inlineStr">
        <is>
          <t>1005621</t>
        </is>
      </c>
      <c r="H196" s="75" t="inlineStr">
        <is>
          <t>Relatórios Relatório de Agência de Rating</t>
        </is>
      </c>
      <c r="I196" s="75" t="inlineStr">
        <is>
          <t>03/10/2025</t>
        </is>
      </c>
      <c r="J196" s="75" t="inlineStr">
        <is>
          <t>2</t>
        </is>
      </c>
      <c r="K196" s="75" t="inlineStr">
        <is>
          <t>encontrado_explicito</t>
        </is>
      </c>
      <c r="L196" s="144" t="n">
        <v>0.93</v>
      </c>
      <c r="M196" s="75" t="inlineStr">
        <is>
          <t>.cache/carteira_101_document_scan/44124465000120/1005621.json.gz</t>
        </is>
      </c>
      <c r="N196" s="75" t="inlineStr">
        <is>
          <t>https://fnet.bmfbovespa.com.br/fnet/publico/downloadDocumento?id=1005621</t>
        </is>
      </c>
      <c r="O196" s="75" t="inlineStr">
        <is>
          <t>temente, Direitos Creditórios que, de tempos em tempos, são detidos pela ACQIO (ACQIO / Cedente / Originadora / Agente de Cobrança Extraordinária), fintech de produtos e serviços financeiros, em face de bancos e de adquirente</t>
        </is>
      </c>
    </row>
    <row r="197" ht="43.5" customHeight="1">
      <c r="A197" s="142" t="n">
        <v>44124465000120</v>
      </c>
      <c r="B197" s="75" t="inlineStr">
        <is>
          <t>44.124.465/0001-20</t>
        </is>
      </c>
      <c r="C197" s="75" t="inlineStr">
        <is>
          <t>cedente</t>
        </is>
      </c>
      <c r="D197" s="75" t="inlineStr">
        <is>
          <t>ACQIO</t>
        </is>
      </c>
      <c r="E197" s="75" t="inlineStr">
        <is>
          <t>rótulo explícito de participante v2</t>
        </is>
      </c>
      <c r="F197" s="75" t="inlineStr">
        <is>
          <t>rating_report</t>
        </is>
      </c>
      <c r="G197" s="75" t="inlineStr">
        <is>
          <t>1048506</t>
        </is>
      </c>
      <c r="H197" s="75" t="inlineStr">
        <is>
          <t>Relatórios Relatório de Agência de Rating</t>
        </is>
      </c>
      <c r="I197" s="75" t="inlineStr">
        <is>
          <t>30/09/2025</t>
        </is>
      </c>
      <c r="J197" s="75" t="inlineStr">
        <is>
          <t>2</t>
        </is>
      </c>
      <c r="K197" s="75" t="inlineStr">
        <is>
          <t>encontrado_explicito</t>
        </is>
      </c>
      <c r="L197" s="144" t="n">
        <v>0.93</v>
      </c>
      <c r="M197" s="75" t="inlineStr">
        <is>
          <t>.cache/carteira_101_document_scan/44124465000120/1048506.json.gz</t>
        </is>
      </c>
      <c r="N197" s="75" t="inlineStr">
        <is>
          <t>https://fnet.bmfbovespa.com.br/fnet/publico/downloadDocumento?id=1048506</t>
        </is>
      </c>
      <c r="O197" s="75" t="inlineStr">
        <is>
          <t>temente, Direitos Creditórios que, de tempos em tempos, são detidos pela ACQIO (ACQIO / Cedente / Originadora / Agente de Cobrança Extraordinária), fintech de produtos e serviços financeiros, em face de bancos e de adquirente</t>
        </is>
      </c>
    </row>
    <row r="198" ht="43.5" customHeight="1">
      <c r="A198" s="142" t="n">
        <v>44124465000120</v>
      </c>
      <c r="B198" s="75" t="inlineStr">
        <is>
          <t>44.124.465/0001-20</t>
        </is>
      </c>
      <c r="C198" s="75" t="inlineStr">
        <is>
          <t>cedente</t>
        </is>
      </c>
      <c r="D198" s="75" t="inlineStr">
        <is>
          <t>a Acqio.</t>
        </is>
      </c>
      <c r="E198" s="75" t="inlineStr">
        <is>
          <t>N/D</t>
        </is>
      </c>
      <c r="F198" s="75" t="inlineStr">
        <is>
          <t>regulamento</t>
        </is>
      </c>
      <c r="G198" s="75" t="inlineStr">
        <is>
          <t>951239</t>
        </is>
      </c>
      <c r="H198" s="75" t="inlineStr">
        <is>
          <t>Regulamento</t>
        </is>
      </c>
      <c r="I198" s="75" t="inlineStr">
        <is>
          <t>08/07/2025</t>
        </is>
      </c>
      <c r="J198" s="75" t="inlineStr">
        <is>
          <t>78</t>
        </is>
      </c>
      <c r="K198" s="75" t="inlineStr">
        <is>
          <t>encontrado_explicito</t>
        </is>
      </c>
      <c r="L198" s="144" t="n">
        <v>0.95</v>
      </c>
      <c r="M198" s="75" t="inlineStr">
        <is>
          <t>.cache/carteira_101_document_scan/44124465000120/951239.json.gz</t>
        </is>
      </c>
      <c r="N198" s="75" t="inlineStr">
        <is>
          <t>https://fnet.bmfbovespa.com.br/fnet/publico/downloadDocumento?id=951239</t>
        </is>
      </c>
      <c r="O198" s="75" t="inlineStr">
        <is>
          <t>dido de um Usuário-Final, que poderá resultar no estorno do(s) crédito(s) correspondente(s) efetuado(s) à Cedente. “Cedente” Significa a Acqio. “Chargeback” Significa a contestação de Transação(ões) de Pagamento, seja no todo ou em parte, por parte de Usuários</t>
        </is>
      </c>
    </row>
    <row r="199" ht="43.5" customHeight="1">
      <c r="A199" s="142" t="n">
        <v>44124465000120</v>
      </c>
      <c r="B199" s="75" t="inlineStr">
        <is>
          <t>44.124.465/0001-20</t>
        </is>
      </c>
      <c r="C199" s="75" t="inlineStr">
        <is>
          <t>cedente</t>
        </is>
      </c>
      <c r="D199" s="75" t="inlineStr">
        <is>
          <t>a Acqio.</t>
        </is>
      </c>
      <c r="E199" s="75" t="inlineStr">
        <is>
          <t>N/D</t>
        </is>
      </c>
      <c r="F199" s="75" t="inlineStr">
        <is>
          <t>regulamento</t>
        </is>
      </c>
      <c r="G199" s="75" t="inlineStr">
        <is>
          <t>737326</t>
        </is>
      </c>
      <c r="H199" s="75" t="inlineStr">
        <is>
          <t>Regulamento</t>
        </is>
      </c>
      <c r="I199" s="75" t="inlineStr">
        <is>
          <t>09/09/2024</t>
        </is>
      </c>
      <c r="J199" s="75" t="inlineStr">
        <is>
          <t>79</t>
        </is>
      </c>
      <c r="K199" s="75" t="inlineStr">
        <is>
          <t>encontrado_explicito</t>
        </is>
      </c>
      <c r="L199" s="144" t="n">
        <v>0.95</v>
      </c>
      <c r="M199" s="75" t="inlineStr">
        <is>
          <t>.cache/carteira_101_document_scan/44124465000120/737326.json.gz</t>
        </is>
      </c>
      <c r="N199" s="75" t="inlineStr">
        <is>
          <t>https://fnet.bmfbovespa.com.br/fnet/publico/downloadDocumento?id=737326</t>
        </is>
      </c>
      <c r="O199" s="75" t="inlineStr">
        <is>
          <t>dido de um Usuário-Final, que poderá resultar no estorno do(s) crédito(s) correspondente(s) efetuado(s) à Cedente. “Cedente” Significa a Acqio. “Chargeback” Significa a contestação de Transação(ões) de Pagamento, seja no todo ou em parte, por parte de Usuários</t>
        </is>
      </c>
    </row>
    <row r="200" ht="43.5" customHeight="1">
      <c r="A200" s="142" t="n">
        <v>44124465000120</v>
      </c>
      <c r="B200" s="75" t="inlineStr">
        <is>
          <t>44.124.465/0001-20</t>
        </is>
      </c>
      <c r="C200" s="75" t="inlineStr">
        <is>
          <t>cedente</t>
        </is>
      </c>
      <c r="D200" s="75" t="inlineStr">
        <is>
          <t>Ação</t>
        </is>
      </c>
      <c r="E200" s="75" t="inlineStr">
        <is>
          <t>N/D</t>
        </is>
      </c>
      <c r="F200" s="75" t="inlineStr">
        <is>
          <t>planilha_manual</t>
        </is>
      </c>
      <c r="G200" s="75" t="inlineStr">
        <is>
          <t>IMG_8705.JPG</t>
        </is>
      </c>
      <c r="H200" s="75" t="inlineStr">
        <is>
          <t>payload</t>
        </is>
      </c>
      <c r="I200" s="75" t="inlineStr">
        <is>
          <t>2025-07-08</t>
        </is>
      </c>
      <c r="J200" s="75" t="inlineStr">
        <is>
          <t>85</t>
        </is>
      </c>
      <c r="K200" s="75" t="inlineStr">
        <is>
          <t>aceito_payload</t>
        </is>
      </c>
      <c r="L200" s="144" t="n">
        <v>1</v>
      </c>
      <c r="M200" s="75" t="inlineStr">
        <is>
          <t>data/industry_study/generated_revision/artifact_payload.json</t>
        </is>
      </c>
      <c r="N200" s="75" t="inlineStr">
        <is>
          <t>N/D</t>
        </is>
      </c>
      <c r="O200" s="75" t="inlineStr">
        <is>
          <t>OBS da foto: lista de concentração pré-aprovada.</t>
        </is>
      </c>
    </row>
    <row r="201" ht="43.5" customHeight="1">
      <c r="A201" s="142" t="n">
        <v>44124465000120</v>
      </c>
      <c r="B201" s="75" t="inlineStr">
        <is>
          <t>44.124.465/0001-20</t>
        </is>
      </c>
      <c r="C201" s="75" t="inlineStr">
        <is>
          <t>minimo_estrutural_total</t>
        </is>
      </c>
      <c r="D201" s="75" t="inlineStr">
        <is>
          <t>22.15%</t>
        </is>
      </c>
      <c r="E201" s="75" t="inlineStr">
        <is>
          <t>suporte_total_pl</t>
        </is>
      </c>
      <c r="F201" s="75" t="inlineStr">
        <is>
          <t>rating_report</t>
        </is>
      </c>
      <c r="G201" s="75" t="inlineStr">
        <is>
          <t>1005621</t>
        </is>
      </c>
      <c r="H201" s="75" t="inlineStr">
        <is>
          <t>Relatórios Relatório de Agência de Rating</t>
        </is>
      </c>
      <c r="I201" s="75" t="inlineStr">
        <is>
          <t>03/10/2025</t>
        </is>
      </c>
      <c r="J201" s="75" t="inlineStr">
        <is>
          <t>1</t>
        </is>
      </c>
      <c r="K201" s="75" t="inlineStr">
        <is>
          <t>encontrado_explicito</t>
        </is>
      </c>
      <c r="L201" s="144" t="n">
        <v>0.95</v>
      </c>
      <c r="M201" s="75" t="inlineStr">
        <is>
          <t>.cache/carteira_101_document_scan/44124465000120/1005621.json.gz</t>
        </is>
      </c>
      <c r="N201" s="75" t="inlineStr">
        <is>
          <t>https://fnet.bmfbovespa.com.br/fnet/publico/downloadDocumento?id=1005621</t>
        </is>
      </c>
      <c r="O201" s="75" t="inlineStr">
        <is>
          <t>ilidade ou coobrigação de Devedores integrantes do mesmo grupo econômico; Subordinação: O Índice de Subordinação será considerado enquadrado sempre que, cumulativamente: (i) o Índice de Subordinação Sênior for, no mínimo, 22,15% (vinte e dois inteiros e quinze décimos por cento); e (ii) o Índice de Subordinação Mezanino for, no mínimo, 3,0% (três por cento); No de Cotistas: Sênior: 1; e Subordinadas: 11 (em jun/25); Regulamento: 08/jul/2025</t>
        </is>
      </c>
    </row>
    <row r="202" ht="43.5" customHeight="1">
      <c r="A202" s="142" t="n">
        <v>44124465000120</v>
      </c>
      <c r="B202" s="75" t="inlineStr">
        <is>
          <t>44.124.465/0001-20</t>
        </is>
      </c>
      <c r="C202" s="75" t="inlineStr">
        <is>
          <t>minimo_estrutural_total</t>
        </is>
      </c>
      <c r="D202" s="75" t="inlineStr">
        <is>
          <t>22.15%</t>
        </is>
      </c>
      <c r="E202" s="75" t="inlineStr">
        <is>
          <t>suporte_total_pl</t>
        </is>
      </c>
      <c r="F202" s="75" t="inlineStr">
        <is>
          <t>rating_report</t>
        </is>
      </c>
      <c r="G202" s="75" t="inlineStr">
        <is>
          <t>1048506</t>
        </is>
      </c>
      <c r="H202" s="75" t="inlineStr">
        <is>
          <t>Relatórios Relatório de Agência de Rating</t>
        </is>
      </c>
      <c r="I202" s="75" t="inlineStr">
        <is>
          <t>30/09/2025</t>
        </is>
      </c>
      <c r="J202" s="75" t="inlineStr">
        <is>
          <t>1</t>
        </is>
      </c>
      <c r="K202" s="75" t="inlineStr">
        <is>
          <t>encontrado_explicito</t>
        </is>
      </c>
      <c r="L202" s="144" t="n">
        <v>0.95</v>
      </c>
      <c r="M202" s="75" t="inlineStr">
        <is>
          <t>.cache/carteira_101_document_scan/44124465000120/1048506.json.gz</t>
        </is>
      </c>
      <c r="N202" s="75" t="inlineStr">
        <is>
          <t>https://fnet.bmfbovespa.com.br/fnet/publico/downloadDocumento?id=1048506</t>
        </is>
      </c>
      <c r="O202" s="75" t="inlineStr">
        <is>
          <t>li dade ou coobrigação de Devedores integrantes do mesmo grupo econômico; Subordinação: O Índice de Subordinação será considerado enquadrado sempre que, cumulativamente: (i) o Índice de Subordinação Sênior for, no mínimo, 22,15% (vinte e dois inteiros e quinze décimos por cento); e (ii) o Índice de Subordinação Mezanino for, no mínimo, 3,0% (três por cento); No de Cotistas: Sênior: 1; e Subordinadas: 11 (em set/25); Regulamento: 08/jul/2025</t>
        </is>
      </c>
    </row>
    <row r="203" ht="43.5" customHeight="1">
      <c r="A203" s="142" t="n">
        <v>44124465000120</v>
      </c>
      <c r="B203" s="75" t="inlineStr">
        <is>
          <t>44.124.465/0001-20</t>
        </is>
      </c>
      <c r="C203" s="75" t="inlineStr">
        <is>
          <t>minimo_estrutural_total</t>
        </is>
      </c>
      <c r="D203" s="75" t="inlineStr">
        <is>
          <t>22.15%</t>
        </is>
      </c>
      <c r="E203" s="75" t="inlineStr">
        <is>
          <t>suporte_total_pl</t>
        </is>
      </c>
      <c r="F203" s="75" t="inlineStr">
        <is>
          <t>regulamento</t>
        </is>
      </c>
      <c r="G203" s="75" t="inlineStr">
        <is>
          <t>951239</t>
        </is>
      </c>
      <c r="H203" s="75" t="inlineStr">
        <is>
          <t>Regulamento</t>
        </is>
      </c>
      <c r="I203" s="75" t="inlineStr">
        <is>
          <t>08/07/2025</t>
        </is>
      </c>
      <c r="J203" s="75" t="inlineStr">
        <is>
          <t>50</t>
        </is>
      </c>
      <c r="K203" s="75" t="inlineStr">
        <is>
          <t>encontrado_explicito</t>
        </is>
      </c>
      <c r="L203" s="144" t="n">
        <v>0.95</v>
      </c>
      <c r="M203" s="75" t="inlineStr">
        <is>
          <t>.cache/carteira_101_document_scan/44124465000120/951239.json.gz</t>
        </is>
      </c>
      <c r="N203" s="75" t="inlineStr">
        <is>
          <t>https://fnet.bmfbovespa.com.br/fnet/publico/downloadDocumento?id=951239</t>
        </is>
      </c>
      <c r="O203" s="75" t="inlineStr">
        <is>
          <t>2A-E89B-4D1F-8CFA-9F47E88D4E0F Página 50 de 99 Índice de Subordinação: 16.14. O Índice de Subordinação será considerado enquadrado sempre que, cumulativamente: (i) o Índice de Subordinação Sênior for, no mínimo, 22,15% (vinte e dois inteiros e quinze décimos por cento); e (ii) o Índice de Subordinação Mezanino for, no mínimo, 3% (três por cento). 16.14.1. O Índice de Subordinação será monitorado pela Gestora todo Dia Útil.</t>
        </is>
      </c>
    </row>
    <row r="204" ht="43.5" customHeight="1">
      <c r="A204" s="142" t="n">
        <v>44124465000120</v>
      </c>
      <c r="B204" s="75" t="inlineStr">
        <is>
          <t>44.124.465/0001-20</t>
        </is>
      </c>
      <c r="C204" s="75" t="inlineStr">
        <is>
          <t>minimo_estrutural_total</t>
        </is>
      </c>
      <c r="D204" s="75" t="inlineStr">
        <is>
          <t>22.15%</t>
        </is>
      </c>
      <c r="E204" s="75" t="inlineStr">
        <is>
          <t>suporte_total_pl</t>
        </is>
      </c>
      <c r="F204" s="75" t="inlineStr">
        <is>
          <t>regulamento</t>
        </is>
      </c>
      <c r="G204" s="75" t="inlineStr">
        <is>
          <t>737326</t>
        </is>
      </c>
      <c r="H204" s="75" t="inlineStr">
        <is>
          <t>Regulamento</t>
        </is>
      </c>
      <c r="I204" s="75" t="inlineStr">
        <is>
          <t>09/09/2024</t>
        </is>
      </c>
      <c r="J204" s="75" t="inlineStr">
        <is>
          <t>50</t>
        </is>
      </c>
      <c r="K204" s="75" t="inlineStr">
        <is>
          <t>encontrado_explicito</t>
        </is>
      </c>
      <c r="L204" s="144" t="n">
        <v>0.95</v>
      </c>
      <c r="M204" s="75" t="inlineStr">
        <is>
          <t>.cache/carteira_101_document_scan/44124465000120/737326.json.gz</t>
        </is>
      </c>
      <c r="N204" s="75" t="inlineStr">
        <is>
          <t>https://fnet.bmfbovespa.com.br/fnet/publico/downloadDocumento?id=737326</t>
        </is>
      </c>
      <c r="O204" s="75" t="inlineStr">
        <is>
          <t>rada do Cotista taxa de ingresso ou outras taxas. Índice de Subordinação: 16.14. O Índice de Subordinação será considerado enquadrado sempre que, cumulativamente: (i) o Índice de Subordinação Sênior for, no mínimo, 22,15% (vinte e dois inteiros e quinze décimos por cento); e (ii) o Índice de Subordinação Mezanino for, no mínimo, 3% (três por cento). 16.14.1. O Índice de Subordinação será monitorado pela Gestora todo Dia Útil.</t>
        </is>
      </c>
    </row>
    <row r="205" ht="43.5" customHeight="1">
      <c r="A205" s="142" t="n">
        <v>44124465000120</v>
      </c>
      <c r="B205" s="75" t="inlineStr">
        <is>
          <t>44.124.465/0001-20</t>
        </is>
      </c>
      <c r="C205" s="75" t="inlineStr">
        <is>
          <t>minimo_junior</t>
        </is>
      </c>
      <c r="D205" s="75" t="inlineStr">
        <is>
          <t>3%</t>
        </is>
      </c>
      <c r="E205" s="75" t="inlineStr">
        <is>
          <t>junior_pl</t>
        </is>
      </c>
      <c r="F205" s="75" t="inlineStr">
        <is>
          <t>payload_documental</t>
        </is>
      </c>
      <c r="G205" s="75" t="inlineStr">
        <is>
          <t>951239</t>
        </is>
      </c>
      <c r="H205" s="75" t="inlineStr">
        <is>
          <t>documento_curado</t>
        </is>
      </c>
      <c r="I205" s="75" t="inlineStr">
        <is>
          <t>2025-07-08</t>
        </is>
      </c>
      <c r="J205" s="75" t="inlineStr">
        <is>
          <t>85</t>
        </is>
      </c>
      <c r="K205" s="75" t="inlineStr">
        <is>
          <t>aceito_payload</t>
        </is>
      </c>
      <c r="L205" s="144" t="n">
        <v>1</v>
      </c>
      <c r="M205" s="75" t="inlineStr">
        <is>
          <t>data/industry_study/generated_revision/artifact_payload.json</t>
        </is>
      </c>
      <c r="N205" s="75" t="inlineStr">
        <is>
          <t>https://fnet.bmfbovespa.com.br/fnet/publico/downloadDocumento?id=951239</t>
        </is>
      </c>
      <c r="O205" s="75" t="inlineStr">
        <is>
          <t>Índice de Subordinação Mezanino: cotas júnior / PL, mínimo de 3,0%.</t>
        </is>
      </c>
    </row>
    <row r="206" ht="43.5" customHeight="1">
      <c r="A206" s="142" t="n">
        <v>44124465000120</v>
      </c>
      <c r="B206" s="75" t="inlineStr">
        <is>
          <t>44.124.465/0001-20</t>
        </is>
      </c>
      <c r="C206" s="75" t="inlineStr">
        <is>
          <t>natureza_indice</t>
        </is>
      </c>
      <c r="D206" s="75" t="inlineStr">
        <is>
          <t>junior_pl</t>
        </is>
      </c>
      <c r="E206" s="75" t="inlineStr">
        <is>
          <t>junior_pl</t>
        </is>
      </c>
      <c r="F206" s="75" t="inlineStr">
        <is>
          <t>payload_documental</t>
        </is>
      </c>
      <c r="G206" s="75" t="inlineStr">
        <is>
          <t>951239</t>
        </is>
      </c>
      <c r="H206" s="75" t="inlineStr">
        <is>
          <t>documento_curado</t>
        </is>
      </c>
      <c r="I206" s="75" t="inlineStr">
        <is>
          <t>2025-07-08</t>
        </is>
      </c>
      <c r="J206" s="75" t="inlineStr">
        <is>
          <t>85</t>
        </is>
      </c>
      <c r="K206" s="75" t="inlineStr">
        <is>
          <t>aceito_payload</t>
        </is>
      </c>
      <c r="L206" s="144" t="n">
        <v>1</v>
      </c>
      <c r="M206" s="75" t="inlineStr">
        <is>
          <t>data/industry_study/generated_revision/artifact_payload.json</t>
        </is>
      </c>
      <c r="N206" s="75" t="inlineStr">
        <is>
          <t>https://fnet.bmfbovespa.com.br/fnet/publico/downloadDocumento?id=951239</t>
        </is>
      </c>
      <c r="O206" s="75" t="inlineStr">
        <is>
          <t>Índice de Subordinação Mezanino: cotas júnior / PL, mínimo de 3,0%.</t>
        </is>
      </c>
    </row>
    <row r="207" ht="43.5" customHeight="1">
      <c r="A207" s="142" t="n">
        <v>44124465000120</v>
      </c>
      <c r="B207" s="75" t="inlineStr">
        <is>
          <t>44.124.465/0001-20</t>
        </is>
      </c>
      <c r="C207" s="75" t="inlineStr">
        <is>
          <t>originador</t>
        </is>
      </c>
      <c r="D207" s="75" t="inlineStr">
        <is>
          <t>ACQIO</t>
        </is>
      </c>
      <c r="E207" s="75" t="inlineStr">
        <is>
          <t>rótulo explícito de participante v2</t>
        </is>
      </c>
      <c r="F207" s="75" t="inlineStr">
        <is>
          <t>rating_report</t>
        </is>
      </c>
      <c r="G207" s="75" t="inlineStr">
        <is>
          <t>1005621</t>
        </is>
      </c>
      <c r="H207" s="75" t="inlineStr">
        <is>
          <t>Relatórios Relatório de Agência de Rating</t>
        </is>
      </c>
      <c r="I207" s="75" t="inlineStr">
        <is>
          <t>03/10/2025</t>
        </is>
      </c>
      <c r="J207" s="75" t="inlineStr">
        <is>
          <t>2</t>
        </is>
      </c>
      <c r="K207" s="75" t="inlineStr">
        <is>
          <t>encontrado_explicito</t>
        </is>
      </c>
      <c r="L207" s="144" t="n">
        <v>0.93</v>
      </c>
      <c r="M207" s="75" t="inlineStr">
        <is>
          <t>.cache/carteira_101_document_scan/44124465000120/1005621.json.gz</t>
        </is>
      </c>
      <c r="N207" s="75" t="inlineStr">
        <is>
          <t>https://fnet.bmfbovespa.com.br/fnet/publico/downloadDocumento?id=1005621</t>
        </is>
      </c>
      <c r="O207" s="75" t="inlineStr">
        <is>
          <t>temente, Direitos Creditórios que, de tempos em tempos, são detidos pela ACQIO (ACQIO / Cedente / Originadora / Agente de Cobrança Extraordinária), fintech de produtos e serviços financeiros, em face de bancos e de adquirente</t>
        </is>
      </c>
    </row>
    <row r="208" ht="43.5" customHeight="1">
      <c r="A208" s="142" t="n">
        <v>44124465000120</v>
      </c>
      <c r="B208" s="75" t="inlineStr">
        <is>
          <t>44.124.465/0001-20</t>
        </is>
      </c>
      <c r="C208" s="75" t="inlineStr">
        <is>
          <t>originador</t>
        </is>
      </c>
      <c r="D208" s="75" t="inlineStr">
        <is>
          <t>ACQIO</t>
        </is>
      </c>
      <c r="E208" s="75" t="inlineStr">
        <is>
          <t>rótulo explícito de participante v2</t>
        </is>
      </c>
      <c r="F208" s="75" t="inlineStr">
        <is>
          <t>rating_report</t>
        </is>
      </c>
      <c r="G208" s="75" t="inlineStr">
        <is>
          <t>1048506</t>
        </is>
      </c>
      <c r="H208" s="75" t="inlineStr">
        <is>
          <t>Relatórios Relatório de Agência de Rating</t>
        </is>
      </c>
      <c r="I208" s="75" t="inlineStr">
        <is>
          <t>30/09/2025</t>
        </is>
      </c>
      <c r="J208" s="75" t="inlineStr">
        <is>
          <t>2</t>
        </is>
      </c>
      <c r="K208" s="75" t="inlineStr">
        <is>
          <t>encontrado_explicito</t>
        </is>
      </c>
      <c r="L208" s="144" t="n">
        <v>0.93</v>
      </c>
      <c r="M208" s="75" t="inlineStr">
        <is>
          <t>.cache/carteira_101_document_scan/44124465000120/1048506.json.gz</t>
        </is>
      </c>
      <c r="N208" s="75" t="inlineStr">
        <is>
          <t>https://fnet.bmfbovespa.com.br/fnet/publico/downloadDocumento?id=1048506</t>
        </is>
      </c>
      <c r="O208" s="75" t="inlineStr">
        <is>
          <t>temente, Direitos Creditórios que, de tempos em tempos, são detidos pela ACQIO (ACQIO / Cedente / Originadora / Agente de Cobrança Extraordinária), fintech de produtos e serviços financeiros, em face de bancos e de adquirente</t>
        </is>
      </c>
    </row>
    <row r="209" ht="43.5" customHeight="1">
      <c r="A209" s="142" t="n">
        <v>44124465000120</v>
      </c>
      <c r="B209" s="75" t="inlineStr">
        <is>
          <t>44.124.465/0001-20</t>
        </is>
      </c>
      <c r="C209" s="75" t="inlineStr">
        <is>
          <t>sacado_devedor</t>
        </is>
      </c>
      <c r="D209" s="75" t="inlineStr">
        <is>
          <t>os Devedores I -A, os Devedores I -B e os Devedores II quando mencionados em conjunto e indistintamente</t>
        </is>
      </c>
      <c r="E209" s="75" t="inlineStr">
        <is>
          <t>N/D</t>
        </is>
      </c>
      <c r="F209" s="75" t="inlineStr">
        <is>
          <t>regulamento</t>
        </is>
      </c>
      <c r="G209" s="75" t="inlineStr">
        <is>
          <t>951239</t>
        </is>
      </c>
      <c r="H209" s="75" t="inlineStr">
        <is>
          <t>Regulamento</t>
        </is>
      </c>
      <c r="I209" s="75" t="inlineStr">
        <is>
          <t>08/07/2025</t>
        </is>
      </c>
      <c r="J209" s="75" t="inlineStr">
        <is>
          <t>82</t>
        </is>
      </c>
      <c r="K209" s="75" t="inlineStr">
        <is>
          <t>encontrado_explicito</t>
        </is>
      </c>
      <c r="L209" s="144" t="n">
        <v>0.95</v>
      </c>
      <c r="M209" s="75" t="inlineStr">
        <is>
          <t>.cache/carteira_101_document_scan/44124465000120/951239.json.gz</t>
        </is>
      </c>
      <c r="N209" s="75" t="inlineStr">
        <is>
          <t>https://fnet.bmfbovespa.com.br/fnet/publico/downloadDocumento?id=951239</t>
        </is>
      </c>
      <c r="O209" s="75" t="inlineStr">
        <is>
          <t>nta Preço de Aquisição, devendo ser utilizado pela Cedente nos termos e condições previstos no Contrato de Cessão. “Devedores” Significam os Devedores I -A, os Devedores I -B e os Devedores II quando mencionados em conjunto e indistintamente. “Devedores I-A” São os seguintes Emissores: (i) Itaú Unibanco S.A.; (ii) Banco Bradesco S.A.; (iii) Banco Santande</t>
        </is>
      </c>
    </row>
    <row r="210" ht="43.5" customHeight="1">
      <c r="A210" s="142" t="n">
        <v>44124465000120</v>
      </c>
      <c r="B210" s="75" t="inlineStr">
        <is>
          <t>44.124.465/0001-20</t>
        </is>
      </c>
      <c r="C210" s="75" t="inlineStr">
        <is>
          <t>sacado_devedor</t>
        </is>
      </c>
      <c r="D210" s="75" t="inlineStr">
        <is>
          <t>os Devedores I -A, os Devedores I -B e os Devedores II quando mencionados em conjunto e indistintamente</t>
        </is>
      </c>
      <c r="E210" s="75" t="inlineStr">
        <is>
          <t>N/D</t>
        </is>
      </c>
      <c r="F210" s="75" t="inlineStr">
        <is>
          <t>regulamento</t>
        </is>
      </c>
      <c r="G210" s="75" t="inlineStr">
        <is>
          <t>737326</t>
        </is>
      </c>
      <c r="H210" s="75" t="inlineStr">
        <is>
          <t>Regulamento</t>
        </is>
      </c>
      <c r="I210" s="75" t="inlineStr">
        <is>
          <t>09/09/2024</t>
        </is>
      </c>
      <c r="J210" s="75" t="inlineStr">
        <is>
          <t>83</t>
        </is>
      </c>
      <c r="K210" s="75" t="inlineStr">
        <is>
          <t>encontrado_explicito</t>
        </is>
      </c>
      <c r="L210" s="144" t="n">
        <v>0.95</v>
      </c>
      <c r="M210" s="75" t="inlineStr">
        <is>
          <t>.cache/carteira_101_document_scan/44124465000120/737326.json.gz</t>
        </is>
      </c>
      <c r="N210" s="75" t="inlineStr">
        <is>
          <t>https://fnet.bmfbovespa.com.br/fnet/publico/downloadDocumento?id=737326</t>
        </is>
      </c>
      <c r="O210" s="75" t="inlineStr">
        <is>
          <t>nta Preço de Aquisição, devendo ser utilizado pela Cedente nos termos e condições previstos no Contrato de Cessão. “Devedores” Significam os Devedores I -A, os Devedores I -B e os Devedores II quando mencionados em conjunto e indistintamente. “Devedores I-A” São os seguintes Emissores: (i) Itaú Unibanco S.A.; (ii) Banco Bradesco S.A.; (iii) Banco Santande</t>
        </is>
      </c>
    </row>
    <row r="211" ht="43.5" customHeight="1">
      <c r="A211" s="142" t="n">
        <v>44124465000120</v>
      </c>
      <c r="B211" s="75" t="inlineStr">
        <is>
          <t>44.124.465/0001-20</t>
        </is>
      </c>
      <c r="C211" s="75" t="inlineStr">
        <is>
          <t>tipo_recebivel</t>
        </is>
      </c>
      <c r="D211" s="75" t="inlineStr">
        <is>
          <t>Risco Bancos Emissores Diversos</t>
        </is>
      </c>
      <c r="E211" s="75" t="inlineStr">
        <is>
          <t>N/D</t>
        </is>
      </c>
      <c r="F211" s="75" t="inlineStr">
        <is>
          <t>planilha_manual</t>
        </is>
      </c>
      <c r="G211" s="75" t="inlineStr">
        <is>
          <t>IMG_8705.JPG</t>
        </is>
      </c>
      <c r="H211" s="75" t="inlineStr">
        <is>
          <t>payload</t>
        </is>
      </c>
      <c r="I211" s="75" t="inlineStr">
        <is>
          <t>2025-07-08</t>
        </is>
      </c>
      <c r="J211" s="75" t="inlineStr">
        <is>
          <t>85</t>
        </is>
      </c>
      <c r="K211" s="75" t="inlineStr">
        <is>
          <t>aceito_payload</t>
        </is>
      </c>
      <c r="L211" s="144" t="n">
        <v>1</v>
      </c>
      <c r="M211" s="75" t="inlineStr">
        <is>
          <t>data/industry_study/generated_revision/artifact_payload.json</t>
        </is>
      </c>
      <c r="N211" s="75" t="inlineStr">
        <is>
          <t>N/D</t>
        </is>
      </c>
      <c r="O211" s="75" t="inlineStr">
        <is>
          <t>OBS da foto: lista de concentração pré-aprovada.</t>
        </is>
      </c>
    </row>
    <row r="212" ht="43.5" customHeight="1">
      <c r="A212" s="142" t="n">
        <v>44124617000194</v>
      </c>
      <c r="B212" s="75" t="inlineStr">
        <is>
          <t>44.124.617/0001-94</t>
        </is>
      </c>
      <c r="C212" s="75" t="inlineStr">
        <is>
          <t>cedente</t>
        </is>
      </c>
      <c r="D212" s="75" t="inlineStr">
        <is>
          <t>a CloudWalk que, de tempos em tempos, nos termos do Contrato de Cessão, cede seus respectivos Direitos Creditórios Elegíveis ao Fundo</t>
        </is>
      </c>
      <c r="E212" s="75" t="inlineStr">
        <is>
          <t>N/D</t>
        </is>
      </c>
      <c r="F212" s="75" t="inlineStr">
        <is>
          <t>regulamento</t>
        </is>
      </c>
      <c r="G212" s="75" t="inlineStr">
        <is>
          <t>724051</t>
        </is>
      </c>
      <c r="H212" s="75" t="inlineStr">
        <is>
          <t>Regulamento</t>
        </is>
      </c>
      <c r="I212" s="75" t="inlineStr">
        <is>
          <t>19/08/2024</t>
        </is>
      </c>
      <c r="J212" s="75" t="inlineStr">
        <is>
          <t>94</t>
        </is>
      </c>
      <c r="K212" s="75" t="inlineStr">
        <is>
          <t>encontrado_explicito</t>
        </is>
      </c>
      <c r="L212" s="144" t="n">
        <v>0.95</v>
      </c>
      <c r="M212" s="75" t="inlineStr">
        <is>
          <t>.cache/carteira_101_document_scan/44124617000194/724051.json.gz</t>
        </is>
      </c>
      <c r="N212" s="75" t="inlineStr">
        <is>
          <t>https://fnet.bmfbovespa.com.br/fnet/publico/downloadDocumento?id=724051</t>
        </is>
      </c>
      <c r="O212" s="75" t="inlineStr">
        <is>
          <t>edido de um Usuário -Final, que poderá resultar no estorno do(s) crédito(s) correspondente(s) efetuado(s) à Cedente. “Cedente” Significa a CloudWalk que, de tempos em tempos, nos termos do Contrato de Cessão, cede seus respectivos Direitos Creditórios Elegíveis ao Fundo. “Chargeback” Significa a contestação de Transação(ões) de Pagamento, seja no todo ou em parte, por parte de Usuário</t>
        </is>
      </c>
    </row>
    <row r="213" ht="43.5" customHeight="1">
      <c r="A213" s="142" t="n">
        <v>44124617000194</v>
      </c>
      <c r="B213" s="75" t="inlineStr">
        <is>
          <t>44.124.617/0001-94</t>
        </is>
      </c>
      <c r="C213" s="75" t="inlineStr">
        <is>
          <t>cedente</t>
        </is>
      </c>
      <c r="D213" s="75" t="inlineStr">
        <is>
          <t>a CloudWalk que, de tempos em tempos, nos termos do Contrato de Cessão, cede seus respectivos Dire itos Creditórios Elegíveis ao Fundo</t>
        </is>
      </c>
      <c r="E213" s="75" t="inlineStr">
        <is>
          <t>N/D</t>
        </is>
      </c>
      <c r="F213" s="75" t="inlineStr">
        <is>
          <t>regulamento</t>
        </is>
      </c>
      <c r="G213" s="75" t="inlineStr">
        <is>
          <t>513520</t>
        </is>
      </c>
      <c r="H213" s="75" t="inlineStr">
        <is>
          <t>regulamento</t>
        </is>
      </c>
      <c r="I213" s="75" t="inlineStr">
        <is>
          <t>2023-08-28</t>
        </is>
      </c>
      <c r="J213" s="75" t="inlineStr">
        <is>
          <t>63</t>
        </is>
      </c>
      <c r="K213" s="75" t="inlineStr">
        <is>
          <t>encontrado_explicito</t>
        </is>
      </c>
      <c r="L213" s="144" t="n">
        <v>0.95</v>
      </c>
      <c r="M213" s="75" t="inlineStr">
        <is>
          <t>data/raw/44124617000194/513520_regulamento_regulamento_513520_2023-08-28.pdf</t>
        </is>
      </c>
      <c r="N213" s="75" t="inlineStr">
        <is>
          <t>https://fnet.bmfbovespa.com.br/fnet/publico/downloadDocumento?id=513520</t>
        </is>
      </c>
      <c r="O213" s="75" t="inlineStr">
        <is>
          <t>pedido de um Usuário -Final, que poderá resultar no estorno do(s) crédito(s) correspondente(s) efetuado(s) à Cedente. “Cedente” Significa a CloudWalk que, de tempos em tempos, nos termos do Contrato de Cessão, cede seus respectivos Dire itos Creditórios Elegíveis ao Fundo. “Chargeback” Significa a contestação de Transação(ões) de Pagamento, seja no todo ou em parte, por parte de Usuários</t>
        </is>
      </c>
    </row>
    <row r="214" ht="43.5" customHeight="1">
      <c r="A214" s="142" t="n">
        <v>44124617000194</v>
      </c>
      <c r="B214" s="75" t="inlineStr">
        <is>
          <t>44.124.617/0001-94</t>
        </is>
      </c>
      <c r="C214" s="75" t="inlineStr">
        <is>
          <t>cedente</t>
        </is>
      </c>
      <c r="D214" s="75" t="inlineStr">
        <is>
          <t>a CloudWalk que, de tempos em tempos, nos termos do Contrato de Cessão, cede seus respectivos Direitos Creditórios Elegíveis ao Fundo</t>
        </is>
      </c>
      <c r="E214" s="75" t="inlineStr">
        <is>
          <t>N/D</t>
        </is>
      </c>
      <c r="F214" s="75" t="inlineStr">
        <is>
          <t>regulamento</t>
        </is>
      </c>
      <c r="G214" s="75" t="inlineStr">
        <is>
          <t>851798</t>
        </is>
      </c>
      <c r="H214" s="75" t="inlineStr">
        <is>
          <t>regulamento</t>
        </is>
      </c>
      <c r="I214" s="75" t="inlineStr">
        <is>
          <t>2025-02-28</t>
        </is>
      </c>
      <c r="J214" s="75" t="inlineStr">
        <is>
          <t>94</t>
        </is>
      </c>
      <c r="K214" s="75" t="inlineStr">
        <is>
          <t>encontrado_explicito</t>
        </is>
      </c>
      <c r="L214" s="144" t="n">
        <v>0.95</v>
      </c>
      <c r="M214" s="75" t="inlineStr">
        <is>
          <t>data/raw/44124617000194/851798_regulamento_regulamento_851798_2025-02-28.pdf</t>
        </is>
      </c>
      <c r="N214" s="75" t="inlineStr">
        <is>
          <t>https://fnet.bmfbovespa.com.br/fnet/publico/downloadDocumento?id=851798</t>
        </is>
      </c>
      <c r="O214" s="75" t="inlineStr">
        <is>
          <t>edido de um Usuário -Final, que poderá resultar no estorno do(s) crédito(s) correspondente(s) efetuado(s) à Cedente. “Cedente” Significa a CloudWalk que, de tempos em tempos, nos termos do Contrato de Cessão, cede seus respectivos Direitos Creditórios Elegíveis ao Fundo. “Chargeback” Significa a contestação de Transação(ões) de Pagamento, seja no todo ou em parte, por parte de Usuário</t>
        </is>
      </c>
    </row>
    <row r="215" ht="43.5" customHeight="1">
      <c r="A215" s="142" t="n">
        <v>44124617000194</v>
      </c>
      <c r="B215" s="75" t="inlineStr">
        <is>
          <t>44.124.617/0001-94</t>
        </is>
      </c>
      <c r="C215" s="75" t="inlineStr">
        <is>
          <t>cedente</t>
        </is>
      </c>
      <c r="D215" s="75" t="inlineStr">
        <is>
          <t>Cloudwalk</t>
        </is>
      </c>
      <c r="E215" s="75" t="inlineStr">
        <is>
          <t>N/D</t>
        </is>
      </c>
      <c r="F215" s="75" t="inlineStr">
        <is>
          <t>planilha_manual</t>
        </is>
      </c>
      <c r="G215" s="75" t="inlineStr">
        <is>
          <t>IMG_8705.JPG</t>
        </is>
      </c>
      <c r="H215" s="75" t="inlineStr">
        <is>
          <t>payload</t>
        </is>
      </c>
      <c r="I215" s="75" t="inlineStr">
        <is>
          <t>2025-02-28</t>
        </is>
      </c>
      <c r="J215" s="75" t="inlineStr">
        <is>
          <t>101–102</t>
        </is>
      </c>
      <c r="K215" s="75" t="inlineStr">
        <is>
          <t>aceito_payload</t>
        </is>
      </c>
      <c r="L215" s="144" t="n">
        <v>1</v>
      </c>
      <c r="M215" s="75" t="inlineStr">
        <is>
          <t>data/industry_study/generated_revision/artifact_payload.json</t>
        </is>
      </c>
      <c r="N215" s="75" t="inlineStr">
        <is>
          <t>N/D</t>
        </is>
      </c>
      <c r="O215" s="75" t="inlineStr">
        <is>
          <t>OBS da foto: Alongamento discutido recentemente (mas com run-off). Denominação cortada.</t>
        </is>
      </c>
    </row>
    <row r="216" ht="43.5" customHeight="1">
      <c r="A216" s="142" t="n">
        <v>44124617000194</v>
      </c>
      <c r="B216" s="75" t="inlineStr">
        <is>
          <t>44.124.617/0001-94</t>
        </is>
      </c>
      <c r="C216" s="75" t="inlineStr">
        <is>
          <t>minimo_estrutural_total</t>
        </is>
      </c>
      <c r="D216" s="75" t="inlineStr">
        <is>
          <t>5%</t>
        </is>
      </c>
      <c r="E216" s="75" t="inlineStr">
        <is>
          <t>suporte_total_pl</t>
        </is>
      </c>
      <c r="F216" s="75" t="inlineStr">
        <is>
          <t>payload_documental</t>
        </is>
      </c>
      <c r="G216" s="75" t="inlineStr">
        <is>
          <t>851798</t>
        </is>
      </c>
      <c r="H216" s="75" t="inlineStr">
        <is>
          <t>documento_curado</t>
        </is>
      </c>
      <c r="I216" s="75" t="inlineStr">
        <is>
          <t>2025-02-28</t>
        </is>
      </c>
      <c r="J216" s="75" t="inlineStr">
        <is>
          <t>101–102</t>
        </is>
      </c>
      <c r="K216" s="75" t="inlineStr">
        <is>
          <t>aceito_payload</t>
        </is>
      </c>
      <c r="L216" s="144" t="n">
        <v>1</v>
      </c>
      <c r="M216" s="75" t="inlineStr">
        <is>
          <t>data/industry_study/generated_revision/artifact_payload.json</t>
        </is>
      </c>
      <c r="N216" s="75" t="inlineStr">
        <is>
          <t>https://fnet.bmfbovespa.com.br/fnet/publico/downloadDocumento?id=851798</t>
        </is>
      </c>
      <c r="O216" s="75" t="inlineStr">
        <is>
          <t>Cotas subordinadas / PL, mínimo de 5,0%; estrutura com uma única classe residual.</t>
        </is>
      </c>
    </row>
    <row r="217" ht="43.5" customHeight="1">
      <c r="A217" s="142" t="n">
        <v>44124617000194</v>
      </c>
      <c r="B217" s="75" t="inlineStr">
        <is>
          <t>44.124.617/0001-94</t>
        </is>
      </c>
      <c r="C217" s="75" t="inlineStr">
        <is>
          <t>minimo_junior</t>
        </is>
      </c>
      <c r="D217" s="75" t="inlineStr">
        <is>
          <t>5%</t>
        </is>
      </c>
      <c r="E217" s="75" t="inlineStr">
        <is>
          <t>junior_pl</t>
        </is>
      </c>
      <c r="F217" s="75" t="inlineStr">
        <is>
          <t>payload_documental</t>
        </is>
      </c>
      <c r="G217" s="75" t="inlineStr">
        <is>
          <t>851798</t>
        </is>
      </c>
      <c r="H217" s="75" t="inlineStr">
        <is>
          <t>documento_curado</t>
        </is>
      </c>
      <c r="I217" s="75" t="inlineStr">
        <is>
          <t>2025-02-28</t>
        </is>
      </c>
      <c r="J217" s="75" t="inlineStr">
        <is>
          <t>101–102</t>
        </is>
      </c>
      <c r="K217" s="75" t="inlineStr">
        <is>
          <t>aceito_payload</t>
        </is>
      </c>
      <c r="L217" s="144" t="n">
        <v>1</v>
      </c>
      <c r="M217" s="75" t="inlineStr">
        <is>
          <t>data/industry_study/generated_revision/artifact_payload.json</t>
        </is>
      </c>
      <c r="N217" s="75" t="inlineStr">
        <is>
          <t>https://fnet.bmfbovespa.com.br/fnet/publico/downloadDocumento?id=851798</t>
        </is>
      </c>
      <c r="O217" s="75" t="inlineStr">
        <is>
          <t>Cotas subordinadas / PL, mínimo de 5,0%; estrutura com uma única classe residual.</t>
        </is>
      </c>
    </row>
    <row r="218" ht="43.5" customHeight="1">
      <c r="A218" s="142" t="n">
        <v>44124617000194</v>
      </c>
      <c r="B218" s="75" t="inlineStr">
        <is>
          <t>44.124.617/0001-94</t>
        </is>
      </c>
      <c r="C218" s="75" t="inlineStr">
        <is>
          <t>natureza_indice</t>
        </is>
      </c>
      <c r="D218" s="75" t="inlineStr">
        <is>
          <t>junior_pl</t>
        </is>
      </c>
      <c r="E218" s="75" t="inlineStr">
        <is>
          <t>junior_pl</t>
        </is>
      </c>
      <c r="F218" s="75" t="inlineStr">
        <is>
          <t>payload_documental</t>
        </is>
      </c>
      <c r="G218" s="75" t="inlineStr">
        <is>
          <t>851798</t>
        </is>
      </c>
      <c r="H218" s="75" t="inlineStr">
        <is>
          <t>documento_curado</t>
        </is>
      </c>
      <c r="I218" s="75" t="inlineStr">
        <is>
          <t>2025-02-28</t>
        </is>
      </c>
      <c r="J218" s="75" t="inlineStr">
        <is>
          <t>101–102</t>
        </is>
      </c>
      <c r="K218" s="75" t="inlineStr">
        <is>
          <t>aceito_payload</t>
        </is>
      </c>
      <c r="L218" s="144" t="n">
        <v>1</v>
      </c>
      <c r="M218" s="75" t="inlineStr">
        <is>
          <t>data/industry_study/generated_revision/artifact_payload.json</t>
        </is>
      </c>
      <c r="N218" s="75" t="inlineStr">
        <is>
          <t>https://fnet.bmfbovespa.com.br/fnet/publico/downloadDocumento?id=851798</t>
        </is>
      </c>
      <c r="O218" s="75" t="inlineStr">
        <is>
          <t>Cotas subordinadas / PL, mínimo de 5,0%; estrutura com uma única classe residual.</t>
        </is>
      </c>
    </row>
    <row r="219" ht="43.5" customHeight="1">
      <c r="A219" s="142" t="n">
        <v>44124617000194</v>
      </c>
      <c r="B219" s="75" t="inlineStr">
        <is>
          <t>44.124.617/0001-94</t>
        </is>
      </c>
      <c r="C219" s="75" t="inlineStr">
        <is>
          <t>sacado_devedor</t>
        </is>
      </c>
      <c r="D219" s="75" t="inlineStr">
        <is>
          <t>cada Devedor de Direitos Creditórios Cedidos que represente 5% ( cinco por cento) ou mais do Patrimônio Líquido do Fundo</t>
        </is>
      </c>
      <c r="E219" s="75" t="inlineStr">
        <is>
          <t>N/D</t>
        </is>
      </c>
      <c r="F219" s="75" t="inlineStr">
        <is>
          <t>regulamento</t>
        </is>
      </c>
      <c r="G219" s="75" t="inlineStr">
        <is>
          <t>724051</t>
        </is>
      </c>
      <c r="H219" s="75" t="inlineStr">
        <is>
          <t>Regulamento</t>
        </is>
      </c>
      <c r="I219" s="75" t="inlineStr">
        <is>
          <t>19/08/2024</t>
        </is>
      </c>
      <c r="J219" s="75" t="inlineStr">
        <is>
          <t>98</t>
        </is>
      </c>
      <c r="K219" s="75" t="inlineStr">
        <is>
          <t>encontrado_explicito</t>
        </is>
      </c>
      <c r="L219" s="144" t="n">
        <v>0.95</v>
      </c>
      <c r="M219" s="75" t="inlineStr">
        <is>
          <t>.cache/carteira_101_document_scan/44124617000194/724051.json.gz</t>
        </is>
      </c>
      <c r="N219" s="75" t="inlineStr">
        <is>
          <t>https://fnet.bmfbovespa.com.br/fnet/publico/downloadDocumento?id=724051</t>
        </is>
      </c>
      <c r="O219" s="75" t="inlineStr">
        <is>
          <t>icados e os Emissores Não Qualificados, desde que observados os limites de concentração previstos neste Regulamento. “Devedor Relevante” Significa cada Devedor de Direitos Creditórios Cedidos que represente 5% ( cinco por cento) ou mais do Patrimônio Líquido do Fundo. “Dia Útil” ou “Dias Úteis” Significa qualquer dia que não seja sábado, domingo ou feriado declarado como nacional, o</t>
        </is>
      </c>
    </row>
    <row r="220" ht="43.5" customHeight="1">
      <c r="A220" s="142" t="n">
        <v>44124617000194</v>
      </c>
      <c r="B220" s="75" t="inlineStr">
        <is>
          <t>44.124.617/0001-94</t>
        </is>
      </c>
      <c r="C220" s="75" t="inlineStr">
        <is>
          <t>sacado_devedor</t>
        </is>
      </c>
      <c r="D220" s="75" t="inlineStr">
        <is>
          <t>cada Devedor de Direitos Creditórios Cedidos que represente 5% (cinco por cento) ou mais do Patrimônio Líquido do Fundo</t>
        </is>
      </c>
      <c r="E220" s="75" t="inlineStr">
        <is>
          <t>N/D</t>
        </is>
      </c>
      <c r="F220" s="75" t="inlineStr">
        <is>
          <t>regulamento</t>
        </is>
      </c>
      <c r="G220" s="75" t="inlineStr">
        <is>
          <t>513520</t>
        </is>
      </c>
      <c r="H220" s="75" t="inlineStr">
        <is>
          <t>regulamento</t>
        </is>
      </c>
      <c r="I220" s="75" t="inlineStr">
        <is>
          <t>2023-08-28</t>
        </is>
      </c>
      <c r="J220" s="75" t="inlineStr">
        <is>
          <t>67</t>
        </is>
      </c>
      <c r="K220" s="75" t="inlineStr">
        <is>
          <t>encontrado_explicito</t>
        </is>
      </c>
      <c r="L220" s="144" t="n">
        <v>0.95</v>
      </c>
      <c r="M220" s="75" t="inlineStr">
        <is>
          <t>data/raw/44124617000194/513520_regulamento_regulamento_513520_2023-08-28.pdf</t>
        </is>
      </c>
      <c r="N220" s="75" t="inlineStr">
        <is>
          <t>https://fnet.bmfbovespa.com.br/fnet/publico/downloadDocumento?id=513520</t>
        </is>
      </c>
      <c r="O220" s="75" t="inlineStr">
        <is>
          <t>icados e os Emissores Não Qualificados, desde que observados os limites de concentração previstos neste Regulamento. “Devedor Relevante” Significa cada Devedor de Direitos Creditórios Cedidos que represente 5% (cinco por cento) ou mais do Patrimônio Líquido do Fundo. “Dia Útil” ou “Dias Úteis” Significa qualquer dia que não seja sábado, domingo ou feriado declarado como nacional, o</t>
        </is>
      </c>
    </row>
    <row r="221" ht="43.5" customHeight="1">
      <c r="A221" s="142" t="n">
        <v>44124617000194</v>
      </c>
      <c r="B221" s="75" t="inlineStr">
        <is>
          <t>44.124.617/0001-94</t>
        </is>
      </c>
      <c r="C221" s="75" t="inlineStr">
        <is>
          <t>sacado_devedor</t>
        </is>
      </c>
      <c r="D221" s="75" t="inlineStr">
        <is>
          <t>cada Devedor de Direitos Creditórios Cedidos que represente 5% ( cinco por cento) ou mais do Patrimônio Líquido do Fundo</t>
        </is>
      </c>
      <c r="E221" s="75" t="inlineStr">
        <is>
          <t>N/D</t>
        </is>
      </c>
      <c r="F221" s="75" t="inlineStr">
        <is>
          <t>regulamento</t>
        </is>
      </c>
      <c r="G221" s="75" t="inlineStr">
        <is>
          <t>851798</t>
        </is>
      </c>
      <c r="H221" s="75" t="inlineStr">
        <is>
          <t>regulamento</t>
        </is>
      </c>
      <c r="I221" s="75" t="inlineStr">
        <is>
          <t>2025-02-28</t>
        </is>
      </c>
      <c r="J221" s="75" t="inlineStr">
        <is>
          <t>98</t>
        </is>
      </c>
      <c r="K221" s="75" t="inlineStr">
        <is>
          <t>encontrado_explicito</t>
        </is>
      </c>
      <c r="L221" s="144" t="n">
        <v>0.95</v>
      </c>
      <c r="M221" s="75" t="inlineStr">
        <is>
          <t>data/raw/44124617000194/851798_regulamento_regulamento_851798_2025-02-28.pdf</t>
        </is>
      </c>
      <c r="N221" s="75" t="inlineStr">
        <is>
          <t>https://fnet.bmfbovespa.com.br/fnet/publico/downloadDocumento?id=851798</t>
        </is>
      </c>
      <c r="O221" s="75" t="inlineStr">
        <is>
          <t>icados e os Emissores Não Qualificados, desde que observados os limites de concentração previstos neste Regulamento. “Devedor Relevante” Significa cada Devedor de Direitos Creditórios Cedidos que represente 5% ( cinco por cento) ou mais do Patrimônio Líquido do Fundo. “Dia Útil” ou “Dias Úteis” Significa qualquer dia que não seja sábado, domingo ou feriado declarado como nacional, o</t>
        </is>
      </c>
    </row>
    <row r="222" ht="43.5" customHeight="1">
      <c r="A222" s="142" t="n">
        <v>44124617000194</v>
      </c>
      <c r="B222" s="75" t="inlineStr">
        <is>
          <t>44.124.617/0001-94</t>
        </is>
      </c>
      <c r="C222" s="75" t="inlineStr">
        <is>
          <t>tipo_recebivel</t>
        </is>
      </c>
      <c r="D222" s="75" t="inlineStr">
        <is>
          <t>os direitos creditórios de tempos em tempos detidos pela Cedente em face dos Devedores, conforme as regras dos Arranjos de Pagamentos, decorrentes de Transações de Pagamento realizadas por Usuários-Finais com a utilização de Instrumentos de Pagamento, operacionalizadas pelo Sistema CloudWalk , para a aquisição de bens ou serviços no s Estabelecimentos Credenciados, equivalentes ao valor remanescente das Transações de Pagamento após o desconto das Taxas Aplicáveis</t>
        </is>
      </c>
      <c r="E222" s="75" t="inlineStr">
        <is>
          <t>N/D</t>
        </is>
      </c>
      <c r="F222" s="75" t="inlineStr">
        <is>
          <t>regulamento</t>
        </is>
      </c>
      <c r="G222" s="75" t="inlineStr">
        <is>
          <t>724051</t>
        </is>
      </c>
      <c r="H222" s="75" t="inlineStr">
        <is>
          <t>Regulamento</t>
        </is>
      </c>
      <c r="I222" s="75" t="inlineStr">
        <is>
          <t>19/08/2024</t>
        </is>
      </c>
      <c r="J222" s="75" t="inlineStr">
        <is>
          <t>99</t>
        </is>
      </c>
      <c r="K222" s="75" t="inlineStr">
        <is>
          <t>encontrado_explicito</t>
        </is>
      </c>
      <c r="L222" s="144" t="n">
        <v>0.92</v>
      </c>
      <c r="M222" s="75" t="inlineStr">
        <is>
          <t>.cache/carteira_101_document_scan/44124617000194/724051.json.gz</t>
        </is>
      </c>
      <c r="N222" s="75" t="inlineStr">
        <is>
          <t>https://fnet.bmfbovespa.com.br/fnet/publico/downloadDocumento?id=724051</t>
        </is>
      </c>
      <c r="O222" s="75" t="inlineStr">
        <is>
          <t>ste Regulamento. Docusign Envelope ID: 0E6BAB6E-B7E7-4857-BF10-2EFC9D7AB886 Página 99 de 118 “Direitos Creditórios” Significam os direitos creditórios de tempos em tempos detidos pela Cedente em face dos Devedores, conforme as regras dos Arranjos de Pagamentos, decorrentes de Transações de Pagamento realizadas por Usuários-Finais com a utilização de Instrumentos de Pagamento, operacionalizadas pelo Sistema CloudWalk , para a aquisição de bens ou serviços no s Estabelecimentos Credenciados, equivalentes ao valor remanescente das Transações de Pagamento após o desconto das Taxas Aplicáveis. Um Direito Creditório considerado individualmente poderá ser correspondente à integralidade de u</t>
        </is>
      </c>
    </row>
    <row r="223" ht="43.5" customHeight="1">
      <c r="A223" s="142" t="n">
        <v>44124617000194</v>
      </c>
      <c r="B223" s="75" t="inlineStr">
        <is>
          <t>44.124.617/0001-94</t>
        </is>
      </c>
      <c r="C223" s="75" t="inlineStr">
        <is>
          <t>tipo_recebivel</t>
        </is>
      </c>
      <c r="D223" s="75" t="inlineStr">
        <is>
          <t>os direitos creditórios de tempos em tempos detidos pela Cedente em face dos Devedores , conforme as regras dos Arranjos de Pagamentos, decorrentes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 plicáveis</t>
        </is>
      </c>
      <c r="E223" s="75" t="inlineStr">
        <is>
          <t>N/D</t>
        </is>
      </c>
      <c r="F223" s="75" t="inlineStr">
        <is>
          <t>regulamento</t>
        </is>
      </c>
      <c r="G223" s="75" t="inlineStr">
        <is>
          <t>513520</t>
        </is>
      </c>
      <c r="H223" s="75" t="inlineStr">
        <is>
          <t>regulamento</t>
        </is>
      </c>
      <c r="I223" s="75" t="inlineStr">
        <is>
          <t>2023-08-28</t>
        </is>
      </c>
      <c r="J223" s="75" t="inlineStr">
        <is>
          <t>67</t>
        </is>
      </c>
      <c r="K223" s="75" t="inlineStr">
        <is>
          <t>encontrado_explicito</t>
        </is>
      </c>
      <c r="L223" s="144" t="n">
        <v>0.92</v>
      </c>
      <c r="M223" s="75" t="inlineStr">
        <is>
          <t>data/raw/44124617000194/513520_regulamento_regulamento_513520_2023-08-28.pdf</t>
        </is>
      </c>
      <c r="N223" s="75" t="inlineStr">
        <is>
          <t>https://fnet.bmfbovespa.com.br/fnet/publico/downloadDocumento?id=513520</t>
        </is>
      </c>
      <c r="O223" s="75" t="inlineStr">
        <is>
          <t>tiva do Brasil. “Direito de Recompra” Tem o significado atribuído no item 11.7 deste Regulamento. “Direitos Creditórios” Significam os direitos creditórios de tempos em tempos detidos pela Cedente em face dos Devedores , conforme as regras dos Arranjos de Pagamentos, decorrentes de Transações de Pagamento realizadas por Usuários -Finais com a utilização de Instrumentos de Pagamento, operacionalizadas pelo Sistema CloudWalk, para a aquisição de bens ou serviços nos Estabelecimentos Credenciados, equivalentes ao valor remanescente das Transações de Pagamento após o desconto das Taxas A plicáveis. Um Direito Creditório considerado individualmente poderá ser correspondente à integralidade de u</t>
        </is>
      </c>
    </row>
    <row r="224" ht="43.5" customHeight="1">
      <c r="A224" s="142" t="n">
        <v>44124617000194</v>
      </c>
      <c r="B224" s="75" t="inlineStr">
        <is>
          <t>44.124.617/0001-94</t>
        </is>
      </c>
      <c r="C224" s="75" t="inlineStr">
        <is>
          <t>tipo_recebivel</t>
        </is>
      </c>
      <c r="D224" s="75" t="inlineStr">
        <is>
          <t>os direitos creditórios de tempos em tempos detidos pela Cedente em face dos Devedores, conforme as regras dos Arranjos de Pagamentos, decorrentes de Transações de Pagamento realizadas por Usuários-Finais com a utilização de Instrumentos de Pagamento, operacionalizadas pelo Sistema CloudWalk , para a aquisição de bens ou serviços no s Estabelecimentos Credenciados, equivalentes ao valor remanescente das Transações de Pagamento após o desconto das Taxas Aplicáveis</t>
        </is>
      </c>
      <c r="E224" s="75" t="inlineStr">
        <is>
          <t>N/D</t>
        </is>
      </c>
      <c r="F224" s="75" t="inlineStr">
        <is>
          <t>regulamento</t>
        </is>
      </c>
      <c r="G224" s="75" t="inlineStr">
        <is>
          <t>851798</t>
        </is>
      </c>
      <c r="H224" s="75" t="inlineStr">
        <is>
          <t>regulamento</t>
        </is>
      </c>
      <c r="I224" s="75" t="inlineStr">
        <is>
          <t>2025-02-28</t>
        </is>
      </c>
      <c r="J224" s="75" t="inlineStr">
        <is>
          <t>99</t>
        </is>
      </c>
      <c r="K224" s="75" t="inlineStr">
        <is>
          <t>encontrado_explicito</t>
        </is>
      </c>
      <c r="L224" s="144" t="n">
        <v>0.92</v>
      </c>
      <c r="M224" s="75" t="inlineStr">
        <is>
          <t>data/raw/44124617000194/851798_regulamento_regulamento_851798_2025-02-28.pdf</t>
        </is>
      </c>
      <c r="N224" s="75" t="inlineStr">
        <is>
          <t>https://fnet.bmfbovespa.com.br/fnet/publico/downloadDocumento?id=851798</t>
        </is>
      </c>
      <c r="O224" s="75" t="inlineStr">
        <is>
          <t>ste Regulamento. Docusign Envelope ID: DAB063D1-08FC-4A53-8B1B-F1E9E807A5AE Página 99 de 118 “Direitos Creditórios” Significam os direitos creditórios de tempos em tempos detidos pela Cedente em face dos Devedores, conforme as regras dos Arranjos de Pagamentos, decorrentes de Transações de Pagamento realizadas por Usuários-Finais com a utilização de Instrumentos de Pagamento, operacionalizadas pelo Sistema CloudWalk , para a aquisição de bens ou serviços no s Estabelecimentos Credenciados, equivalentes ao valor remanescente das Transações de Pagamento após o desconto das Taxas Aplicáveis. Um Direito Creditório considerado individualmente poderá ser correspondente à integralidade de u</t>
        </is>
      </c>
    </row>
    <row r="225" ht="43.5" customHeight="1">
      <c r="A225" s="142" t="n">
        <v>44173467000109</v>
      </c>
      <c r="B225" s="75" t="inlineStr">
        <is>
          <t>44.173.467/0001-09</t>
        </is>
      </c>
      <c r="C225" s="75" t="inlineStr">
        <is>
          <t>cedente</t>
        </is>
      </c>
      <c r="D225" s="75" t="inlineStr">
        <is>
          <t>Parati</t>
        </is>
      </c>
      <c r="E225" s="75" t="inlineStr">
        <is>
          <t>N/D</t>
        </is>
      </c>
      <c r="F225" s="75" t="inlineStr">
        <is>
          <t>planilha_manual</t>
        </is>
      </c>
      <c r="G225" s="75" t="inlineStr">
        <is>
          <t>IMG_8704.JPG</t>
        </is>
      </c>
      <c r="H225" s="75" t="inlineStr">
        <is>
          <t>payload</t>
        </is>
      </c>
      <c r="I225" s="75" t="inlineStr">
        <is>
          <t>2024-11-28</t>
        </is>
      </c>
      <c r="J225" s="75" t="inlineStr">
        <is>
          <t>19</t>
        </is>
      </c>
      <c r="K225" s="75" t="inlineStr">
        <is>
          <t>aceito_payload</t>
        </is>
      </c>
      <c r="L225" s="144" t="n">
        <v>1</v>
      </c>
      <c r="M225" s="75" t="inlineStr">
        <is>
          <t>data/industry_study/generated_revision/artifact_payload.json</t>
        </is>
      </c>
      <c r="N225" s="75" t="inlineStr">
        <is>
          <t>N/D</t>
        </is>
      </c>
      <c r="O225" s="75" t="inlineStr">
        <is>
          <t>OBS da foto: Rating atual Baa1; se ajustar o rating na base, pode considerar perspectiva estável.</t>
        </is>
      </c>
    </row>
    <row r="226" ht="43.5" customHeight="1">
      <c r="A226" s="142" t="n">
        <v>44173467000109</v>
      </c>
      <c r="B226" s="75" t="inlineStr">
        <is>
          <t>44.173.467/0001-09</t>
        </is>
      </c>
      <c r="C226" s="75" t="inlineStr">
        <is>
          <t>minimo_estrutural_total</t>
        </is>
      </c>
      <c r="D226" s="75" t="inlineStr">
        <is>
          <t>10%</t>
        </is>
      </c>
      <c r="E226" s="75" t="inlineStr">
        <is>
          <t>suporte_total_pl</t>
        </is>
      </c>
      <c r="F226" s="75" t="inlineStr">
        <is>
          <t>payload_documental</t>
        </is>
      </c>
      <c r="G226" s="75" t="inlineStr">
        <is>
          <t>791513</t>
        </is>
      </c>
      <c r="H226" s="75" t="inlineStr">
        <is>
          <t>documento_curado</t>
        </is>
      </c>
      <c r="I226" s="75" t="inlineStr">
        <is>
          <t>2024-11-28</t>
        </is>
      </c>
      <c r="J226" s="75" t="inlineStr">
        <is>
          <t>19</t>
        </is>
      </c>
      <c r="K226" s="75" t="inlineStr">
        <is>
          <t>aceito_payload</t>
        </is>
      </c>
      <c r="L226" s="144" t="n">
        <v>1</v>
      </c>
      <c r="M226" s="75" t="inlineStr">
        <is>
          <t>data/industry_study/generated_revision/artifact_payload.json</t>
        </is>
      </c>
      <c r="N226" s="75" t="inlineStr">
        <is>
          <t>https://fnet.bmfbovespa.com.br/fnet/publico/downloadDocumento?id=791513</t>
        </is>
      </c>
      <c r="O226" s="75" t="inlineStr">
        <is>
          <t>Mínimo júnior calculado: subordinadas = 10,0% do PL e júnior = 10,0% das subordinadas.</t>
        </is>
      </c>
    </row>
    <row r="227" ht="43.5" customHeight="1">
      <c r="A227" s="142" t="n">
        <v>44173467000109</v>
      </c>
      <c r="B227" s="75" t="inlineStr">
        <is>
          <t>44.173.467/0001-09</t>
        </is>
      </c>
      <c r="C227" s="75" t="inlineStr">
        <is>
          <t>minimo_junior</t>
        </is>
      </c>
      <c r="D227" s="75" t="inlineStr">
        <is>
          <t>1%</t>
        </is>
      </c>
      <c r="E227" s="75" t="inlineStr">
        <is>
          <t>junior_pl_calculado</t>
        </is>
      </c>
      <c r="F227" s="75" t="inlineStr">
        <is>
          <t>payload_documental</t>
        </is>
      </c>
      <c r="G227" s="75" t="inlineStr">
        <is>
          <t>791513</t>
        </is>
      </c>
      <c r="H227" s="75" t="inlineStr">
        <is>
          <t>documento_curado</t>
        </is>
      </c>
      <c r="I227" s="75" t="inlineStr">
        <is>
          <t>2024-11-28</t>
        </is>
      </c>
      <c r="J227" s="75" t="inlineStr">
        <is>
          <t>19</t>
        </is>
      </c>
      <c r="K227" s="75" t="inlineStr">
        <is>
          <t>aceito_payload</t>
        </is>
      </c>
      <c r="L227" s="144" t="n">
        <v>1</v>
      </c>
      <c r="M227" s="75" t="inlineStr">
        <is>
          <t>data/industry_study/generated_revision/artifact_payload.json</t>
        </is>
      </c>
      <c r="N227" s="75" t="inlineStr">
        <is>
          <t>https://fnet.bmfbovespa.com.br/fnet/publico/downloadDocumento?id=791513</t>
        </is>
      </c>
      <c r="O227" s="75" t="inlineStr">
        <is>
          <t>Mínimo júnior calculado: subordinadas = 10,0% do PL e júnior = 10,0% das subordinadas.</t>
        </is>
      </c>
    </row>
    <row r="228" ht="43.5" customHeight="1">
      <c r="A228" s="142" t="n">
        <v>44173467000109</v>
      </c>
      <c r="B228" s="75" t="inlineStr">
        <is>
          <t>44.173.467/0001-09</t>
        </is>
      </c>
      <c r="C228" s="75" t="inlineStr">
        <is>
          <t>natureza_indice</t>
        </is>
      </c>
      <c r="D228" s="75" t="inlineStr">
        <is>
          <t>junior_pl_calculado</t>
        </is>
      </c>
      <c r="E228" s="75" t="inlineStr">
        <is>
          <t>junior_pl_calculado</t>
        </is>
      </c>
      <c r="F228" s="75" t="inlineStr">
        <is>
          <t>payload_documental</t>
        </is>
      </c>
      <c r="G228" s="75" t="inlineStr">
        <is>
          <t>791513</t>
        </is>
      </c>
      <c r="H228" s="75" t="inlineStr">
        <is>
          <t>documento_curado</t>
        </is>
      </c>
      <c r="I228" s="75" t="inlineStr">
        <is>
          <t>2024-11-28</t>
        </is>
      </c>
      <c r="J228" s="75" t="inlineStr">
        <is>
          <t>19</t>
        </is>
      </c>
      <c r="K228" s="75" t="inlineStr">
        <is>
          <t>aceito_payload</t>
        </is>
      </c>
      <c r="L228" s="144" t="n">
        <v>1</v>
      </c>
      <c r="M228" s="75" t="inlineStr">
        <is>
          <t>data/industry_study/generated_revision/artifact_payload.json</t>
        </is>
      </c>
      <c r="N228" s="75" t="inlineStr">
        <is>
          <t>https://fnet.bmfbovespa.com.br/fnet/publico/downloadDocumento?id=791513</t>
        </is>
      </c>
      <c r="O228" s="75" t="inlineStr">
        <is>
          <t>Mínimo júnior calculado: subordinadas = 10,0% do PL e júnior = 10,0% das subordinadas.</t>
        </is>
      </c>
    </row>
    <row r="229" ht="43.5" customHeight="1">
      <c r="A229" s="142" t="n">
        <v>44173467000109</v>
      </c>
      <c r="B229" s="75" t="inlineStr">
        <is>
          <t>44.173.467/0001-09</t>
        </is>
      </c>
      <c r="C229" s="75" t="inlineStr">
        <is>
          <t>tipo_recebivel</t>
        </is>
      </c>
      <c r="D229" s="75" t="inlineStr">
        <is>
          <t>Crédito consignado INSS</t>
        </is>
      </c>
      <c r="E229" s="75" t="inlineStr">
        <is>
          <t>N/D</t>
        </is>
      </c>
      <c r="F229" s="75" t="inlineStr">
        <is>
          <t>planilha_manual</t>
        </is>
      </c>
      <c r="G229" s="75" t="inlineStr">
        <is>
          <t>IMG_8704.JPG</t>
        </is>
      </c>
      <c r="H229" s="75" t="inlineStr">
        <is>
          <t>payload</t>
        </is>
      </c>
      <c r="I229" s="75" t="inlineStr">
        <is>
          <t>2024-11-28</t>
        </is>
      </c>
      <c r="J229" s="75" t="inlineStr">
        <is>
          <t>19</t>
        </is>
      </c>
      <c r="K229" s="75" t="inlineStr">
        <is>
          <t>aceito_payload</t>
        </is>
      </c>
      <c r="L229" s="144" t="n">
        <v>1</v>
      </c>
      <c r="M229" s="75" t="inlineStr">
        <is>
          <t>data/industry_study/generated_revision/artifact_payload.json</t>
        </is>
      </c>
      <c r="N229" s="75" t="inlineStr">
        <is>
          <t>N/D</t>
        </is>
      </c>
      <c r="O229" s="75" t="inlineStr">
        <is>
          <t>OBS da foto: Rating atual Baa1; se ajustar o rating na base, pode considerar perspectiva estável.</t>
        </is>
      </c>
    </row>
    <row r="230" ht="43.5" customHeight="1">
      <c r="A230" s="142" t="n">
        <v>44272584000120</v>
      </c>
      <c r="B230" s="75" t="inlineStr">
        <is>
          <t>44.272.584/0001-20</t>
        </is>
      </c>
      <c r="C230" s="75" t="inlineStr">
        <is>
          <t>cedente</t>
        </is>
      </c>
      <c r="D230" s="75" t="inlineStr">
        <is>
          <t>Lavoro Agrocomercial S.A., Agrocontato Comércio e Representações de Produtos Agropecuários S.A., Agrovenci - Comércio, Importação, Exportação e Agropecuário Ltda. e Distribuidora Pitangueiras de Produtos Agropecuários S.A. (em conjunto, Grupo Lavoro)</t>
        </is>
      </c>
      <c r="E230" s="75" t="inlineStr">
        <is>
          <t>rótulo explícito de participante v2</t>
        </is>
      </c>
      <c r="F230" s="75" t="inlineStr">
        <is>
          <t>rating_report</t>
        </is>
      </c>
      <c r="G230" s="75" t="inlineStr">
        <is>
          <t>727455</t>
        </is>
      </c>
      <c r="H230" s="75" t="inlineStr">
        <is>
          <t>Relatórios Relatório de Agência de Rating</t>
        </is>
      </c>
      <c r="I230" s="75" t="inlineStr">
        <is>
          <t>28/06/2024</t>
        </is>
      </c>
      <c r="J230" s="75" t="inlineStr">
        <is>
          <t>1</t>
        </is>
      </c>
      <c r="K230" s="75" t="inlineStr">
        <is>
          <t>encontrado_explicito</t>
        </is>
      </c>
      <c r="L230" s="144" t="n">
        <v>0.93</v>
      </c>
      <c r="M230" s="75" t="inlineStr">
        <is>
          <t>.cache/carteira_101_document_scan/44272584000120/727455.json.gz</t>
        </is>
      </c>
      <c r="N230" s="75" t="inlineStr">
        <is>
          <t>https://fnet.bmfbovespa.com.br/fnet/publico/downloadDocumento?id=727455</t>
        </is>
      </c>
      <c r="O230" s="75" t="inlineStr">
        <is>
          <t>ítulos e Valores Mobiliários Ltda. Gestora Kanastra Gestão de Recursos LTDA. Cedente Lavoro Agrocomercial S.A., Agrocontato Comércio e Representações de Produtos Agropecuários S.A., Agrovenci - Comércio, Importação, Exportação e Agropecuário Ltda. e Distribuidora Pitangueiras de Produtos Agropecuários S.A. (em conjunto, Grupo Lavoro) Provedor de conta bancária Itaú Unibanco S.A. Proteção de crédito Proporcio</t>
        </is>
      </c>
    </row>
    <row r="231" ht="43.5" customHeight="1">
      <c r="A231" s="142" t="n">
        <v>44272584000120</v>
      </c>
      <c r="B231" s="75" t="inlineStr">
        <is>
          <t>44.272.584/0001-20</t>
        </is>
      </c>
      <c r="C231" s="75" t="inlineStr">
        <is>
          <t>cedente</t>
        </is>
      </c>
      <c r="D231" s="75" t="inlineStr">
        <is>
          <t>Lavoro Agrocomercial S.A., Agrocontato Comércio e Representações de Produtos Agropecuários S.A., Agrovenci - Comércio, Importação, Exportação e Agropecuário Ltda. e Distribuidora Pitangueiras de Produtos Agropecuários S.A. (em conjunto, Grupo Lavoro)</t>
        </is>
      </c>
      <c r="E231" s="75" t="inlineStr">
        <is>
          <t>rótulo explícito de participante v2</t>
        </is>
      </c>
      <c r="F231" s="75" t="inlineStr">
        <is>
          <t>rating_report</t>
        </is>
      </c>
      <c r="G231" s="75" t="inlineStr">
        <is>
          <t>798158</t>
        </is>
      </c>
      <c r="H231" s="75" t="inlineStr">
        <is>
          <t>Relatórios Relatório de Agência de Rating</t>
        </is>
      </c>
      <c r="I231" s="75" t="inlineStr">
        <is>
          <t>30/09/2024</t>
        </is>
      </c>
      <c r="J231" s="75" t="inlineStr">
        <is>
          <t>1</t>
        </is>
      </c>
      <c r="K231" s="75" t="inlineStr">
        <is>
          <t>encontrado_explicito</t>
        </is>
      </c>
      <c r="L231" s="144" t="n">
        <v>0.93</v>
      </c>
      <c r="M231" s="75" t="inlineStr">
        <is>
          <t>.cache/carteira_101_document_scan/44272584000120/798158.json.gz</t>
        </is>
      </c>
      <c r="N231" s="75" t="inlineStr">
        <is>
          <t>https://fnet.bmfbovespa.com.br/fnet/publico/downloadDocumento?id=798158</t>
        </is>
      </c>
      <c r="O231" s="75" t="inlineStr">
        <is>
          <t>Titulos e Valores Mobiliários Ltda. Gestora Kanastra Gestão de Recursos LTDA. Cedente Lavoro Agrocomercial S.A., Agrocontato Comércio e Representações de Produtos Agropecuários S.A., Agrovenci - Comércio, Importação, Exportação e Agropecuário Ltda. e Distribuidora Pitangueiras de Produtos Agropecuários S.A. (em conjunto, Grupo Lavoro) Provedor de conta bancária Itaú Unibanco S.A. Proteção de crédito Proporcionad</t>
        </is>
      </c>
    </row>
    <row r="232" ht="43.5" customHeight="1">
      <c r="A232" s="142" t="n">
        <v>44272584000120</v>
      </c>
      <c r="B232" s="75" t="inlineStr">
        <is>
          <t>44.272.584/0001-20</t>
        </is>
      </c>
      <c r="C232" s="75" t="inlineStr">
        <is>
          <t>cedente</t>
        </is>
      </c>
      <c r="D232" s="75" t="inlineStr">
        <is>
          <t>Lavoro</t>
        </is>
      </c>
      <c r="E232" s="75" t="inlineStr">
        <is>
          <t>N/D</t>
        </is>
      </c>
      <c r="F232" s="75" t="inlineStr">
        <is>
          <t>planilha_manual</t>
        </is>
      </c>
      <c r="G232" s="75" t="inlineStr">
        <is>
          <t>IMG_8705.JPG</t>
        </is>
      </c>
      <c r="H232" s="75" t="inlineStr">
        <is>
          <t>payload</t>
        </is>
      </c>
      <c r="I232" s="75" t="inlineStr">
        <is>
          <t>2025-09-30</t>
        </is>
      </c>
      <c r="J232" s="75" t="inlineStr">
        <is>
          <t>133</t>
        </is>
      </c>
      <c r="K232" s="75" t="inlineStr">
        <is>
          <t>aceito_payload</t>
        </is>
      </c>
      <c r="L232" s="144" t="n">
        <v>1</v>
      </c>
      <c r="M232" s="75" t="inlineStr">
        <is>
          <t>data/industry_study/generated_revision/artifact_payload.json</t>
        </is>
      </c>
      <c r="N232" s="75" t="inlineStr">
        <is>
          <t>N/D</t>
        </is>
      </c>
      <c r="O232" s="75" t="inlineStr">
        <is>
          <t>OBS da foto: Realizamos ajuste tempestivo para Ba1 - carteira vence em 30/04 - acompanhamento mensal. Denominação cortada.</t>
        </is>
      </c>
    </row>
    <row r="233" ht="43.5" customHeight="1">
      <c r="A233" s="142" t="n">
        <v>44272584000120</v>
      </c>
      <c r="B233" s="75" t="inlineStr">
        <is>
          <t>44.272.584/0001-20</t>
        </is>
      </c>
      <c r="C233" s="75" t="inlineStr">
        <is>
          <t>minimo_junior</t>
        </is>
      </c>
      <c r="D233" s="75" t="inlineStr">
        <is>
          <t>5%</t>
        </is>
      </c>
      <c r="E233" s="75" t="inlineStr">
        <is>
          <t>junior_pl</t>
        </is>
      </c>
      <c r="F233" s="75" t="inlineStr">
        <is>
          <t>payload_documental</t>
        </is>
      </c>
      <c r="G233" s="75" t="inlineStr">
        <is>
          <t>1003378</t>
        </is>
      </c>
      <c r="H233" s="75" t="inlineStr">
        <is>
          <t>documento_curado</t>
        </is>
      </c>
      <c r="I233" s="75" t="inlineStr">
        <is>
          <t>2025-09-30</t>
        </is>
      </c>
      <c r="J233" s="75" t="inlineStr">
        <is>
          <t>133</t>
        </is>
      </c>
      <c r="K233" s="75" t="inlineStr">
        <is>
          <t>aceito_payload</t>
        </is>
      </c>
      <c r="L233" s="144" t="n">
        <v>1</v>
      </c>
      <c r="M233" s="75" t="inlineStr">
        <is>
          <t>data/industry_study/generated_revision/artifact_payload.json</t>
        </is>
      </c>
      <c r="N233" s="75" t="inlineStr">
        <is>
          <t>https://fnet.bmfbovespa.com.br/fnet/publico/downloadDocumento?id=1003378</t>
        </is>
      </c>
      <c r="O233" s="75" t="inlineStr">
        <is>
          <t>Proporção de cotas subordinadas júnior / PL, mínimo de 5,0%.</t>
        </is>
      </c>
    </row>
    <row r="234" ht="43.5" customHeight="1">
      <c r="A234" s="142" t="n">
        <v>44272584000120</v>
      </c>
      <c r="B234" s="75" t="inlineStr">
        <is>
          <t>44.272.584/0001-20</t>
        </is>
      </c>
      <c r="C234" s="75" t="inlineStr">
        <is>
          <t>natureza_indice</t>
        </is>
      </c>
      <c r="D234" s="75" t="inlineStr">
        <is>
          <t>junior_pl</t>
        </is>
      </c>
      <c r="E234" s="75" t="inlineStr">
        <is>
          <t>junior_pl</t>
        </is>
      </c>
      <c r="F234" s="75" t="inlineStr">
        <is>
          <t>payload_documental</t>
        </is>
      </c>
      <c r="G234" s="75" t="inlineStr">
        <is>
          <t>1003378</t>
        </is>
      </c>
      <c r="H234" s="75" t="inlineStr">
        <is>
          <t>documento_curado</t>
        </is>
      </c>
      <c r="I234" s="75" t="inlineStr">
        <is>
          <t>2025-09-30</t>
        </is>
      </c>
      <c r="J234" s="75" t="inlineStr">
        <is>
          <t>133</t>
        </is>
      </c>
      <c r="K234" s="75" t="inlineStr">
        <is>
          <t>aceito_payload</t>
        </is>
      </c>
      <c r="L234" s="144" t="n">
        <v>1</v>
      </c>
      <c r="M234" s="75" t="inlineStr">
        <is>
          <t>data/industry_study/generated_revision/artifact_payload.json</t>
        </is>
      </c>
      <c r="N234" s="75" t="inlineStr">
        <is>
          <t>https://fnet.bmfbovespa.com.br/fnet/publico/downloadDocumento?id=1003378</t>
        </is>
      </c>
      <c r="O234" s="75" t="inlineStr">
        <is>
          <t>Proporção de cotas subordinadas júnior / PL, mínimo de 5,0%.</t>
        </is>
      </c>
    </row>
    <row r="235" ht="43.5" customHeight="1">
      <c r="A235" s="142" t="n">
        <v>44574361000117</v>
      </c>
      <c r="B235" s="75" t="inlineStr">
        <is>
          <t>44.574.361/0001-17</t>
        </is>
      </c>
      <c r="C235" s="75" t="inlineStr">
        <is>
          <t>cedente</t>
        </is>
      </c>
      <c r="D235" s="75" t="inlineStr">
        <is>
          <t>UPL</t>
        </is>
      </c>
      <c r="E235" s="75" t="inlineStr">
        <is>
          <t>N/D</t>
        </is>
      </c>
      <c r="F235" s="75" t="inlineStr">
        <is>
          <t>planilha_manual</t>
        </is>
      </c>
      <c r="G235" s="75" t="inlineStr">
        <is>
          <t>IMG_8704.JPG</t>
        </is>
      </c>
      <c r="H235" s="75" t="inlineStr">
        <is>
          <t>payload</t>
        </is>
      </c>
      <c r="I235" s="75" t="inlineStr">
        <is>
          <t>2025-06-12</t>
        </is>
      </c>
      <c r="J235" s="75" t="inlineStr">
        <is>
          <t>133</t>
        </is>
      </c>
      <c r="K235" s="75" t="inlineStr">
        <is>
          <t>aceito_payload</t>
        </is>
      </c>
      <c r="L235" s="144" t="n">
        <v>1</v>
      </c>
      <c r="M235" s="75" t="inlineStr">
        <is>
          <t>data/industry_study/generated_revision/artifact_payload.json</t>
        </is>
      </c>
      <c r="N235" s="75" t="inlineStr">
        <is>
          <t>N/D</t>
        </is>
      </c>
      <c r="O235" s="75" t="inlineStr">
        <is>
          <t>N/D</t>
        </is>
      </c>
    </row>
    <row r="236" ht="43.5" customHeight="1">
      <c r="A236" s="142" t="n">
        <v>44574361000117</v>
      </c>
      <c r="B236" s="75" t="inlineStr">
        <is>
          <t>44.574.361/0001-17</t>
        </is>
      </c>
      <c r="C236" s="75" t="inlineStr">
        <is>
          <t>minimo_estrutural_total</t>
        </is>
      </c>
      <c r="D236" s="75" t="inlineStr">
        <is>
          <t>15%</t>
        </is>
      </c>
      <c r="E236" s="75" t="inlineStr">
        <is>
          <t>suporte_total_pl</t>
        </is>
      </c>
      <c r="F236" s="75" t="inlineStr">
        <is>
          <t>payload_documental</t>
        </is>
      </c>
      <c r="G236" s="75" t="inlineStr">
        <is>
          <t>928360</t>
        </is>
      </c>
      <c r="H236" s="75" t="inlineStr">
        <is>
          <t>documento_curado</t>
        </is>
      </c>
      <c r="I236" s="75" t="inlineStr">
        <is>
          <t>2025-06-12</t>
        </is>
      </c>
      <c r="J236" s="75" t="inlineStr">
        <is>
          <t>133</t>
        </is>
      </c>
      <c r="K236" s="75" t="inlineStr">
        <is>
          <t>aceito_payload</t>
        </is>
      </c>
      <c r="L236" s="144" t="n">
        <v>1</v>
      </c>
      <c r="M236" s="75" t="inlineStr">
        <is>
          <t>data/industry_study/generated_revision/artifact_payload.json</t>
        </is>
      </c>
      <c r="N236" s="75" t="inlineStr">
        <is>
          <t>https://fnet.bmfbovespa.com.br/fnet/publico/downloadDocumento?id=928360</t>
        </is>
      </c>
      <c r="O236" s="75" t="inlineStr">
        <is>
          <t>N/D</t>
        </is>
      </c>
    </row>
    <row r="237" ht="43.5" customHeight="1">
      <c r="A237" s="142" t="n">
        <v>44574361000117</v>
      </c>
      <c r="B237" s="75" t="inlineStr">
        <is>
          <t>44.574.361/0001-17</t>
        </is>
      </c>
      <c r="C237" s="75" t="inlineStr">
        <is>
          <t>natureza_indice</t>
        </is>
      </c>
      <c r="D237" s="75" t="inlineStr">
        <is>
          <t>suporte_total_pl</t>
        </is>
      </c>
      <c r="E237" s="75" t="inlineStr">
        <is>
          <t>suporte_total_pl</t>
        </is>
      </c>
      <c r="F237" s="75" t="inlineStr">
        <is>
          <t>payload_documental</t>
        </is>
      </c>
      <c r="G237" s="75" t="inlineStr">
        <is>
          <t>928360</t>
        </is>
      </c>
      <c r="H237" s="75" t="inlineStr">
        <is>
          <t>documento_curado</t>
        </is>
      </c>
      <c r="I237" s="75" t="inlineStr">
        <is>
          <t>2025-06-12</t>
        </is>
      </c>
      <c r="J237" s="75" t="inlineStr">
        <is>
          <t>133</t>
        </is>
      </c>
      <c r="K237" s="75" t="inlineStr">
        <is>
          <t>aceito_payload</t>
        </is>
      </c>
      <c r="L237" s="144" t="n">
        <v>1</v>
      </c>
      <c r="M237" s="75" t="inlineStr">
        <is>
          <t>data/industry_study/generated_revision/artifact_payload.json</t>
        </is>
      </c>
      <c r="N237" s="75" t="inlineStr">
        <is>
          <t>https://fnet.bmfbovespa.com.br/fnet/publico/downloadDocumento?id=928360</t>
        </is>
      </c>
      <c r="O237" s="75" t="inlineStr">
        <is>
          <t>N/D</t>
        </is>
      </c>
    </row>
    <row r="238" ht="43.5" customHeight="1">
      <c r="A238" s="142" t="n">
        <v>44574361000117</v>
      </c>
      <c r="B238" s="75" t="inlineStr">
        <is>
          <t>44.574.361/0001-17</t>
        </is>
      </c>
      <c r="C238" s="75" t="inlineStr">
        <is>
          <t>originador</t>
        </is>
      </c>
      <c r="D238" s="75" t="inlineStr">
        <is>
          <t>UPL Brasil/UPL</t>
        </is>
      </c>
      <c r="E238" s="75" t="inlineStr">
        <is>
          <t>rótulo explícito de participante v2</t>
        </is>
      </c>
      <c r="F238" s="75" t="inlineStr">
        <is>
          <t>rating_report</t>
        </is>
      </c>
      <c r="G238" s="75" t="inlineStr">
        <is>
          <t>1263074</t>
        </is>
      </c>
      <c r="H238" s="75" t="inlineStr">
        <is>
          <t>Relatórios Relatório de Agência de Rating</t>
        </is>
      </c>
      <c r="I238" s="75" t="inlineStr">
        <is>
          <t>15/05/2026</t>
        </is>
      </c>
      <c r="J238" s="75" t="inlineStr">
        <is>
          <t>1</t>
        </is>
      </c>
      <c r="K238" s="75" t="inlineStr">
        <is>
          <t>encontrado_explicito</t>
        </is>
      </c>
      <c r="L238" s="144" t="n">
        <v>0.93</v>
      </c>
      <c r="M238" s="75" t="inlineStr">
        <is>
          <t>.cache/carteira_101_document_scan/44574361000117/1263074.json.gz</t>
        </is>
      </c>
      <c r="N238" s="75" t="inlineStr">
        <is>
          <t>https://fnet.bmfbovespa.com.br/fnet/publico/downloadDocumento?id=1263074</t>
        </is>
      </c>
      <c r="O238" s="75" t="inlineStr">
        <is>
          <t>agrícolas pela UPL do Brasil Indústria e Comércio de Insumos Agropecuários S/A (UPL Brasil/UPL / Originador) junto a produtores rurais e revendas (Direitos Creditórios Agro / DCs Agro), o</t>
        </is>
      </c>
    </row>
    <row r="239" ht="43.5" customHeight="1">
      <c r="A239" s="142" t="n">
        <v>44574361000117</v>
      </c>
      <c r="B239" s="75" t="inlineStr">
        <is>
          <t>44.574.361/0001-17</t>
        </is>
      </c>
      <c r="C239" s="75" t="inlineStr">
        <is>
          <t>originador</t>
        </is>
      </c>
      <c r="D239" s="75" t="inlineStr">
        <is>
          <t>UPL Brasil/UPL</t>
        </is>
      </c>
      <c r="E239" s="75" t="inlineStr">
        <is>
          <t>rótulo explícito de participante v2</t>
        </is>
      </c>
      <c r="F239" s="75" t="inlineStr">
        <is>
          <t>rating_report</t>
        </is>
      </c>
      <c r="G239" s="75" t="inlineStr">
        <is>
          <t>1126517</t>
        </is>
      </c>
      <c r="H239" s="75" t="inlineStr">
        <is>
          <t>Relatórios Relatório de Agência de Rating</t>
        </is>
      </c>
      <c r="I239" s="75" t="inlineStr">
        <is>
          <t>25/02/2026</t>
        </is>
      </c>
      <c r="J239" s="75" t="inlineStr">
        <is>
          <t>1</t>
        </is>
      </c>
      <c r="K239" s="75" t="inlineStr">
        <is>
          <t>encontrado_explicito</t>
        </is>
      </c>
      <c r="L239" s="144" t="n">
        <v>0.93</v>
      </c>
      <c r="M239" s="75" t="inlineStr">
        <is>
          <t>.cache/carteira_101_document_scan/44574361000117/1126517.json.gz</t>
        </is>
      </c>
      <c r="N239" s="75" t="inlineStr">
        <is>
          <t>https://fnet.bmfbovespa.com.br/fnet/publico/downloadDocumento?id=1126517</t>
        </is>
      </c>
      <c r="O239" s="75" t="inlineStr">
        <is>
          <t>agrícolas pela UPL do Brasil Indústria e Comércio de Insumos Agropecuários S/A (UPL Brasil/UPL / Originador) junto a produtores rurais e revendas (Direitos Creditórios Agro / DCs Agro), o</t>
        </is>
      </c>
    </row>
    <row r="240" ht="43.5" customHeight="1">
      <c r="A240" s="142" t="n">
        <v>44574361000117</v>
      </c>
      <c r="B240" s="75" t="inlineStr">
        <is>
          <t>44.574.361/0001-17</t>
        </is>
      </c>
      <c r="C240" s="75" t="inlineStr">
        <is>
          <t>tipo_recebivel</t>
        </is>
      </c>
      <c r="D240" s="75" t="inlineStr">
        <is>
          <t>Insumos Agrícolas - prazo Safra</t>
        </is>
      </c>
      <c r="E240" s="75" t="inlineStr">
        <is>
          <t>N/D</t>
        </is>
      </c>
      <c r="F240" s="75" t="inlineStr">
        <is>
          <t>planilha_manual</t>
        </is>
      </c>
      <c r="G240" s="75" t="inlineStr">
        <is>
          <t>IMG_8704.JPG</t>
        </is>
      </c>
      <c r="H240" s="75" t="inlineStr">
        <is>
          <t>payload</t>
        </is>
      </c>
      <c r="I240" s="75" t="inlineStr">
        <is>
          <t>2025-06-12</t>
        </is>
      </c>
      <c r="J240" s="75" t="inlineStr">
        <is>
          <t>133</t>
        </is>
      </c>
      <c r="K240" s="75" t="inlineStr">
        <is>
          <t>aceito_payload</t>
        </is>
      </c>
      <c r="L240" s="144" t="n">
        <v>1</v>
      </c>
      <c r="M240" s="75" t="inlineStr">
        <is>
          <t>data/industry_study/generated_revision/artifact_payload.json</t>
        </is>
      </c>
      <c r="N240" s="75" t="inlineStr">
        <is>
          <t>N/D</t>
        </is>
      </c>
      <c r="O240" s="75" t="inlineStr">
        <is>
          <t>N/D</t>
        </is>
      </c>
    </row>
    <row r="241" ht="43.5" customHeight="1">
      <c r="A241" s="142" t="n">
        <v>45123558000100</v>
      </c>
      <c r="B241" s="75" t="inlineStr">
        <is>
          <t>45.123.558/0001-00</t>
        </is>
      </c>
      <c r="C241" s="75" t="inlineStr">
        <is>
          <t>natureza_indice</t>
        </is>
      </c>
      <c r="D241" s="75" t="inlineStr">
        <is>
          <t>fora_perimetro</t>
        </is>
      </c>
      <c r="E241" s="75" t="inlineStr">
        <is>
          <t>fora_perimetro</t>
        </is>
      </c>
      <c r="F241" s="75" t="inlineStr">
        <is>
          <t>payload_documental</t>
        </is>
      </c>
      <c r="G241" s="75" t="inlineStr">
        <is>
          <t>N/D</t>
        </is>
      </c>
      <c r="H241" s="75" t="inlineStr">
        <is>
          <t>documento_curado</t>
        </is>
      </c>
      <c r="I241" s="75" t="inlineStr">
        <is>
          <t>N/D</t>
        </is>
      </c>
      <c r="J241" s="75" t="inlineStr">
        <is>
          <t>N/D</t>
        </is>
      </c>
      <c r="K241" s="75" t="inlineStr">
        <is>
          <t>aceito_payload</t>
        </is>
      </c>
      <c r="L241" s="144" t="n">
        <v>1</v>
      </c>
      <c r="M241" s="75" t="inlineStr">
        <is>
          <t>data/industry_study/generated_revision/artifact_payload.json</t>
        </is>
      </c>
      <c r="N241" s="75" t="inlineStr">
        <is>
          <t>N/D</t>
        </is>
      </c>
      <c r="O241" s="75" t="inlineStr">
        <is>
          <t>N/D</t>
        </is>
      </c>
    </row>
    <row r="242" ht="43.5" customHeight="1">
      <c r="A242" s="142" t="n">
        <v>45523699000102</v>
      </c>
      <c r="B242" s="75" t="inlineStr">
        <is>
          <t>45.523.699/0001-02</t>
        </is>
      </c>
      <c r="C242" s="75" t="inlineStr">
        <is>
          <t>cedente</t>
        </is>
      </c>
      <c r="D242" s="75" t="inlineStr">
        <is>
          <t>Vixtra Tecnologia e Serviços Financeiros</t>
        </is>
      </c>
      <c r="E242" s="75" t="inlineStr">
        <is>
          <t>N/D</t>
        </is>
      </c>
      <c r="F242" s="75" t="inlineStr">
        <is>
          <t>planilha_manual</t>
        </is>
      </c>
      <c r="G242" s="75" t="inlineStr">
        <is>
          <t>IMG_8704.JPG</t>
        </is>
      </c>
      <c r="H242" s="75" t="inlineStr">
        <is>
          <t>payload</t>
        </is>
      </c>
      <c r="I242" s="75" t="inlineStr">
        <is>
          <t>2025-10-30</t>
        </is>
      </c>
      <c r="J242" s="75" t="inlineStr">
        <is>
          <t>26</t>
        </is>
      </c>
      <c r="K242" s="75" t="inlineStr">
        <is>
          <t>aceito_payload</t>
        </is>
      </c>
      <c r="L242" s="144" t="n">
        <v>1</v>
      </c>
      <c r="M242" s="75" t="inlineStr">
        <is>
          <t>data/industry_study/generated_revision/artifact_payload.json</t>
        </is>
      </c>
      <c r="N242" s="75" t="inlineStr">
        <is>
          <t>N/D</t>
        </is>
      </c>
      <c r="O242" s="75" t="inlineStr">
        <is>
          <t>N/D</t>
        </is>
      </c>
    </row>
    <row r="243" ht="43.5" customHeight="1">
      <c r="A243" s="142" t="n">
        <v>45523699000102</v>
      </c>
      <c r="B243" s="75" t="inlineStr">
        <is>
          <t>45.523.699/0001-02</t>
        </is>
      </c>
      <c r="C243" s="75" t="inlineStr">
        <is>
          <t>minimo_junior</t>
        </is>
      </c>
      <c r="D243" s="75" t="inlineStr">
        <is>
          <t>10%</t>
        </is>
      </c>
      <c r="E243" s="75" t="inlineStr">
        <is>
          <t>junior_pl</t>
        </is>
      </c>
      <c r="F243" s="75" t="inlineStr">
        <is>
          <t>payload_documental</t>
        </is>
      </c>
      <c r="G243" s="75" t="inlineStr">
        <is>
          <t>1024756</t>
        </is>
      </c>
      <c r="H243" s="75" t="inlineStr">
        <is>
          <t>documento_curado</t>
        </is>
      </c>
      <c r="I243" s="75" t="inlineStr">
        <is>
          <t>2025-10-30</t>
        </is>
      </c>
      <c r="J243" s="75" t="inlineStr">
        <is>
          <t>26</t>
        </is>
      </c>
      <c r="K243" s="75" t="inlineStr">
        <is>
          <t>aceito_payload</t>
        </is>
      </c>
      <c r="L243" s="144" t="n">
        <v>1</v>
      </c>
      <c r="M243" s="75" t="inlineStr">
        <is>
          <t>data/industry_study/generated_revision/artifact_payload.json</t>
        </is>
      </c>
      <c r="N243" s="75" t="inlineStr">
        <is>
          <t>https://fnet.bmfbovespa.com.br/fnet/publico/downloadDocumento?id=1024756</t>
        </is>
      </c>
      <c r="O243" s="75" t="inlineStr">
        <is>
          <t>Cotas subordinadas júnior / PL, mínimo de 10,0%.</t>
        </is>
      </c>
    </row>
    <row r="244" ht="43.5" customHeight="1">
      <c r="A244" s="142" t="n">
        <v>45523699000102</v>
      </c>
      <c r="B244" s="75" t="inlineStr">
        <is>
          <t>45.523.699/0001-02</t>
        </is>
      </c>
      <c r="C244" s="75" t="inlineStr">
        <is>
          <t>natureza_indice</t>
        </is>
      </c>
      <c r="D244" s="75" t="inlineStr">
        <is>
          <t>junior_pl</t>
        </is>
      </c>
      <c r="E244" s="75" t="inlineStr">
        <is>
          <t>junior_pl</t>
        </is>
      </c>
      <c r="F244" s="75" t="inlineStr">
        <is>
          <t>payload_documental</t>
        </is>
      </c>
      <c r="G244" s="75" t="inlineStr">
        <is>
          <t>1024756</t>
        </is>
      </c>
      <c r="H244" s="75" t="inlineStr">
        <is>
          <t>documento_curado</t>
        </is>
      </c>
      <c r="I244" s="75" t="inlineStr">
        <is>
          <t>2025-10-30</t>
        </is>
      </c>
      <c r="J244" s="75" t="inlineStr">
        <is>
          <t>26</t>
        </is>
      </c>
      <c r="K244" s="75" t="inlineStr">
        <is>
          <t>aceito_payload</t>
        </is>
      </c>
      <c r="L244" s="144" t="n">
        <v>1</v>
      </c>
      <c r="M244" s="75" t="inlineStr">
        <is>
          <t>data/industry_study/generated_revision/artifact_payload.json</t>
        </is>
      </c>
      <c r="N244" s="75" t="inlineStr">
        <is>
          <t>https://fnet.bmfbovespa.com.br/fnet/publico/downloadDocumento?id=1024756</t>
        </is>
      </c>
      <c r="O244" s="75" t="inlineStr">
        <is>
          <t>Cotas subordinadas júnior / PL, mínimo de 10,0%.</t>
        </is>
      </c>
    </row>
    <row r="245" ht="43.5" customHeight="1">
      <c r="A245" s="142" t="n">
        <v>45523699000102</v>
      </c>
      <c r="B245" s="75" t="inlineStr">
        <is>
          <t>45.523.699/0001-02</t>
        </is>
      </c>
      <c r="C245" s="75" t="inlineStr">
        <is>
          <t>sacado_devedor</t>
        </is>
      </c>
      <c r="D245" s="75" t="inlineStr">
        <is>
          <t>43.443.444/0001-04</t>
        </is>
      </c>
      <c r="E245" s="75" t="inlineStr">
        <is>
          <t>N/D</t>
        </is>
      </c>
      <c r="F245" s="75" t="inlineStr">
        <is>
          <t>candidate_extraction</t>
        </is>
      </c>
      <c r="G245" s="75" t="inlineStr">
        <is>
          <t>45523699000102</t>
        </is>
      </c>
      <c r="H245" s="75" t="inlineStr">
        <is>
          <t>extração heurística</t>
        </is>
      </c>
      <c r="I245" s="75" t="inlineStr">
        <is>
          <t>N/D</t>
        </is>
      </c>
      <c r="J245" s="75" t="inlineStr">
        <is>
          <t>N/D</t>
        </is>
      </c>
      <c r="K245" s="75" t="inlineStr">
        <is>
          <t>candidato_revisao</t>
        </is>
      </c>
      <c r="L245" s="144" t="n">
        <v>0.95</v>
      </c>
      <c r="M245" s="75" t="inlineStr">
        <is>
          <t>outputs/fidc_director_deep_diagnostic_20260609/pdf_text_cache/45523699000102_1024756_regulamento_regulamento_1024756_2025-10-30_2025-10-30.txt</t>
        </is>
      </c>
      <c r="N245" s="75" t="inlineStr">
        <is>
          <t>https://fnet.bmfbovespa.com.br/fnet/publico/downloadDocumento?id=45523699000102</t>
        </is>
      </c>
      <c r="O245" s="75" t="inlineStr">
        <is>
          <t>º 43.443.444/0001-04, foi contratada para, na qualidade de Agente de Cobrança, prestar ao Fundo os serviços de cobrança extraordinária dos Direitos Creditórios Cedidos que venham a ser inadimplidos pelos respectivos Devedores. 7.4.1 O Agente de Cobrança, visando a tutela dos interesses do Fundo, deverá adotar todo e qualquer mecanismo ou procedimento de cobrança nos termos da Política de Cobrança definida no Anexo III, sendo as despes</t>
        </is>
      </c>
    </row>
    <row r="246" ht="43.5" customHeight="1">
      <c r="A246" s="142" t="n">
        <v>45523699000102</v>
      </c>
      <c r="B246" s="75" t="inlineStr">
        <is>
          <t>45.523.699/0001-02</t>
        </is>
      </c>
      <c r="C246" s="75" t="inlineStr">
        <is>
          <t>tipo_recebivel</t>
        </is>
      </c>
      <c r="D246" s="75" t="inlineStr">
        <is>
          <t>FIDC Trading</t>
        </is>
      </c>
      <c r="E246" s="75" t="inlineStr">
        <is>
          <t>N/D</t>
        </is>
      </c>
      <c r="F246" s="75" t="inlineStr">
        <is>
          <t>planilha_manual</t>
        </is>
      </c>
      <c r="G246" s="75" t="inlineStr">
        <is>
          <t>IMG_8704.JPG</t>
        </is>
      </c>
      <c r="H246" s="75" t="inlineStr">
        <is>
          <t>payload</t>
        </is>
      </c>
      <c r="I246" s="75" t="inlineStr">
        <is>
          <t>2025-10-30</t>
        </is>
      </c>
      <c r="J246" s="75" t="inlineStr">
        <is>
          <t>26</t>
        </is>
      </c>
      <c r="K246" s="75" t="inlineStr">
        <is>
          <t>aceito_payload</t>
        </is>
      </c>
      <c r="L246" s="144" t="n">
        <v>1</v>
      </c>
      <c r="M246" s="75" t="inlineStr">
        <is>
          <t>data/industry_study/generated_revision/artifact_payload.json</t>
        </is>
      </c>
      <c r="N246" s="75" t="inlineStr">
        <is>
          <t>N/D</t>
        </is>
      </c>
      <c r="O246" s="75" t="inlineStr">
        <is>
          <t>N/D</t>
        </is>
      </c>
    </row>
    <row r="247" ht="43.5" customHeight="1">
      <c r="A247" s="142" t="n">
        <v>45598747000121</v>
      </c>
      <c r="B247" s="75" t="inlineStr">
        <is>
          <t>45.598.747/0001-21</t>
        </is>
      </c>
      <c r="C247" s="75" t="inlineStr">
        <is>
          <t>cedente</t>
        </is>
      </c>
      <c r="D247" s="75" t="inlineStr">
        <is>
          <t>a SUMUP INSTITUIÇÃO DE PAGAMENTO BRASIL LTDA., sociedade limitada com sede na Cidade e Estado de São Paulo, na Rua Gilberto Sabino, nº 215, 10º andar, Pinheiros, CEP: 05425-020, inscrita no CNPJ/MF sob o nº 16.668.076/0001-20</t>
        </is>
      </c>
      <c r="E247" s="75" t="inlineStr">
        <is>
          <t>N/D</t>
        </is>
      </c>
      <c r="F247" s="75" t="inlineStr">
        <is>
          <t>regulamento</t>
        </is>
      </c>
      <c r="G247" s="75" t="inlineStr">
        <is>
          <t>791590</t>
        </is>
      </c>
      <c r="H247" s="75" t="inlineStr">
        <is>
          <t>regulamento</t>
        </is>
      </c>
      <c r="I247" s="75" t="inlineStr">
        <is>
          <t>2024-11-29</t>
        </is>
      </c>
      <c r="J247" s="75" t="inlineStr">
        <is>
          <t>88</t>
        </is>
      </c>
      <c r="K247" s="75" t="inlineStr">
        <is>
          <t>encontrado_explicito</t>
        </is>
      </c>
      <c r="L247" s="144" t="n">
        <v>0.95</v>
      </c>
      <c r="M247" s="75" t="inlineStr">
        <is>
          <t>data/raw/45598747000121/791590_regulamento_regulamento_791590_2024-11-29.pdf</t>
        </is>
      </c>
      <c r="N247" s="75" t="inlineStr">
        <is>
          <t>https://fnet.bmfbovespa.com.br/fnet/publico/downloadDocumento?id=791590</t>
        </is>
      </c>
      <c r="O247" s="75" t="inlineStr">
        <is>
          <t>ório ou na obrigação de devolução do valor anteriormente pago pelos Devedores (inclusive por meio de compensação). “Cedente” significa a SUMUP INSTITUIÇÃO DE PAGAMENTO BRASIL LTDA., sociedade limitada com sede na Cidade e Estado de São Paulo, na Rua Gilberto Sabino, nº 215, 10º andar, Pinheiros, CEP: 05425-020, inscrita no CNPJ/MF sob o nº 16.668.076/0001-20. “Chargeback” significa a contestação de uma Transação de Pagamento, no todo ou em parte, pelo respectivo Usuário</t>
        </is>
      </c>
    </row>
    <row r="248" ht="43.5" customHeight="1">
      <c r="A248" s="142" t="n">
        <v>45598747000121</v>
      </c>
      <c r="B248" s="75" t="inlineStr">
        <is>
          <t>45.598.747/0001-21</t>
        </is>
      </c>
      <c r="C248" s="75" t="inlineStr">
        <is>
          <t>cedente</t>
        </is>
      </c>
      <c r="D248" s="75" t="inlineStr">
        <is>
          <t>a SUMUP INSTITUIÇÃO DE PAGAMENTO BRASIL LTDA., sociedade limitada com sede na Cidade e Estado de São Paulo, na Rua Gilberto Sabino, nº 215, 10º andar, Pinheiros, CEP: 05425-020, inscrita no CNPJ/MF sob o nº 16.668.076/0001-20</t>
        </is>
      </c>
      <c r="E248" s="75" t="inlineStr">
        <is>
          <t>N/D</t>
        </is>
      </c>
      <c r="F248" s="75" t="inlineStr">
        <is>
          <t>regulamento</t>
        </is>
      </c>
      <c r="G248" s="75" t="inlineStr">
        <is>
          <t>883977</t>
        </is>
      </c>
      <c r="H248" s="75" t="inlineStr">
        <is>
          <t>regulamento</t>
        </is>
      </c>
      <c r="I248" s="75" t="inlineStr">
        <is>
          <t>2025-04-22</t>
        </is>
      </c>
      <c r="J248" s="75" t="inlineStr">
        <is>
          <t>N/D</t>
        </is>
      </c>
      <c r="K248" s="75" t="inlineStr">
        <is>
          <t>encontrado_explicito</t>
        </is>
      </c>
      <c r="L248" s="144" t="n">
        <v>0.95</v>
      </c>
      <c r="M248" s="75" t="inlineStr">
        <is>
          <t>outputs/fidc_director_deep_diagnostic_20260609/pdf_text_cache/45598747000121_883977_regulamento_regulamento_883977_2025-04-22.txt</t>
        </is>
      </c>
      <c r="N248" s="75" t="inlineStr">
        <is>
          <t>https://fnet.bmfbovespa.com.br/fnet/publico/downloadDocumento?id=883977</t>
        </is>
      </c>
      <c r="O248" s="75" t="inlineStr">
        <is>
          <t>ório ou na obrigação de devolução do valor anteriormente pago pelos Devedores (inclusive por meio de compensação). “Cedente” significa a SUMUP INSTITUIÇÃO DE PAGAMENTO BRASIL LTDA., sociedade limitada com sede na Cidade e Estado de São Paulo, na Rua Gilberto Sabino, nº 215, 10º andar, Pinheiros, CEP: 05425-020, inscrita no CNPJ/MF sob o nº 16.668.076/0001-20. “Chargeback” significa a contestação de uma Transação de Pagamento, no todo ou em parte, pelo respectivo Usuário</t>
        </is>
      </c>
    </row>
    <row r="249" ht="43.5" customHeight="1">
      <c r="A249" s="142" t="n">
        <v>45598747000121</v>
      </c>
      <c r="B249" s="75" t="inlineStr">
        <is>
          <t>45.598.747/0001-21</t>
        </is>
      </c>
      <c r="C249" s="75" t="inlineStr">
        <is>
          <t>cedente</t>
        </is>
      </c>
      <c r="D249" s="75" t="inlineStr">
        <is>
          <t>Sumup IP</t>
        </is>
      </c>
      <c r="E249" s="75" t="inlineStr">
        <is>
          <t>N/D</t>
        </is>
      </c>
      <c r="F249" s="75" t="inlineStr">
        <is>
          <t>planilha_manual</t>
        </is>
      </c>
      <c r="G249" s="75" t="inlineStr">
        <is>
          <t>IMG_8705.JPG</t>
        </is>
      </c>
      <c r="H249" s="75" t="inlineStr">
        <is>
          <t>payload</t>
        </is>
      </c>
      <c r="I249" s="75" t="inlineStr">
        <is>
          <t>2025-04-22</t>
        </is>
      </c>
      <c r="J249" s="75" t="inlineStr">
        <is>
          <t>95</t>
        </is>
      </c>
      <c r="K249" s="75" t="inlineStr">
        <is>
          <t>aceito_payload</t>
        </is>
      </c>
      <c r="L249" s="144" t="n">
        <v>1</v>
      </c>
      <c r="M249" s="75" t="inlineStr">
        <is>
          <t>data/industry_study/generated_revision/artifact_payload.json</t>
        </is>
      </c>
      <c r="N249" s="75" t="inlineStr">
        <is>
          <t>N/D</t>
        </is>
      </c>
      <c r="O249" s="75" t="inlineStr">
        <is>
          <t>OBS da foto: Risco Banco Emissor Itaú.</t>
        </is>
      </c>
    </row>
    <row r="250" ht="43.5" customHeight="1">
      <c r="A250" s="142" t="n">
        <v>45598747000121</v>
      </c>
      <c r="B250" s="75" t="inlineStr">
        <is>
          <t>45.598.747/0001-21</t>
        </is>
      </c>
      <c r="C250" s="75" t="inlineStr">
        <is>
          <t>minimo_estrutural_total</t>
        </is>
      </c>
      <c r="D250" s="75" t="inlineStr">
        <is>
          <t>4.7619%</t>
        </is>
      </c>
      <c r="E250" s="75" t="inlineStr">
        <is>
          <t>suporte_total_pl</t>
        </is>
      </c>
      <c r="F250" s="75" t="inlineStr">
        <is>
          <t>payload_documental</t>
        </is>
      </c>
      <c r="G250" s="75" t="inlineStr">
        <is>
          <t>883977</t>
        </is>
      </c>
      <c r="H250" s="75" t="inlineStr">
        <is>
          <t>documento_curado</t>
        </is>
      </c>
      <c r="I250" s="75" t="inlineStr">
        <is>
          <t>2025-04-22</t>
        </is>
      </c>
      <c r="J250" s="75" t="inlineStr">
        <is>
          <t>95</t>
        </is>
      </c>
      <c r="K250" s="75" t="inlineStr">
        <is>
          <t>aceito_payload</t>
        </is>
      </c>
      <c r="L250" s="144" t="n">
        <v>1</v>
      </c>
      <c r="M250" s="75" t="inlineStr">
        <is>
          <t>data/industry_study/generated_revision/artifact_payload.json</t>
        </is>
      </c>
      <c r="N250" s="75" t="inlineStr">
        <is>
          <t>https://fnet.bmfbovespa.com.br/fnet/publico/downloadDocumento?id=883977</t>
        </is>
      </c>
      <c r="O250" s="75" t="inlineStr">
        <is>
          <t>Mínimo júnior implícito na relação PL / cotas seniores de 105,0%.</t>
        </is>
      </c>
    </row>
    <row r="251" ht="43.5" customHeight="1">
      <c r="A251" s="142" t="n">
        <v>45598747000121</v>
      </c>
      <c r="B251" s="75" t="inlineStr">
        <is>
          <t>45.598.747/0001-21</t>
        </is>
      </c>
      <c r="C251" s="75" t="inlineStr">
        <is>
          <t>minimo_junior</t>
        </is>
      </c>
      <c r="D251" s="75" t="inlineStr">
        <is>
          <t>4.7619%</t>
        </is>
      </c>
      <c r="E251" s="75" t="inlineStr">
        <is>
          <t>junior_pl_calculado</t>
        </is>
      </c>
      <c r="F251" s="75" t="inlineStr">
        <is>
          <t>payload_documental</t>
        </is>
      </c>
      <c r="G251" s="75" t="inlineStr">
        <is>
          <t>883977</t>
        </is>
      </c>
      <c r="H251" s="75" t="inlineStr">
        <is>
          <t>documento_curado</t>
        </is>
      </c>
      <c r="I251" s="75" t="inlineStr">
        <is>
          <t>2025-04-22</t>
        </is>
      </c>
      <c r="J251" s="75" t="inlineStr">
        <is>
          <t>95</t>
        </is>
      </c>
      <c r="K251" s="75" t="inlineStr">
        <is>
          <t>aceito_payload</t>
        </is>
      </c>
      <c r="L251" s="144" t="n">
        <v>1</v>
      </c>
      <c r="M251" s="75" t="inlineStr">
        <is>
          <t>data/industry_study/generated_revision/artifact_payload.json</t>
        </is>
      </c>
      <c r="N251" s="75" t="inlineStr">
        <is>
          <t>https://fnet.bmfbovespa.com.br/fnet/publico/downloadDocumento?id=883977</t>
        </is>
      </c>
      <c r="O251" s="75" t="inlineStr">
        <is>
          <t>Mínimo júnior implícito na relação PL / cotas seniores de 105,0%.</t>
        </is>
      </c>
    </row>
    <row r="252" ht="43.5" customHeight="1">
      <c r="A252" s="142" t="n">
        <v>45598747000121</v>
      </c>
      <c r="B252" s="75" t="inlineStr">
        <is>
          <t>45.598.747/0001-21</t>
        </is>
      </c>
      <c r="C252" s="75" t="inlineStr">
        <is>
          <t>natureza_indice</t>
        </is>
      </c>
      <c r="D252" s="75" t="inlineStr">
        <is>
          <t>junior_pl_calculado</t>
        </is>
      </c>
      <c r="E252" s="75" t="inlineStr">
        <is>
          <t>junior_pl_calculado</t>
        </is>
      </c>
      <c r="F252" s="75" t="inlineStr">
        <is>
          <t>payload_documental</t>
        </is>
      </c>
      <c r="G252" s="75" t="inlineStr">
        <is>
          <t>883977</t>
        </is>
      </c>
      <c r="H252" s="75" t="inlineStr">
        <is>
          <t>documento_curado</t>
        </is>
      </c>
      <c r="I252" s="75" t="inlineStr">
        <is>
          <t>2025-04-22</t>
        </is>
      </c>
      <c r="J252" s="75" t="inlineStr">
        <is>
          <t>95</t>
        </is>
      </c>
      <c r="K252" s="75" t="inlineStr">
        <is>
          <t>aceito_payload</t>
        </is>
      </c>
      <c r="L252" s="144" t="n">
        <v>1</v>
      </c>
      <c r="M252" s="75" t="inlineStr">
        <is>
          <t>data/industry_study/generated_revision/artifact_payload.json</t>
        </is>
      </c>
      <c r="N252" s="75" t="inlineStr">
        <is>
          <t>https://fnet.bmfbovespa.com.br/fnet/publico/downloadDocumento?id=883977</t>
        </is>
      </c>
      <c r="O252" s="75" t="inlineStr">
        <is>
          <t>Mínimo júnior implícito na relação PL / cotas seniores de 105,0%.</t>
        </is>
      </c>
    </row>
    <row r="253" ht="43.5" customHeight="1">
      <c r="A253" s="142" t="n">
        <v>45598747000121</v>
      </c>
      <c r="B253" s="75" t="inlineStr">
        <is>
          <t>45.598.747/0001-21</t>
        </is>
      </c>
      <c r="C253" s="75" t="inlineStr">
        <is>
          <t>sacado_devedor</t>
        </is>
      </c>
      <c r="D253" s="75" t="inlineStr">
        <is>
          <t>os Emissores</t>
        </is>
      </c>
      <c r="E253" s="75" t="inlineStr">
        <is>
          <t>N/D</t>
        </is>
      </c>
      <c r="F253" s="75" t="inlineStr">
        <is>
          <t>regulamento</t>
        </is>
      </c>
      <c r="G253" s="75" t="inlineStr">
        <is>
          <t>791590</t>
        </is>
      </c>
      <c r="H253" s="75" t="inlineStr">
        <is>
          <t>regulamento</t>
        </is>
      </c>
      <c r="I253" s="75" t="inlineStr">
        <is>
          <t>2024-11-29</t>
        </is>
      </c>
      <c r="J253" s="75" t="inlineStr">
        <is>
          <t>92</t>
        </is>
      </c>
      <c r="K253" s="75" t="inlineStr">
        <is>
          <t>encontrado_explicito</t>
        </is>
      </c>
      <c r="L253" s="144" t="n">
        <v>0.95</v>
      </c>
      <c r="M253" s="75" t="inlineStr">
        <is>
          <t>data/raw/45598747000121/791590_regulamento_regulamento_791590_2024-11-29.pdf</t>
        </is>
      </c>
      <c r="N253" s="75" t="inlineStr">
        <is>
          <t>https://fnet.bmfbovespa.com.br/fnet/publico/downloadDocumento?id=791590</t>
        </is>
      </c>
      <c r="O253" s="75" t="inlineStr">
        <is>
          <t>Banco Depositário, o Fundo receba os Direitos Creditórios sem a dedução de quaisquer Cancelamentos e Chargebacks. “Devedores” significam os Emissores. “Dia Útil” ou “Dias Úteis” significam qualquer dia em que haja expediente comercial ou bancário na cidade de São</t>
        </is>
      </c>
    </row>
    <row r="254" ht="43.5" customHeight="1">
      <c r="A254" s="142" t="n">
        <v>45598747000121</v>
      </c>
      <c r="B254" s="75" t="inlineStr">
        <is>
          <t>45.598.747/0001-21</t>
        </is>
      </c>
      <c r="C254" s="75" t="inlineStr">
        <is>
          <t>sacado_devedor</t>
        </is>
      </c>
      <c r="D254" s="75" t="inlineStr">
        <is>
          <t>os Emissores</t>
        </is>
      </c>
      <c r="E254" s="75" t="inlineStr">
        <is>
          <t>N/D</t>
        </is>
      </c>
      <c r="F254" s="75" t="inlineStr">
        <is>
          <t>regulamento</t>
        </is>
      </c>
      <c r="G254" s="75" t="inlineStr">
        <is>
          <t>883977</t>
        </is>
      </c>
      <c r="H254" s="75" t="inlineStr">
        <is>
          <t>regulamento</t>
        </is>
      </c>
      <c r="I254" s="75" t="inlineStr">
        <is>
          <t>2025-04-22</t>
        </is>
      </c>
      <c r="J254" s="75" t="inlineStr">
        <is>
          <t>N/D</t>
        </is>
      </c>
      <c r="K254" s="75" t="inlineStr">
        <is>
          <t>encontrado_explicito</t>
        </is>
      </c>
      <c r="L254" s="144" t="n">
        <v>0.95</v>
      </c>
      <c r="M254" s="75" t="inlineStr">
        <is>
          <t>outputs/fidc_director_deep_diagnostic_20260609/pdf_text_cache/45598747000121_883977_regulamento_regulamento_883977_2025-04-22.txt</t>
        </is>
      </c>
      <c r="N254" s="75" t="inlineStr">
        <is>
          <t>https://fnet.bmfbovespa.com.br/fnet/publico/downloadDocumento?id=883977</t>
        </is>
      </c>
      <c r="O254" s="75" t="inlineStr">
        <is>
          <t>Banco Depositário, o Fundo receba os Direitos Creditórios sem a dedução de quaisquer Cancelamentos e Chargebacks. “Devedores” significam os Emissores. “Dia Útil” ou “Dias Úteis” significam qualquer dia em que haja expediente comercial ou bancário na cidade de São</t>
        </is>
      </c>
    </row>
    <row r="255" ht="43.5" customHeight="1">
      <c r="A255" s="142" t="n">
        <v>45598747000121</v>
      </c>
      <c r="B255" s="75" t="inlineStr">
        <is>
          <t>45.598.747/0001-21</t>
        </is>
      </c>
      <c r="C255" s="75" t="inlineStr">
        <is>
          <t>tipo_recebivel</t>
        </is>
      </c>
      <c r="D255" s="75"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E255" s="75" t="inlineStr">
        <is>
          <t>N/D</t>
        </is>
      </c>
      <c r="F255" s="75" t="inlineStr">
        <is>
          <t>regulamento</t>
        </is>
      </c>
      <c r="G255" s="75" t="inlineStr">
        <is>
          <t>791590</t>
        </is>
      </c>
      <c r="H255" s="75" t="inlineStr">
        <is>
          <t>regulamento</t>
        </is>
      </c>
      <c r="I255" s="75" t="inlineStr">
        <is>
          <t>2024-11-29</t>
        </is>
      </c>
      <c r="J255" s="75" t="inlineStr">
        <is>
          <t>92</t>
        </is>
      </c>
      <c r="K255" s="75" t="inlineStr">
        <is>
          <t>encontrado_explicito</t>
        </is>
      </c>
      <c r="L255" s="144" t="n">
        <v>0.92</v>
      </c>
      <c r="M255" s="75" t="inlineStr">
        <is>
          <t>data/raw/45598747000121/791590_regulamento_regulamento_791590_2024-11-29.pdf</t>
        </is>
      </c>
      <c r="N255" s="75" t="inlineStr">
        <is>
          <t>https://fnet.bmfbovespa.com.br/fnet/publico/downloadDocumento?id=791590</t>
        </is>
      </c>
      <c r="O255" s="75" t="inlineStr">
        <is>
          <t>será considerado como Dia Útil qualquer dia que não seja sábado, domingo ou feriado nacional. “Direitos Creditórios” significam 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 “Direitos Creditórios Cedidos” significam todos os Direitos Creditórios que tenham sido cedid</t>
        </is>
      </c>
    </row>
    <row r="256" ht="43.5" customHeight="1">
      <c r="A256" s="142" t="n">
        <v>45598747000121</v>
      </c>
      <c r="B256" s="75" t="inlineStr">
        <is>
          <t>45.598.747/0001-21</t>
        </is>
      </c>
      <c r="C256" s="75" t="inlineStr">
        <is>
          <t>tipo_recebivel</t>
        </is>
      </c>
      <c r="D256" s="75"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E256" s="75" t="inlineStr">
        <is>
          <t>N/D</t>
        </is>
      </c>
      <c r="F256" s="75" t="inlineStr">
        <is>
          <t>regulamento</t>
        </is>
      </c>
      <c r="G256" s="75" t="inlineStr">
        <is>
          <t>883977</t>
        </is>
      </c>
      <c r="H256" s="75" t="inlineStr">
        <is>
          <t>regulamento</t>
        </is>
      </c>
      <c r="I256" s="75" t="inlineStr">
        <is>
          <t>2025-04-22</t>
        </is>
      </c>
      <c r="J256" s="75" t="inlineStr">
        <is>
          <t>N/D</t>
        </is>
      </c>
      <c r="K256" s="75" t="inlineStr">
        <is>
          <t>encontrado_explicito</t>
        </is>
      </c>
      <c r="L256" s="144" t="n">
        <v>0.92</v>
      </c>
      <c r="M256" s="75" t="inlineStr">
        <is>
          <t>outputs/fidc_director_deep_diagnostic_20260609/pdf_text_cache/45598747000121_883977_regulamento_regulamento_883977_2025-04-22.txt</t>
        </is>
      </c>
      <c r="N256" s="75" t="inlineStr">
        <is>
          <t>https://fnet.bmfbovespa.com.br/fnet/publico/downloadDocumento?id=883977</t>
        </is>
      </c>
      <c r="O256" s="75" t="inlineStr">
        <is>
          <t>será considerado como Dia Útil qualquer dia que não seja sábado, domingo ou feriado nacional. “Direitos Creditórios” significam 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 “Direitos Creditórios Cedidos” significam todos os Direitos Creditórios que tenham sido cedid</t>
        </is>
      </c>
    </row>
    <row r="257" ht="43.5" customHeight="1">
      <c r="A257" s="142" t="n">
        <v>47151680000108</v>
      </c>
      <c r="B257" s="75" t="inlineStr">
        <is>
          <t>47.151.680/0001-08</t>
        </is>
      </c>
      <c r="C257" s="75" t="inlineStr">
        <is>
          <t>cedente</t>
        </is>
      </c>
      <c r="D257" s="75" t="inlineStr">
        <is>
          <t>Multicedentes</t>
        </is>
      </c>
      <c r="E257" s="75" t="inlineStr">
        <is>
          <t>N/D</t>
        </is>
      </c>
      <c r="F257" s="75" t="inlineStr">
        <is>
          <t>planilha_manual</t>
        </is>
      </c>
      <c r="G257" s="75" t="inlineStr">
        <is>
          <t>IMG_8704.JPG</t>
        </is>
      </c>
      <c r="H257" s="75" t="inlineStr">
        <is>
          <t>payload</t>
        </is>
      </c>
      <c r="I257" s="75" t="inlineStr">
        <is>
          <t>2025-07-22</t>
        </is>
      </c>
      <c r="J257" s="75" t="inlineStr">
        <is>
          <t>6</t>
        </is>
      </c>
      <c r="K257" s="75" t="inlineStr">
        <is>
          <t>aceito_payload</t>
        </is>
      </c>
      <c r="L257" s="144" t="n">
        <v>1</v>
      </c>
      <c r="M257" s="75" t="inlineStr">
        <is>
          <t>data/industry_study/generated_revision/artifact_payload.json</t>
        </is>
      </c>
      <c r="N257" s="75" t="inlineStr">
        <is>
          <t>N/D</t>
        </is>
      </c>
      <c r="O257" s="75" t="inlineStr">
        <is>
          <t>OBS da foto: Multicedente análise FARM; fomos 100% resgatados em out/25. Denominação cortada.</t>
        </is>
      </c>
    </row>
    <row r="258" ht="43.5" customHeight="1">
      <c r="A258" s="142" t="n">
        <v>47151680000108</v>
      </c>
      <c r="B258" s="75" t="inlineStr">
        <is>
          <t>47.151.680/0001-08</t>
        </is>
      </c>
      <c r="C258" s="75" t="inlineStr">
        <is>
          <t>minimo_estrutural_total</t>
        </is>
      </c>
      <c r="D258" s="75" t="inlineStr">
        <is>
          <t>20%</t>
        </is>
      </c>
      <c r="E258" s="75" t="inlineStr">
        <is>
          <t>suporte_total_pl</t>
        </is>
      </c>
      <c r="F258" s="75" t="inlineStr">
        <is>
          <t>payload_documental</t>
        </is>
      </c>
      <c r="G258" s="75" t="inlineStr">
        <is>
          <t>993922</t>
        </is>
      </c>
      <c r="H258" s="75" t="inlineStr">
        <is>
          <t>documento_curado</t>
        </is>
      </c>
      <c r="I258" s="75" t="inlineStr">
        <is>
          <t>2025-07-22</t>
        </is>
      </c>
      <c r="J258" s="75" t="inlineStr">
        <is>
          <t>6</t>
        </is>
      </c>
      <c r="K258" s="75" t="inlineStr">
        <is>
          <t>aceito_payload</t>
        </is>
      </c>
      <c r="L258" s="144" t="n">
        <v>1</v>
      </c>
      <c r="M258" s="75" t="inlineStr">
        <is>
          <t>data/industry_study/generated_revision/artifact_payload.json</t>
        </is>
      </c>
      <c r="N258" s="75" t="inlineStr">
        <is>
          <t>https://fnet.bmfbovespa.com.br/fnet/publico/downloadDocumento?id=993922</t>
        </is>
      </c>
      <c r="O258" s="75" t="inlineStr">
        <is>
          <t>N/D</t>
        </is>
      </c>
    </row>
    <row r="259" ht="43.5" customHeight="1">
      <c r="A259" s="142" t="n">
        <v>47151680000108</v>
      </c>
      <c r="B259" s="75" t="inlineStr">
        <is>
          <t>47.151.680/0001-08</t>
        </is>
      </c>
      <c r="C259" s="75" t="inlineStr">
        <is>
          <t>natureza_indice</t>
        </is>
      </c>
      <c r="D259" s="75" t="inlineStr">
        <is>
          <t>suporte_total_pl</t>
        </is>
      </c>
      <c r="E259" s="75" t="inlineStr">
        <is>
          <t>suporte_total_pl</t>
        </is>
      </c>
      <c r="F259" s="75" t="inlineStr">
        <is>
          <t>payload_documental</t>
        </is>
      </c>
      <c r="G259" s="75" t="inlineStr">
        <is>
          <t>993922</t>
        </is>
      </c>
      <c r="H259" s="75" t="inlineStr">
        <is>
          <t>documento_curado</t>
        </is>
      </c>
      <c r="I259" s="75" t="inlineStr">
        <is>
          <t>2025-07-22</t>
        </is>
      </c>
      <c r="J259" s="75" t="inlineStr">
        <is>
          <t>6</t>
        </is>
      </c>
      <c r="K259" s="75" t="inlineStr">
        <is>
          <t>aceito_payload</t>
        </is>
      </c>
      <c r="L259" s="144" t="n">
        <v>1</v>
      </c>
      <c r="M259" s="75" t="inlineStr">
        <is>
          <t>data/industry_study/generated_revision/artifact_payload.json</t>
        </is>
      </c>
      <c r="N259" s="75" t="inlineStr">
        <is>
          <t>https://fnet.bmfbovespa.com.br/fnet/publico/downloadDocumento?id=993922</t>
        </is>
      </c>
      <c r="O259" s="75" t="inlineStr">
        <is>
          <t>N/D</t>
        </is>
      </c>
    </row>
    <row r="260" ht="43.5" customHeight="1">
      <c r="A260" s="142" t="n">
        <v>47280025000150</v>
      </c>
      <c r="B260" s="75" t="inlineStr">
        <is>
          <t>47.280.025/0001-50</t>
        </is>
      </c>
      <c r="C260" s="75" t="inlineStr">
        <is>
          <t>cedente</t>
        </is>
      </c>
      <c r="D260" s="75" t="inlineStr">
        <is>
          <t>Albaugh</t>
        </is>
      </c>
      <c r="E260" s="75" t="inlineStr">
        <is>
          <t>N/D</t>
        </is>
      </c>
      <c r="F260" s="75" t="inlineStr">
        <is>
          <t>planilha_manual</t>
        </is>
      </c>
      <c r="G260" s="75" t="inlineStr">
        <is>
          <t>IMG_8705.JPG</t>
        </is>
      </c>
      <c r="H260" s="75" t="inlineStr">
        <is>
          <t>payload</t>
        </is>
      </c>
      <c r="I260" s="75" t="inlineStr">
        <is>
          <t>2025-12-23</t>
        </is>
      </c>
      <c r="J260" s="75" t="inlineStr">
        <is>
          <t>10; 34</t>
        </is>
      </c>
      <c r="K260" s="75" t="inlineStr">
        <is>
          <t>aceito_payload</t>
        </is>
      </c>
      <c r="L260" s="144" t="n">
        <v>1</v>
      </c>
      <c r="M260" s="75" t="inlineStr">
        <is>
          <t>data/industry_study/generated_revision/artifact_payload.json</t>
        </is>
      </c>
      <c r="N260" s="75" t="inlineStr">
        <is>
          <t>N/D</t>
        </is>
      </c>
      <c r="O260" s="75" t="inlineStr">
        <is>
          <t>OBS da foto: fundo continua sofrendo com inadimplência da carteira antiga.</t>
        </is>
      </c>
    </row>
    <row r="261" ht="43.5" customHeight="1">
      <c r="A261" s="142" t="n">
        <v>47280025000150</v>
      </c>
      <c r="B261" s="75" t="inlineStr">
        <is>
          <t>47.280.025/0001-50</t>
        </is>
      </c>
      <c r="C261" s="75" t="inlineStr">
        <is>
          <t>minimo_estrutural_total</t>
        </is>
      </c>
      <c r="D261" s="75" t="inlineStr">
        <is>
          <t>30%</t>
        </is>
      </c>
      <c r="E261" s="75" t="inlineStr">
        <is>
          <t>suporte_total_pl</t>
        </is>
      </c>
      <c r="F261" s="75" t="inlineStr">
        <is>
          <t>payload_documental</t>
        </is>
      </c>
      <c r="G261" s="75" t="inlineStr">
        <is>
          <t>1074880</t>
        </is>
      </c>
      <c r="H261" s="75" t="inlineStr">
        <is>
          <t>documento_curado</t>
        </is>
      </c>
      <c r="I261" s="75" t="inlineStr">
        <is>
          <t>2025-12-23</t>
        </is>
      </c>
      <c r="J261" s="75" t="inlineStr">
        <is>
          <t>10; 34</t>
        </is>
      </c>
      <c r="K261" s="75" t="inlineStr">
        <is>
          <t>aceito_payload</t>
        </is>
      </c>
      <c r="L261" s="144" t="n">
        <v>1</v>
      </c>
      <c r="M261" s="75" t="inlineStr">
        <is>
          <t>data/industry_study/generated_revision/artifact_payload.json</t>
        </is>
      </c>
      <c r="N261" s="75" t="inlineStr">
        <is>
          <t>https://fnet.bmfbovespa.com.br/fnet/publico/downloadDocumento?id=1074880</t>
        </is>
      </c>
      <c r="O261" s="75" t="inlineStr">
        <is>
          <t>Cotas subordinadas / PL, mínimo de 30,0%; estrutura com uma única classe residual.</t>
        </is>
      </c>
    </row>
    <row r="262" ht="43.5" customHeight="1">
      <c r="A262" s="142" t="n">
        <v>47280025000150</v>
      </c>
      <c r="B262" s="75" t="inlineStr">
        <is>
          <t>47.280.025/0001-50</t>
        </is>
      </c>
      <c r="C262" s="75" t="inlineStr">
        <is>
          <t>minimo_junior</t>
        </is>
      </c>
      <c r="D262" s="75" t="inlineStr">
        <is>
          <t>30%</t>
        </is>
      </c>
      <c r="E262" s="75" t="inlineStr">
        <is>
          <t>junior_pl</t>
        </is>
      </c>
      <c r="F262" s="75" t="inlineStr">
        <is>
          <t>payload_documental</t>
        </is>
      </c>
      <c r="G262" s="75" t="inlineStr">
        <is>
          <t>1074880</t>
        </is>
      </c>
      <c r="H262" s="75" t="inlineStr">
        <is>
          <t>documento_curado</t>
        </is>
      </c>
      <c r="I262" s="75" t="inlineStr">
        <is>
          <t>2025-12-23</t>
        </is>
      </c>
      <c r="J262" s="75" t="inlineStr">
        <is>
          <t>10; 34</t>
        </is>
      </c>
      <c r="K262" s="75" t="inlineStr">
        <is>
          <t>aceito_payload</t>
        </is>
      </c>
      <c r="L262" s="144" t="n">
        <v>1</v>
      </c>
      <c r="M262" s="75" t="inlineStr">
        <is>
          <t>data/industry_study/generated_revision/artifact_payload.json</t>
        </is>
      </c>
      <c r="N262" s="75" t="inlineStr">
        <is>
          <t>https://fnet.bmfbovespa.com.br/fnet/publico/downloadDocumento?id=1074880</t>
        </is>
      </c>
      <c r="O262" s="75" t="inlineStr">
        <is>
          <t>Cotas subordinadas / PL, mínimo de 30,0%; estrutura com uma única classe residual.</t>
        </is>
      </c>
    </row>
    <row r="263" ht="43.5" customHeight="1">
      <c r="A263" s="142" t="n">
        <v>47280025000150</v>
      </c>
      <c r="B263" s="75" t="inlineStr">
        <is>
          <t>47.280.025/0001-50</t>
        </is>
      </c>
      <c r="C263" s="75" t="inlineStr">
        <is>
          <t>natureza_indice</t>
        </is>
      </c>
      <c r="D263" s="75" t="inlineStr">
        <is>
          <t>junior_pl</t>
        </is>
      </c>
      <c r="E263" s="75" t="inlineStr">
        <is>
          <t>junior_pl</t>
        </is>
      </c>
      <c r="F263" s="75" t="inlineStr">
        <is>
          <t>payload_documental</t>
        </is>
      </c>
      <c r="G263" s="75" t="inlineStr">
        <is>
          <t>1074880</t>
        </is>
      </c>
      <c r="H263" s="75" t="inlineStr">
        <is>
          <t>documento_curado</t>
        </is>
      </c>
      <c r="I263" s="75" t="inlineStr">
        <is>
          <t>2025-12-23</t>
        </is>
      </c>
      <c r="J263" s="75" t="inlineStr">
        <is>
          <t>10; 34</t>
        </is>
      </c>
      <c r="K263" s="75" t="inlineStr">
        <is>
          <t>aceito_payload</t>
        </is>
      </c>
      <c r="L263" s="144" t="n">
        <v>1</v>
      </c>
      <c r="M263" s="75" t="inlineStr">
        <is>
          <t>data/industry_study/generated_revision/artifact_payload.json</t>
        </is>
      </c>
      <c r="N263" s="75" t="inlineStr">
        <is>
          <t>https://fnet.bmfbovespa.com.br/fnet/publico/downloadDocumento?id=1074880</t>
        </is>
      </c>
      <c r="O263" s="75" t="inlineStr">
        <is>
          <t>Cotas subordinadas / PL, mínimo de 30,0%; estrutura com uma única classe residual.</t>
        </is>
      </c>
    </row>
    <row r="264" ht="43.5" customHeight="1">
      <c r="A264" s="142" t="n">
        <v>47280025000150</v>
      </c>
      <c r="B264" s="75" t="inlineStr">
        <is>
          <t>47.280.025/0001-50</t>
        </is>
      </c>
      <c r="C264" s="75" t="inlineStr">
        <is>
          <t>sacado_devedor</t>
        </is>
      </c>
      <c r="D264" s="75" t="inlineStr">
        <is>
          <t>05.772.606/0001-27</t>
        </is>
      </c>
      <c r="E264" s="75" t="inlineStr">
        <is>
          <t>N/D</t>
        </is>
      </c>
      <c r="F264" s="75" t="inlineStr">
        <is>
          <t>candidate_extraction</t>
        </is>
      </c>
      <c r="G264" s="75" t="inlineStr">
        <is>
          <t>47280025000150</t>
        </is>
      </c>
      <c r="H264" s="75" t="inlineStr">
        <is>
          <t>extração heurística</t>
        </is>
      </c>
      <c r="I264" s="75" t="inlineStr">
        <is>
          <t>N/D</t>
        </is>
      </c>
      <c r="J264" s="75" t="inlineStr">
        <is>
          <t>N/D</t>
        </is>
      </c>
      <c r="K264" s="75" t="inlineStr">
        <is>
          <t>candidato_revisao</t>
        </is>
      </c>
      <c r="L264" s="144" t="n">
        <v>0.95</v>
      </c>
      <c r="M264" s="75" t="inlineStr">
        <is>
          <t>outputs/fidc_director_deep_diagnostic_20260609/pdf_text_cache/47280025000150_1074880_regulamento_regulamento_1074880_2025-12-23_2025-12-23.txt</t>
        </is>
      </c>
      <c r="N264" s="75" t="inlineStr">
        <is>
          <t>https://fnet.bmfbovespa.com.br/fnet/publico/downloadDocumento?id=47280025000150</t>
        </is>
      </c>
      <c r="O264" s="75" t="inlineStr">
        <is>
          <t>sempre antes da realização de nova cessão de Direitos Creditórios Elegíveis à Classe. Além da lista enviada pelo Cedente, serão considerados do mesmo Grupo Econômico os Devedores que tenham a mesma raiz do CNPJ; Grupo Econômico 2 significam, em conjunto, a Cedente e a Rotam do Brasil Agroquímica e Produtos Agrícolas Ltda., inscrita no CNPJ sob o nº - 05.772.606/0001-27; Grupo Econômico Es</t>
        </is>
      </c>
    </row>
    <row r="265" ht="43.5" customHeight="1">
      <c r="A265" s="142" t="n">
        <v>47425750000179</v>
      </c>
      <c r="B265" s="75" t="inlineStr">
        <is>
          <t>47.425.750/0001-79</t>
        </is>
      </c>
      <c r="C265" s="75" t="inlineStr">
        <is>
          <t>minimo_junior</t>
        </is>
      </c>
      <c r="D265" s="75" t="inlineStr">
        <is>
          <t>25%</t>
        </is>
      </c>
      <c r="E265" s="75" t="inlineStr">
        <is>
          <t>junior_pl</t>
        </is>
      </c>
      <c r="F265" s="75" t="inlineStr">
        <is>
          <t>payload_documental</t>
        </is>
      </c>
      <c r="G265" s="75" t="inlineStr">
        <is>
          <t>1237988</t>
        </is>
      </c>
      <c r="H265" s="75" t="inlineStr">
        <is>
          <t>documento_curado</t>
        </is>
      </c>
      <c r="I265" s="75" t="inlineStr">
        <is>
          <t>2026-07-02</t>
        </is>
      </c>
      <c r="J265" s="75" t="inlineStr">
        <is>
          <t>30</t>
        </is>
      </c>
      <c r="K265" s="75" t="inlineStr">
        <is>
          <t>aceito_payload</t>
        </is>
      </c>
      <c r="L265" s="144" t="n">
        <v>1</v>
      </c>
      <c r="M265" s="75" t="inlineStr">
        <is>
          <t>data/industry_study/generated_revision/artifact_payload.json</t>
        </is>
      </c>
      <c r="N265" s="75" t="inlineStr">
        <is>
          <t>https://fnet.bmfbovespa.com.br/fnet/publico/downloadDocumento?id=1237988</t>
        </is>
      </c>
      <c r="O265" s="75" t="inlineStr">
        <is>
          <t>Mínimo júnior calculado: subordinadas = 50,0% do PL e júnior = 50,0% das subordinadas.</t>
        </is>
      </c>
    </row>
    <row r="266" ht="43.5" customHeight="1">
      <c r="A266" s="142" t="n">
        <v>47425750000179</v>
      </c>
      <c r="B266" s="75" t="inlineStr">
        <is>
          <t>47.425.750/0001-79</t>
        </is>
      </c>
      <c r="C266" s="75" t="inlineStr">
        <is>
          <t>natureza_indice</t>
        </is>
      </c>
      <c r="D266" s="75" t="inlineStr">
        <is>
          <t>junior_pl</t>
        </is>
      </c>
      <c r="E266" s="75" t="inlineStr">
        <is>
          <t>junior_pl</t>
        </is>
      </c>
      <c r="F266" s="75" t="inlineStr">
        <is>
          <t>payload_documental</t>
        </is>
      </c>
      <c r="G266" s="75" t="inlineStr">
        <is>
          <t>1237988</t>
        </is>
      </c>
      <c r="H266" s="75" t="inlineStr">
        <is>
          <t>documento_curado</t>
        </is>
      </c>
      <c r="I266" s="75" t="inlineStr">
        <is>
          <t>2026-07-02</t>
        </is>
      </c>
      <c r="J266" s="75" t="inlineStr">
        <is>
          <t>30</t>
        </is>
      </c>
      <c r="K266" s="75" t="inlineStr">
        <is>
          <t>aceito_payload</t>
        </is>
      </c>
      <c r="L266" s="144" t="n">
        <v>1</v>
      </c>
      <c r="M266" s="75" t="inlineStr">
        <is>
          <t>data/industry_study/generated_revision/artifact_payload.json</t>
        </is>
      </c>
      <c r="N266" s="75" t="inlineStr">
        <is>
          <t>https://fnet.bmfbovespa.com.br/fnet/publico/downloadDocumento?id=1237988</t>
        </is>
      </c>
      <c r="O266" s="75" t="inlineStr">
        <is>
          <t>Mínimo júnior calculado: subordinadas = 50,0% do PL e júnior = 50,0% das subordinadas.</t>
        </is>
      </c>
    </row>
    <row r="267" ht="43.5" customHeight="1">
      <c r="A267" s="142" t="n">
        <v>47640584000123</v>
      </c>
      <c r="B267" s="75" t="inlineStr">
        <is>
          <t>47.640.584/0001-23</t>
        </is>
      </c>
      <c r="C267" s="75" t="inlineStr">
        <is>
          <t>cedente</t>
        </is>
      </c>
      <c r="D267" s="75" t="inlineStr">
        <is>
          <t>BMP</t>
        </is>
      </c>
      <c r="E267" s="75" t="inlineStr">
        <is>
          <t>N/D</t>
        </is>
      </c>
      <c r="F267" s="75" t="inlineStr">
        <is>
          <t>planilha_manual</t>
        </is>
      </c>
      <c r="G267" s="75" t="inlineStr">
        <is>
          <t>IMG_8706.JPG</t>
        </is>
      </c>
      <c r="H267" s="75" t="inlineStr">
        <is>
          <t>payload</t>
        </is>
      </c>
      <c r="I267" s="75" t="inlineStr">
        <is>
          <t>2025-06-13</t>
        </is>
      </c>
      <c r="J267" s="75" t="inlineStr">
        <is>
          <t>91</t>
        </is>
      </c>
      <c r="K267" s="75" t="inlineStr">
        <is>
          <t>aceito_payload</t>
        </is>
      </c>
      <c r="L267" s="144" t="n">
        <v>1</v>
      </c>
      <c r="M267" s="75" t="inlineStr">
        <is>
          <t>data/industry_study/generated_revision/artifact_payload.json</t>
        </is>
      </c>
      <c r="N267" s="75" t="inlineStr">
        <is>
          <t>N/D</t>
        </is>
      </c>
      <c r="O267" s="75" t="inlineStr">
        <is>
          <t>OBS da foto: a Sol Agora é o originador, mas o cedente das CCBs é o BMP (true sale). Os papéis foram desmembrados somente porque estão escritos literalmente na fonte. Denominação cortada.</t>
        </is>
      </c>
    </row>
    <row r="268" ht="43.5" customHeight="1">
      <c r="A268" s="142" t="n">
        <v>47640584000123</v>
      </c>
      <c r="B268" s="75" t="inlineStr">
        <is>
          <t>47.640.584/0001-23</t>
        </is>
      </c>
      <c r="C268" s="75" t="inlineStr">
        <is>
          <t>minimo_junior</t>
        </is>
      </c>
      <c r="D268" s="75" t="inlineStr">
        <is>
          <t>10%</t>
        </is>
      </c>
      <c r="E268" s="75" t="inlineStr">
        <is>
          <t>junior_pl</t>
        </is>
      </c>
      <c r="F268" s="75" t="inlineStr">
        <is>
          <t>payload_documental</t>
        </is>
      </c>
      <c r="G268" s="75" t="inlineStr">
        <is>
          <t>930974</t>
        </is>
      </c>
      <c r="H268" s="75" t="inlineStr">
        <is>
          <t>documento_curado</t>
        </is>
      </c>
      <c r="I268" s="75" t="inlineStr">
        <is>
          <t>2025-06-13</t>
        </is>
      </c>
      <c r="J268" s="75" t="inlineStr">
        <is>
          <t>91</t>
        </is>
      </c>
      <c r="K268" s="75" t="inlineStr">
        <is>
          <t>aceito_payload</t>
        </is>
      </c>
      <c r="L268" s="144" t="n">
        <v>1</v>
      </c>
      <c r="M268" s="75" t="inlineStr">
        <is>
          <t>data/industry_study/generated_revision/artifact_payload.json</t>
        </is>
      </c>
      <c r="N268" s="75" t="inlineStr">
        <is>
          <t>https://fnet.bmfbovespa.com.br/fnet/publico/downloadDocumento?id=930974</t>
        </is>
      </c>
      <c r="O268" s="75" t="inlineStr">
        <is>
          <t>Cotas júnior / PL ajustado: 10,0% até o 24º mês e 12,5% após esse período.</t>
        </is>
      </c>
    </row>
    <row r="269" ht="43.5" customHeight="1">
      <c r="A269" s="142" t="n">
        <v>47640584000123</v>
      </c>
      <c r="B269" s="75" t="inlineStr">
        <is>
          <t>47.640.584/0001-23</t>
        </is>
      </c>
      <c r="C269" s="75" t="inlineStr">
        <is>
          <t>natureza_indice</t>
        </is>
      </c>
      <c r="D269" s="75" t="inlineStr">
        <is>
          <t>junior_pl</t>
        </is>
      </c>
      <c r="E269" s="75" t="inlineStr">
        <is>
          <t>junior_pl</t>
        </is>
      </c>
      <c r="F269" s="75" t="inlineStr">
        <is>
          <t>payload_documental</t>
        </is>
      </c>
      <c r="G269" s="75" t="inlineStr">
        <is>
          <t>930974</t>
        </is>
      </c>
      <c r="H269" s="75" t="inlineStr">
        <is>
          <t>documento_curado</t>
        </is>
      </c>
      <c r="I269" s="75" t="inlineStr">
        <is>
          <t>2025-06-13</t>
        </is>
      </c>
      <c r="J269" s="75" t="inlineStr">
        <is>
          <t>91</t>
        </is>
      </c>
      <c r="K269" s="75" t="inlineStr">
        <is>
          <t>aceito_payload</t>
        </is>
      </c>
      <c r="L269" s="144" t="n">
        <v>1</v>
      </c>
      <c r="M269" s="75" t="inlineStr">
        <is>
          <t>data/industry_study/generated_revision/artifact_payload.json</t>
        </is>
      </c>
      <c r="N269" s="75" t="inlineStr">
        <is>
          <t>https://fnet.bmfbovespa.com.br/fnet/publico/downloadDocumento?id=930974</t>
        </is>
      </c>
      <c r="O269" s="75" t="inlineStr">
        <is>
          <t>Cotas júnior / PL ajustado: 10,0% até o 24º mês e 12,5% após esse período.</t>
        </is>
      </c>
    </row>
    <row r="270" ht="43.5" customHeight="1">
      <c r="A270" s="142" t="n">
        <v>47640584000123</v>
      </c>
      <c r="B270" s="75" t="inlineStr">
        <is>
          <t>47.640.584/0001-23</t>
        </is>
      </c>
      <c r="C270" s="75" t="inlineStr">
        <is>
          <t>originador</t>
        </is>
      </c>
      <c r="D270" s="75" t="inlineStr">
        <is>
          <t>Sol Agora</t>
        </is>
      </c>
      <c r="E270" s="75" t="inlineStr">
        <is>
          <t>rótulo explícito de participante v2</t>
        </is>
      </c>
      <c r="F270" s="75" t="inlineStr">
        <is>
          <t>rating_report</t>
        </is>
      </c>
      <c r="G270" s="75" t="inlineStr">
        <is>
          <t>721487</t>
        </is>
      </c>
      <c r="H270" s="75" t="inlineStr">
        <is>
          <t>Relatórios Relatório de Agência de Rating</t>
        </is>
      </c>
      <c r="I270" s="75" t="inlineStr">
        <is>
          <t>30/06/2024</t>
        </is>
      </c>
      <c r="J270" s="75" t="inlineStr">
        <is>
          <t>5</t>
        </is>
      </c>
      <c r="K270" s="75" t="inlineStr">
        <is>
          <t>encontrado_explicito</t>
        </is>
      </c>
      <c r="L270" s="144" t="n">
        <v>0.93</v>
      </c>
      <c r="M270" s="75" t="inlineStr">
        <is>
          <t>.cache/carteira_101_document_scan/47640584000123/721487.json.gz</t>
        </is>
      </c>
      <c r="N270" s="75" t="inlineStr">
        <is>
          <t>https://fnet.bmfbovespa.com.br/fnet/publico/downloadDocumento?id=721487</t>
        </is>
      </c>
      <c r="O270" s="75" t="inlineStr">
        <is>
          <t>ating. Os analistas utilizaram informações provenientes d as seguintes fontes: Sol Agora (Originador); Genial S.A. (Administrador) e Empírica (Gestora). 7. As informações obtidas p</t>
        </is>
      </c>
    </row>
    <row r="271" ht="43.5" customHeight="1">
      <c r="A271" s="142" t="n">
        <v>47640584000123</v>
      </c>
      <c r="B271" s="75" t="inlineStr">
        <is>
          <t>47.640.584/0001-23</t>
        </is>
      </c>
      <c r="C271" s="75" t="inlineStr">
        <is>
          <t>originador</t>
        </is>
      </c>
      <c r="D271" s="75" t="inlineStr">
        <is>
          <t>Sol Agora</t>
        </is>
      </c>
      <c r="E271" s="75" t="inlineStr">
        <is>
          <t>N/D</t>
        </is>
      </c>
      <c r="F271" s="75" t="inlineStr">
        <is>
          <t>planilha_manual</t>
        </is>
      </c>
      <c r="G271" s="75" t="inlineStr">
        <is>
          <t>IMG_8706.JPG</t>
        </is>
      </c>
      <c r="H271" s="75" t="inlineStr">
        <is>
          <t>payload</t>
        </is>
      </c>
      <c r="I271" s="75" t="inlineStr">
        <is>
          <t>2025-06-13</t>
        </is>
      </c>
      <c r="J271" s="75" t="inlineStr">
        <is>
          <t>91</t>
        </is>
      </c>
      <c r="K271" s="75" t="inlineStr">
        <is>
          <t>aceito_payload</t>
        </is>
      </c>
      <c r="L271" s="144" t="n">
        <v>1</v>
      </c>
      <c r="M271" s="75" t="inlineStr">
        <is>
          <t>data/industry_study/generated_revision/artifact_payload.json</t>
        </is>
      </c>
      <c r="N271" s="75" t="inlineStr">
        <is>
          <t>N/D</t>
        </is>
      </c>
      <c r="O271" s="75" t="inlineStr">
        <is>
          <t>OBS da foto: a Sol Agora é o originador, mas o cedente das CCBs é o BMP (true sale). Os papéis foram desmembrados somente porque estão escritos literalmente na fonte. Denominação cortada.</t>
        </is>
      </c>
    </row>
    <row r="272" ht="43.5" customHeight="1">
      <c r="A272" s="142" t="n">
        <v>47640584000123</v>
      </c>
      <c r="B272" s="75" t="inlineStr">
        <is>
          <t>47.640.584/0001-23</t>
        </is>
      </c>
      <c r="C272" s="75" t="inlineStr">
        <is>
          <t>sacado_devedor</t>
        </is>
      </c>
      <c r="D272" s="75" t="inlineStr">
        <is>
          <t>pessoas físicas ou jurídicas que obtenham um financiamento de Projetos de Geração Energia Elétrica junto a uma Instituição Financeira Parceira por meio da Plataforma Sol Agora</t>
        </is>
      </c>
      <c r="E272" s="75" t="inlineStr">
        <is>
          <t>N/D</t>
        </is>
      </c>
      <c r="F272" s="75" t="inlineStr">
        <is>
          <t>regulamento</t>
        </is>
      </c>
      <c r="G272" s="75" t="inlineStr">
        <is>
          <t>832448</t>
        </is>
      </c>
      <c r="H272" s="75" t="inlineStr">
        <is>
          <t>Regulamento</t>
        </is>
      </c>
      <c r="I272" s="75" t="inlineStr">
        <is>
          <t>04/02/2025</t>
        </is>
      </c>
      <c r="J272" s="75" t="inlineStr">
        <is>
          <t>87</t>
        </is>
      </c>
      <c r="K272" s="75" t="inlineStr">
        <is>
          <t>encontrado_explicito</t>
        </is>
      </c>
      <c r="L272" s="144" t="n">
        <v>0.95</v>
      </c>
      <c r="M272" s="75" t="inlineStr">
        <is>
          <t>.cache/carteira_101_document_scan/47640584000123/832448.json.gz</t>
        </is>
      </c>
      <c r="N272" s="75" t="inlineStr">
        <is>
          <t>https://fnet.bmfbovespa.com.br/fnet/publico/downloadDocumento?id=832448</t>
        </is>
      </c>
      <c r="O272" s="75" t="inlineStr">
        <is>
          <t>de Referência de cada mês, iniciando-se no mês imediatamente posterior ao 1º (primeiro) Mês Completo de Alocação. “Devedores” significam pessoas físicas ou jurídicas que obtenham um financiamento de Projetos de Geração Energia Elétrica junto a uma Instituição Financeira Parceira por meio da Plataforma Sol Agora. “Dia Útil” significa cada dia útil, para fins de operações praticadas no mercado financeiro brasileiro, conforme es</t>
        </is>
      </c>
    </row>
    <row r="273" ht="43.5" customHeight="1">
      <c r="A273" s="142" t="n">
        <v>47640584000123</v>
      </c>
      <c r="B273" s="75" t="inlineStr">
        <is>
          <t>47.640.584/0001-23</t>
        </is>
      </c>
      <c r="C273" s="75" t="inlineStr">
        <is>
          <t>sacado_devedor</t>
        </is>
      </c>
      <c r="D273" s="75" t="inlineStr">
        <is>
          <t>pessoas físicas ou jurídicas que obtenham um financiamento de Projetos de Geração Energia Elétrica junto a uma Instituição Financeira Parceira por meio da Plataforma Sol Agora</t>
        </is>
      </c>
      <c r="E273" s="75" t="inlineStr">
        <is>
          <t>N/D</t>
        </is>
      </c>
      <c r="F273" s="75" t="inlineStr">
        <is>
          <t>regulamento</t>
        </is>
      </c>
      <c r="G273" s="75" t="inlineStr">
        <is>
          <t>930974</t>
        </is>
      </c>
      <c r="H273" s="75" t="inlineStr">
        <is>
          <t>Regulamento</t>
        </is>
      </c>
      <c r="I273" s="75" t="inlineStr">
        <is>
          <t>13/06/2025</t>
        </is>
      </c>
      <c r="J273" s="75" t="inlineStr">
        <is>
          <t>87</t>
        </is>
      </c>
      <c r="K273" s="75" t="inlineStr">
        <is>
          <t>encontrado_explicito</t>
        </is>
      </c>
      <c r="L273" s="144" t="n">
        <v>0.95</v>
      </c>
      <c r="M273" s="75" t="inlineStr">
        <is>
          <t>.cache/carteira_101_document_scan/47640584000123/930974.json.gz</t>
        </is>
      </c>
      <c r="N273" s="75" t="inlineStr">
        <is>
          <t>https://fnet.bmfbovespa.com.br/fnet/publico/downloadDocumento?id=930974</t>
        </is>
      </c>
      <c r="O273" s="75" t="inlineStr">
        <is>
          <t>de Referência de cada mês, iniciando-se no mês imediatamente posterior ao 1º (primeiro) Mês Completo de Alocação. “Devedores” significam pessoas físicas ou jurídicas que obtenham um financiamento de Projetos de Geração Energia Elétrica junto a uma Instituição Financeira Parceira por meio da Plataforma Sol Agora. “Dia Útil” significa cada dia útil, para fins de operações praticadas no mercado financeiro brasileiro, conforme es</t>
        </is>
      </c>
    </row>
    <row r="274" ht="43.5" customHeight="1">
      <c r="A274" s="142" t="n">
        <v>47640584000123</v>
      </c>
      <c r="B274" s="75" t="inlineStr">
        <is>
          <t>47.640.584/0001-23</t>
        </is>
      </c>
      <c r="C274" s="75" t="inlineStr">
        <is>
          <t>tipo_recebivel</t>
        </is>
      </c>
      <c r="D274" s="75" t="inlineStr">
        <is>
          <t>Recebíveis: CCBs</t>
        </is>
      </c>
      <c r="E274" s="75" t="inlineStr">
        <is>
          <t>N/D</t>
        </is>
      </c>
      <c r="F274" s="75" t="inlineStr">
        <is>
          <t>planilha_manual</t>
        </is>
      </c>
      <c r="G274" s="75" t="inlineStr">
        <is>
          <t>IMG_8706.JPG</t>
        </is>
      </c>
      <c r="H274" s="75" t="inlineStr">
        <is>
          <t>payload</t>
        </is>
      </c>
      <c r="I274" s="75" t="inlineStr">
        <is>
          <t>2025-06-13</t>
        </is>
      </c>
      <c r="J274" s="75" t="inlineStr">
        <is>
          <t>91</t>
        </is>
      </c>
      <c r="K274" s="75" t="inlineStr">
        <is>
          <t>aceito_payload</t>
        </is>
      </c>
      <c r="L274" s="144" t="n">
        <v>1</v>
      </c>
      <c r="M274" s="75" t="inlineStr">
        <is>
          <t>data/industry_study/generated_revision/artifact_payload.json</t>
        </is>
      </c>
      <c r="N274" s="75" t="inlineStr">
        <is>
          <t>N/D</t>
        </is>
      </c>
      <c r="O274" s="75" t="inlineStr">
        <is>
          <t>OBS da foto: a Sol Agora é o originador, mas o cedente das CCBs é o BMP (true sale). Os papéis foram desmembrados somente porque estão escritos literalmente na fonte. Denominação cortada.</t>
        </is>
      </c>
    </row>
    <row r="275" ht="43.5" customHeight="1">
      <c r="A275" s="142" t="n">
        <v>47936340000192</v>
      </c>
      <c r="B275" s="75" t="inlineStr">
        <is>
          <t>47.936.340/0001-92</t>
        </is>
      </c>
      <c r="C275" s="75" t="inlineStr">
        <is>
          <t>cedente</t>
        </is>
      </c>
      <c r="D275" s="75" t="inlineStr">
        <is>
          <t>BASF</t>
        </is>
      </c>
      <c r="E275" s="75" t="inlineStr">
        <is>
          <t>N/D</t>
        </is>
      </c>
      <c r="F275" s="75" t="inlineStr">
        <is>
          <t>planilha_manual</t>
        </is>
      </c>
      <c r="G275" s="75" t="inlineStr">
        <is>
          <t>IMG_8706.JPG</t>
        </is>
      </c>
      <c r="H275" s="75" t="inlineStr">
        <is>
          <t>payload</t>
        </is>
      </c>
      <c r="I275" s="75" t="inlineStr">
        <is>
          <t>2025-03-11</t>
        </is>
      </c>
      <c r="J275" s="75" t="inlineStr">
        <is>
          <t>4</t>
        </is>
      </c>
      <c r="K275" s="75" t="inlineStr">
        <is>
          <t>aceito_payload</t>
        </is>
      </c>
      <c r="L275" s="144" t="n">
        <v>1</v>
      </c>
      <c r="M275" s="75" t="inlineStr">
        <is>
          <t>data/industry_study/generated_revision/artifact_payload.json</t>
        </is>
      </c>
      <c r="N275" s="75" t="inlineStr">
        <is>
          <t>N/D</t>
        </is>
      </c>
      <c r="O275" s="75" t="inlineStr">
        <is>
          <t>N/D</t>
        </is>
      </c>
    </row>
    <row r="276" ht="43.5" customHeight="1">
      <c r="A276" s="142" t="n">
        <v>47936340000192</v>
      </c>
      <c r="B276" s="75" t="inlineStr">
        <is>
          <t>47.936.340/0001-92</t>
        </is>
      </c>
      <c r="C276" s="75" t="inlineStr">
        <is>
          <t>minimo_estrutural_total</t>
        </is>
      </c>
      <c r="D276" s="75" t="inlineStr">
        <is>
          <t>25%</t>
        </is>
      </c>
      <c r="E276" s="75" t="inlineStr">
        <is>
          <t>suporte_total_pl</t>
        </is>
      </c>
      <c r="F276" s="75" t="inlineStr">
        <is>
          <t>payload_documental</t>
        </is>
      </c>
      <c r="G276" s="75" t="inlineStr">
        <is>
          <t>801978</t>
        </is>
      </c>
      <c r="H276" s="75" t="inlineStr">
        <is>
          <t>documento_curado</t>
        </is>
      </c>
      <c r="I276" s="75" t="inlineStr">
        <is>
          <t>2025-03-11</t>
        </is>
      </c>
      <c r="J276" s="75" t="inlineStr">
        <is>
          <t>4</t>
        </is>
      </c>
      <c r="K276" s="75" t="inlineStr">
        <is>
          <t>aceito_payload</t>
        </is>
      </c>
      <c r="L276" s="144" t="n">
        <v>1</v>
      </c>
      <c r="M276" s="75" t="inlineStr">
        <is>
          <t>data/industry_study/generated_revision/artifact_payload.json</t>
        </is>
      </c>
      <c r="N276" s="75" t="inlineStr">
        <is>
          <t>https://fnet.bmfbovespa.com.br/fnet/publico/downloadDocumento?id=801978</t>
        </is>
      </c>
      <c r="O276" s="75" t="inlineStr">
        <is>
          <t>N/D</t>
        </is>
      </c>
    </row>
    <row r="277" ht="43.5" customHeight="1">
      <c r="A277" s="142" t="n">
        <v>47936340000192</v>
      </c>
      <c r="B277" s="75" t="inlineStr">
        <is>
          <t>47.936.340/0001-92</t>
        </is>
      </c>
      <c r="C277" s="75" t="inlineStr">
        <is>
          <t>natureza_indice</t>
        </is>
      </c>
      <c r="D277" s="75" t="inlineStr">
        <is>
          <t>suporte_total_pl</t>
        </is>
      </c>
      <c r="E277" s="75" t="inlineStr">
        <is>
          <t>suporte_total_pl</t>
        </is>
      </c>
      <c r="F277" s="75" t="inlineStr">
        <is>
          <t>payload_documental</t>
        </is>
      </c>
      <c r="G277" s="75" t="inlineStr">
        <is>
          <t>801978</t>
        </is>
      </c>
      <c r="H277" s="75" t="inlineStr">
        <is>
          <t>documento_curado</t>
        </is>
      </c>
      <c r="I277" s="75" t="inlineStr">
        <is>
          <t>2025-03-11</t>
        </is>
      </c>
      <c r="J277" s="75" t="inlineStr">
        <is>
          <t>4</t>
        </is>
      </c>
      <c r="K277" s="75" t="inlineStr">
        <is>
          <t>aceito_payload</t>
        </is>
      </c>
      <c r="L277" s="144" t="n">
        <v>1</v>
      </c>
      <c r="M277" s="75" t="inlineStr">
        <is>
          <t>data/industry_study/generated_revision/artifact_payload.json</t>
        </is>
      </c>
      <c r="N277" s="75" t="inlineStr">
        <is>
          <t>https://fnet.bmfbovespa.com.br/fnet/publico/downloadDocumento?id=801978</t>
        </is>
      </c>
      <c r="O277" s="75" t="inlineStr">
        <is>
          <t>N/D</t>
        </is>
      </c>
    </row>
    <row r="278" ht="43.5" customHeight="1">
      <c r="A278" s="142" t="n">
        <v>47936340000192</v>
      </c>
      <c r="B278" s="75" t="inlineStr">
        <is>
          <t>47.936.340/0001-92</t>
        </is>
      </c>
      <c r="C278" s="75" t="inlineStr">
        <is>
          <t>tipo_recebivel</t>
        </is>
      </c>
      <c r="D278" s="75" t="inlineStr">
        <is>
          <t>Insumos Agrícolas - prazo Safra</t>
        </is>
      </c>
      <c r="E278" s="75" t="inlineStr">
        <is>
          <t>N/D</t>
        </is>
      </c>
      <c r="F278" s="75" t="inlineStr">
        <is>
          <t>planilha_manual</t>
        </is>
      </c>
      <c r="G278" s="75" t="inlineStr">
        <is>
          <t>IMG_8706.JPG</t>
        </is>
      </c>
      <c r="H278" s="75" t="inlineStr">
        <is>
          <t>payload</t>
        </is>
      </c>
      <c r="I278" s="75" t="inlineStr">
        <is>
          <t>2025-03-11</t>
        </is>
      </c>
      <c r="J278" s="75" t="inlineStr">
        <is>
          <t>4</t>
        </is>
      </c>
      <c r="K278" s="75" t="inlineStr">
        <is>
          <t>aceito_payload</t>
        </is>
      </c>
      <c r="L278" s="144" t="n">
        <v>1</v>
      </c>
      <c r="M278" s="75" t="inlineStr">
        <is>
          <t>data/industry_study/generated_revision/artifact_payload.json</t>
        </is>
      </c>
      <c r="N278" s="75" t="inlineStr">
        <is>
          <t>N/D</t>
        </is>
      </c>
      <c r="O278" s="75" t="inlineStr">
        <is>
          <t>N/D</t>
        </is>
      </c>
    </row>
    <row r="279" ht="43.5" customHeight="1">
      <c r="A279" s="142" t="n">
        <v>48313595000161</v>
      </c>
      <c r="B279" s="75" t="inlineStr">
        <is>
          <t>48.313.595/0001-61</t>
        </is>
      </c>
      <c r="C279" s="75" t="inlineStr">
        <is>
          <t>cedente</t>
        </is>
      </c>
      <c r="D279" s="75" t="inlineStr">
        <is>
          <t>as sociedades, identificadas nos respectivos Contratos de Cessão, que cedem, em caráter irrevogável e irretratável, os Direitos Creditórios Adquiridos listados nos respectivos Contratos de Cessão e Termos de Cessão, conforme aplicável , observados os requisitos da Política de Concessão de Créditos</t>
        </is>
      </c>
      <c r="E279" s="75" t="inlineStr">
        <is>
          <t>N/D</t>
        </is>
      </c>
      <c r="F279" s="75" t="inlineStr">
        <is>
          <t>regulamento</t>
        </is>
      </c>
      <c r="G279" s="75" t="inlineStr">
        <is>
          <t>839465</t>
        </is>
      </c>
      <c r="H279" s="75" t="inlineStr">
        <is>
          <t>Regulamento</t>
        </is>
      </c>
      <c r="I279" s="75" t="inlineStr">
        <is>
          <t>12/02/2025</t>
        </is>
      </c>
      <c r="J279" s="75" t="inlineStr">
        <is>
          <t>6</t>
        </is>
      </c>
      <c r="K279" s="75" t="inlineStr">
        <is>
          <t>encontrado_explicito</t>
        </is>
      </c>
      <c r="L279" s="144" t="n">
        <v>0.95</v>
      </c>
      <c r="M279" s="75" t="inlineStr">
        <is>
          <t>.cache/carteira_101_document_scan/48313595000161/839465.json.gz</t>
        </is>
      </c>
      <c r="N279" s="75" t="inlineStr">
        <is>
          <t>https://fnet.bmfbovespa.com.br/fnet/publico/downloadDocumento?id=839465</t>
        </is>
      </c>
      <c r="O279" s="75" t="inlineStr">
        <is>
          <t>BACEN e pela CVM. “BACEN” Significa o BANCO CENTRAL DO BRASIL. f4a63c16-db49-4b84-a902-a4f220bcc362 6 “Cedentes” Significam as sociedades, identificadas nos respectivos Contratos de Cessão, que cedem, em caráter irrevogável e irretratável, os Direitos Creditórios Adquiridos listados nos respectivos Contratos de Cessão e Termos de Cessão, conforme aplicável , observados os requisitos da Política de Concessão de Créditos. “Chaves de Acesso Eletrônico” Significa o conjunto de dígitos que identificam univocamente uma nota fiscal ele</t>
        </is>
      </c>
    </row>
    <row r="280" ht="43.5" customHeight="1">
      <c r="A280" s="142" t="n">
        <v>48313595000161</v>
      </c>
      <c r="B280" s="75" t="inlineStr">
        <is>
          <t>48.313.595/0001-61</t>
        </is>
      </c>
      <c r="C280" s="75" t="inlineStr">
        <is>
          <t>cedente</t>
        </is>
      </c>
      <c r="D280" s="75" t="inlineStr">
        <is>
          <t>as sociedades, identificadas nos respectivos Contratos de Cessão, que cedem, em caráter irrevogável e irretratável, os Direitos Creditórios Adquiridos listados nos respectivos Contratos de Cessão e Termos de Cessão, conforme aplicável, observados os requisitos da Política de Concessão de Créditos</t>
        </is>
      </c>
      <c r="E280" s="75" t="inlineStr">
        <is>
          <t>N/D</t>
        </is>
      </c>
      <c r="F280" s="75" t="inlineStr">
        <is>
          <t>regulamento</t>
        </is>
      </c>
      <c r="G280" s="75" t="inlineStr">
        <is>
          <t>976737</t>
        </is>
      </c>
      <c r="H280" s="75" t="inlineStr">
        <is>
          <t>Regulamento</t>
        </is>
      </c>
      <c r="I280" s="75" t="inlineStr">
        <is>
          <t>22/08/2025</t>
        </is>
      </c>
      <c r="J280" s="75" t="inlineStr">
        <is>
          <t>14</t>
        </is>
      </c>
      <c r="K280" s="75" t="inlineStr">
        <is>
          <t>encontrado_explicito</t>
        </is>
      </c>
      <c r="L280" s="144" t="n">
        <v>0.95</v>
      </c>
      <c r="M280" s="75" t="inlineStr">
        <is>
          <t>.cache/carteira_101_document_scan/48313595000161/976737.json.gz</t>
        </is>
      </c>
      <c r="N280" s="75" t="inlineStr">
        <is>
          <t>https://fnet.bmfbovespa.com.br/fnet/publico/downloadDocumento?id=976737</t>
        </is>
      </c>
      <c r="O280" s="75" t="inlineStr">
        <is>
          <t>r pelo BACEN e pela CVM. “BACEN” Significa o BANCO CENTRAL DO BRASIL. 22c252a7-90fe-4d83-81f8-49a2dc538ebb 6 “Cedentes” Significam as sociedades, identificadas nos respectivos Contratos de Cessão, que cedem, em caráter irrevogável e irretratável, os Direitos Creditórios Adquiridos listados nos respectivos Contratos de Cessão e Termos de Cessão, conforme aplicável, observados os requisitos da Política de Concessão de Créditos. “Chaves de Acesso Eletrônico” Significa o conjunto de dígitos que identificam univocamente uma nota fiscal e</t>
        </is>
      </c>
    </row>
    <row r="281" ht="43.5" customHeight="1">
      <c r="A281" s="142" t="n">
        <v>48313595000161</v>
      </c>
      <c r="B281" s="75" t="inlineStr">
        <is>
          <t>48.313.595/0001-61</t>
        </is>
      </c>
      <c r="C281" s="75" t="inlineStr">
        <is>
          <t>cedente</t>
        </is>
      </c>
      <c r="D281" s="75" t="inlineStr">
        <is>
          <t>Multicedentes</t>
        </is>
      </c>
      <c r="E281" s="75" t="inlineStr">
        <is>
          <t>N/D</t>
        </is>
      </c>
      <c r="F281" s="75" t="inlineStr">
        <is>
          <t>planilha_manual</t>
        </is>
      </c>
      <c r="G281" s="75" t="inlineStr">
        <is>
          <t>IMG_8704.JPG</t>
        </is>
      </c>
      <c r="H281" s="75" t="inlineStr">
        <is>
          <t>payload</t>
        </is>
      </c>
      <c r="I281" s="75" t="inlineStr">
        <is>
          <t>2025-08-22</t>
        </is>
      </c>
      <c r="J281" s="75" t="inlineStr">
        <is>
          <t>42</t>
        </is>
      </c>
      <c r="K281" s="75" t="inlineStr">
        <is>
          <t>aceito_payload</t>
        </is>
      </c>
      <c r="L281" s="144" t="n">
        <v>1</v>
      </c>
      <c r="M281" s="75" t="inlineStr">
        <is>
          <t>data/industry_study/generated_revision/artifact_payload.json</t>
        </is>
      </c>
      <c r="N281" s="75" t="inlineStr">
        <is>
          <t>N/D</t>
        </is>
      </c>
      <c r="O281" s="75" t="inlineStr">
        <is>
          <t>OBS da foto: Cota Jr 100% consumida; revisão de rating em out/25; fomos 100% resgatados na SR. Denominação cortada.</t>
        </is>
      </c>
    </row>
    <row r="282" ht="43.5" customHeight="1">
      <c r="A282" s="142" t="n">
        <v>48313595000161</v>
      </c>
      <c r="B282" s="75" t="inlineStr">
        <is>
          <t>48.313.595/0001-61</t>
        </is>
      </c>
      <c r="C282" s="75" t="inlineStr">
        <is>
          <t>natureza_indice</t>
        </is>
      </c>
      <c r="D282" s="75" t="inlineStr">
        <is>
          <t>sem_indice</t>
        </is>
      </c>
      <c r="E282" s="75" t="inlineStr">
        <is>
          <t>sem_indice</t>
        </is>
      </c>
      <c r="F282" s="75" t="inlineStr">
        <is>
          <t>payload_documental</t>
        </is>
      </c>
      <c r="G282" s="75" t="inlineStr">
        <is>
          <t>976737</t>
        </is>
      </c>
      <c r="H282" s="75" t="inlineStr">
        <is>
          <t>documento_curado</t>
        </is>
      </c>
      <c r="I282" s="75" t="inlineStr">
        <is>
          <t>2025-08-22</t>
        </is>
      </c>
      <c r="J282" s="75" t="inlineStr">
        <is>
          <t>42</t>
        </is>
      </c>
      <c r="K282" s="75" t="inlineStr">
        <is>
          <t>aceito_payload</t>
        </is>
      </c>
      <c r="L282" s="144" t="n">
        <v>1</v>
      </c>
      <c r="M282" s="75" t="inlineStr">
        <is>
          <t>data/industry_study/generated_revision/artifact_payload.json</t>
        </is>
      </c>
      <c r="N282" s="75" t="inlineStr">
        <is>
          <t>https://fnet.bmfbovespa.com.br/fnet/publico/downloadDocumento?id=976737</t>
        </is>
      </c>
      <c r="O282" s="75" t="inlineStr">
        <is>
          <t>N/D</t>
        </is>
      </c>
    </row>
    <row r="283" ht="43.5" customHeight="1">
      <c r="A283" s="142" t="n">
        <v>48946335000123</v>
      </c>
      <c r="B283" s="75" t="inlineStr">
        <is>
          <t>48.946.335/0001-23</t>
        </is>
      </c>
      <c r="C283" s="75" t="inlineStr">
        <is>
          <t>cedente</t>
        </is>
      </c>
      <c r="D283" s="75" t="inlineStr">
        <is>
          <t>Multicedentes</t>
        </is>
      </c>
      <c r="E283" s="75" t="inlineStr">
        <is>
          <t>N/D</t>
        </is>
      </c>
      <c r="F283" s="75" t="inlineStr">
        <is>
          <t>planilha_manual</t>
        </is>
      </c>
      <c r="G283" s="75" t="inlineStr">
        <is>
          <t>IMG_8705.JPG</t>
        </is>
      </c>
      <c r="H283" s="75" t="inlineStr">
        <is>
          <t>payload</t>
        </is>
      </c>
      <c r="I283" s="75" t="inlineStr">
        <is>
          <t>2025-09-29</t>
        </is>
      </c>
      <c r="J283" s="75" t="inlineStr">
        <is>
          <t>57</t>
        </is>
      </c>
      <c r="K283" s="75" t="inlineStr">
        <is>
          <t>aceito_payload</t>
        </is>
      </c>
      <c r="L283" s="144" t="n">
        <v>1</v>
      </c>
      <c r="M283" s="75" t="inlineStr">
        <is>
          <t>data/industry_study/generated_revision/artifact_payload.json</t>
        </is>
      </c>
      <c r="N283" s="75" t="inlineStr">
        <is>
          <t>N/D</t>
        </is>
      </c>
      <c r="O283" s="75" t="inlineStr">
        <is>
          <t>OBS da foto: análise NAGRO. Denominação cortada.</t>
        </is>
      </c>
    </row>
    <row r="284" ht="43.5" customHeight="1">
      <c r="A284" s="142" t="n">
        <v>48946335000123</v>
      </c>
      <c r="B284" s="75" t="inlineStr">
        <is>
          <t>48.946.335/0001-23</t>
        </is>
      </c>
      <c r="C284" s="75" t="inlineStr">
        <is>
          <t>minimo_junior</t>
        </is>
      </c>
      <c r="D284" s="75" t="inlineStr">
        <is>
          <t>10%</t>
        </is>
      </c>
      <c r="E284" s="75" t="inlineStr">
        <is>
          <t>junior_pl</t>
        </is>
      </c>
      <c r="F284" s="75" t="inlineStr">
        <is>
          <t>payload_documental</t>
        </is>
      </c>
      <c r="G284" s="75" t="inlineStr">
        <is>
          <t>1000248</t>
        </is>
      </c>
      <c r="H284" s="75" t="inlineStr">
        <is>
          <t>documento_curado</t>
        </is>
      </c>
      <c r="I284" s="75" t="inlineStr">
        <is>
          <t>2025-09-29</t>
        </is>
      </c>
      <c r="J284" s="75" t="inlineStr">
        <is>
          <t>57</t>
        </is>
      </c>
      <c r="K284" s="75" t="inlineStr">
        <is>
          <t>aceito_payload</t>
        </is>
      </c>
      <c r="L284" s="144" t="n">
        <v>1</v>
      </c>
      <c r="M284" s="75" t="inlineStr">
        <is>
          <t>data/industry_study/generated_revision/artifact_payload.json</t>
        </is>
      </c>
      <c r="N284" s="75" t="inlineStr">
        <is>
          <t>https://fnet.bmfbovespa.com.br/fnet/publico/downloadDocumento?id=1000248</t>
        </is>
      </c>
      <c r="O284" s="75" t="inlineStr">
        <is>
          <t>Cotas júnior A e B / PL, mínimo de 10,0%.</t>
        </is>
      </c>
    </row>
    <row r="285" ht="43.5" customHeight="1">
      <c r="A285" s="142" t="n">
        <v>48946335000123</v>
      </c>
      <c r="B285" s="75" t="inlineStr">
        <is>
          <t>48.946.335/0001-23</t>
        </is>
      </c>
      <c r="C285" s="75" t="inlineStr">
        <is>
          <t>natureza_indice</t>
        </is>
      </c>
      <c r="D285" s="75" t="inlineStr">
        <is>
          <t>junior_pl</t>
        </is>
      </c>
      <c r="E285" s="75" t="inlineStr">
        <is>
          <t>junior_pl</t>
        </is>
      </c>
      <c r="F285" s="75" t="inlineStr">
        <is>
          <t>payload_documental</t>
        </is>
      </c>
      <c r="G285" s="75" t="inlineStr">
        <is>
          <t>1000248</t>
        </is>
      </c>
      <c r="H285" s="75" t="inlineStr">
        <is>
          <t>documento_curado</t>
        </is>
      </c>
      <c r="I285" s="75" t="inlineStr">
        <is>
          <t>2025-09-29</t>
        </is>
      </c>
      <c r="J285" s="75" t="inlineStr">
        <is>
          <t>57</t>
        </is>
      </c>
      <c r="K285" s="75" t="inlineStr">
        <is>
          <t>aceito_payload</t>
        </is>
      </c>
      <c r="L285" s="144" t="n">
        <v>1</v>
      </c>
      <c r="M285" s="75" t="inlineStr">
        <is>
          <t>data/industry_study/generated_revision/artifact_payload.json</t>
        </is>
      </c>
      <c r="N285" s="75" t="inlineStr">
        <is>
          <t>https://fnet.bmfbovespa.com.br/fnet/publico/downloadDocumento?id=1000248</t>
        </is>
      </c>
      <c r="O285" s="75" t="inlineStr">
        <is>
          <t>Cotas júnior A e B / PL, mínimo de 10,0%.</t>
        </is>
      </c>
    </row>
    <row r="286" ht="43.5" customHeight="1">
      <c r="A286" s="142" t="n">
        <v>48953864000154</v>
      </c>
      <c r="B286" s="75" t="inlineStr">
        <is>
          <t>48.953.864/0001-54</t>
        </is>
      </c>
      <c r="C286" s="75" t="inlineStr">
        <is>
          <t>cedente</t>
        </is>
      </c>
      <c r="D286" s="75" t="inlineStr">
        <is>
          <t>o ASAAS GESTÃO FINANCEIRA INSTITUIÇÃO DE PAGAMENTOS S.A. , sociedade anônima, com sede na Cidade de Joinville, Estado de Santa Catarina, na Avenida Rolf Wiest, n.º 277, Sala 820, Bom Retiro, CEP 89227-971, inscrita no CNPJ/MF sob o n.º 19.540.550/0001 -21, que atua como Subcredenciadora, nos termos dos Contratos de Credenciamento</t>
        </is>
      </c>
      <c r="E286" s="75" t="inlineStr">
        <is>
          <t>N/D</t>
        </is>
      </c>
      <c r="F286" s="75" t="inlineStr">
        <is>
          <t>regulamento</t>
        </is>
      </c>
      <c r="G286" s="75" t="inlineStr">
        <is>
          <t>473796</t>
        </is>
      </c>
      <c r="H286" s="75" t="inlineStr">
        <is>
          <t>Regulamento</t>
        </is>
      </c>
      <c r="I286" s="75" t="inlineStr">
        <is>
          <t>01/06/2023</t>
        </is>
      </c>
      <c r="J286" s="75" t="inlineStr">
        <is>
          <t>7</t>
        </is>
      </c>
      <c r="K286" s="75" t="inlineStr">
        <is>
          <t>encontrado_explicito</t>
        </is>
      </c>
      <c r="L286" s="144" t="n">
        <v>0.95</v>
      </c>
      <c r="M286" s="75" t="inlineStr">
        <is>
          <t>.cache/carteira_101_document_scan/48953864000154/473796.json.gz</t>
        </is>
      </c>
      <c r="N286" s="75" t="inlineStr">
        <is>
          <t>https://fnet.bmfbovespa.com.br/fnet/publico/downloadDocumento?id=473796</t>
        </is>
      </c>
      <c r="O286" s="75" t="inlineStr">
        <is>
          <t>Bandeiras, instrumento este utilizado em Transações de Pagamento rea lizadas junto aos Recebedores Credenciados. “Cedente” Significa o ASAAS GESTÃO FINANCEIRA INSTITUIÇÃO DE PAGAMENTOS S.A. , sociedade anônima, com sede na Cidade de Joinville, Estado de Santa Catarina, na Avenida Rolf Wiest, n.º 277, Sala 820, Bom Retiro, CEP 89227-971, inscrita no CNPJ/MF sob o n.º 19.540.550/0001 -21, que atua como Subcredenciadora, nos termos dos Contratos de Credenciamento. “CERC” Significa a CERC CENTRAL DE RECEBÍVEIS S.A., com sede na Cidade de São Paulo, Estado de São Paulo, na Aven</t>
        </is>
      </c>
    </row>
    <row r="287" ht="43.5" customHeight="1">
      <c r="A287" s="142" t="n">
        <v>48953864000154</v>
      </c>
      <c r="B287" s="75" t="inlineStr">
        <is>
          <t>48.953.864/0001-54</t>
        </is>
      </c>
      <c r="C287" s="75" t="inlineStr">
        <is>
          <t>cedente</t>
        </is>
      </c>
      <c r="D287" s="75" t="inlineStr">
        <is>
          <t>Asaas IP</t>
        </is>
      </c>
      <c r="E287" s="75" t="inlineStr">
        <is>
          <t>N/D</t>
        </is>
      </c>
      <c r="F287" s="75" t="inlineStr">
        <is>
          <t>planilha_manual</t>
        </is>
      </c>
      <c r="G287" s="75" t="inlineStr">
        <is>
          <t>IMG_8705.JPG</t>
        </is>
      </c>
      <c r="H287" s="75" t="inlineStr">
        <is>
          <t>payload</t>
        </is>
      </c>
      <c r="I287" s="75" t="inlineStr">
        <is>
          <t>2024-11-05</t>
        </is>
      </c>
      <c r="J287" s="75" t="inlineStr">
        <is>
          <t>33; 107</t>
        </is>
      </c>
      <c r="K287" s="75" t="inlineStr">
        <is>
          <t>aceito_payload</t>
        </is>
      </c>
      <c r="L287" s="144" t="n">
        <v>1</v>
      </c>
      <c r="M287" s="75" t="inlineStr">
        <is>
          <t>data/industry_study/generated_revision/artifact_payload.json</t>
        </is>
      </c>
      <c r="N287" s="75" t="inlineStr">
        <is>
          <t>N/D</t>
        </is>
      </c>
      <c r="O287" s="75" t="inlineStr">
        <is>
          <t>N/D</t>
        </is>
      </c>
    </row>
    <row r="288" ht="43.5" customHeight="1">
      <c r="A288" s="142" t="n">
        <v>48953864000154</v>
      </c>
      <c r="B288" s="75" t="inlineStr">
        <is>
          <t>48.953.864/0001-54</t>
        </is>
      </c>
      <c r="C288" s="75" t="inlineStr">
        <is>
          <t>minimo_estrutural_total</t>
        </is>
      </c>
      <c r="D288" s="75" t="inlineStr">
        <is>
          <t>15%</t>
        </is>
      </c>
      <c r="E288" s="75" t="inlineStr">
        <is>
          <t>suporte_total_pl</t>
        </is>
      </c>
      <c r="F288" s="75" t="inlineStr">
        <is>
          <t>payload_documental</t>
        </is>
      </c>
      <c r="G288" s="75" t="inlineStr">
        <is>
          <t>774314</t>
        </is>
      </c>
      <c r="H288" s="75" t="inlineStr">
        <is>
          <t>documento_curado</t>
        </is>
      </c>
      <c r="I288" s="75" t="inlineStr">
        <is>
          <t>2024-11-05</t>
        </is>
      </c>
      <c r="J288" s="75" t="inlineStr">
        <is>
          <t>33; 107</t>
        </is>
      </c>
      <c r="K288" s="75" t="inlineStr">
        <is>
          <t>aceito_payload</t>
        </is>
      </c>
      <c r="L288" s="144" t="n">
        <v>1</v>
      </c>
      <c r="M288" s="75" t="inlineStr">
        <is>
          <t>data/industry_study/generated_revision/artifact_payload.json</t>
        </is>
      </c>
      <c r="N288" s="75" t="inlineStr">
        <is>
          <t>https://fnet.bmfbovespa.com.br/fnet/publico/downloadDocumento?id=774314</t>
        </is>
      </c>
      <c r="O288" s="75" t="inlineStr">
        <is>
          <t>Cotas subordinadas / PL, mínimo de 15,0%; estrutura com uma única classe residual.</t>
        </is>
      </c>
    </row>
    <row r="289" ht="43.5" customHeight="1">
      <c r="A289" s="142" t="n">
        <v>48953864000154</v>
      </c>
      <c r="B289" s="75" t="inlineStr">
        <is>
          <t>48.953.864/0001-54</t>
        </is>
      </c>
      <c r="C289" s="75" t="inlineStr">
        <is>
          <t>minimo_junior</t>
        </is>
      </c>
      <c r="D289" s="75" t="inlineStr">
        <is>
          <t>15%</t>
        </is>
      </c>
      <c r="E289" s="75" t="inlineStr">
        <is>
          <t>junior_pl</t>
        </is>
      </c>
      <c r="F289" s="75" t="inlineStr">
        <is>
          <t>payload_documental</t>
        </is>
      </c>
      <c r="G289" s="75" t="inlineStr">
        <is>
          <t>774314</t>
        </is>
      </c>
      <c r="H289" s="75" t="inlineStr">
        <is>
          <t>documento_curado</t>
        </is>
      </c>
      <c r="I289" s="75" t="inlineStr">
        <is>
          <t>2024-11-05</t>
        </is>
      </c>
      <c r="J289" s="75" t="inlineStr">
        <is>
          <t>33; 107</t>
        </is>
      </c>
      <c r="K289" s="75" t="inlineStr">
        <is>
          <t>aceito_payload</t>
        </is>
      </c>
      <c r="L289" s="144" t="n">
        <v>1</v>
      </c>
      <c r="M289" s="75" t="inlineStr">
        <is>
          <t>data/industry_study/generated_revision/artifact_payload.json</t>
        </is>
      </c>
      <c r="N289" s="75" t="inlineStr">
        <is>
          <t>https://fnet.bmfbovespa.com.br/fnet/publico/downloadDocumento?id=774314</t>
        </is>
      </c>
      <c r="O289" s="75" t="inlineStr">
        <is>
          <t>Cotas subordinadas / PL, mínimo de 15,0%; estrutura com uma única classe residual.</t>
        </is>
      </c>
    </row>
    <row r="290" ht="43.5" customHeight="1">
      <c r="A290" s="142" t="n">
        <v>48953864000154</v>
      </c>
      <c r="B290" s="75" t="inlineStr">
        <is>
          <t>48.953.864/0001-54</t>
        </is>
      </c>
      <c r="C290" s="75" t="inlineStr">
        <is>
          <t>natureza_indice</t>
        </is>
      </c>
      <c r="D290" s="75" t="inlineStr">
        <is>
          <t>junior_pl</t>
        </is>
      </c>
      <c r="E290" s="75" t="inlineStr">
        <is>
          <t>junior_pl</t>
        </is>
      </c>
      <c r="F290" s="75" t="inlineStr">
        <is>
          <t>payload_documental</t>
        </is>
      </c>
      <c r="G290" s="75" t="inlineStr">
        <is>
          <t>774314</t>
        </is>
      </c>
      <c r="H290" s="75" t="inlineStr">
        <is>
          <t>documento_curado</t>
        </is>
      </c>
      <c r="I290" s="75" t="inlineStr">
        <is>
          <t>2024-11-05</t>
        </is>
      </c>
      <c r="J290" s="75" t="inlineStr">
        <is>
          <t>33; 107</t>
        </is>
      </c>
      <c r="K290" s="75" t="inlineStr">
        <is>
          <t>aceito_payload</t>
        </is>
      </c>
      <c r="L290" s="144" t="n">
        <v>1</v>
      </c>
      <c r="M290" s="75" t="inlineStr">
        <is>
          <t>data/industry_study/generated_revision/artifact_payload.json</t>
        </is>
      </c>
      <c r="N290" s="75" t="inlineStr">
        <is>
          <t>https://fnet.bmfbovespa.com.br/fnet/publico/downloadDocumento?id=774314</t>
        </is>
      </c>
      <c r="O290" s="75" t="inlineStr">
        <is>
          <t>Cotas subordinadas / PL, mínimo de 15,0%; estrutura com uma única classe residual.</t>
        </is>
      </c>
    </row>
    <row r="291" ht="43.5" customHeight="1">
      <c r="A291" s="142" t="n">
        <v>48953864000154</v>
      </c>
      <c r="B291" s="75" t="inlineStr">
        <is>
          <t>48.953.864/0001-54</t>
        </is>
      </c>
      <c r="C291" s="75" t="inlineStr">
        <is>
          <t>tipo_recebivel</t>
        </is>
      </c>
      <c r="D291" s="75" t="inlineStr">
        <is>
          <t>os direitos creditórios constituídos, conforme artigo 2º, inciso II da Resolução CMN 4.734, organizados e formalizados em formato de UR registrada no Sistema de Registro, que são, de tempos em tempos, detidos pela Cedente em face de cada Devedora, nos termos do respectivo Acordo de Parceria, decorrentes de Transações de Pagamento, presenciais e n ão presenciais, na modalidade “crédito”, realizadas pelos Usuários com a utilização de Instrumentos de Pagamentos para a aquisição de bens ou serviços junto aos Recebedores Credenciados, equivalentes ao valor atualizado remanescente das</t>
        </is>
      </c>
      <c r="E291" s="75" t="inlineStr">
        <is>
          <t>N/D</t>
        </is>
      </c>
      <c r="F291" s="75" t="inlineStr">
        <is>
          <t>regulamento</t>
        </is>
      </c>
      <c r="G291" s="75" t="inlineStr">
        <is>
          <t>473796</t>
        </is>
      </c>
      <c r="H291" s="75" t="inlineStr">
        <is>
          <t>Regulamento</t>
        </is>
      </c>
      <c r="I291" s="75" t="inlineStr">
        <is>
          <t>01/06/2023</t>
        </is>
      </c>
      <c r="J291" s="75" t="inlineStr">
        <is>
          <t>11</t>
        </is>
      </c>
      <c r="K291" s="75" t="inlineStr">
        <is>
          <t>encontrado_explicito</t>
        </is>
      </c>
      <c r="L291" s="144" t="n">
        <v>0.92</v>
      </c>
      <c r="M291" s="75" t="inlineStr">
        <is>
          <t>.cache/carteira_101_document_scan/48953864000154/473796.json.gz</t>
        </is>
      </c>
      <c r="N291" s="75" t="inlineStr">
        <is>
          <t>https://fnet.bmfbovespa.com.br/fnet/publico/downloadDocumento?id=473796</t>
        </is>
      </c>
      <c r="O291" s="75" t="inlineStr">
        <is>
          <t>au lo, ou dias em que, por qualquer motivo, não houver expediente bancário na referida cidade. “Direitos Creditórios” Significa os direitos creditórios constituídos, conforme artigo 2º, inciso II da Resolução CMN 4.734, organizados e formalizados em formato de UR registrada no Sistema de Registro, que são, de tempos em tempos, detidos pela Cedente em face de cada Devedora, nos termos do respectivo Acordo de Parceria, decorrentes de Transações de Pagamento, presenciais e n ão presenciais, na modalidade “crédito”, realizadas pelos Usuários com a utilização de Instrumentos de Pagamentos para a aquisição de bens ou serviços junto aos Recebedores Credenciados, equivalentes ao valor atualizado remanescente das 12 Transações de Pagamento, após o desconto das taxas que constituem a remuneração das Bandei</t>
        </is>
      </c>
    </row>
    <row r="292" ht="43.5" customHeight="1">
      <c r="A292" s="142" t="n">
        <v>48953864000154</v>
      </c>
      <c r="B292" s="75" t="inlineStr">
        <is>
          <t>48.953.864/0001-54</t>
        </is>
      </c>
      <c r="C292" s="75" t="inlineStr">
        <is>
          <t>tipo_recebivel</t>
        </is>
      </c>
      <c r="D292" s="75" t="inlineStr">
        <is>
          <t>80% Redecard e 20% Adyen</t>
        </is>
      </c>
      <c r="E292" s="75" t="inlineStr">
        <is>
          <t>N/D</t>
        </is>
      </c>
      <c r="F292" s="75" t="inlineStr">
        <is>
          <t>planilha_manual</t>
        </is>
      </c>
      <c r="G292" s="75" t="inlineStr">
        <is>
          <t>IMG_8705.JPG</t>
        </is>
      </c>
      <c r="H292" s="75" t="inlineStr">
        <is>
          <t>payload</t>
        </is>
      </c>
      <c r="I292" s="75" t="inlineStr">
        <is>
          <t>2024-11-05</t>
        </is>
      </c>
      <c r="J292" s="75" t="inlineStr">
        <is>
          <t>33; 107</t>
        </is>
      </c>
      <c r="K292" s="75" t="inlineStr">
        <is>
          <t>aceito_payload</t>
        </is>
      </c>
      <c r="L292" s="144" t="n">
        <v>1</v>
      </c>
      <c r="M292" s="75" t="inlineStr">
        <is>
          <t>data/industry_study/generated_revision/artifact_payload.json</t>
        </is>
      </c>
      <c r="N292" s="75" t="inlineStr">
        <is>
          <t>N/D</t>
        </is>
      </c>
      <c r="O292" s="75" t="inlineStr">
        <is>
          <t>N/D</t>
        </is>
      </c>
    </row>
    <row r="293" ht="43.5" customHeight="1">
      <c r="A293" s="142" t="n">
        <v>48967719000122</v>
      </c>
      <c r="B293" s="75" t="inlineStr">
        <is>
          <t>48.967.719/0001-22</t>
        </is>
      </c>
      <c r="C293" s="75" t="inlineStr">
        <is>
          <t>cedente</t>
        </is>
      </c>
      <c r="D293" s="75" t="inlineStr">
        <is>
          <t>Soulpay Soluções de Pagamentos</t>
        </is>
      </c>
      <c r="E293" s="75" t="inlineStr">
        <is>
          <t>N/D</t>
        </is>
      </c>
      <c r="F293" s="75" t="inlineStr">
        <is>
          <t>planilha_manual</t>
        </is>
      </c>
      <c r="G293" s="75" t="inlineStr">
        <is>
          <t>IMG_8704.JPG</t>
        </is>
      </c>
      <c r="H293" s="75" t="inlineStr">
        <is>
          <t>payload</t>
        </is>
      </c>
      <c r="I293" s="75" t="inlineStr">
        <is>
          <t>2024-11-22</t>
        </is>
      </c>
      <c r="J293" s="75" t="inlineStr">
        <is>
          <t>82</t>
        </is>
      </c>
      <c r="K293" s="75" t="inlineStr">
        <is>
          <t>aceito_payload</t>
        </is>
      </c>
      <c r="L293" s="144" t="n">
        <v>1</v>
      </c>
      <c r="M293" s="75" t="inlineStr">
        <is>
          <t>data/industry_study/generated_revision/artifact_payload.json</t>
        </is>
      </c>
      <c r="N293" s="75" t="inlineStr">
        <is>
          <t>N/D</t>
        </is>
      </c>
      <c r="O293" s="75" t="inlineStr">
        <is>
          <t>OBS da foto: Risco Rede.</t>
        </is>
      </c>
    </row>
    <row r="294" ht="43.5" customHeight="1">
      <c r="A294" s="142" t="n">
        <v>48967719000122</v>
      </c>
      <c r="B294" s="75" t="inlineStr">
        <is>
          <t>48.967.719/0001-22</t>
        </is>
      </c>
      <c r="C294" s="75" t="inlineStr">
        <is>
          <t>minimo_estrutural_total</t>
        </is>
      </c>
      <c r="D294" s="75" t="inlineStr">
        <is>
          <t>5%</t>
        </is>
      </c>
      <c r="E294" s="75" t="inlineStr">
        <is>
          <t>suporte_total_pl</t>
        </is>
      </c>
      <c r="F294" s="75" t="inlineStr">
        <is>
          <t>payload_documental</t>
        </is>
      </c>
      <c r="G294" s="75" t="inlineStr">
        <is>
          <t>785770</t>
        </is>
      </c>
      <c r="H294" s="75" t="inlineStr">
        <is>
          <t>documento_curado</t>
        </is>
      </c>
      <c r="I294" s="75" t="inlineStr">
        <is>
          <t>2024-11-22</t>
        </is>
      </c>
      <c r="J294" s="75" t="inlineStr">
        <is>
          <t>82</t>
        </is>
      </c>
      <c r="K294" s="75" t="inlineStr">
        <is>
          <t>aceito_payload</t>
        </is>
      </c>
      <c r="L294" s="144" t="n">
        <v>1</v>
      </c>
      <c r="M294" s="75" t="inlineStr">
        <is>
          <t>data/industry_study/generated_revision/artifact_payload.json</t>
        </is>
      </c>
      <c r="N294" s="75" t="inlineStr">
        <is>
          <t>https://fnet.bmfbovespa.com.br/fnet/publico/downloadDocumento?id=785770</t>
        </is>
      </c>
      <c r="O294" s="75" t="inlineStr">
        <is>
          <t>Cotas subordinadas júnior / PL, mínimo de 5,0%.</t>
        </is>
      </c>
    </row>
    <row r="295" ht="43.5" customHeight="1">
      <c r="A295" s="142" t="n">
        <v>48967719000122</v>
      </c>
      <c r="B295" s="75" t="inlineStr">
        <is>
          <t>48.967.719/0001-22</t>
        </is>
      </c>
      <c r="C295" s="75" t="inlineStr">
        <is>
          <t>minimo_junior</t>
        </is>
      </c>
      <c r="D295" s="75" t="inlineStr">
        <is>
          <t>5%</t>
        </is>
      </c>
      <c r="E295" s="75" t="inlineStr">
        <is>
          <t>junior_pl</t>
        </is>
      </c>
      <c r="F295" s="75" t="inlineStr">
        <is>
          <t>payload_documental</t>
        </is>
      </c>
      <c r="G295" s="75" t="inlineStr">
        <is>
          <t>785770</t>
        </is>
      </c>
      <c r="H295" s="75" t="inlineStr">
        <is>
          <t>documento_curado</t>
        </is>
      </c>
      <c r="I295" s="75" t="inlineStr">
        <is>
          <t>2024-11-22</t>
        </is>
      </c>
      <c r="J295" s="75" t="inlineStr">
        <is>
          <t>82</t>
        </is>
      </c>
      <c r="K295" s="75" t="inlineStr">
        <is>
          <t>aceito_payload</t>
        </is>
      </c>
      <c r="L295" s="144" t="n">
        <v>1</v>
      </c>
      <c r="M295" s="75" t="inlineStr">
        <is>
          <t>data/industry_study/generated_revision/artifact_payload.json</t>
        </is>
      </c>
      <c r="N295" s="75" t="inlineStr">
        <is>
          <t>https://fnet.bmfbovespa.com.br/fnet/publico/downloadDocumento?id=785770</t>
        </is>
      </c>
      <c r="O295" s="75" t="inlineStr">
        <is>
          <t>Cotas subordinadas júnior / PL, mínimo de 5,0%.</t>
        </is>
      </c>
    </row>
    <row r="296" ht="43.5" customHeight="1">
      <c r="A296" s="142" t="n">
        <v>48967719000122</v>
      </c>
      <c r="B296" s="75" t="inlineStr">
        <is>
          <t>48.967.719/0001-22</t>
        </is>
      </c>
      <c r="C296" s="75" t="inlineStr">
        <is>
          <t>natureza_indice</t>
        </is>
      </c>
      <c r="D296" s="75" t="inlineStr">
        <is>
          <t>junior_pl</t>
        </is>
      </c>
      <c r="E296" s="75" t="inlineStr">
        <is>
          <t>junior_pl</t>
        </is>
      </c>
      <c r="F296" s="75" t="inlineStr">
        <is>
          <t>payload_documental</t>
        </is>
      </c>
      <c r="G296" s="75" t="inlineStr">
        <is>
          <t>785770</t>
        </is>
      </c>
      <c r="H296" s="75" t="inlineStr">
        <is>
          <t>documento_curado</t>
        </is>
      </c>
      <c r="I296" s="75" t="inlineStr">
        <is>
          <t>2024-11-22</t>
        </is>
      </c>
      <c r="J296" s="75" t="inlineStr">
        <is>
          <t>82</t>
        </is>
      </c>
      <c r="K296" s="75" t="inlineStr">
        <is>
          <t>aceito_payload</t>
        </is>
      </c>
      <c r="L296" s="144" t="n">
        <v>1</v>
      </c>
      <c r="M296" s="75" t="inlineStr">
        <is>
          <t>data/industry_study/generated_revision/artifact_payload.json</t>
        </is>
      </c>
      <c r="N296" s="75" t="inlineStr">
        <is>
          <t>https://fnet.bmfbovespa.com.br/fnet/publico/downloadDocumento?id=785770</t>
        </is>
      </c>
      <c r="O296" s="75" t="inlineStr">
        <is>
          <t>Cotas subordinadas júnior / PL, mínimo de 5,0%.</t>
        </is>
      </c>
    </row>
    <row r="297" ht="43.5" customHeight="1">
      <c r="A297" s="142" t="n">
        <v>49113994000141</v>
      </c>
      <c r="B297" s="75" t="inlineStr">
        <is>
          <t>49.113.994/0001-41</t>
        </is>
      </c>
      <c r="C297" s="75" t="inlineStr">
        <is>
          <t>minimo_junior</t>
        </is>
      </c>
      <c r="D297" s="75" t="inlineStr">
        <is>
          <t>14%</t>
        </is>
      </c>
      <c r="E297" s="75" t="inlineStr">
        <is>
          <t>junior_pl</t>
        </is>
      </c>
      <c r="F297" s="75" t="inlineStr">
        <is>
          <t>payload_documental</t>
        </is>
      </c>
      <c r="G297" s="75" t="inlineStr">
        <is>
          <t>788104</t>
        </is>
      </c>
      <c r="H297" s="75" t="inlineStr">
        <is>
          <t>documento_curado</t>
        </is>
      </c>
      <c r="I297" s="75" t="inlineStr">
        <is>
          <t>2024-11-22</t>
        </is>
      </c>
      <c r="J297" s="75" t="inlineStr">
        <is>
          <t>53</t>
        </is>
      </c>
      <c r="K297" s="75" t="inlineStr">
        <is>
          <t>aceito_payload</t>
        </is>
      </c>
      <c r="L297" s="144" t="n">
        <v>1</v>
      </c>
      <c r="M297" s="75" t="inlineStr">
        <is>
          <t>data/industry_study/generated_revision/artifact_payload.json</t>
        </is>
      </c>
      <c r="N297" s="75" t="inlineStr">
        <is>
          <t>https://fnet.bmfbovespa.com.br/fnet/publico/downloadDocumento?id=788104</t>
        </is>
      </c>
      <c r="O297" s="75" t="inlineStr">
        <is>
          <t>Cotas júnior / PL: mínimo de 14,0%; 15,0% no último dia útil de cada mês.</t>
        </is>
      </c>
    </row>
    <row r="298" ht="43.5" customHeight="1">
      <c r="A298" s="142" t="n">
        <v>49113994000141</v>
      </c>
      <c r="B298" s="75" t="inlineStr">
        <is>
          <t>49.113.994/0001-41</t>
        </is>
      </c>
      <c r="C298" s="75" t="inlineStr">
        <is>
          <t>natureza_indice</t>
        </is>
      </c>
      <c r="D298" s="75" t="inlineStr">
        <is>
          <t>junior_pl</t>
        </is>
      </c>
      <c r="E298" s="75" t="inlineStr">
        <is>
          <t>junior_pl</t>
        </is>
      </c>
      <c r="F298" s="75" t="inlineStr">
        <is>
          <t>payload_documental</t>
        </is>
      </c>
      <c r="G298" s="75" t="inlineStr">
        <is>
          <t>788104</t>
        </is>
      </c>
      <c r="H298" s="75" t="inlineStr">
        <is>
          <t>documento_curado</t>
        </is>
      </c>
      <c r="I298" s="75" t="inlineStr">
        <is>
          <t>2024-11-22</t>
        </is>
      </c>
      <c r="J298" s="75" t="inlineStr">
        <is>
          <t>53</t>
        </is>
      </c>
      <c r="K298" s="75" t="inlineStr">
        <is>
          <t>aceito_payload</t>
        </is>
      </c>
      <c r="L298" s="144" t="n">
        <v>1</v>
      </c>
      <c r="M298" s="75" t="inlineStr">
        <is>
          <t>data/industry_study/generated_revision/artifact_payload.json</t>
        </is>
      </c>
      <c r="N298" s="75" t="inlineStr">
        <is>
          <t>https://fnet.bmfbovespa.com.br/fnet/publico/downloadDocumento?id=788104</t>
        </is>
      </c>
      <c r="O298" s="75" t="inlineStr">
        <is>
          <t>Cotas júnior / PL: mínimo de 14,0%; 15,0% no último dia útil de cada mês.</t>
        </is>
      </c>
    </row>
    <row r="299" ht="43.5" customHeight="1">
      <c r="A299" s="142" t="n">
        <v>50089559000108</v>
      </c>
      <c r="B299" s="75" t="inlineStr">
        <is>
          <t>50.089.559/0001-08</t>
        </is>
      </c>
      <c r="C299" s="75" t="inlineStr">
        <is>
          <t>cedente</t>
        </is>
      </c>
      <c r="D299" s="75" t="inlineStr">
        <is>
          <t>a Agriconnection e, as Empresas do Grupo Econômico da Agriconnection, os Cedentes Parceiros A e os Cedentes Parceiros B quando mencionados em conjunto</t>
        </is>
      </c>
      <c r="E299" s="75" t="inlineStr">
        <is>
          <t>N/D</t>
        </is>
      </c>
      <c r="F299" s="75" t="inlineStr">
        <is>
          <t>rating_report</t>
        </is>
      </c>
      <c r="G299" s="75" t="inlineStr">
        <is>
          <t>882388</t>
        </is>
      </c>
      <c r="H299" s="75" t="inlineStr">
        <is>
          <t>Relatórios Relatório de Agência de Rating</t>
        </is>
      </c>
      <c r="I299" s="75" t="inlineStr">
        <is>
          <t>03/02/2025</t>
        </is>
      </c>
      <c r="J299" s="75" t="inlineStr">
        <is>
          <t>5</t>
        </is>
      </c>
      <c r="K299" s="75" t="inlineStr">
        <is>
          <t>encontrado_explicito</t>
        </is>
      </c>
      <c r="L299" s="144" t="n">
        <v>0.95</v>
      </c>
      <c r="M299" s="75" t="inlineStr">
        <is>
          <t>.cache/carteira_101_document_scan/50089559000108/882388.json.gz</t>
        </is>
      </c>
      <c r="N299" s="75" t="inlineStr">
        <is>
          <t>https://fnet.bmfbovespa.com.br/fnet/publico/downloadDocumento?id=882388</t>
        </is>
      </c>
      <c r="O299" s="75" t="inlineStr">
        <is>
          <t>ualização da definição de “Cedentes” e “Critérios de Elegibilidade’, de modo que passarão a vigorar da seguinte forma: “Cedentes” significa a Agriconnection e, as Empresas do Grupo Econômico da Agriconnection, os Cedentes Parceiros A e os Cedentes Parceiros B quando mencionados em conjunto. “Cedentes Parceiros A” significa as pessoas jurídicas que detenham parceria comercial com a Agriconnection e tenham l</t>
        </is>
      </c>
    </row>
    <row r="300" ht="43.5" customHeight="1">
      <c r="A300" s="142" t="n">
        <v>50089559000108</v>
      </c>
      <c r="B300" s="75" t="inlineStr">
        <is>
          <t>50.089.559/0001-08</t>
        </is>
      </c>
      <c r="C300" s="75" t="inlineStr">
        <is>
          <t>cedente</t>
        </is>
      </c>
      <c r="D300" s="75" t="inlineStr">
        <is>
          <t>as pessoas jurídicas que detenham parceria comercial com a Agriconnection e tenham limite de crédito aprovado e vigente com o Fundo</t>
        </is>
      </c>
      <c r="E300" s="75" t="inlineStr">
        <is>
          <t>N/D</t>
        </is>
      </c>
      <c r="F300" s="75" t="inlineStr">
        <is>
          <t>rating_report</t>
        </is>
      </c>
      <c r="G300" s="75" t="inlineStr">
        <is>
          <t>882388</t>
        </is>
      </c>
      <c r="H300" s="75" t="inlineStr">
        <is>
          <t>Relatórios Relatório de Agência de Rating</t>
        </is>
      </c>
      <c r="I300" s="75" t="inlineStr">
        <is>
          <t>03/02/2025</t>
        </is>
      </c>
      <c r="J300" s="75" t="inlineStr">
        <is>
          <t>5</t>
        </is>
      </c>
      <c r="K300" s="75" t="inlineStr">
        <is>
          <t>encontrado_explicito</t>
        </is>
      </c>
      <c r="L300" s="144" t="n">
        <v>0.95</v>
      </c>
      <c r="M300" s="75" t="inlineStr">
        <is>
          <t>.cache/carteira_101_document_scan/50089559000108/882388.json.gz</t>
        </is>
      </c>
      <c r="N300" s="75" t="inlineStr">
        <is>
          <t>https://fnet.bmfbovespa.com.br/fnet/publico/downloadDocumento?id=882388</t>
        </is>
      </c>
      <c r="O300" s="75" t="inlineStr">
        <is>
          <t>o Grupo Econômico da Agriconnection, os Cedentes Parceiros A e os Cedentes Parceiros B quando mencionados em conjunto. “Cedentes Parceiros A” significa as pessoas jurídicas que detenham parceria comercial com a Agriconnection e tenham limite de crédito aprovado e vigente com o Fundo. “Cedentes Parceiros B” significa as pessoas jurídicas que detenham parceria comercial com a Agriconnection e que não</t>
        </is>
      </c>
    </row>
    <row r="301" ht="43.5" customHeight="1">
      <c r="A301" s="142" t="n">
        <v>50089559000108</v>
      </c>
      <c r="B301" s="75" t="inlineStr">
        <is>
          <t>50.089.559/0001-08</t>
        </is>
      </c>
      <c r="C301" s="75" t="inlineStr">
        <is>
          <t>cedente</t>
        </is>
      </c>
      <c r="D301" s="75" t="inlineStr">
        <is>
          <t>as pessoas jurídicas que detenham parceria comercial com a Agriconnection e que não tenham limite de crédito aprovado e vigente com o Fundo</t>
        </is>
      </c>
      <c r="E301" s="75" t="inlineStr">
        <is>
          <t>N/D</t>
        </is>
      </c>
      <c r="F301" s="75" t="inlineStr">
        <is>
          <t>rating_report</t>
        </is>
      </c>
      <c r="G301" s="75" t="inlineStr">
        <is>
          <t>882388</t>
        </is>
      </c>
      <c r="H301" s="75" t="inlineStr">
        <is>
          <t>Relatórios Relatório de Agência de Rating</t>
        </is>
      </c>
      <c r="I301" s="75" t="inlineStr">
        <is>
          <t>03/02/2025</t>
        </is>
      </c>
      <c r="J301" s="75" t="inlineStr">
        <is>
          <t>5</t>
        </is>
      </c>
      <c r="K301" s="75" t="inlineStr">
        <is>
          <t>encontrado_explicito</t>
        </is>
      </c>
      <c r="L301" s="144" t="n">
        <v>0.95</v>
      </c>
      <c r="M301" s="75" t="inlineStr">
        <is>
          <t>.cache/carteira_101_document_scan/50089559000108/882388.json.gz</t>
        </is>
      </c>
      <c r="N301" s="75" t="inlineStr">
        <is>
          <t>https://fnet.bmfbovespa.com.br/fnet/publico/downloadDocumento?id=882388</t>
        </is>
      </c>
      <c r="O301" s="75" t="inlineStr">
        <is>
          <t>dicas que detenham parceria comercial com a Agriconnection e tenham limite de crédito aprovado e vigente com o Fundo. “Cedentes Parceiros B” significa as pessoas jurídicas que detenham parceria comercial com a Agriconnection e que não tenham limite de crédito aprovado e vigente com o Fundo. “Critérios de Elegibilidade” significa os critérios estabelecidos nas Cláusulas 11.1 a 11.3 do Regulamento, a serem</t>
        </is>
      </c>
    </row>
    <row r="302" ht="43.5" customHeight="1">
      <c r="A302" s="142" t="n">
        <v>50089559000108</v>
      </c>
      <c r="B302" s="75" t="inlineStr">
        <is>
          <t>50.089.559/0001-08</t>
        </is>
      </c>
      <c r="C302" s="75" t="inlineStr">
        <is>
          <t>cedente</t>
        </is>
      </c>
      <c r="D302" s="75" t="inlineStr">
        <is>
          <t>a Agriconnection e as Empresas do Grupo Econômico da Agriconnection, os Cedentes Parceiros A e os Cedentes Parceiros B quando mencionadas em conjunto</t>
        </is>
      </c>
      <c r="E302" s="75" t="inlineStr">
        <is>
          <t>N/D</t>
        </is>
      </c>
      <c r="F302" s="75" t="inlineStr">
        <is>
          <t>regulamento</t>
        </is>
      </c>
      <c r="G302" s="75" t="inlineStr">
        <is>
          <t>863311</t>
        </is>
      </c>
      <c r="H302" s="75" t="inlineStr">
        <is>
          <t>Regulamento</t>
        </is>
      </c>
      <c r="I302" s="75" t="inlineStr">
        <is>
          <t>21/03/2025</t>
        </is>
      </c>
      <c r="J302" s="75" t="inlineStr">
        <is>
          <t>48</t>
        </is>
      </c>
      <c r="K302" s="75" t="inlineStr">
        <is>
          <t>encontrado_explicito</t>
        </is>
      </c>
      <c r="L302" s="144" t="n">
        <v>0.95</v>
      </c>
      <c r="M302" s="75" t="inlineStr">
        <is>
          <t>.cache/carteira_101_document_scan/50089559000108/863311.json.gz</t>
        </is>
      </c>
      <c r="N302" s="75" t="inlineStr">
        <is>
          <t>https://fnet.bmfbovespa.com.br/fnet/publico/downloadDocumento?id=863311</t>
        </is>
      </c>
      <c r="O302" s="75" t="inlineStr">
        <is>
          <t>na Cidade de Campo Verde, Estado do Mato Grosso, na Av. Manoel Genildo de Araújo, nº 188, Sala 02, Campo Real II. “Cedentes” significa a Agriconnection e as Empresas do Grupo Econômico da Agriconnection, os Cedentes Parceiros A e os Cedentes Parceiros B quando mencionadas em conjunto. “Cedentes Parceiros A” significa as pessoas jurídicas que detenham parceria comercial com a Agriconnection e ten</t>
        </is>
      </c>
    </row>
    <row r="303" ht="43.5" customHeight="1">
      <c r="A303" s="142" t="n">
        <v>50089559000108</v>
      </c>
      <c r="B303" s="75" t="inlineStr">
        <is>
          <t>50.089.559/0001-08</t>
        </is>
      </c>
      <c r="C303" s="75" t="inlineStr">
        <is>
          <t>cedente</t>
        </is>
      </c>
      <c r="D303" s="75" t="inlineStr">
        <is>
          <t>as pessoas jurídicas que detenham parceria comercial com a Agriconnection e tenham limite de crédito aprovado e vigente com o Fundo</t>
        </is>
      </c>
      <c r="E303" s="75" t="inlineStr">
        <is>
          <t>N/D</t>
        </is>
      </c>
      <c r="F303" s="75" t="inlineStr">
        <is>
          <t>regulamento</t>
        </is>
      </c>
      <c r="G303" s="75" t="inlineStr">
        <is>
          <t>863311</t>
        </is>
      </c>
      <c r="H303" s="75" t="inlineStr">
        <is>
          <t>Regulamento</t>
        </is>
      </c>
      <c r="I303" s="75" t="inlineStr">
        <is>
          <t>21/03/2025</t>
        </is>
      </c>
      <c r="J303" s="75" t="inlineStr">
        <is>
          <t>48</t>
        </is>
      </c>
      <c r="K303" s="75" t="inlineStr">
        <is>
          <t>encontrado_explicito</t>
        </is>
      </c>
      <c r="L303" s="144" t="n">
        <v>0.95</v>
      </c>
      <c r="M303" s="75" t="inlineStr">
        <is>
          <t>.cache/carteira_101_document_scan/50089559000108/863311.json.gz</t>
        </is>
      </c>
      <c r="N303" s="75" t="inlineStr">
        <is>
          <t>https://fnet.bmfbovespa.com.br/fnet/publico/downloadDocumento?id=863311</t>
        </is>
      </c>
      <c r="O303" s="75" t="inlineStr">
        <is>
          <t>Econômico da Agriconnection, os Cedentes Parceiros A e os Cedentes Parceiros B quando mencionadas em conjunto. “Cedentes Parceiros A” significa as pessoas jurídicas que detenham parceria comercial com a Agriconnection e tenham limite de crédito aprovado e vigente com o Fundo. “Cedentes Parceiros B” significa as pessoas jurídicas que detenham parceria comercial com a Agriconnection e que</t>
        </is>
      </c>
    </row>
    <row r="304" ht="43.5" customHeight="1">
      <c r="A304" s="142" t="n">
        <v>50089559000108</v>
      </c>
      <c r="B304" s="75" t="inlineStr">
        <is>
          <t>50.089.559/0001-08</t>
        </is>
      </c>
      <c r="C304" s="75" t="inlineStr">
        <is>
          <t>cedente</t>
        </is>
      </c>
      <c r="D304" s="75" t="inlineStr">
        <is>
          <t>as pessoas jurídicas que detenham parceria comercial com a Agriconnection e que não tenham limite de crédito aprovado e vigente com o Fundo</t>
        </is>
      </c>
      <c r="E304" s="75" t="inlineStr">
        <is>
          <t>N/D</t>
        </is>
      </c>
      <c r="F304" s="75" t="inlineStr">
        <is>
          <t>regulamento</t>
        </is>
      </c>
      <c r="G304" s="75" t="inlineStr">
        <is>
          <t>863311</t>
        </is>
      </c>
      <c r="H304" s="75" t="inlineStr">
        <is>
          <t>Regulamento</t>
        </is>
      </c>
      <c r="I304" s="75" t="inlineStr">
        <is>
          <t>21/03/2025</t>
        </is>
      </c>
      <c r="J304" s="75" t="inlineStr">
        <is>
          <t>48</t>
        </is>
      </c>
      <c r="K304" s="75" t="inlineStr">
        <is>
          <t>encontrado_explicito</t>
        </is>
      </c>
      <c r="L304" s="144" t="n">
        <v>0.95</v>
      </c>
      <c r="M304" s="75" t="inlineStr">
        <is>
          <t>.cache/carteira_101_document_scan/50089559000108/863311.json.gz</t>
        </is>
      </c>
      <c r="N304" s="75" t="inlineStr">
        <is>
          <t>https://fnet.bmfbovespa.com.br/fnet/publico/downloadDocumento?id=863311</t>
        </is>
      </c>
      <c r="O304" s="75" t="inlineStr">
        <is>
          <t>que detenham parceria comercial com a Agriconnection e tenham limite de crédito aprovado e vigente com o Fundo. “Cedentes Parceiros B” significa as pessoas jurídicas que detenham parceria comercial com a Agriconnection e que não tenham limite de crédito aprovado e vigente com o Fundo. “Chamada de Capital” “Classe” significa a chamada para integralização realizada pela Administradora, so</t>
        </is>
      </c>
    </row>
    <row r="305" ht="43.5" customHeight="1">
      <c r="A305" s="142" t="n">
        <v>50089559000108</v>
      </c>
      <c r="B305" s="75" t="inlineStr">
        <is>
          <t>50.089.559/0001-08</t>
        </is>
      </c>
      <c r="C305" s="75" t="inlineStr">
        <is>
          <t>cedente</t>
        </is>
      </c>
      <c r="D305" s="75" t="inlineStr">
        <is>
          <t>a Agriconnection</t>
        </is>
      </c>
      <c r="E305" s="75" t="inlineStr">
        <is>
          <t>N/D</t>
        </is>
      </c>
      <c r="F305" s="75" t="inlineStr">
        <is>
          <t>regulamento</t>
        </is>
      </c>
      <c r="G305" s="75" t="inlineStr">
        <is>
          <t>999633</t>
        </is>
      </c>
      <c r="H305" s="75" t="inlineStr">
        <is>
          <t>Regulamento</t>
        </is>
      </c>
      <c r="I305" s="75" t="inlineStr">
        <is>
          <t>26/09/2025</t>
        </is>
      </c>
      <c r="J305" s="75" t="inlineStr">
        <is>
          <t>44</t>
        </is>
      </c>
      <c r="K305" s="75" t="inlineStr">
        <is>
          <t>encontrado_explicito</t>
        </is>
      </c>
      <c r="L305" s="144" t="n">
        <v>0.95</v>
      </c>
      <c r="M305" s="75" t="inlineStr">
        <is>
          <t>.cache/carteira_101_document_scan/50089559000108/999633.json.gz</t>
        </is>
      </c>
      <c r="N305" s="75" t="inlineStr">
        <is>
          <t>https://fnet.bmfbovespa.com.br/fnet/publico/downloadDocumento?id=999633</t>
        </is>
      </c>
      <c r="O305" s="75" t="inlineStr">
        <is>
          <t>na Cidade de Campo Verde, Estado do Mato Grosso, na Av. Manoel Genildo de Araújo, nº 188, Sala 02, Campo Real II. “Cedentes” significa a Agriconnection. “Chamada de Capital” significa a chamada para integralização realizada pela Administradora, sob a orientação d</t>
        </is>
      </c>
    </row>
    <row r="306" ht="43.5" customHeight="1">
      <c r="A306" s="142" t="n">
        <v>50089559000108</v>
      </c>
      <c r="B306" s="75" t="inlineStr">
        <is>
          <t>50.089.559/0001-08</t>
        </is>
      </c>
      <c r="C306" s="75" t="inlineStr">
        <is>
          <t>cedente</t>
        </is>
      </c>
      <c r="D306" s="75" t="inlineStr">
        <is>
          <t>a Agriconnection e, as Empresas do Grupo Econômico da Agriconnection, os Cedentes Parceiros A e os Cedentes Parceiros B quando mencionados em conjunto</t>
        </is>
      </c>
      <c r="E306" s="75" t="inlineStr">
        <is>
          <t>N/D</t>
        </is>
      </c>
      <c r="F306" s="75" t="inlineStr">
        <is>
          <t>assembleia</t>
        </is>
      </c>
      <c r="G306" s="75" t="inlineStr">
        <is>
          <t>789349</t>
        </is>
      </c>
      <c r="H306" s="75" t="inlineStr">
        <is>
          <t>Assembleia AGE Ata da Assembleia</t>
        </is>
      </c>
      <c r="I306" s="75" t="inlineStr">
        <is>
          <t>27/11/2024 11:00</t>
        </is>
      </c>
      <c r="J306" s="75" t="inlineStr">
        <is>
          <t>1</t>
        </is>
      </c>
      <c r="K306" s="75" t="inlineStr">
        <is>
          <t>encontrado_explicito</t>
        </is>
      </c>
      <c r="L306" s="144" t="n">
        <v>0.95</v>
      </c>
      <c r="M306" s="75" t="inlineStr">
        <is>
          <t>.cache/carteira_101_document_scan/50089559000108/789349.json.gz</t>
        </is>
      </c>
      <c r="N306" s="75" t="inlineStr">
        <is>
          <t>https://fnet.bmfbovespa.com.br/fnet/publico/downloadDocumento?id=789349</t>
        </is>
      </c>
      <c r="O306" s="75" t="inlineStr">
        <is>
          <t>ização da definição de “Cedentes” e “Critérios de Elegibilidade’, de modo que passarão a vigorar da seguinte forma: “Cedentes” significa a Agriconnection e, as Empresas do Grupo Econômico da Agriconnection, os Cedentes Parceiros A e os Cedentes Parceiros B quando mencionados em conjunto. “Cedentes Parceiros A” significa as pessoas jurídicas que detenham parceria comercial com a Agriconnection e ten</t>
        </is>
      </c>
    </row>
    <row r="307" ht="43.5" customHeight="1">
      <c r="A307" s="142" t="n">
        <v>50089559000108</v>
      </c>
      <c r="B307" s="75" t="inlineStr">
        <is>
          <t>50.089.559/0001-08</t>
        </is>
      </c>
      <c r="C307" s="75" t="inlineStr">
        <is>
          <t>cedente</t>
        </is>
      </c>
      <c r="D307" s="75" t="inlineStr">
        <is>
          <t>Agriconnection</t>
        </is>
      </c>
      <c r="E307" s="75" t="inlineStr">
        <is>
          <t>N/D</t>
        </is>
      </c>
      <c r="F307" s="75" t="inlineStr">
        <is>
          <t>planilha_manual</t>
        </is>
      </c>
      <c r="G307" s="75" t="inlineStr">
        <is>
          <t>IMG_8704.JPG</t>
        </is>
      </c>
      <c r="H307" s="75" t="inlineStr">
        <is>
          <t>payload</t>
        </is>
      </c>
      <c r="I307" s="75" t="inlineStr">
        <is>
          <t>2025-09-26</t>
        </is>
      </c>
      <c r="J307" s="75" t="inlineStr">
        <is>
          <t>52</t>
        </is>
      </c>
      <c r="K307" s="75" t="inlineStr">
        <is>
          <t>aceito_payload</t>
        </is>
      </c>
      <c r="L307" s="144" t="n">
        <v>1</v>
      </c>
      <c r="M307" s="75" t="inlineStr">
        <is>
          <t>data/industry_study/generated_revision/artifact_payload.json</t>
        </is>
      </c>
      <c r="N307" s="75" t="inlineStr">
        <is>
          <t>N/D</t>
        </is>
      </c>
      <c r="O307" s="75" t="inlineStr">
        <is>
          <t>N/D</t>
        </is>
      </c>
    </row>
    <row r="308" ht="43.5" customHeight="1">
      <c r="A308" s="142" t="n">
        <v>50089559000108</v>
      </c>
      <c r="B308" s="75" t="inlineStr">
        <is>
          <t>50.089.559/0001-08</t>
        </is>
      </c>
      <c r="C308" s="75" t="inlineStr">
        <is>
          <t>minimo_junior</t>
        </is>
      </c>
      <c r="D308" s="75" t="inlineStr">
        <is>
          <t>15%</t>
        </is>
      </c>
      <c r="E308" s="75" t="inlineStr">
        <is>
          <t>junior_pl</t>
        </is>
      </c>
      <c r="F308" s="75" t="inlineStr">
        <is>
          <t>payload_documental</t>
        </is>
      </c>
      <c r="G308" s="75" t="inlineStr">
        <is>
          <t>999633</t>
        </is>
      </c>
      <c r="H308" s="75" t="inlineStr">
        <is>
          <t>documento_curado</t>
        </is>
      </c>
      <c r="I308" s="75" t="inlineStr">
        <is>
          <t>2025-09-26</t>
        </is>
      </c>
      <c r="J308" s="75" t="inlineStr">
        <is>
          <t>52</t>
        </is>
      </c>
      <c r="K308" s="75" t="inlineStr">
        <is>
          <t>aceito_payload</t>
        </is>
      </c>
      <c r="L308" s="144" t="n">
        <v>1</v>
      </c>
      <c r="M308" s="75" t="inlineStr">
        <is>
          <t>data/industry_study/generated_revision/artifact_payload.json</t>
        </is>
      </c>
      <c r="N308" s="75" t="inlineStr">
        <is>
          <t>https://fnet.bmfbovespa.com.br/fnet/publico/downloadDocumento?id=999633</t>
        </is>
      </c>
      <c r="O308" s="75" t="inlineStr">
        <is>
          <t>Índice de Subordinação Júnior: cotas júnior / PL, mínimo de 15,0%.</t>
        </is>
      </c>
    </row>
    <row r="309" ht="43.5" customHeight="1">
      <c r="A309" s="142" t="n">
        <v>50089559000108</v>
      </c>
      <c r="B309" s="75" t="inlineStr">
        <is>
          <t>50.089.559/0001-08</t>
        </is>
      </c>
      <c r="C309" s="75" t="inlineStr">
        <is>
          <t>natureza_indice</t>
        </is>
      </c>
      <c r="D309" s="75" t="inlineStr">
        <is>
          <t>junior_pl</t>
        </is>
      </c>
      <c r="E309" s="75" t="inlineStr">
        <is>
          <t>junior_pl</t>
        </is>
      </c>
      <c r="F309" s="75" t="inlineStr">
        <is>
          <t>payload_documental</t>
        </is>
      </c>
      <c r="G309" s="75" t="inlineStr">
        <is>
          <t>999633</t>
        </is>
      </c>
      <c r="H309" s="75" t="inlineStr">
        <is>
          <t>documento_curado</t>
        </is>
      </c>
      <c r="I309" s="75" t="inlineStr">
        <is>
          <t>2025-09-26</t>
        </is>
      </c>
      <c r="J309" s="75" t="inlineStr">
        <is>
          <t>52</t>
        </is>
      </c>
      <c r="K309" s="75" t="inlineStr">
        <is>
          <t>aceito_payload</t>
        </is>
      </c>
      <c r="L309" s="144" t="n">
        <v>1</v>
      </c>
      <c r="M309" s="75" t="inlineStr">
        <is>
          <t>data/industry_study/generated_revision/artifact_payload.json</t>
        </is>
      </c>
      <c r="N309" s="75" t="inlineStr">
        <is>
          <t>https://fnet.bmfbovespa.com.br/fnet/publico/downloadDocumento?id=999633</t>
        </is>
      </c>
      <c r="O309" s="75" t="inlineStr">
        <is>
          <t>Índice de Subordinação Júnior: cotas júnior / PL, mínimo de 15,0%.</t>
        </is>
      </c>
    </row>
    <row r="310" ht="43.5" customHeight="1">
      <c r="A310" s="142" t="n">
        <v>50089559000108</v>
      </c>
      <c r="B310" s="75" t="inlineStr">
        <is>
          <t>50.089.559/0001-08</t>
        </is>
      </c>
      <c r="C310" s="75" t="inlineStr">
        <is>
          <t>sacado_devedor</t>
        </is>
      </c>
      <c r="D310" s="75" t="inlineStr">
        <is>
          <t>os devedores dos Direitos Creditórios, os quais são clientes de uma das Cedentes</t>
        </is>
      </c>
      <c r="E310" s="75" t="inlineStr">
        <is>
          <t>N/D</t>
        </is>
      </c>
      <c r="F310" s="75" t="inlineStr">
        <is>
          <t>regulamento</t>
        </is>
      </c>
      <c r="G310" s="75" t="inlineStr">
        <is>
          <t>863311</t>
        </is>
      </c>
      <c r="H310" s="75" t="inlineStr">
        <is>
          <t>Regulamento</t>
        </is>
      </c>
      <c r="I310" s="75" t="inlineStr">
        <is>
          <t>21/03/2025</t>
        </is>
      </c>
      <c r="J310" s="75" t="inlineStr">
        <is>
          <t>51</t>
        </is>
      </c>
      <c r="K310" s="75" t="inlineStr">
        <is>
          <t>encontrado_explicito</t>
        </is>
      </c>
      <c r="L310" s="144" t="n">
        <v>0.95</v>
      </c>
      <c r="M310" s="75" t="inlineStr">
        <is>
          <t>.cache/carteira_101_document_scan/50089559000108/863311.json.gz</t>
        </is>
      </c>
      <c r="N310" s="75" t="inlineStr">
        <is>
          <t>https://fnet.bmfbovespa.com.br/fnet/publico/downloadDocumento?id=863311</t>
        </is>
      </c>
      <c r="O310" s="75" t="inlineStr">
        <is>
          <t>rdinação. “Despesas do Fundo” significa o somatório em reais de todos os custos, encargos e despesas/ do Fundo. “Devedores” significa os devedores dos Direitos Creditórios, os quais são clientes de uma das Cedentes. “Dia Útil” significa qualquer dia, exceto sábados, domingos ou feriados declarados nacionais. “Direitos Creditó</t>
        </is>
      </c>
    </row>
    <row r="311" ht="43.5" customHeight="1">
      <c r="A311" s="142" t="n">
        <v>50089559000108</v>
      </c>
      <c r="B311" s="75" t="inlineStr">
        <is>
          <t>50.089.559/0001-08</t>
        </is>
      </c>
      <c r="C311" s="75" t="inlineStr">
        <is>
          <t>sacado_devedor</t>
        </is>
      </c>
      <c r="D311" s="75" t="inlineStr">
        <is>
          <t>os devedores dos Direitos Creditórios, os quais são clientes de uma das Cedentes</t>
        </is>
      </c>
      <c r="E311" s="75" t="inlineStr">
        <is>
          <t>N/D</t>
        </is>
      </c>
      <c r="F311" s="75" t="inlineStr">
        <is>
          <t>regulamento</t>
        </is>
      </c>
      <c r="G311" s="75" t="inlineStr">
        <is>
          <t>999633</t>
        </is>
      </c>
      <c r="H311" s="75" t="inlineStr">
        <is>
          <t>Regulamento</t>
        </is>
      </c>
      <c r="I311" s="75" t="inlineStr">
        <is>
          <t>26/09/2025</t>
        </is>
      </c>
      <c r="J311" s="75" t="inlineStr">
        <is>
          <t>47</t>
        </is>
      </c>
      <c r="K311" s="75" t="inlineStr">
        <is>
          <t>encontrado_explicito</t>
        </is>
      </c>
      <c r="L311" s="144" t="n">
        <v>0.95</v>
      </c>
      <c r="M311" s="75" t="inlineStr">
        <is>
          <t>.cache/carteira_101_document_scan/50089559000108/999633.json.gz</t>
        </is>
      </c>
      <c r="N311" s="75" t="inlineStr">
        <is>
          <t>https://fnet.bmfbovespa.com.br/fnet/publico/downloadDocumento?id=999633</t>
        </is>
      </c>
      <c r="O311" s="75" t="inlineStr">
        <is>
          <t>rdinação. “Despesas do Fundo” significa o somatório em reais de todos os custos, encargos e despesas/ do Fundo. “Devedores” significa os devedores dos Direitos Creditórios, os quais são clientes de uma das Cedentes. “Dia Útil” significa qualquer dia, exceto sábados, domingos ou feriados declarados nacionais. “Direitos Creditó</t>
        </is>
      </c>
    </row>
    <row r="312" ht="43.5" customHeight="1">
      <c r="A312" s="142" t="n">
        <v>50089559000108</v>
      </c>
      <c r="B312" s="75" t="inlineStr">
        <is>
          <t>50.089.559/0001-08</t>
        </is>
      </c>
      <c r="C312" s="75" t="inlineStr">
        <is>
          <t>tipo_recebivel</t>
        </is>
      </c>
      <c r="D312" s="75" t="inlineStr">
        <is>
          <t>Insumos Agrícolas - prazo Safra</t>
        </is>
      </c>
      <c r="E312" s="75" t="inlineStr">
        <is>
          <t>N/D</t>
        </is>
      </c>
      <c r="F312" s="75" t="inlineStr">
        <is>
          <t>planilha_manual</t>
        </is>
      </c>
      <c r="G312" s="75" t="inlineStr">
        <is>
          <t>IMG_8704.JPG</t>
        </is>
      </c>
      <c r="H312" s="75" t="inlineStr">
        <is>
          <t>payload</t>
        </is>
      </c>
      <c r="I312" s="75" t="inlineStr">
        <is>
          <t>2025-09-26</t>
        </is>
      </c>
      <c r="J312" s="75" t="inlineStr">
        <is>
          <t>52</t>
        </is>
      </c>
      <c r="K312" s="75" t="inlineStr">
        <is>
          <t>aceito_payload</t>
        </is>
      </c>
      <c r="L312" s="144" t="n">
        <v>1</v>
      </c>
      <c r="M312" s="75" t="inlineStr">
        <is>
          <t>data/industry_study/generated_revision/artifact_payload.json</t>
        </is>
      </c>
      <c r="N312" s="75" t="inlineStr">
        <is>
          <t>N/D</t>
        </is>
      </c>
      <c r="O312" s="75" t="inlineStr">
        <is>
          <t>N/D</t>
        </is>
      </c>
    </row>
    <row r="313" ht="43.5" customHeight="1">
      <c r="A313" s="142" t="n">
        <v>50098465000103</v>
      </c>
      <c r="B313" s="75" t="inlineStr">
        <is>
          <t>50.098.465/0001-03</t>
        </is>
      </c>
      <c r="C313" s="75" t="inlineStr">
        <is>
          <t>cedente</t>
        </is>
      </c>
      <c r="D313" s="75" t="inlineStr">
        <is>
          <t>Braskem</t>
        </is>
      </c>
      <c r="E313" s="75" t="inlineStr">
        <is>
          <t>N/D</t>
        </is>
      </c>
      <c r="F313" s="75" t="inlineStr">
        <is>
          <t>planilha_manual</t>
        </is>
      </c>
      <c r="G313" s="75" t="inlineStr">
        <is>
          <t>IMG_8704.JPG</t>
        </is>
      </c>
      <c r="H313" s="75" t="inlineStr">
        <is>
          <t>payload</t>
        </is>
      </c>
      <c r="I313" s="75" t="inlineStr">
        <is>
          <t>2024-07-01</t>
        </is>
      </c>
      <c r="J313" s="75" t="inlineStr">
        <is>
          <t>15</t>
        </is>
      </c>
      <c r="K313" s="75" t="inlineStr">
        <is>
          <t>aceito_payload</t>
        </is>
      </c>
      <c r="L313" s="144" t="n">
        <v>1</v>
      </c>
      <c r="M313" s="75" t="inlineStr">
        <is>
          <t>data/industry_study/generated_revision/artifact_payload.json</t>
        </is>
      </c>
      <c r="N313" s="75" t="inlineStr">
        <is>
          <t>N/D</t>
        </is>
      </c>
      <c r="O313" s="75" t="inlineStr">
        <is>
          <t>OBS da foto: baixo nível de inadimplência (0% Over90 nos últimos meses). Denominação cortada.</t>
        </is>
      </c>
    </row>
    <row r="314" ht="43.5" customHeight="1">
      <c r="A314" s="142" t="n">
        <v>50098465000103</v>
      </c>
      <c r="B314" s="75" t="inlineStr">
        <is>
          <t>50.098.465/0001-03</t>
        </is>
      </c>
      <c r="C314" s="75" t="inlineStr">
        <is>
          <t>minimo_estrutural_total</t>
        </is>
      </c>
      <c r="D314" s="75" t="inlineStr">
        <is>
          <t>9.2%</t>
        </is>
      </c>
      <c r="E314" s="75" t="inlineStr">
        <is>
          <t>suporte_combinado_pl</t>
        </is>
      </c>
      <c r="F314" s="75" t="inlineStr">
        <is>
          <t>payload_documental</t>
        </is>
      </c>
      <c r="G314" s="75" t="inlineStr">
        <is>
          <t>690567</t>
        </is>
      </c>
      <c r="H314" s="75" t="inlineStr">
        <is>
          <t>documento_curado</t>
        </is>
      </c>
      <c r="I314" s="75" t="inlineStr">
        <is>
          <t>2024-07-01</t>
        </is>
      </c>
      <c r="J314" s="75" t="inlineStr">
        <is>
          <t>15</t>
        </is>
      </c>
      <c r="K314" s="75" t="inlineStr">
        <is>
          <t>aceito_payload</t>
        </is>
      </c>
      <c r="L314" s="144" t="n">
        <v>1</v>
      </c>
      <c r="M314" s="75" t="inlineStr">
        <is>
          <t>data/industry_study/generated_revision/artifact_payload.json</t>
        </is>
      </c>
      <c r="N314" s="75" t="inlineStr">
        <is>
          <t>https://fnet.bmfbovespa.com.br/fnet/publico/downloadDocumento?id=690567</t>
        </is>
      </c>
      <c r="O314" s="75" t="inlineStr">
        <is>
          <t>N/D</t>
        </is>
      </c>
    </row>
    <row r="315" ht="43.5" customHeight="1">
      <c r="A315" s="142" t="n">
        <v>50098465000103</v>
      </c>
      <c r="B315" s="75" t="inlineStr">
        <is>
          <t>50.098.465/0001-03</t>
        </is>
      </c>
      <c r="C315" s="75" t="inlineStr">
        <is>
          <t>natureza_indice</t>
        </is>
      </c>
      <c r="D315" s="75" t="inlineStr">
        <is>
          <t>suporte_combinado_pl</t>
        </is>
      </c>
      <c r="E315" s="75" t="inlineStr">
        <is>
          <t>suporte_combinado_pl</t>
        </is>
      </c>
      <c r="F315" s="75" t="inlineStr">
        <is>
          <t>payload_documental</t>
        </is>
      </c>
      <c r="G315" s="75" t="inlineStr">
        <is>
          <t>690567</t>
        </is>
      </c>
      <c r="H315" s="75" t="inlineStr">
        <is>
          <t>documento_curado</t>
        </is>
      </c>
      <c r="I315" s="75" t="inlineStr">
        <is>
          <t>2024-07-01</t>
        </is>
      </c>
      <c r="J315" s="75" t="inlineStr">
        <is>
          <t>15</t>
        </is>
      </c>
      <c r="K315" s="75" t="inlineStr">
        <is>
          <t>aceito_payload</t>
        </is>
      </c>
      <c r="L315" s="144" t="n">
        <v>1</v>
      </c>
      <c r="M315" s="75" t="inlineStr">
        <is>
          <t>data/industry_study/generated_revision/artifact_payload.json</t>
        </is>
      </c>
      <c r="N315" s="75" t="inlineStr">
        <is>
          <t>https://fnet.bmfbovespa.com.br/fnet/publico/downloadDocumento?id=690567</t>
        </is>
      </c>
      <c r="O315" s="75" t="inlineStr">
        <is>
          <t>N/D</t>
        </is>
      </c>
    </row>
    <row r="316" ht="43.5" customHeight="1">
      <c r="A316" s="142" t="n">
        <v>50098465000103</v>
      </c>
      <c r="B316" s="75" t="inlineStr">
        <is>
          <t>50.098.465/0001-03</t>
        </is>
      </c>
      <c r="C316" s="75" t="inlineStr">
        <is>
          <t>originador</t>
        </is>
      </c>
      <c r="D316" s="75" t="inlineStr">
        <is>
          <t>BRASKEM S .A.</t>
        </is>
      </c>
      <c r="E316" s="75" t="inlineStr">
        <is>
          <t>rótulo explícito de participante v2</t>
        </is>
      </c>
      <c r="F316" s="75" t="inlineStr">
        <is>
          <t>rating_report</t>
        </is>
      </c>
      <c r="G316" s="75" t="inlineStr">
        <is>
          <t>963056</t>
        </is>
      </c>
      <c r="H316" s="75" t="inlineStr">
        <is>
          <t>Relatórios Relatório de Agência de Rating</t>
        </is>
      </c>
      <c r="I316" s="75" t="inlineStr">
        <is>
          <t>30/06/2025</t>
        </is>
      </c>
      <c r="J316" s="75" t="inlineStr">
        <is>
          <t>1</t>
        </is>
      </c>
      <c r="K316" s="75" t="inlineStr">
        <is>
          <t>encontrado_explicito</t>
        </is>
      </c>
      <c r="L316" s="144" t="n">
        <v>0.93</v>
      </c>
      <c r="M316" s="75" t="inlineStr">
        <is>
          <t>.cache/carteira_101_document_scan/50098465000103/963056.json.gz</t>
        </is>
      </c>
      <c r="N316" s="75" t="inlineStr">
        <is>
          <t>https://fnet.bmfbovespa.com.br/fnet/publico/downloadDocumento?id=963056</t>
        </is>
      </c>
      <c r="O316" s="75" t="inlineStr">
        <is>
          <t>uados pelos sacados diretamente na conta da operação. Participantes da Operação Originador BRASKEM S .A. Gestor BANCO BRADESCO S .A. Administrador BEM - DISTRIBUIDORA DE TITULOS E VALO</t>
        </is>
      </c>
    </row>
    <row r="317" ht="43.5" customHeight="1">
      <c r="A317" s="142" t="n">
        <v>50098465000103</v>
      </c>
      <c r="B317" s="75" t="inlineStr">
        <is>
          <t>50.098.465/0001-03</t>
        </is>
      </c>
      <c r="C317" s="75" t="inlineStr">
        <is>
          <t>originador</t>
        </is>
      </c>
      <c r="D317" s="75" t="inlineStr">
        <is>
          <t>Braskem S .A.</t>
        </is>
      </c>
      <c r="E317" s="75" t="inlineStr">
        <is>
          <t>rótulo explícito de participante v2</t>
        </is>
      </c>
      <c r="F317" s="75" t="inlineStr">
        <is>
          <t>rating_report</t>
        </is>
      </c>
      <c r="G317" s="75" t="inlineStr">
        <is>
          <t>903310</t>
        </is>
      </c>
      <c r="H317" s="75" t="inlineStr">
        <is>
          <t>Relatórios Relatório de Agência de Rating</t>
        </is>
      </c>
      <c r="I317" s="75" t="inlineStr">
        <is>
          <t>31/03/2025</t>
        </is>
      </c>
      <c r="J317" s="75" t="inlineStr">
        <is>
          <t>1</t>
        </is>
      </c>
      <c r="K317" s="75" t="inlineStr">
        <is>
          <t>encontrado_explicito</t>
        </is>
      </c>
      <c r="L317" s="144" t="n">
        <v>0.93</v>
      </c>
      <c r="M317" s="75" t="inlineStr">
        <is>
          <t>.cache/carteira_101_document_scan/50098465000103/903310.json.gz</t>
        </is>
      </c>
      <c r="N317" s="75" t="inlineStr">
        <is>
          <t>https://fnet.bmfbovespa.com.br/fnet/publico/downloadDocumento?id=903310</t>
        </is>
      </c>
      <c r="O317" s="75" t="inlineStr">
        <is>
          <t>uados pelos sacados diretamente na conta da operação. Participantes da Operação Originador Braskem S .A. Gestor Bram - Bradesco Asset Management S .A. DTVM Administrador Bem Distribuid</t>
        </is>
      </c>
    </row>
    <row r="318" ht="43.5" customHeight="1">
      <c r="A318" s="142" t="n">
        <v>50473039000102</v>
      </c>
      <c r="B318" s="75" t="inlineStr">
        <is>
          <t>50.473.039/0001-02</t>
        </is>
      </c>
      <c r="C318" s="75" t="inlineStr">
        <is>
          <t>cedente</t>
        </is>
      </c>
      <c r="D318" s="75" t="inlineStr">
        <is>
          <t>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t>
        </is>
      </c>
      <c r="E318" s="75" t="inlineStr">
        <is>
          <t>N/D</t>
        </is>
      </c>
      <c r="F318" s="75" t="inlineStr">
        <is>
          <t>regulamento</t>
        </is>
      </c>
      <c r="G318" s="75" t="inlineStr">
        <is>
          <t>909547</t>
        </is>
      </c>
      <c r="H318" s="75" t="inlineStr">
        <is>
          <t>regulamento</t>
        </is>
      </c>
      <c r="I318" s="75" t="inlineStr">
        <is>
          <t>2025-05-19</t>
        </is>
      </c>
      <c r="J318" s="75" t="inlineStr">
        <is>
          <t>35</t>
        </is>
      </c>
      <c r="K318" s="75" t="inlineStr">
        <is>
          <t>encontrado_explicito</t>
        </is>
      </c>
      <c r="L318" s="144" t="n">
        <v>0.95</v>
      </c>
      <c r="M318" s="75" t="inlineStr">
        <is>
          <t>data/raw/50473039000102/909547_regulamento_regulamento_909547_2025-05-19_2025-05-19.pdf</t>
        </is>
      </c>
      <c r="N318" s="75" t="inlineStr">
        <is>
          <t>https://fnet.bmfbovespa.com.br/fnet/publico/downloadDocumento?id=909547</t>
        </is>
      </c>
      <c r="O318" s="75" t="inlineStr">
        <is>
          <t>do pagamento, total ou parcial, de um Direito Creditório Adquirido e que não se ca racterize como um Chargeback. “Cedentes” significa 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 36 JUR_SP - 54419903v5 - 2154004.552458 e/ou venham a realizar Formalização(ões) Eletrônica(s) de Cessão com o</t>
        </is>
      </c>
    </row>
    <row r="319" ht="43.5" customHeight="1">
      <c r="A319" s="142" t="n">
        <v>50473039000102</v>
      </c>
      <c r="B319" s="75" t="inlineStr">
        <is>
          <t>50.473.039/0001-02</t>
        </is>
      </c>
      <c r="C319" s="75" t="inlineStr">
        <is>
          <t>cedente</t>
        </is>
      </c>
      <c r="D319" s="75" t="inlineStr">
        <is>
          <t>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t>
        </is>
      </c>
      <c r="E319" s="75" t="inlineStr">
        <is>
          <t>N/D</t>
        </is>
      </c>
      <c r="F319" s="75" t="inlineStr">
        <is>
          <t>regulamento</t>
        </is>
      </c>
      <c r="G319" s="75" t="inlineStr">
        <is>
          <t>790777</t>
        </is>
      </c>
      <c r="H319" s="75" t="inlineStr">
        <is>
          <t>Regulamento</t>
        </is>
      </c>
      <c r="I319" s="75" t="inlineStr">
        <is>
          <t>28/11/2024</t>
        </is>
      </c>
      <c r="J319" s="75" t="inlineStr">
        <is>
          <t>35</t>
        </is>
      </c>
      <c r="K319" s="75" t="inlineStr">
        <is>
          <t>encontrado_explicito</t>
        </is>
      </c>
      <c r="L319" s="144" t="n">
        <v>0.95</v>
      </c>
      <c r="M319" s="75" t="inlineStr">
        <is>
          <t>.cache/carteira_101_document_scan/50473039000102/790777.json.gz</t>
        </is>
      </c>
      <c r="N319" s="75" t="inlineStr">
        <is>
          <t>https://fnet.bmfbovespa.com.br/fnet/publico/downloadDocumento?id=790777</t>
        </is>
      </c>
      <c r="O319" s="75" t="inlineStr">
        <is>
          <t>do pagamento, total ou parcial, de um Direito Creditório Adquirido e que não se ca racterize como um Chargeback. “Cedentes” significa 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 36 JUR_SP - 49898231v15 - 2154004.522027 e/ou venham a realizar Formalização(ões) Eletrônica(s) de Cessão com o</t>
        </is>
      </c>
    </row>
    <row r="320" ht="43.5" customHeight="1">
      <c r="A320" s="142" t="n">
        <v>50473039000102</v>
      </c>
      <c r="B320" s="75" t="inlineStr">
        <is>
          <t>50.473.039/0001-02</t>
        </is>
      </c>
      <c r="C320" s="75" t="inlineStr">
        <is>
          <t>cedente</t>
        </is>
      </c>
      <c r="D320" s="75" t="inlineStr">
        <is>
          <t>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t>
        </is>
      </c>
      <c r="E320" s="75" t="inlineStr">
        <is>
          <t>N/D</t>
        </is>
      </c>
      <c r="F320" s="75" t="inlineStr">
        <is>
          <t>regulamento</t>
        </is>
      </c>
      <c r="G320" s="75" t="inlineStr">
        <is>
          <t>50473039000102</t>
        </is>
      </c>
      <c r="H320" s="75" t="inlineStr">
        <is>
          <t>regulamento</t>
        </is>
      </c>
      <c r="I320" s="75" t="inlineStr">
        <is>
          <t>N/D</t>
        </is>
      </c>
      <c r="J320" s="75" t="inlineStr">
        <is>
          <t>1</t>
        </is>
      </c>
      <c r="K320" s="75" t="inlineStr">
        <is>
          <t>encontrado_explicito</t>
        </is>
      </c>
      <c r="L320" s="144" t="n">
        <v>0.95</v>
      </c>
      <c r="M320" s="75" t="inlineStr">
        <is>
          <t>outputs/fidc_director_deep_diagnostic_20260609/pdf_text_cache/50473039000102_909547_regulamento_regulamento_909547_2025-05-19.txt</t>
        </is>
      </c>
      <c r="N320" s="75" t="inlineStr">
        <is>
          <t>https://fnet.bmfbovespa.com.br/fnet/publico/downloadDocumento?id=50473039000102</t>
        </is>
      </c>
      <c r="O320" s="75" t="inlineStr">
        <is>
          <t>do pagamento, total ou parcial, de um Direito Creditório Adquirido e que não se ca racterize como um Chargeback. “Cedentes” significa os Estabelecimentos Comerciais (com relação aos Direitos Creditórios dos Estabelecimentos Comerciais) e o Mercado Crédito (com relação aos Direitos Creditórios do Mercado Crédito) que, nos termos do respectivo Contrato de Cessão, cedem a totalidade ou parte de seus respectivos Direitos Creditórios ao Fundo e, para tanto, tenham realizado 36 JUR_SP - 54419903v5 - 2154004.552458 e/ou venham a realizar Formalização(ões) Eletrônica(s) de Cessão com o</t>
        </is>
      </c>
    </row>
    <row r="321" ht="43.5" customHeight="1">
      <c r="A321" s="142" t="n">
        <v>50473039000102</v>
      </c>
      <c r="B321" s="75" t="inlineStr">
        <is>
          <t>50.473.039/0001-02</t>
        </is>
      </c>
      <c r="C321" s="75" t="inlineStr">
        <is>
          <t>cedente</t>
        </is>
      </c>
      <c r="D321" s="75" t="inlineStr">
        <is>
          <t>Mercado Livre</t>
        </is>
      </c>
      <c r="E321" s="75" t="inlineStr">
        <is>
          <t>N/D</t>
        </is>
      </c>
      <c r="F321" s="75" t="inlineStr">
        <is>
          <t>planilha_manual</t>
        </is>
      </c>
      <c r="G321" s="75" t="inlineStr">
        <is>
          <t>IMG_8706.JPG</t>
        </is>
      </c>
      <c r="H321" s="75" t="inlineStr">
        <is>
          <t>payload</t>
        </is>
      </c>
      <c r="I321" s="75" t="inlineStr">
        <is>
          <t>2025-05-19</t>
        </is>
      </c>
      <c r="J321" s="75" t="inlineStr">
        <is>
          <t>99</t>
        </is>
      </c>
      <c r="K321" s="75" t="inlineStr">
        <is>
          <t>aceito_payload</t>
        </is>
      </c>
      <c r="L321" s="144" t="n">
        <v>1</v>
      </c>
      <c r="M321" s="75" t="inlineStr">
        <is>
          <t>data/industry_study/generated_revision/artifact_payload.json</t>
        </is>
      </c>
      <c r="N321" s="75" t="inlineStr">
        <is>
          <t>N/D</t>
        </is>
      </c>
      <c r="O321" s="75" t="inlineStr">
        <is>
          <t>Denominação cortada pela largura da coluna na foto.</t>
        </is>
      </c>
    </row>
    <row r="322" ht="43.5" customHeight="1">
      <c r="A322" s="142" t="n">
        <v>50473039000102</v>
      </c>
      <c r="B322" s="75" t="inlineStr">
        <is>
          <t>50.473.039/0001-02</t>
        </is>
      </c>
      <c r="C322" s="75" t="inlineStr">
        <is>
          <t>minimo_junior</t>
        </is>
      </c>
      <c r="D322" s="75" t="inlineStr">
        <is>
          <t>10%</t>
        </is>
      </c>
      <c r="E322" s="75" t="inlineStr">
        <is>
          <t>junior_pl</t>
        </is>
      </c>
      <c r="F322" s="75" t="inlineStr">
        <is>
          <t>payload_documental</t>
        </is>
      </c>
      <c r="G322" s="75" t="inlineStr">
        <is>
          <t>909547</t>
        </is>
      </c>
      <c r="H322" s="75" t="inlineStr">
        <is>
          <t>documento_curado</t>
        </is>
      </c>
      <c r="I322" s="75" t="inlineStr">
        <is>
          <t>2025-05-19</t>
        </is>
      </c>
      <c r="J322" s="75" t="inlineStr">
        <is>
          <t>99</t>
        </is>
      </c>
      <c r="K322" s="75" t="inlineStr">
        <is>
          <t>aceito_payload</t>
        </is>
      </c>
      <c r="L322" s="144" t="n">
        <v>1</v>
      </c>
      <c r="M322" s="75" t="inlineStr">
        <is>
          <t>data/industry_study/generated_revision/artifact_payload.json</t>
        </is>
      </c>
      <c r="N322" s="75" t="inlineStr">
        <is>
          <t>https://fnet.bmfbovespa.com.br/fnet/publico/downloadDocumento?id=909547</t>
        </is>
      </c>
      <c r="O322" s="75" t="inlineStr">
        <is>
          <t>Totalidade das cotas júnior / PL, mínimo de 10,0%.</t>
        </is>
      </c>
    </row>
    <row r="323" ht="43.5" customHeight="1">
      <c r="A323" s="142" t="n">
        <v>50473039000102</v>
      </c>
      <c r="B323" s="75" t="inlineStr">
        <is>
          <t>50.473.039/0001-02</t>
        </is>
      </c>
      <c r="C323" s="75" t="inlineStr">
        <is>
          <t>natureza_indice</t>
        </is>
      </c>
      <c r="D323" s="75" t="inlineStr">
        <is>
          <t>junior_pl</t>
        </is>
      </c>
      <c r="E323" s="75" t="inlineStr">
        <is>
          <t>junior_pl</t>
        </is>
      </c>
      <c r="F323" s="75" t="inlineStr">
        <is>
          <t>payload_documental</t>
        </is>
      </c>
      <c r="G323" s="75" t="inlineStr">
        <is>
          <t>909547</t>
        </is>
      </c>
      <c r="H323" s="75" t="inlineStr">
        <is>
          <t>documento_curado</t>
        </is>
      </c>
      <c r="I323" s="75" t="inlineStr">
        <is>
          <t>2025-05-19</t>
        </is>
      </c>
      <c r="J323" s="75" t="inlineStr">
        <is>
          <t>99</t>
        </is>
      </c>
      <c r="K323" s="75" t="inlineStr">
        <is>
          <t>aceito_payload</t>
        </is>
      </c>
      <c r="L323" s="144" t="n">
        <v>1</v>
      </c>
      <c r="M323" s="75" t="inlineStr">
        <is>
          <t>data/industry_study/generated_revision/artifact_payload.json</t>
        </is>
      </c>
      <c r="N323" s="75" t="inlineStr">
        <is>
          <t>https://fnet.bmfbovespa.com.br/fnet/publico/downloadDocumento?id=909547</t>
        </is>
      </c>
      <c r="O323" s="75" t="inlineStr">
        <is>
          <t>Totalidade das cotas júnior / PL, mínimo de 10,0%.</t>
        </is>
      </c>
    </row>
    <row r="324" ht="43.5" customHeight="1">
      <c r="A324" s="142" t="n">
        <v>50473039000102</v>
      </c>
      <c r="B324" s="75" t="inlineStr">
        <is>
          <t>50.473.039/0001-02</t>
        </is>
      </c>
      <c r="C324" s="75" t="inlineStr">
        <is>
          <t>sacado_devedor</t>
        </is>
      </c>
      <c r="D324" s="75" t="inlineStr">
        <is>
          <t>o MERCADO PAGO INSTITUIÇÃO DE PAGAMENTO LTDA., sociedade limitada, com sede na Avenida das Nações Unidas, nº 3.003, Parte E, Bonfim, no Município de Osasco, Estado de São Paulo, CEP 06.233-903, inscrita no CNPJ sob o nº 10.573.521/0001-91</t>
        </is>
      </c>
      <c r="E324" s="75" t="inlineStr">
        <is>
          <t>N/D</t>
        </is>
      </c>
      <c r="F324" s="75" t="inlineStr">
        <is>
          <t>regulamento</t>
        </is>
      </c>
      <c r="G324" s="75" t="inlineStr">
        <is>
          <t>909547</t>
        </is>
      </c>
      <c r="H324" s="75" t="inlineStr">
        <is>
          <t>regulamento</t>
        </is>
      </c>
      <c r="I324" s="75" t="inlineStr">
        <is>
          <t>2025-05-19</t>
        </is>
      </c>
      <c r="J324" s="75" t="inlineStr">
        <is>
          <t>40</t>
        </is>
      </c>
      <c r="K324" s="75" t="inlineStr">
        <is>
          <t>encontrado_explicito</t>
        </is>
      </c>
      <c r="L324" s="144" t="n">
        <v>0.95</v>
      </c>
      <c r="M324" s="75" t="inlineStr">
        <is>
          <t>data/raw/50473039000102/909547_regulamento_regulamento_909547_2025-05-19_2025-05-19.pdf</t>
        </is>
      </c>
      <c r="N324" s="75" t="inlineStr">
        <is>
          <t>https://fnet.bmfbovespa.com.br/fnet/publico/downloadDocumento?id=909547</t>
        </is>
      </c>
      <c r="O324" s="75" t="inlineStr">
        <is>
          <t>aquisição, pelo Fundo, de Direitos Creditórios para a Classe Única, mediante a Formalização Eletrônica de Cessão. “Devedor” significa o MERCADO PAGO INSTITUIÇÃO DE PAGAMENTO LTDA., sociedade limitada, com sede na Avenida das Nações Unidas, nº 3.003, Parte E, Bonfim, no Município de Osasco, Estado de São Paulo, CEP 06.233-903, inscrita no CNPJ sob o nº 10.573.521/0001-91. “Dia Útil” ou “Dias Úteis” significa qualquer dia que não seja sábado, domingo, feriado nacional, ou dias em q</t>
        </is>
      </c>
    </row>
    <row r="325" ht="43.5" customHeight="1">
      <c r="A325" s="142" t="n">
        <v>50473039000102</v>
      </c>
      <c r="B325" s="75" t="inlineStr">
        <is>
          <t>50.473.039/0001-02</t>
        </is>
      </c>
      <c r="C325" s="75" t="inlineStr">
        <is>
          <t>sacado_devedor</t>
        </is>
      </c>
      <c r="D325" s="75" t="inlineStr">
        <is>
          <t>o MERCADO PAGO INSTITUIÇÃO DE PAGAMENTO LTDA., sociedade limitada, com sede na Avenida das Nações Unidas, nº 3.003, Parte E, Bonfim, no Município de Osasco, Estado de São Paulo, CEP 06.233-903, inscrita no CNPJ sob o nº 10.573.521/0001-91</t>
        </is>
      </c>
      <c r="E325" s="75" t="inlineStr">
        <is>
          <t>N/D</t>
        </is>
      </c>
      <c r="F325" s="75" t="inlineStr">
        <is>
          <t>regulamento</t>
        </is>
      </c>
      <c r="G325" s="75" t="inlineStr">
        <is>
          <t>790777</t>
        </is>
      </c>
      <c r="H325" s="75" t="inlineStr">
        <is>
          <t>Regulamento</t>
        </is>
      </c>
      <c r="I325" s="75" t="inlineStr">
        <is>
          <t>28/11/2024</t>
        </is>
      </c>
      <c r="J325" s="75" t="inlineStr">
        <is>
          <t>40</t>
        </is>
      </c>
      <c r="K325" s="75" t="inlineStr">
        <is>
          <t>encontrado_explicito</t>
        </is>
      </c>
      <c r="L325" s="144" t="n">
        <v>0.95</v>
      </c>
      <c r="M325" s="75" t="inlineStr">
        <is>
          <t>.cache/carteira_101_document_scan/50473039000102/790777.json.gz</t>
        </is>
      </c>
      <c r="N325" s="75" t="inlineStr">
        <is>
          <t>https://fnet.bmfbovespa.com.br/fnet/publico/downloadDocumento?id=790777</t>
        </is>
      </c>
      <c r="O325" s="75" t="inlineStr">
        <is>
          <t>aquisição, pelo Fundo, de Direitos Creditórios para a Classe Única, mediante a Formalização Eletrônica de Cessão. “Devedor” significa o MERCADO PAGO INSTITUIÇÃO DE PAGAMENTO LTDA., sociedade limitada, com sede na Avenida das Nações Unidas, nº 3.003, Parte E, Bonfim, no Município de Osasco, Estado de São Paulo, CEP 06.233-903, inscrita no CNPJ sob o nº 10.573.521/0001-91. “Dia Útil” ou “Dias Úteis” significa qualquer dia que não seja sábado, domingo, feriado nacional, ou dias em q</t>
        </is>
      </c>
    </row>
    <row r="326" ht="43.5" customHeight="1">
      <c r="A326" s="142" t="n">
        <v>50473039000102</v>
      </c>
      <c r="B326" s="75" t="inlineStr">
        <is>
          <t>50.473.039/0001-02</t>
        </is>
      </c>
      <c r="C326" s="75" t="inlineStr">
        <is>
          <t>sacado_devedor</t>
        </is>
      </c>
      <c r="D326" s="75" t="inlineStr">
        <is>
          <t>o MERCADO PAGO INSTITUIÇÃO DE PAGAMENTO LTDA., sociedade limitada, com sede na Avenida das Nações Unidas, nº 3.003, Parte E, Bonfim, no Município de Osasco, Estado de São Paulo, CEP 06.233-903, inscrita no CNPJ sob o nº 10.573.521/0001-91</t>
        </is>
      </c>
      <c r="E326" s="75" t="inlineStr">
        <is>
          <t>N/D</t>
        </is>
      </c>
      <c r="F326" s="75" t="inlineStr">
        <is>
          <t>regulamento</t>
        </is>
      </c>
      <c r="G326" s="75" t="inlineStr">
        <is>
          <t>50473039000102</t>
        </is>
      </c>
      <c r="H326" s="75" t="inlineStr">
        <is>
          <t>regulamento</t>
        </is>
      </c>
      <c r="I326" s="75" t="inlineStr">
        <is>
          <t>N/D</t>
        </is>
      </c>
      <c r="J326" s="75" t="inlineStr">
        <is>
          <t>1</t>
        </is>
      </c>
      <c r="K326" s="75" t="inlineStr">
        <is>
          <t>encontrado_explicito</t>
        </is>
      </c>
      <c r="L326" s="144" t="n">
        <v>0.95</v>
      </c>
      <c r="M326" s="75" t="inlineStr">
        <is>
          <t>outputs/fidc_director_deep_diagnostic_20260609/pdf_text_cache/50473039000102_909547_regulamento_regulamento_909547_2025-05-19.txt</t>
        </is>
      </c>
      <c r="N326" s="75" t="inlineStr">
        <is>
          <t>https://fnet.bmfbovespa.com.br/fnet/publico/downloadDocumento?id=50473039000102</t>
        </is>
      </c>
      <c r="O326" s="75" t="inlineStr">
        <is>
          <t>aquisição, pelo Fundo, de Direitos Creditórios para a Classe Única, mediante a Formalização Eletrônica de Cessão. “Devedor” significa o MERCADO PAGO INSTITUIÇÃO DE PAGAMENTO LTDA., sociedade limitada, com sede na Avenida das Nações Unidas, nº 3.003, Parte E, Bonfim, no Município de Osasco, Estado de São Paulo, CEP 06.233-903, inscrita no CNPJ sob o nº 10.573.521/0001-91. “Dia Útil” ou “Dias Úteis” significa qualquer dia que não seja sábado, domingo, feriado nacional, ou dias em q</t>
        </is>
      </c>
    </row>
    <row r="327" ht="43.5" customHeight="1">
      <c r="A327" s="142" t="n">
        <v>50473039000102</v>
      </c>
      <c r="B327" s="75" t="inlineStr">
        <is>
          <t>50.473.039/0001-02</t>
        </is>
      </c>
      <c r="C327" s="75" t="inlineStr">
        <is>
          <t>tipo_recebivel</t>
        </is>
      </c>
      <c r="D327" s="75" t="inlineStr">
        <is>
          <t>os Direitos Creditórios dos Estabelecimentos Comerciais e os Direitos Creditórios do Mercado Crédito quando referidos em co njunto ou de forma indistinta, conforme aplicável</t>
        </is>
      </c>
      <c r="E327" s="75" t="inlineStr">
        <is>
          <t>N/D</t>
        </is>
      </c>
      <c r="F327" s="75" t="inlineStr">
        <is>
          <t>assembleia</t>
        </is>
      </c>
      <c r="G327" s="75" t="inlineStr">
        <is>
          <t>467929</t>
        </is>
      </c>
      <c r="H327" s="75" t="inlineStr">
        <is>
          <t>extracao_json</t>
        </is>
      </c>
      <c r="I327" s="75" t="inlineStr">
        <is>
          <t>N/D</t>
        </is>
      </c>
      <c r="J327" s="75" t="inlineStr">
        <is>
          <t>1</t>
        </is>
      </c>
      <c r="K327" s="75" t="inlineStr">
        <is>
          <t>encontrado_explicito</t>
        </is>
      </c>
      <c r="L327" s="144" t="n">
        <v>0.92</v>
      </c>
      <c r="M327" s="75" t="inlineStr">
        <is>
          <t>data/regulatory_extractions/50473039000102/467929.local.json</t>
        </is>
      </c>
      <c r="N327" s="75" t="inlineStr">
        <is>
          <t>https://fnet.bmfbovespa.com.br/fnet/publico/downloadDocumento?id=467929</t>
        </is>
      </c>
      <c r="O327" s="75" t="inlineStr">
        <is>
          <t>dias em que, por qualquer motivo, não houver expediente bancário na República Federativa do Brasil. “Direitos Creditórios” significam os Direitos Creditórios dos Estabelecimentos Comerciais e os Direitos Creditórios do Mercado Crédito quando referidos em co njunto ou de forma indistinta, conforme aplicável. “Direitos Creditórios Adquiridos…", "name": "Critério de elegibilidade", "source_excerpt": "is” si</t>
        </is>
      </c>
    </row>
    <row r="328" ht="43.5" customHeight="1">
      <c r="A328" s="142" t="n">
        <v>50473039000102</v>
      </c>
      <c r="B328" s="75" t="inlineStr">
        <is>
          <t>50.473.039/0001-02</t>
        </is>
      </c>
      <c r="C328" s="75" t="inlineStr">
        <is>
          <t>tipo_recebivel</t>
        </is>
      </c>
      <c r="D328" s="75" t="inlineStr">
        <is>
          <t>recebíveis com risco Grupo Mercado Livre</t>
        </is>
      </c>
      <c r="E328" s="75" t="inlineStr">
        <is>
          <t>N/D</t>
        </is>
      </c>
      <c r="F328" s="75" t="inlineStr">
        <is>
          <t>planilha_manual</t>
        </is>
      </c>
      <c r="G328" s="75" t="inlineStr">
        <is>
          <t>IMG_8706.JPG</t>
        </is>
      </c>
      <c r="H328" s="75" t="inlineStr">
        <is>
          <t>payload</t>
        </is>
      </c>
      <c r="I328" s="75" t="inlineStr">
        <is>
          <t>2025-05-19</t>
        </is>
      </c>
      <c r="J328" s="75" t="inlineStr">
        <is>
          <t>99</t>
        </is>
      </c>
      <c r="K328" s="75" t="inlineStr">
        <is>
          <t>aceito_payload</t>
        </is>
      </c>
      <c r="L328" s="144" t="n">
        <v>1</v>
      </c>
      <c r="M328" s="75" t="inlineStr">
        <is>
          <t>data/industry_study/generated_revision/artifact_payload.json</t>
        </is>
      </c>
      <c r="N328" s="75" t="inlineStr">
        <is>
          <t>N/D</t>
        </is>
      </c>
      <c r="O328" s="75" t="inlineStr">
        <is>
          <t>Denominação cortada pela largura da coluna na foto.</t>
        </is>
      </c>
    </row>
    <row r="329" ht="43.5" customHeight="1">
      <c r="A329" s="142" t="n">
        <v>50536324000117</v>
      </c>
      <c r="B329" s="75" t="inlineStr">
        <is>
          <t>50.536.324/0001-17</t>
        </is>
      </c>
      <c r="C329" s="75" t="inlineStr">
        <is>
          <t>cedente</t>
        </is>
      </c>
      <c r="D329" s="75" t="inlineStr">
        <is>
          <t>Maqnelson</t>
        </is>
      </c>
      <c r="E329" s="75" t="inlineStr">
        <is>
          <t>N/D</t>
        </is>
      </c>
      <c r="F329" s="75" t="inlineStr">
        <is>
          <t>planilha_manual</t>
        </is>
      </c>
      <c r="G329" s="75" t="inlineStr">
        <is>
          <t>IMG_8706.JPG</t>
        </is>
      </c>
      <c r="H329" s="75" t="inlineStr">
        <is>
          <t>payload</t>
        </is>
      </c>
      <c r="I329" s="75" t="inlineStr">
        <is>
          <t>2025-06-04</t>
        </is>
      </c>
      <c r="J329" s="75" t="inlineStr">
        <is>
          <t>111</t>
        </is>
      </c>
      <c r="K329" s="75" t="inlineStr">
        <is>
          <t>aceito_payload</t>
        </is>
      </c>
      <c r="L329" s="144" t="n">
        <v>1</v>
      </c>
      <c r="M329" s="75" t="inlineStr">
        <is>
          <t>data/industry_study/generated_revision/artifact_payload.json</t>
        </is>
      </c>
      <c r="N329" s="75" t="inlineStr">
        <is>
          <t>N/D</t>
        </is>
      </c>
      <c r="O329" s="75" t="inlineStr">
        <is>
          <t>OBS legível: houve desenquadramento da subordinação e haverá amortização de parcela da cota para reenquadramento; final cortado. Denominação cortada.</t>
        </is>
      </c>
    </row>
    <row r="330" ht="43.5" customHeight="1">
      <c r="A330" s="142" t="n">
        <v>50536324000117</v>
      </c>
      <c r="B330" s="75" t="inlineStr">
        <is>
          <t>50.536.324/0001-17</t>
        </is>
      </c>
      <c r="C330" s="75" t="inlineStr">
        <is>
          <t>minimo_estrutural_total</t>
        </is>
      </c>
      <c r="D330" s="75" t="inlineStr">
        <is>
          <t>50%</t>
        </is>
      </c>
      <c r="E330" s="75" t="inlineStr">
        <is>
          <t>suporte_total_pl</t>
        </is>
      </c>
      <c r="F330" s="75" t="inlineStr">
        <is>
          <t>payload_documental</t>
        </is>
      </c>
      <c r="G330" s="75" t="inlineStr">
        <is>
          <t>918862</t>
        </is>
      </c>
      <c r="H330" s="75" t="inlineStr">
        <is>
          <t>documento_curado</t>
        </is>
      </c>
      <c r="I330" s="75" t="inlineStr">
        <is>
          <t>2025-06-04</t>
        </is>
      </c>
      <c r="J330" s="75" t="inlineStr">
        <is>
          <t>111</t>
        </is>
      </c>
      <c r="K330" s="75" t="inlineStr">
        <is>
          <t>aceito_payload</t>
        </is>
      </c>
      <c r="L330" s="144" t="n">
        <v>1</v>
      </c>
      <c r="M330" s="75" t="inlineStr">
        <is>
          <t>data/industry_study/generated_revision/artifact_payload.json</t>
        </is>
      </c>
      <c r="N330" s="75" t="inlineStr">
        <is>
          <t>https://fnet.bmfbovespa.com.br/fnet/publico/downloadDocumento?id=918862</t>
        </is>
      </c>
      <c r="O330" s="75" t="inlineStr">
        <is>
          <t>Cotas subordinadas / PL, mínimo de 50,0%; estrutura com uma única classe residual.</t>
        </is>
      </c>
    </row>
    <row r="331" ht="43.5" customHeight="1">
      <c r="A331" s="142" t="n">
        <v>50536324000117</v>
      </c>
      <c r="B331" s="75" t="inlineStr">
        <is>
          <t>50.536.324/0001-17</t>
        </is>
      </c>
      <c r="C331" s="75" t="inlineStr">
        <is>
          <t>minimo_junior</t>
        </is>
      </c>
      <c r="D331" s="75" t="inlineStr">
        <is>
          <t>50%</t>
        </is>
      </c>
      <c r="E331" s="75" t="inlineStr">
        <is>
          <t>junior_pl</t>
        </is>
      </c>
      <c r="F331" s="75" t="inlineStr">
        <is>
          <t>payload_documental</t>
        </is>
      </c>
      <c r="G331" s="75" t="inlineStr">
        <is>
          <t>918862</t>
        </is>
      </c>
      <c r="H331" s="75" t="inlineStr">
        <is>
          <t>documento_curado</t>
        </is>
      </c>
      <c r="I331" s="75" t="inlineStr">
        <is>
          <t>2025-06-04</t>
        </is>
      </c>
      <c r="J331" s="75" t="inlineStr">
        <is>
          <t>111</t>
        </is>
      </c>
      <c r="K331" s="75" t="inlineStr">
        <is>
          <t>aceito_payload</t>
        </is>
      </c>
      <c r="L331" s="144" t="n">
        <v>1</v>
      </c>
      <c r="M331" s="75" t="inlineStr">
        <is>
          <t>data/industry_study/generated_revision/artifact_payload.json</t>
        </is>
      </c>
      <c r="N331" s="75" t="inlineStr">
        <is>
          <t>https://fnet.bmfbovespa.com.br/fnet/publico/downloadDocumento?id=918862</t>
        </is>
      </c>
      <c r="O331" s="75" t="inlineStr">
        <is>
          <t>Cotas subordinadas / PL, mínimo de 50,0%; estrutura com uma única classe residual.</t>
        </is>
      </c>
    </row>
    <row r="332" ht="43.5" customHeight="1">
      <c r="A332" s="142" t="n">
        <v>50536324000117</v>
      </c>
      <c r="B332" s="75" t="inlineStr">
        <is>
          <t>50.536.324/0001-17</t>
        </is>
      </c>
      <c r="C332" s="75" t="inlineStr">
        <is>
          <t>natureza_indice</t>
        </is>
      </c>
      <c r="D332" s="75" t="inlineStr">
        <is>
          <t>junior_pl</t>
        </is>
      </c>
      <c r="E332" s="75" t="inlineStr">
        <is>
          <t>junior_pl</t>
        </is>
      </c>
      <c r="F332" s="75" t="inlineStr">
        <is>
          <t>payload_documental</t>
        </is>
      </c>
      <c r="G332" s="75" t="inlineStr">
        <is>
          <t>918862</t>
        </is>
      </c>
      <c r="H332" s="75" t="inlineStr">
        <is>
          <t>documento_curado</t>
        </is>
      </c>
      <c r="I332" s="75" t="inlineStr">
        <is>
          <t>2025-06-04</t>
        </is>
      </c>
      <c r="J332" s="75" t="inlineStr">
        <is>
          <t>111</t>
        </is>
      </c>
      <c r="K332" s="75" t="inlineStr">
        <is>
          <t>aceito_payload</t>
        </is>
      </c>
      <c r="L332" s="144" t="n">
        <v>1</v>
      </c>
      <c r="M332" s="75" t="inlineStr">
        <is>
          <t>data/industry_study/generated_revision/artifact_payload.json</t>
        </is>
      </c>
      <c r="N332" s="75" t="inlineStr">
        <is>
          <t>https://fnet.bmfbovespa.com.br/fnet/publico/downloadDocumento?id=918862</t>
        </is>
      </c>
      <c r="O332" s="75" t="inlineStr">
        <is>
          <t>Cotas subordinadas / PL, mínimo de 50,0%; estrutura com uma única classe residual.</t>
        </is>
      </c>
    </row>
    <row r="333" ht="43.5" customHeight="1">
      <c r="A333" s="142" t="n">
        <v>50536324000117</v>
      </c>
      <c r="B333" s="75" t="inlineStr">
        <is>
          <t>50.536.324/0001-17</t>
        </is>
      </c>
      <c r="C333" s="75" t="inlineStr">
        <is>
          <t>tipo_recebivel</t>
        </is>
      </c>
      <c r="D333" s="75" t="inlineStr">
        <is>
          <t>os direitos creditórios performados originados da venda a prazo de Bens, representados pelos Documentos Comprobatórios, conforme o caso, detidas pelas Cedentes contra as Devedoras</t>
        </is>
      </c>
      <c r="E333" s="75" t="inlineStr">
        <is>
          <t>N/D</t>
        </is>
      </c>
      <c r="F333" s="75" t="inlineStr">
        <is>
          <t>regulamento</t>
        </is>
      </c>
      <c r="G333" s="75" t="inlineStr">
        <is>
          <t>756476</t>
        </is>
      </c>
      <c r="H333" s="75" t="inlineStr">
        <is>
          <t>Regulamento</t>
        </is>
      </c>
      <c r="I333" s="75" t="inlineStr">
        <is>
          <t>09/10/2024</t>
        </is>
      </c>
      <c r="J333" s="75" t="inlineStr">
        <is>
          <t>98</t>
        </is>
      </c>
      <c r="K333" s="75" t="inlineStr">
        <is>
          <t>encontrado_explicito</t>
        </is>
      </c>
      <c r="L333" s="144" t="n">
        <v>0.92</v>
      </c>
      <c r="M333" s="75" t="inlineStr">
        <is>
          <t>.cache/carteira_101_document_scan/50536324000117/756476.json.gz</t>
        </is>
      </c>
      <c r="N333" s="75" t="inlineStr">
        <is>
          <t>https://fnet.bmfbovespa.com.br/fnet/publico/downloadDocumento?id=756476</t>
        </is>
      </c>
      <c r="O333" s="75" t="inlineStr">
        <is>
          <t>ansferência entre contas de mesmo banco), na Conta Cobrança, conforme orientação das Cedentes. “Direitos Creditórios” Significam os direitos creditórios performados originados da venda a prazo de Bens, representados pelos Documentos Comprobatórios, conforme o caso, detidas pelas Cedentes contra as Devedoras. “Direitos Creditórios Cedidos” Os Direitos Creditórios Elegíveis, observados os Critérios d</t>
        </is>
      </c>
    </row>
    <row r="334" ht="43.5" customHeight="1">
      <c r="A334" s="142" t="n">
        <v>50536324000117</v>
      </c>
      <c r="B334" s="75" t="inlineStr">
        <is>
          <t>50.536.324/0001-17</t>
        </is>
      </c>
      <c r="C334" s="75" t="inlineStr">
        <is>
          <t>tipo_recebivel</t>
        </is>
      </c>
      <c r="D334" s="75" t="inlineStr">
        <is>
          <t>os direitos creditórios performados originados da venda a prazo de Bens, representados pelos Documentos Comprobatórios, conforme o caso, detidas pelas Cedentes contra as Devedoras</t>
        </is>
      </c>
      <c r="E334" s="75" t="inlineStr">
        <is>
          <t>N/D</t>
        </is>
      </c>
      <c r="F334" s="75" t="inlineStr">
        <is>
          <t>regulamento</t>
        </is>
      </c>
      <c r="G334" s="75" t="inlineStr">
        <is>
          <t>918862</t>
        </is>
      </c>
      <c r="H334" s="75" t="inlineStr">
        <is>
          <t>regulamento</t>
        </is>
      </c>
      <c r="I334" s="75" t="inlineStr">
        <is>
          <t>2025-06-04</t>
        </is>
      </c>
      <c r="J334" s="75" t="inlineStr">
        <is>
          <t>99</t>
        </is>
      </c>
      <c r="K334" s="75" t="inlineStr">
        <is>
          <t>encontrado_explicito</t>
        </is>
      </c>
      <c r="L334" s="144" t="n">
        <v>0.92</v>
      </c>
      <c r="M334" s="75" t="inlineStr">
        <is>
          <t>data/raw/50536324000117/918862_regulamento_regulamento_918862_2025-06-04_2025-06-04.pdf</t>
        </is>
      </c>
      <c r="N334" s="75" t="inlineStr">
        <is>
          <t>https://fnet.bmfbovespa.com.br/fnet/publico/downloadDocumento?id=918862</t>
        </is>
      </c>
      <c r="O334" s="75" t="inlineStr">
        <is>
          <t>ansferência entre contas de mesmo banco), na Conta Cobrança, conforme orientação das Cedentes. “Direitos Creditórios” Significam os direitos creditórios performados originados da venda a prazo de Bens, representados pelos Documentos Comprobatórios, conforme o caso, detidas pelas Cedentes contra as Devedoras. “Direitos Creditórios Cedidos” Os Direitos Creditórios Elegíveis, observados os Critérios d</t>
        </is>
      </c>
    </row>
    <row r="335" ht="43.5" customHeight="1">
      <c r="A335" s="142" t="n">
        <v>50536324000117</v>
      </c>
      <c r="B335" s="75" t="inlineStr">
        <is>
          <t>50.536.324/0001-17</t>
        </is>
      </c>
      <c r="C335" s="75" t="inlineStr">
        <is>
          <t>tipo_recebivel</t>
        </is>
      </c>
      <c r="D335" s="75" t="inlineStr">
        <is>
          <t>máquinas agrícolas</t>
        </is>
      </c>
      <c r="E335" s="75" t="inlineStr">
        <is>
          <t>N/D</t>
        </is>
      </c>
      <c r="F335" s="75" t="inlineStr">
        <is>
          <t>planilha_manual</t>
        </is>
      </c>
      <c r="G335" s="75" t="inlineStr">
        <is>
          <t>IMG_8706.JPG</t>
        </is>
      </c>
      <c r="H335" s="75" t="inlineStr">
        <is>
          <t>payload</t>
        </is>
      </c>
      <c r="I335" s="75" t="inlineStr">
        <is>
          <t>2025-06-04</t>
        </is>
      </c>
      <c r="J335" s="75" t="inlineStr">
        <is>
          <t>111</t>
        </is>
      </c>
      <c r="K335" s="75" t="inlineStr">
        <is>
          <t>aceito_payload</t>
        </is>
      </c>
      <c r="L335" s="144" t="n">
        <v>1</v>
      </c>
      <c r="M335" s="75" t="inlineStr">
        <is>
          <t>data/industry_study/generated_revision/artifact_payload.json</t>
        </is>
      </c>
      <c r="N335" s="75" t="inlineStr">
        <is>
          <t>N/D</t>
        </is>
      </c>
      <c r="O335" s="75" t="inlineStr">
        <is>
          <t>OBS legível: houve desenquadramento da subordinação e haverá amortização de parcela da cota para reenquadramento; final cortado. Denominação cortada.</t>
        </is>
      </c>
    </row>
    <row r="336" ht="43.5" customHeight="1">
      <c r="A336" s="142" t="n">
        <v>50832746000130</v>
      </c>
      <c r="B336" s="75" t="inlineStr">
        <is>
          <t>50.832.746/0001-30</t>
        </is>
      </c>
      <c r="C336" s="75" t="inlineStr">
        <is>
          <t>cedente</t>
        </is>
      </c>
      <c r="D336" s="75" t="inlineStr">
        <is>
          <t>Boasafra</t>
        </is>
      </c>
      <c r="E336" s="75" t="inlineStr">
        <is>
          <t>rótulo explícito de participante v2</t>
        </is>
      </c>
      <c r="F336" s="75" t="inlineStr">
        <is>
          <t>rating_report</t>
        </is>
      </c>
      <c r="G336" s="75" t="inlineStr">
        <is>
          <t>992930</t>
        </is>
      </c>
      <c r="H336" s="75" t="inlineStr">
        <is>
          <t>Relatórios Relatório de Agência de Rating</t>
        </is>
      </c>
      <c r="I336" s="75" t="inlineStr">
        <is>
          <t>10/09/2025</t>
        </is>
      </c>
      <c r="J336" s="75" t="inlineStr">
        <is>
          <t>5</t>
        </is>
      </c>
      <c r="K336" s="75" t="inlineStr">
        <is>
          <t>encontrado_explicito</t>
        </is>
      </c>
      <c r="L336" s="144" t="n">
        <v>0.93</v>
      </c>
      <c r="M336" s="75" t="inlineStr">
        <is>
          <t>.cache/carteira_101_document_scan/50832746000130/992930.json.gz</t>
        </is>
      </c>
      <c r="N336" s="75" t="inlineStr">
        <is>
          <t>https://fnet.bmfbovespa.com.br/fnet/publico/downloadDocumento?id=992930</t>
        </is>
      </c>
      <c r="O336" s="75" t="inlineStr">
        <is>
          <t>analistas utilizaram informações provenientes d a(s) seguinte(s) fonte(s): i) Boasafra (Cedente), ii) Oliveira Trust (Administradora), e iii) Brave e Struttura Capital (Gestora</t>
        </is>
      </c>
    </row>
    <row r="337" ht="43.5" customHeight="1">
      <c r="A337" s="142" t="n">
        <v>50832746000130</v>
      </c>
      <c r="B337" s="75" t="inlineStr">
        <is>
          <t>50.832.746/0001-30</t>
        </is>
      </c>
      <c r="C337" s="75" t="inlineStr">
        <is>
          <t>cedente</t>
        </is>
      </c>
      <c r="D337" s="75" t="inlineStr">
        <is>
          <t>Boasafra</t>
        </is>
      </c>
      <c r="E337" s="75" t="inlineStr">
        <is>
          <t>rótulo explícito de participante v2</t>
        </is>
      </c>
      <c r="F337" s="75" t="inlineStr">
        <is>
          <t>rating_report</t>
        </is>
      </c>
      <c r="G337" s="75" t="inlineStr">
        <is>
          <t>932142</t>
        </is>
      </c>
      <c r="H337" s="75" t="inlineStr">
        <is>
          <t>Relatórios Relatório de Agência de Rating</t>
        </is>
      </c>
      <c r="I337" s="75" t="inlineStr">
        <is>
          <t>16/06/2025</t>
        </is>
      </c>
      <c r="J337" s="75" t="inlineStr">
        <is>
          <t>5</t>
        </is>
      </c>
      <c r="K337" s="75" t="inlineStr">
        <is>
          <t>encontrado_explicito</t>
        </is>
      </c>
      <c r="L337" s="144" t="n">
        <v>0.93</v>
      </c>
      <c r="M337" s="75" t="inlineStr">
        <is>
          <t>.cache/carteira_101_document_scan/50832746000130/932142.json.gz</t>
        </is>
      </c>
      <c r="N337" s="75" t="inlineStr">
        <is>
          <t>https://fnet.bmfbovespa.com.br/fnet/publico/downloadDocumento?id=932142</t>
        </is>
      </c>
      <c r="O337" s="75" t="inlineStr">
        <is>
          <t>analistas utilizaram informações provenientes d a(s) seguinte(s) fonte(s): i) Boasafra (Cedente), ii) Oliveira Trust (Administradora), e iii) Brave e Struttura Capital (Gestora</t>
        </is>
      </c>
    </row>
    <row r="338" ht="43.5" customHeight="1">
      <c r="A338" s="142" t="n">
        <v>50832746000130</v>
      </c>
      <c r="B338" s="75" t="inlineStr">
        <is>
          <t>50.832.746/0001-30</t>
        </is>
      </c>
      <c r="C338" s="75" t="inlineStr">
        <is>
          <t>cedente</t>
        </is>
      </c>
      <c r="D338" s="75" t="inlineStr">
        <is>
          <t>Boasafra (ID 5662361)</t>
        </is>
      </c>
      <c r="E338" s="75" t="inlineStr">
        <is>
          <t>N/D</t>
        </is>
      </c>
      <c r="F338" s="75" t="inlineStr">
        <is>
          <t>planilha_manual</t>
        </is>
      </c>
      <c r="G338" s="75" t="inlineStr">
        <is>
          <t>IMG_8704.JPG</t>
        </is>
      </c>
      <c r="H338" s="75" t="inlineStr">
        <is>
          <t>payload</t>
        </is>
      </c>
      <c r="I338" s="75" t="inlineStr">
        <is>
          <t>2024-11-28</t>
        </is>
      </c>
      <c r="J338" s="75" t="inlineStr">
        <is>
          <t>44</t>
        </is>
      </c>
      <c r="K338" s="75" t="inlineStr">
        <is>
          <t>aceito_payload</t>
        </is>
      </c>
      <c r="L338" s="144" t="n">
        <v>1</v>
      </c>
      <c r="M338" s="75" t="inlineStr">
        <is>
          <t>data/industry_study/generated_revision/artifact_payload.json</t>
        </is>
      </c>
      <c r="N338" s="75" t="inlineStr">
        <is>
          <t>N/D</t>
        </is>
      </c>
      <c r="O338" s="75" t="inlineStr">
        <is>
          <t>N/D</t>
        </is>
      </c>
    </row>
    <row r="339" ht="43.5" customHeight="1">
      <c r="A339" s="142" t="n">
        <v>50832746000130</v>
      </c>
      <c r="B339" s="75" t="inlineStr">
        <is>
          <t>50.832.746/0001-30</t>
        </is>
      </c>
      <c r="C339" s="75" t="inlineStr">
        <is>
          <t>minimo_estrutural_total</t>
        </is>
      </c>
      <c r="D339" s="75" t="inlineStr">
        <is>
          <t>30%</t>
        </is>
      </c>
      <c r="E339" s="75" t="inlineStr">
        <is>
          <t>suporte_total_pl</t>
        </is>
      </c>
      <c r="F339" s="75" t="inlineStr">
        <is>
          <t>payload_documental</t>
        </is>
      </c>
      <c r="G339" s="75" t="inlineStr">
        <is>
          <t>791780</t>
        </is>
      </c>
      <c r="H339" s="75" t="inlineStr">
        <is>
          <t>documento_curado</t>
        </is>
      </c>
      <c r="I339" s="75" t="inlineStr">
        <is>
          <t>2024-11-28</t>
        </is>
      </c>
      <c r="J339" s="75" t="inlineStr">
        <is>
          <t>44</t>
        </is>
      </c>
      <c r="K339" s="75" t="inlineStr">
        <is>
          <t>aceito_payload</t>
        </is>
      </c>
      <c r="L339" s="144" t="n">
        <v>1</v>
      </c>
      <c r="M339" s="75" t="inlineStr">
        <is>
          <t>data/industry_study/generated_revision/artifact_payload.json</t>
        </is>
      </c>
      <c r="N339" s="75" t="inlineStr">
        <is>
          <t>https://fnet.bmfbovespa.com.br/fnet/publico/downloadDocumento?id=791780</t>
        </is>
      </c>
      <c r="O339" s="75" t="inlineStr">
        <is>
          <t>Cotas júnior / PL, mínimo de 20,0%; suporte subordinado total mínimo de 30,0%.</t>
        </is>
      </c>
    </row>
    <row r="340" ht="43.5" customHeight="1">
      <c r="A340" s="142" t="n">
        <v>50832746000130</v>
      </c>
      <c r="B340" s="75" t="inlineStr">
        <is>
          <t>50.832.746/0001-30</t>
        </is>
      </c>
      <c r="C340" s="75" t="inlineStr">
        <is>
          <t>minimo_junior</t>
        </is>
      </c>
      <c r="D340" s="75" t="inlineStr">
        <is>
          <t>20%</t>
        </is>
      </c>
      <c r="E340" s="75" t="inlineStr">
        <is>
          <t>junior_pl</t>
        </is>
      </c>
      <c r="F340" s="75" t="inlineStr">
        <is>
          <t>payload_documental</t>
        </is>
      </c>
      <c r="G340" s="75" t="inlineStr">
        <is>
          <t>791780</t>
        </is>
      </c>
      <c r="H340" s="75" t="inlineStr">
        <is>
          <t>documento_curado</t>
        </is>
      </c>
      <c r="I340" s="75" t="inlineStr">
        <is>
          <t>2024-11-28</t>
        </is>
      </c>
      <c r="J340" s="75" t="inlineStr">
        <is>
          <t>44</t>
        </is>
      </c>
      <c r="K340" s="75" t="inlineStr">
        <is>
          <t>aceito_payload</t>
        </is>
      </c>
      <c r="L340" s="144" t="n">
        <v>1</v>
      </c>
      <c r="M340" s="75" t="inlineStr">
        <is>
          <t>data/industry_study/generated_revision/artifact_payload.json</t>
        </is>
      </c>
      <c r="N340" s="75" t="inlineStr">
        <is>
          <t>https://fnet.bmfbovespa.com.br/fnet/publico/downloadDocumento?id=791780</t>
        </is>
      </c>
      <c r="O340" s="75" t="inlineStr">
        <is>
          <t>Cotas júnior / PL, mínimo de 20,0%; suporte subordinado total mínimo de 30,0%.</t>
        </is>
      </c>
    </row>
    <row r="341" ht="43.5" customHeight="1">
      <c r="A341" s="142" t="n">
        <v>50832746000130</v>
      </c>
      <c r="B341" s="75" t="inlineStr">
        <is>
          <t>50.832.746/0001-30</t>
        </is>
      </c>
      <c r="C341" s="75" t="inlineStr">
        <is>
          <t>natureza_indice</t>
        </is>
      </c>
      <c r="D341" s="75" t="inlineStr">
        <is>
          <t>junior_pl</t>
        </is>
      </c>
      <c r="E341" s="75" t="inlineStr">
        <is>
          <t>junior_pl</t>
        </is>
      </c>
      <c r="F341" s="75" t="inlineStr">
        <is>
          <t>payload_documental</t>
        </is>
      </c>
      <c r="G341" s="75" t="inlineStr">
        <is>
          <t>791780</t>
        </is>
      </c>
      <c r="H341" s="75" t="inlineStr">
        <is>
          <t>documento_curado</t>
        </is>
      </c>
      <c r="I341" s="75" t="inlineStr">
        <is>
          <t>2024-11-28</t>
        </is>
      </c>
      <c r="J341" s="75" t="inlineStr">
        <is>
          <t>44</t>
        </is>
      </c>
      <c r="K341" s="75" t="inlineStr">
        <is>
          <t>aceito_payload</t>
        </is>
      </c>
      <c r="L341" s="144" t="n">
        <v>1</v>
      </c>
      <c r="M341" s="75" t="inlineStr">
        <is>
          <t>data/industry_study/generated_revision/artifact_payload.json</t>
        </is>
      </c>
      <c r="N341" s="75" t="inlineStr">
        <is>
          <t>https://fnet.bmfbovespa.com.br/fnet/publico/downloadDocumento?id=791780</t>
        </is>
      </c>
      <c r="O341" s="75" t="inlineStr">
        <is>
          <t>Cotas júnior / PL, mínimo de 20,0%; suporte subordinado total mínimo de 30,0%.</t>
        </is>
      </c>
    </row>
    <row r="342" ht="43.5" customHeight="1">
      <c r="A342" s="142" t="n">
        <v>50832746000130</v>
      </c>
      <c r="B342" s="75" t="inlineStr">
        <is>
          <t>50.832.746/0001-30</t>
        </is>
      </c>
      <c r="C342" s="75" t="inlineStr">
        <is>
          <t>tipo_recebivel</t>
        </is>
      </c>
      <c r="D342" s="75" t="inlineStr">
        <is>
          <t>Insumos Agrícolas - prazo Safra</t>
        </is>
      </c>
      <c r="E342" s="75" t="inlineStr">
        <is>
          <t>N/D</t>
        </is>
      </c>
      <c r="F342" s="75" t="inlineStr">
        <is>
          <t>planilha_manual</t>
        </is>
      </c>
      <c r="G342" s="75" t="inlineStr">
        <is>
          <t>IMG_8704.JPG</t>
        </is>
      </c>
      <c r="H342" s="75" t="inlineStr">
        <is>
          <t>payload</t>
        </is>
      </c>
      <c r="I342" s="75" t="inlineStr">
        <is>
          <t>2024-11-28</t>
        </is>
      </c>
      <c r="J342" s="75" t="inlineStr">
        <is>
          <t>44</t>
        </is>
      </c>
      <c r="K342" s="75" t="inlineStr">
        <is>
          <t>aceito_payload</t>
        </is>
      </c>
      <c r="L342" s="144" t="n">
        <v>1</v>
      </c>
      <c r="M342" s="75" t="inlineStr">
        <is>
          <t>data/industry_study/generated_revision/artifact_payload.json</t>
        </is>
      </c>
      <c r="N342" s="75" t="inlineStr">
        <is>
          <t>N/D</t>
        </is>
      </c>
      <c r="O342" s="75" t="inlineStr">
        <is>
          <t>N/D</t>
        </is>
      </c>
    </row>
    <row r="343" ht="43.5" customHeight="1">
      <c r="A343" s="142" t="n">
        <v>50857998000113</v>
      </c>
      <c r="B343" s="75" t="inlineStr">
        <is>
          <t>50.857.998/0001-13</t>
        </is>
      </c>
      <c r="C343" s="75" t="inlineStr">
        <is>
          <t>cedente</t>
        </is>
      </c>
      <c r="D343" s="75" t="inlineStr">
        <is>
          <t>os Marceneiros e as Entidades da Rede Leo, que, a seu exclusivo critério, cedem a totalidade ou parte de seus respectivos Direitos Creditórios Elegíveis à Classe e, para tanto, tenham realizado e/ou venham a realizar Formalização(ões) Eletrônica (s) de Cessão com a Classe, sendo os Marceneiros e as Entidades da Rede Leo (que não a Leo Madeiras) representados pelo Agente de Formalização, na qualidade de sua mandatária, nos termos dos Termos do Sistema Leo</t>
        </is>
      </c>
      <c r="E343" s="75" t="inlineStr">
        <is>
          <t>N/D</t>
        </is>
      </c>
      <c r="F343" s="75" t="inlineStr">
        <is>
          <t>regulamento</t>
        </is>
      </c>
      <c r="G343" s="75" t="inlineStr">
        <is>
          <t>1017825</t>
        </is>
      </c>
      <c r="H343" s="75" t="inlineStr">
        <is>
          <t>Regulamento</t>
        </is>
      </c>
      <c r="I343" s="75" t="inlineStr">
        <is>
          <t>06/10/2025</t>
        </is>
      </c>
      <c r="J343" s="75" t="inlineStr">
        <is>
          <t>57</t>
        </is>
      </c>
      <c r="K343" s="75" t="inlineStr">
        <is>
          <t>encontrado_explicito</t>
        </is>
      </c>
      <c r="L343" s="144" t="n">
        <v>0.95</v>
      </c>
      <c r="M343" s="75" t="inlineStr">
        <is>
          <t>.cache/carteira_101_document_scan/50857998000113/1017825.json.gz</t>
        </is>
      </c>
      <c r="N343" s="75" t="inlineStr">
        <is>
          <t>https://fnet.bmfbovespa.com.br/fnet/publico/downloadDocumento?id=1017825</t>
        </is>
      </c>
      <c r="O343" s="75" t="inlineStr">
        <is>
          <t>em Transações de Pagamento. Docusign Envelope ID: F0D6BB9B-1351-449F-B38F-B41CECB81874 57 Corporativo | Interno “Cedentes” significam os Marceneiros e as Entidades da Rede Leo, que, a seu exclusivo critério, cedem a totalidade ou parte de seus respectivos Direitos Creditórios Elegíveis à Classe e, para tanto, tenham realizado e/ou venham a realizar Formalização(ões) Eletrônica (s) de Cessão com a Classe, sendo os Marceneiros e as Entidades da Rede Leo (que não a Leo Madeiras) representados pelo Agente de Formalização, na qualidade de sua mandatária, nos termos dos Termos do Sistema Leo. “Chargeback” significa a contestação de Transação(ões) de Pagamento, seja no todo ou em parte, por parte de Cliente</t>
        </is>
      </c>
    </row>
    <row r="344" ht="43.5" customHeight="1">
      <c r="A344" s="142" t="n">
        <v>50857998000113</v>
      </c>
      <c r="B344" s="75" t="inlineStr">
        <is>
          <t>50.857.998/0001-13</t>
        </is>
      </c>
      <c r="C344" s="75" t="inlineStr">
        <is>
          <t>cedente</t>
        </is>
      </c>
      <c r="D344" s="75" t="inlineStr">
        <is>
          <t>os Marceneiros e as Entidades da Rede Leo, que, a seu exclusivo critério, cedem a totalidade ou parte de seus respectivos Direitos Creditórios Elegíveis à Classe e, para tanto, tenham realizado e/ou venham a realizar Formalização(ões) Eletrônica(s) de Cessão com a Classe, sendo os Marceneiros e as Entidades da Rede Leo (que não a Leo Madeiras) representados pelo Agente de Formalização, na qualidade de sua mandatária, nos termos dos Termos do Sistema Leo</t>
        </is>
      </c>
      <c r="E344" s="75" t="inlineStr">
        <is>
          <t>N/D</t>
        </is>
      </c>
      <c r="F344" s="75" t="inlineStr">
        <is>
          <t>regulamento</t>
        </is>
      </c>
      <c r="G344" s="75" t="inlineStr">
        <is>
          <t>910444</t>
        </is>
      </c>
      <c r="H344" s="75" t="inlineStr">
        <is>
          <t>Regulamento</t>
        </is>
      </c>
      <c r="I344" s="75" t="inlineStr">
        <is>
          <t>22/05/2025</t>
        </is>
      </c>
      <c r="J344" s="75" t="inlineStr">
        <is>
          <t>56</t>
        </is>
      </c>
      <c r="K344" s="75" t="inlineStr">
        <is>
          <t>encontrado_explicito</t>
        </is>
      </c>
      <c r="L344" s="144" t="n">
        <v>0.95</v>
      </c>
      <c r="M344" s="75" t="inlineStr">
        <is>
          <t>.cache/carteira_101_document_scan/50857998000113/910444.json.gz</t>
        </is>
      </c>
      <c r="N344" s="75" t="inlineStr">
        <is>
          <t>https://fnet.bmfbovespa.com.br/fnet/publico/downloadDocumento?id=910444</t>
        </is>
      </c>
      <c r="O344" s="75" t="inlineStr">
        <is>
          <t>trumento este utilizado em Transações de Pagamento. Docusign Envelope ID: 912702EE-A5F6-42E3-9E1A-6B62BB588074 56 “Cedentes” significam os Marceneiros e as Entidades da Rede Leo, que, a seu exclusivo critério, cedem a totalidade ou parte de seus respectivos Direitos Creditórios Elegíveis à Classe e, para tanto, tenham realizado e/ou venham a realizar Formalização(ões) Eletrônica(s) de Cessão com a Classe, sendo os Marceneiros e as Entidades da Rede Leo (que não a Leo Madeiras) representados pelo Agente de Formalização, na qualidade de sua mandatária, nos termos dos Termos do Sistema Leo. “Chargeback” significa a contestação de Transação(ões) de Pagamento, seja no todo ou em parte, por parte de Cliente</t>
        </is>
      </c>
    </row>
    <row r="345" ht="43.5" customHeight="1">
      <c r="A345" s="142" t="n">
        <v>50857998000113</v>
      </c>
      <c r="B345" s="75" t="inlineStr">
        <is>
          <t>50.857.998/0001-13</t>
        </is>
      </c>
      <c r="C345" s="75" t="inlineStr">
        <is>
          <t>minimo_junior</t>
        </is>
      </c>
      <c r="D345" s="75" t="inlineStr">
        <is>
          <t>5%</t>
        </is>
      </c>
      <c r="E345" s="75" t="inlineStr">
        <is>
          <t>junior_pl</t>
        </is>
      </c>
      <c r="F345" s="75" t="inlineStr">
        <is>
          <t>payload_documental</t>
        </is>
      </c>
      <c r="G345" s="75" t="inlineStr">
        <is>
          <t>1017825</t>
        </is>
      </c>
      <c r="H345" s="75" t="inlineStr">
        <is>
          <t>documento_curado</t>
        </is>
      </c>
      <c r="I345" s="75" t="inlineStr">
        <is>
          <t>2025-10-06</t>
        </is>
      </c>
      <c r="J345" s="75" t="inlineStr">
        <is>
          <t>62</t>
        </is>
      </c>
      <c r="K345" s="75" t="inlineStr">
        <is>
          <t>aceito_payload</t>
        </is>
      </c>
      <c r="L345" s="144" t="n">
        <v>1</v>
      </c>
      <c r="M345" s="75" t="inlineStr">
        <is>
          <t>data/industry_study/generated_revision/artifact_payload.json</t>
        </is>
      </c>
      <c r="N345" s="75" t="inlineStr">
        <is>
          <t>https://fnet.bmfbovespa.com.br/fnet/publico/downloadDocumento?id=1017825</t>
        </is>
      </c>
      <c r="O345" s="75" t="inlineStr">
        <is>
          <t>Índice de Subordinação Mezanino: cotas júnior / PL, mínimo de 5,0%.</t>
        </is>
      </c>
    </row>
    <row r="346" ht="43.5" customHeight="1">
      <c r="A346" s="142" t="n">
        <v>50857998000113</v>
      </c>
      <c r="B346" s="75" t="inlineStr">
        <is>
          <t>50.857.998/0001-13</t>
        </is>
      </c>
      <c r="C346" s="75" t="inlineStr">
        <is>
          <t>natureza_indice</t>
        </is>
      </c>
      <c r="D346" s="75" t="inlineStr">
        <is>
          <t>junior_pl</t>
        </is>
      </c>
      <c r="E346" s="75" t="inlineStr">
        <is>
          <t>junior_pl</t>
        </is>
      </c>
      <c r="F346" s="75" t="inlineStr">
        <is>
          <t>payload_documental</t>
        </is>
      </c>
      <c r="G346" s="75" t="inlineStr">
        <is>
          <t>1017825</t>
        </is>
      </c>
      <c r="H346" s="75" t="inlineStr">
        <is>
          <t>documento_curado</t>
        </is>
      </c>
      <c r="I346" s="75" t="inlineStr">
        <is>
          <t>2025-10-06</t>
        </is>
      </c>
      <c r="J346" s="75" t="inlineStr">
        <is>
          <t>62</t>
        </is>
      </c>
      <c r="K346" s="75" t="inlineStr">
        <is>
          <t>aceito_payload</t>
        </is>
      </c>
      <c r="L346" s="144" t="n">
        <v>1</v>
      </c>
      <c r="M346" s="75" t="inlineStr">
        <is>
          <t>data/industry_study/generated_revision/artifact_payload.json</t>
        </is>
      </c>
      <c r="N346" s="75" t="inlineStr">
        <is>
          <t>https://fnet.bmfbovespa.com.br/fnet/publico/downloadDocumento?id=1017825</t>
        </is>
      </c>
      <c r="O346" s="75" t="inlineStr">
        <is>
          <t>Índice de Subordinação Mezanino: cotas júnior / PL, mínimo de 5,0%.</t>
        </is>
      </c>
    </row>
    <row r="347" ht="43.5" customHeight="1">
      <c r="A347" s="142" t="n">
        <v>50857998000113</v>
      </c>
      <c r="B347" s="75" t="inlineStr">
        <is>
          <t>50.857.998/0001-13</t>
        </is>
      </c>
      <c r="C347" s="75" t="inlineStr">
        <is>
          <t>sacado_devedor</t>
        </is>
      </c>
      <c r="D347" s="75" t="inlineStr">
        <is>
          <t>a Subcredenciadora, na qualidade de devedora dos Direitos Creditórios</t>
        </is>
      </c>
      <c r="E347" s="75" t="inlineStr">
        <is>
          <t>N/D</t>
        </is>
      </c>
      <c r="F347" s="75" t="inlineStr">
        <is>
          <t>regulamento</t>
        </is>
      </c>
      <c r="G347" s="75" t="inlineStr">
        <is>
          <t>1017825</t>
        </is>
      </c>
      <c r="H347" s="75" t="inlineStr">
        <is>
          <t>Regulamento</t>
        </is>
      </c>
      <c r="I347" s="75" t="inlineStr">
        <is>
          <t>06/10/2025</t>
        </is>
      </c>
      <c r="J347" s="75" t="inlineStr">
        <is>
          <t>59</t>
        </is>
      </c>
      <c r="K347" s="75" t="inlineStr">
        <is>
          <t>encontrado_explicito</t>
        </is>
      </c>
      <c r="L347" s="144" t="n">
        <v>0.95</v>
      </c>
      <c r="M347" s="75" t="inlineStr">
        <is>
          <t>.cache/carteira_101_document_scan/50857998000113/1017825.json.gz</t>
        </is>
      </c>
      <c r="N347" s="75" t="inlineStr">
        <is>
          <t>https://fnet.bmfbovespa.com.br/fnet/publico/downloadDocumento?id=1017825</t>
        </is>
      </c>
      <c r="O347" s="75" t="inlineStr">
        <is>
          <t>Cessão. “Data de Verificação” significa o 5º (quinto) Dia Útil do mês imediatamente posterior à Data de Referência. “Devedor” significa a Subcredenciadora, na qualidade de devedora dos Direitos Creditórios. Docusign Envelope ID: F0D6BB9B-1351-449F-B38F-B41CECB81874 60 Corporativo | Interno “Direitos Creditórios Adqu</t>
        </is>
      </c>
    </row>
    <row r="348" ht="43.5" customHeight="1">
      <c r="A348" s="142" t="n">
        <v>50857998000113</v>
      </c>
      <c r="B348" s="75" t="inlineStr">
        <is>
          <t>50.857.998/0001-13</t>
        </is>
      </c>
      <c r="C348" s="75" t="inlineStr">
        <is>
          <t>sacado_devedor</t>
        </is>
      </c>
      <c r="D348" s="75" t="inlineStr">
        <is>
          <t>a Subcredenciadora, na qualidade de devedora dos Direitos Creditórios</t>
        </is>
      </c>
      <c r="E348" s="75" t="inlineStr">
        <is>
          <t>N/D</t>
        </is>
      </c>
      <c r="F348" s="75" t="inlineStr">
        <is>
          <t>regulamento</t>
        </is>
      </c>
      <c r="G348" s="75" t="inlineStr">
        <is>
          <t>910444</t>
        </is>
      </c>
      <c r="H348" s="75" t="inlineStr">
        <is>
          <t>Regulamento</t>
        </is>
      </c>
      <c r="I348" s="75" t="inlineStr">
        <is>
          <t>22/05/2025</t>
        </is>
      </c>
      <c r="J348" s="75" t="inlineStr">
        <is>
          <t>59</t>
        </is>
      </c>
      <c r="K348" s="75" t="inlineStr">
        <is>
          <t>encontrado_explicito</t>
        </is>
      </c>
      <c r="L348" s="144" t="n">
        <v>0.95</v>
      </c>
      <c r="M348" s="75" t="inlineStr">
        <is>
          <t>.cache/carteira_101_document_scan/50857998000113/910444.json.gz</t>
        </is>
      </c>
      <c r="N348" s="75" t="inlineStr">
        <is>
          <t>https://fnet.bmfbovespa.com.br/fnet/publico/downloadDocumento?id=910444</t>
        </is>
      </c>
      <c r="O348" s="75" t="inlineStr">
        <is>
          <t>mês imediatamente posterior à Data de Referência. Docusign Envelope ID: 912702EE-A5F6-42E3-9E1A-6B62BB588074 59 “Devedor” significa a Subcredenciadora, na qualidade de devedora dos Direitos Creditórios. “Direitos Creditórios Adquiridos” significam os Direitos Creditórios Elegíveis cedidos pelos Cedentes à Classe na</t>
        </is>
      </c>
    </row>
    <row r="349" ht="43.5" customHeight="1">
      <c r="A349" s="142" t="n">
        <v>50988212000105</v>
      </c>
      <c r="B349" s="75" t="inlineStr">
        <is>
          <t>50.988.212/0001-05</t>
        </is>
      </c>
      <c r="C349" s="75" t="inlineStr">
        <is>
          <t>cedente</t>
        </is>
      </c>
      <c r="D349" s="75" t="inlineStr">
        <is>
          <t>Supplier</t>
        </is>
      </c>
      <c r="E349" s="75" t="inlineStr">
        <is>
          <t>N/D</t>
        </is>
      </c>
      <c r="F349" s="75" t="inlineStr">
        <is>
          <t>planilha_manual</t>
        </is>
      </c>
      <c r="G349" s="75" t="inlineStr">
        <is>
          <t>IMG_8706.JPG</t>
        </is>
      </c>
      <c r="H349" s="75" t="inlineStr">
        <is>
          <t>payload</t>
        </is>
      </c>
      <c r="I349" s="75" t="inlineStr">
        <is>
          <t>2024-11-14</t>
        </is>
      </c>
      <c r="J349" s="75" t="inlineStr">
        <is>
          <t>29; 62</t>
        </is>
      </c>
      <c r="K349" s="75" t="inlineStr">
        <is>
          <t>aceito_payload</t>
        </is>
      </c>
      <c r="L349" s="144" t="n">
        <v>1</v>
      </c>
      <c r="M349" s="75" t="inlineStr">
        <is>
          <t>data/industry_study/generated_revision/artifact_payload.json</t>
        </is>
      </c>
      <c r="N349" s="75" t="inlineStr">
        <is>
          <t>N/D</t>
        </is>
      </c>
      <c r="O349" s="75" t="inlineStr">
        <is>
          <t>Denominação cortada pela largura da coluna na foto.</t>
        </is>
      </c>
    </row>
    <row r="350" ht="43.5" customHeight="1">
      <c r="A350" s="142" t="n">
        <v>50988212000105</v>
      </c>
      <c r="B350" s="75" t="inlineStr">
        <is>
          <t>50.988.212/0001-05</t>
        </is>
      </c>
      <c r="C350" s="75" t="inlineStr">
        <is>
          <t>minimo_junior</t>
        </is>
      </c>
      <c r="D350" s="75" t="inlineStr">
        <is>
          <t>4.5%</t>
        </is>
      </c>
      <c r="E350" s="75" t="inlineStr">
        <is>
          <t>junior_pl_ajustado</t>
        </is>
      </c>
      <c r="F350" s="75" t="inlineStr">
        <is>
          <t>payload_documental</t>
        </is>
      </c>
      <c r="G350" s="75" t="inlineStr">
        <is>
          <t>1013021</t>
        </is>
      </c>
      <c r="H350" s="75" t="inlineStr">
        <is>
          <t>documento_curado</t>
        </is>
      </c>
      <c r="I350" s="75" t="inlineStr">
        <is>
          <t>2024-11-14</t>
        </is>
      </c>
      <c r="J350" s="75" t="inlineStr">
        <is>
          <t>29; 62</t>
        </is>
      </c>
      <c r="K350" s="75" t="inlineStr">
        <is>
          <t>aceito_payload</t>
        </is>
      </c>
      <c r="L350" s="144" t="n">
        <v>1</v>
      </c>
      <c r="M350" s="75" t="inlineStr">
        <is>
          <t>data/industry_study/generated_revision/artifact_payload.json</t>
        </is>
      </c>
      <c r="N350" s="75" t="inlineStr">
        <is>
          <t>https://fnet.bmfbovespa.com.br/fnet/publico/downloadDocumento?id=1013021</t>
        </is>
      </c>
      <c r="O350" s="75" t="inlineStr">
        <is>
          <t>Cotas júnior / PL ajustado por outros ativos, mínimo de 4,5%.*</t>
        </is>
      </c>
    </row>
    <row r="351" ht="43.5" customHeight="1">
      <c r="A351" s="142" t="n">
        <v>50988212000105</v>
      </c>
      <c r="B351" s="75" t="inlineStr">
        <is>
          <t>50.988.212/0001-05</t>
        </is>
      </c>
      <c r="C351" s="75" t="inlineStr">
        <is>
          <t>natureza_indice</t>
        </is>
      </c>
      <c r="D351" s="75" t="inlineStr">
        <is>
          <t>junior_pl_ajustado</t>
        </is>
      </c>
      <c r="E351" s="75" t="inlineStr">
        <is>
          <t>junior_pl_ajustado</t>
        </is>
      </c>
      <c r="F351" s="75" t="inlineStr">
        <is>
          <t>payload_documental</t>
        </is>
      </c>
      <c r="G351" s="75" t="inlineStr">
        <is>
          <t>1013021</t>
        </is>
      </c>
      <c r="H351" s="75" t="inlineStr">
        <is>
          <t>documento_curado</t>
        </is>
      </c>
      <c r="I351" s="75" t="inlineStr">
        <is>
          <t>2024-11-14</t>
        </is>
      </c>
      <c r="J351" s="75" t="inlineStr">
        <is>
          <t>29; 62</t>
        </is>
      </c>
      <c r="K351" s="75" t="inlineStr">
        <is>
          <t>aceito_payload</t>
        </is>
      </c>
      <c r="L351" s="144" t="n">
        <v>1</v>
      </c>
      <c r="M351" s="75" t="inlineStr">
        <is>
          <t>data/industry_study/generated_revision/artifact_payload.json</t>
        </is>
      </c>
      <c r="N351" s="75" t="inlineStr">
        <is>
          <t>https://fnet.bmfbovespa.com.br/fnet/publico/downloadDocumento?id=1013021</t>
        </is>
      </c>
      <c r="O351" s="75" t="inlineStr">
        <is>
          <t>Cotas júnior / PL ajustado por outros ativos, mínimo de 4,5%.*</t>
        </is>
      </c>
    </row>
    <row r="352" ht="43.5" customHeight="1">
      <c r="A352" s="142" t="n">
        <v>50988212000105</v>
      </c>
      <c r="B352" s="75" t="inlineStr">
        <is>
          <t>50.988.212/0001-05</t>
        </is>
      </c>
      <c r="C352" s="75" t="inlineStr">
        <is>
          <t>sacado_devedor</t>
        </is>
      </c>
      <c r="D352" s="75" t="inlineStr">
        <is>
          <t>02.150.453/0001-20</t>
        </is>
      </c>
      <c r="E352" s="75" t="inlineStr">
        <is>
          <t>N/D</t>
        </is>
      </c>
      <c r="F352" s="75" t="inlineStr">
        <is>
          <t>candidate_extraction</t>
        </is>
      </c>
      <c r="G352" s="75" t="inlineStr">
        <is>
          <t>50988212000105</t>
        </is>
      </c>
      <c r="H352" s="75" t="inlineStr">
        <is>
          <t>extração heurística</t>
        </is>
      </c>
      <c r="I352" s="75" t="inlineStr">
        <is>
          <t>N/D</t>
        </is>
      </c>
      <c r="J352" s="75" t="inlineStr">
        <is>
          <t>N/D</t>
        </is>
      </c>
      <c r="K352" s="75" t="inlineStr">
        <is>
          <t>candidato_revisao</t>
        </is>
      </c>
      <c r="L352" s="144" t="n">
        <v>0.95</v>
      </c>
      <c r="M352" s="75" t="inlineStr">
        <is>
          <t>outputs/fidc_director_deep_diagnostic_20260609/pdf_text_cache/50988212000105_1013021_regulamento_regulamento_1013021_2024-11-14.txt</t>
        </is>
      </c>
      <c r="N352" s="75" t="inlineStr">
        <is>
          <t>https://fnet.bmfbovespa.com.br/fnet/publico/downloadDocumento?id=50988212000105</t>
        </is>
      </c>
      <c r="O352" s="75" t="inlineStr">
        <is>
          <t>Janeiro, na Avenida das Américas, nº 3434, bloco 07, sala 202, Barra da Tijuca, inscrita no CNPJ sob o nº 02.150.453/0001-20; 9) “Agente de Financiamento ”: Instituição financeira a ser eventualmente contratada pelo devedor por intermédio da Supplier para quitação do saldo devedor remanescente em caso de inadimplência dos Direitos Creditórios; 10) “Alocação Mínima de Investimento”: Significa a alocação de, pelo menos, 67% (sessenta e s</t>
        </is>
      </c>
    </row>
    <row r="353" ht="43.5" customHeight="1">
      <c r="A353" s="142" t="n">
        <v>50988212000105</v>
      </c>
      <c r="B353" s="75" t="inlineStr">
        <is>
          <t>50.988.212/0001-05</t>
        </is>
      </c>
      <c r="C353" s="75" t="inlineStr">
        <is>
          <t>tipo_recebivel</t>
        </is>
      </c>
      <c r="D353" s="75" t="inlineStr">
        <is>
          <t>Crédito Curto Prazo com o segurado; Crédito PME</t>
        </is>
      </c>
      <c r="E353" s="75" t="inlineStr">
        <is>
          <t>N/D</t>
        </is>
      </c>
      <c r="F353" s="75" t="inlineStr">
        <is>
          <t>planilha_manual</t>
        </is>
      </c>
      <c r="G353" s="75" t="inlineStr">
        <is>
          <t>IMG_8706.JPG</t>
        </is>
      </c>
      <c r="H353" s="75" t="inlineStr">
        <is>
          <t>payload</t>
        </is>
      </c>
      <c r="I353" s="75" t="inlineStr">
        <is>
          <t>2024-11-14</t>
        </is>
      </c>
      <c r="J353" s="75" t="inlineStr">
        <is>
          <t>29; 62</t>
        </is>
      </c>
      <c r="K353" s="75" t="inlineStr">
        <is>
          <t>aceito_payload</t>
        </is>
      </c>
      <c r="L353" s="144" t="n">
        <v>1</v>
      </c>
      <c r="M353" s="75" t="inlineStr">
        <is>
          <t>data/industry_study/generated_revision/artifact_payload.json</t>
        </is>
      </c>
      <c r="N353" s="75" t="inlineStr">
        <is>
          <t>N/D</t>
        </is>
      </c>
      <c r="O353" s="75" t="inlineStr">
        <is>
          <t>Denominação cortada pela largura da coluna na foto.</t>
        </is>
      </c>
    </row>
    <row r="354" ht="43.5" customHeight="1">
      <c r="A354" s="142" t="n">
        <v>51554551000138</v>
      </c>
      <c r="B354" s="75" t="inlineStr">
        <is>
          <t>51.554.551/0001-38</t>
        </is>
      </c>
      <c r="C354" s="75" t="inlineStr">
        <is>
          <t>cedente</t>
        </is>
      </c>
      <c r="D354" s="75" t="inlineStr">
        <is>
          <t>a COMPANHIA NITRO QUÍMICA BRASILEIRA, com sede na cidade de São Paulo, Estado de São Paulo, na Avenida Doutor José Artur Nova, nº 951, São Miguel Paulista,</t>
        </is>
      </c>
      <c r="E354" s="75" t="inlineStr">
        <is>
          <t>N/D</t>
        </is>
      </c>
      <c r="F354" s="75" t="inlineStr">
        <is>
          <t>regulamento</t>
        </is>
      </c>
      <c r="G354" s="75" t="inlineStr">
        <is>
          <t>806373</t>
        </is>
      </c>
      <c r="H354" s="75" t="inlineStr">
        <is>
          <t>Regulamento</t>
        </is>
      </c>
      <c r="I354" s="75" t="inlineStr">
        <is>
          <t>17/12/2024</t>
        </is>
      </c>
      <c r="J354" s="75" t="inlineStr">
        <is>
          <t>64</t>
        </is>
      </c>
      <c r="K354" s="75" t="inlineStr">
        <is>
          <t>encontrado_explicito</t>
        </is>
      </c>
      <c r="L354" s="144" t="n">
        <v>0.95</v>
      </c>
      <c r="M354" s="75" t="inlineStr">
        <is>
          <t>.cache/carteira_101_document_scan/51554551000138/806373.json.gz</t>
        </is>
      </c>
      <c r="N354" s="75" t="inlineStr">
        <is>
          <t>https://fnet.bmfbovespa.com.br/fnet/publico/downloadDocumento?id=806373</t>
        </is>
      </c>
      <c r="O354" s="75" t="inlineStr">
        <is>
          <t>total de R$200.000.000,00. Haverá direito de preferência aos atuais Cotistas no âmbito do Capital Autorizado. “Cedente” Significa a COMPANHIA NITRO QUÍMICA BRASILEIRA, com sede na cidade de São Paulo, Estado de São Paulo, na Avenida Doutor José Artur Nova, nº 951, São Miguel Paulista, #6691241v3 - 4 - CEP 08090-000, inscrita no CNPJ sob o nº 61.150.348/0001-50, cujas cessões não contarão com</t>
        </is>
      </c>
    </row>
    <row r="355" ht="43.5" customHeight="1">
      <c r="A355" s="142" t="n">
        <v>51554551000138</v>
      </c>
      <c r="B355" s="75" t="inlineStr">
        <is>
          <t>51.554.551/0001-38</t>
        </is>
      </c>
      <c r="C355" s="75" t="inlineStr">
        <is>
          <t>cedente</t>
        </is>
      </c>
      <c r="D355" s="75" t="inlineStr">
        <is>
          <t>a COMPANHIA NITRO QUÍMICA BRASILEIRA, com sede na cidade de São Paulo, Estado de São Paulo, na Avenida Doutor José Artur Nova, nº 951, São Miguel Paulista, CEP 08090-000, inscrita no CNPJ sob o nº 61.150.348/0001-50, cujas cessões não contarão com coobrigação</t>
        </is>
      </c>
      <c r="E355" s="75" t="inlineStr">
        <is>
          <t>N/D</t>
        </is>
      </c>
      <c r="F355" s="75" t="inlineStr">
        <is>
          <t>regulamento</t>
        </is>
      </c>
      <c r="G355" s="75" t="inlineStr">
        <is>
          <t>1261911</t>
        </is>
      </c>
      <c r="H355" s="75" t="inlineStr">
        <is>
          <t>Regulamento</t>
        </is>
      </c>
      <c r="I355" s="75" t="inlineStr">
        <is>
          <t>18/06/2026</t>
        </is>
      </c>
      <c r="J355" s="75" t="inlineStr">
        <is>
          <t>63</t>
        </is>
      </c>
      <c r="K355" s="75" t="inlineStr">
        <is>
          <t>encontrado_explicito</t>
        </is>
      </c>
      <c r="L355" s="144" t="n">
        <v>0.95</v>
      </c>
      <c r="M355" s="75" t="inlineStr">
        <is>
          <t>.cache/carteira_101_document_scan/51554551000138/1261911.json.gz</t>
        </is>
      </c>
      <c r="N355" s="75" t="inlineStr">
        <is>
          <t>https://fnet.bmfbovespa.com.br/fnet/publico/downloadDocumento?id=1261911</t>
        </is>
      </c>
      <c r="O355" s="75" t="inlineStr">
        <is>
          <t>Haverá direito de preferência aos atuais Cotistas no âmbito do Capital Autorizado. #10912671v5 - 4 - “Cedente” Significa a COMPANHIA NITRO QUÍMICA BRASILEIRA, com sede na cidade de São Paulo, Estado de São Paulo, na Avenida Doutor José Artur Nova, nº 951, São Miguel Paulista, CEP 08090-000, inscrita no CNPJ sob o nº 61.150.348/0001-50, cujas cessões não contarão com coobrigação. “Classe” ou “Classe Única” Significa, quando utilizado neste Anexo Descritivo, a presente classe de Cotas do Fund</t>
        </is>
      </c>
    </row>
    <row r="356" ht="43.5" customHeight="1">
      <c r="A356" s="142" t="n">
        <v>51554551000138</v>
      </c>
      <c r="B356" s="75" t="inlineStr">
        <is>
          <t>51.554.551/0001-38</t>
        </is>
      </c>
      <c r="C356" s="75" t="inlineStr">
        <is>
          <t>cedente</t>
        </is>
      </c>
      <c r="D356" s="75" t="inlineStr">
        <is>
          <t>a COMPANHIA NITRO QUÍMICA BRASILEIRA, com sede na cidade de São Paulo, Estado de São Paulo, na Avenida Doutor José Artur Nova, nº 951, São Miguel Paulista, CEP 08090-000, inscrita no CNPJ sob o nº 61.150.348/0001-50, cujas cessões não contarão com coobrigação</t>
        </is>
      </c>
      <c r="E356" s="75" t="inlineStr">
        <is>
          <t>N/D</t>
        </is>
      </c>
      <c r="F356" s="75" t="inlineStr">
        <is>
          <t>assembleia</t>
        </is>
      </c>
      <c r="G356" s="75" t="inlineStr">
        <is>
          <t>1261909</t>
        </is>
      </c>
      <c r="H356" s="75" t="inlineStr">
        <is>
          <t>Assembleia AGE Ata da Assembleia</t>
        </is>
      </c>
      <c r="I356" s="75" t="inlineStr">
        <is>
          <t>15/06/2026 10:00</t>
        </is>
      </c>
      <c r="J356" s="75" t="inlineStr">
        <is>
          <t>63</t>
        </is>
      </c>
      <c r="K356" s="75" t="inlineStr">
        <is>
          <t>encontrado_explicito</t>
        </is>
      </c>
      <c r="L356" s="144" t="n">
        <v>0.95</v>
      </c>
      <c r="M356" s="75" t="inlineStr">
        <is>
          <t>.cache/carteira_101_document_scan/51554551000138/1261909.json.gz</t>
        </is>
      </c>
      <c r="N356" s="75" t="inlineStr">
        <is>
          <t>https://fnet.bmfbovespa.com.br/fnet/publico/downloadDocumento?id=1261909</t>
        </is>
      </c>
      <c r="O356" s="75" t="inlineStr">
        <is>
          <t>Haverá direito de preferência aos atuais Cotistas no âmbito do Capital Autorizado. #10912671v5 - 4 - “Cedente” Significa a COMPANHIA NITRO QUÍMICA BRASILEIRA, com sede na cidade de São Paulo, Estado de São Paulo, na Avenida Doutor José Artur Nova, nº 951, São Miguel Paulista, CEP 08090-000, inscrita no CNPJ sob o nº 61.150.348/0001-50, cujas cessões não contarão com coobrigação. “Classe” ou “Classe Única” Significa, quando utilizado neste Anexo Descritivo, a presente classe de Cotas do Fund</t>
        </is>
      </c>
    </row>
    <row r="357" ht="43.5" customHeight="1">
      <c r="A357" s="142" t="n">
        <v>51554551000138</v>
      </c>
      <c r="B357" s="75" t="inlineStr">
        <is>
          <t>51.554.551/0001-38</t>
        </is>
      </c>
      <c r="C357" s="75" t="inlineStr">
        <is>
          <t>cedente</t>
        </is>
      </c>
      <c r="D357" s="75" t="inlineStr">
        <is>
          <t>Nitroquímica</t>
        </is>
      </c>
      <c r="E357" s="75" t="inlineStr">
        <is>
          <t>N/D</t>
        </is>
      </c>
      <c r="F357" s="75" t="inlineStr">
        <is>
          <t>planilha_manual</t>
        </is>
      </c>
      <c r="G357" s="75" t="inlineStr">
        <is>
          <t>IMG_8706.JPG</t>
        </is>
      </c>
      <c r="H357" s="75" t="inlineStr">
        <is>
          <t>payload</t>
        </is>
      </c>
      <c r="I357" s="75" t="inlineStr">
        <is>
          <t>2026-06-18</t>
        </is>
      </c>
      <c r="J357" s="75" t="inlineStr">
        <is>
          <t>71</t>
        </is>
      </c>
      <c r="K357" s="75" t="inlineStr">
        <is>
          <t>aceito_payload</t>
        </is>
      </c>
      <c r="L357" s="144" t="n">
        <v>1</v>
      </c>
      <c r="M357" s="75" t="inlineStr">
        <is>
          <t>data/industry_study/generated_revision/artifact_payload.json</t>
        </is>
      </c>
      <c r="N357" s="75" t="inlineStr">
        <is>
          <t>N/D</t>
        </is>
      </c>
      <c r="O357" s="75" t="inlineStr">
        <is>
          <t>Denominação cortada pela largura da coluna na foto.</t>
        </is>
      </c>
    </row>
    <row r="358" ht="43.5" customHeight="1">
      <c r="A358" s="142" t="n">
        <v>51554551000138</v>
      </c>
      <c r="B358" s="75" t="inlineStr">
        <is>
          <t>51.554.551/0001-38</t>
        </is>
      </c>
      <c r="C358" s="75" t="inlineStr">
        <is>
          <t>minimo_estrutural_total</t>
        </is>
      </c>
      <c r="D358" s="75" t="inlineStr">
        <is>
          <t>25%</t>
        </is>
      </c>
      <c r="E358" s="75" t="inlineStr">
        <is>
          <t>suporte_combinado_pl</t>
        </is>
      </c>
      <c r="F358" s="75" t="inlineStr">
        <is>
          <t>payload_documental</t>
        </is>
      </c>
      <c r="G358" s="75" t="inlineStr">
        <is>
          <t>1261911</t>
        </is>
      </c>
      <c r="H358" s="75" t="inlineStr">
        <is>
          <t>documento_curado</t>
        </is>
      </c>
      <c r="I358" s="75" t="inlineStr">
        <is>
          <t>2026-06-18</t>
        </is>
      </c>
      <c r="J358" s="75" t="inlineStr">
        <is>
          <t>71</t>
        </is>
      </c>
      <c r="K358" s="75" t="inlineStr">
        <is>
          <t>aceito_payload</t>
        </is>
      </c>
      <c r="L358" s="144" t="n">
        <v>1</v>
      </c>
      <c r="M358" s="75" t="inlineStr">
        <is>
          <t>data/industry_study/generated_revision/artifact_payload.json</t>
        </is>
      </c>
      <c r="N358" s="75" t="inlineStr">
        <is>
          <t>https://fnet.bmfbovespa.com.br/fnet/publico/downloadDocumento?id=1261911</t>
        </is>
      </c>
      <c r="O358" s="75" t="inlineStr">
        <is>
          <t>N/D</t>
        </is>
      </c>
    </row>
    <row r="359" ht="43.5" customHeight="1">
      <c r="A359" s="142" t="n">
        <v>51554551000138</v>
      </c>
      <c r="B359" s="75" t="inlineStr">
        <is>
          <t>51.554.551/0001-38</t>
        </is>
      </c>
      <c r="C359" s="75" t="inlineStr">
        <is>
          <t>natureza_indice</t>
        </is>
      </c>
      <c r="D359" s="75" t="inlineStr">
        <is>
          <t>suporte_combinado_pl</t>
        </is>
      </c>
      <c r="E359" s="75" t="inlineStr">
        <is>
          <t>suporte_combinado_pl</t>
        </is>
      </c>
      <c r="F359" s="75" t="inlineStr">
        <is>
          <t>payload_documental</t>
        </is>
      </c>
      <c r="G359" s="75" t="inlineStr">
        <is>
          <t>1261911</t>
        </is>
      </c>
      <c r="H359" s="75" t="inlineStr">
        <is>
          <t>documento_curado</t>
        </is>
      </c>
      <c r="I359" s="75" t="inlineStr">
        <is>
          <t>2026-06-18</t>
        </is>
      </c>
      <c r="J359" s="75" t="inlineStr">
        <is>
          <t>71</t>
        </is>
      </c>
      <c r="K359" s="75" t="inlineStr">
        <is>
          <t>aceito_payload</t>
        </is>
      </c>
      <c r="L359" s="144" t="n">
        <v>1</v>
      </c>
      <c r="M359" s="75" t="inlineStr">
        <is>
          <t>data/industry_study/generated_revision/artifact_payload.json</t>
        </is>
      </c>
      <c r="N359" s="75" t="inlineStr">
        <is>
          <t>https://fnet.bmfbovespa.com.br/fnet/publico/downloadDocumento?id=1261911</t>
        </is>
      </c>
      <c r="O359" s="75" t="inlineStr">
        <is>
          <t>N/D</t>
        </is>
      </c>
    </row>
    <row r="360" ht="43.5" customHeight="1">
      <c r="A360" s="142" t="n">
        <v>51554551000138</v>
      </c>
      <c r="B360" s="75" t="inlineStr">
        <is>
          <t>51.554.551/0001-38</t>
        </is>
      </c>
      <c r="C360" s="75" t="inlineStr">
        <is>
          <t>sacado_devedor</t>
        </is>
      </c>
      <c r="D360" s="75" t="inlineStr">
        <is>
          <t>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t>
        </is>
      </c>
      <c r="E360" s="75" t="inlineStr">
        <is>
          <t>N/D</t>
        </is>
      </c>
      <c r="F360" s="75" t="inlineStr">
        <is>
          <t>regulamento</t>
        </is>
      </c>
      <c r="G360" s="75" t="inlineStr">
        <is>
          <t>806373</t>
        </is>
      </c>
      <c r="H360" s="75" t="inlineStr">
        <is>
          <t>Regulamento</t>
        </is>
      </c>
      <c r="I360" s="75" t="inlineStr">
        <is>
          <t>17/12/2024</t>
        </is>
      </c>
      <c r="J360" s="75" t="inlineStr">
        <is>
          <t>70</t>
        </is>
      </c>
      <c r="K360" s="75" t="inlineStr">
        <is>
          <t>encontrado_explicito</t>
        </is>
      </c>
      <c r="L360" s="144" t="n">
        <v>0.95</v>
      </c>
      <c r="M360" s="75" t="inlineStr">
        <is>
          <t>.cache/carteira_101_document_scan/51554551000138/806373.json.gz</t>
        </is>
      </c>
      <c r="N360" s="75" t="inlineStr">
        <is>
          <t>https://fnet.bmfbovespa.com.br/fnet/publico/downloadDocumento?id=806373</t>
        </is>
      </c>
      <c r="O360" s="75" t="inlineStr">
        <is>
          <t>s, encargos e despesas exclusivos da Classe Única estimados pelo Administrador a serem incorridos periodicamente. “Devedores” Significam 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 “Direitos Creditórios” Significam os direitos creditórios do agronegócio performados, vincendos, existentes, livr</t>
        </is>
      </c>
    </row>
    <row r="361" ht="43.5" customHeight="1">
      <c r="A361" s="142" t="n">
        <v>51554551000138</v>
      </c>
      <c r="B361" s="75" t="inlineStr">
        <is>
          <t>51.554.551/0001-38</t>
        </is>
      </c>
      <c r="C361" s="75" t="inlineStr">
        <is>
          <t>sacado_devedor</t>
        </is>
      </c>
      <c r="D361" s="75" t="inlineStr">
        <is>
          <t>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t>
        </is>
      </c>
      <c r="E361" s="75" t="inlineStr">
        <is>
          <t>N/D</t>
        </is>
      </c>
      <c r="F361" s="75" t="inlineStr">
        <is>
          <t>regulamento</t>
        </is>
      </c>
      <c r="G361" s="75" t="inlineStr">
        <is>
          <t>1261911</t>
        </is>
      </c>
      <c r="H361" s="75" t="inlineStr">
        <is>
          <t>Regulamento</t>
        </is>
      </c>
      <c r="I361" s="75" t="inlineStr">
        <is>
          <t>18/06/2026</t>
        </is>
      </c>
      <c r="J361" s="75" t="inlineStr">
        <is>
          <t>68</t>
        </is>
      </c>
      <c r="K361" s="75" t="inlineStr">
        <is>
          <t>encontrado_explicito</t>
        </is>
      </c>
      <c r="L361" s="144" t="n">
        <v>0.95</v>
      </c>
      <c r="M361" s="75" t="inlineStr">
        <is>
          <t>.cache/carteira_101_document_scan/51554551000138/1261911.json.gz</t>
        </is>
      </c>
      <c r="N361" s="75" t="inlineStr">
        <is>
          <t>https://fnet.bmfbovespa.com.br/fnet/publico/downloadDocumento?id=1261911</t>
        </is>
      </c>
      <c r="O361" s="75" t="inlineStr">
        <is>
          <t>s, encargos e despesas exclusivos da Classe Única estimados pelo Administrador a serem incorridos periodicamente. “Devedores” Significam 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 “Direitos Creditórios” Significam os direitos creditórios do agronegócio performados, vincendos, existentes, livr</t>
        </is>
      </c>
    </row>
    <row r="362" ht="43.5" customHeight="1">
      <c r="A362" s="142" t="n">
        <v>51554551000138</v>
      </c>
      <c r="B362" s="75" t="inlineStr">
        <is>
          <t>51.554.551/0001-38</t>
        </is>
      </c>
      <c r="C362" s="75" t="inlineStr">
        <is>
          <t>sacado_devedor</t>
        </is>
      </c>
      <c r="D362" s="75" t="inlineStr">
        <is>
          <t>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t>
        </is>
      </c>
      <c r="E362" s="75" t="inlineStr">
        <is>
          <t>N/D</t>
        </is>
      </c>
      <c r="F362" s="75" t="inlineStr">
        <is>
          <t>assembleia</t>
        </is>
      </c>
      <c r="G362" s="75" t="inlineStr">
        <is>
          <t>1261909</t>
        </is>
      </c>
      <c r="H362" s="75" t="inlineStr">
        <is>
          <t>Assembleia AGE Ata da Assembleia</t>
        </is>
      </c>
      <c r="I362" s="75" t="inlineStr">
        <is>
          <t>15/06/2026 10:00</t>
        </is>
      </c>
      <c r="J362" s="75" t="inlineStr">
        <is>
          <t>68</t>
        </is>
      </c>
      <c r="K362" s="75" t="inlineStr">
        <is>
          <t>encontrado_explicito</t>
        </is>
      </c>
      <c r="L362" s="144" t="n">
        <v>0.95</v>
      </c>
      <c r="M362" s="75" t="inlineStr">
        <is>
          <t>.cache/carteira_101_document_scan/51554551000138/1261909.json.gz</t>
        </is>
      </c>
      <c r="N362" s="75" t="inlineStr">
        <is>
          <t>https://fnet.bmfbovespa.com.br/fnet/publico/downloadDocumento?id=1261909</t>
        </is>
      </c>
      <c r="O362" s="75" t="inlineStr">
        <is>
          <t>s, encargos e despesas exclusivos da Classe Única estimados pelo Administrador a serem incorridos periodicamente. “Devedores” Significam os produtores rurais, pessoas físicas e/ou jurídicas, cooperativas de produtores rurais, bem como outras pessoas jurídicas que exerçam a atividade de distribuição dos referidos Insumos, na qualidade de devedores dos Direitos Creditórios originados pelo Cedente e previamente aprovados pelo Gestor. “Direitos Creditórios” Significam os direitos creditórios do agronegócio performados, vincendos, existentes, livr</t>
        </is>
      </c>
    </row>
    <row r="363" ht="43.5" customHeight="1">
      <c r="A363" s="142" t="n">
        <v>51554551000138</v>
      </c>
      <c r="B363" s="75" t="inlineStr">
        <is>
          <t>51.554.551/0001-38</t>
        </is>
      </c>
      <c r="C363" s="75" t="inlineStr">
        <is>
          <t>tipo_recebivel</t>
        </is>
      </c>
      <c r="D363" s="75" t="inlineStr">
        <is>
          <t>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t>
        </is>
      </c>
      <c r="E363" s="75" t="inlineStr">
        <is>
          <t>N/D</t>
        </is>
      </c>
      <c r="F363" s="75" t="inlineStr">
        <is>
          <t>regulamento</t>
        </is>
      </c>
      <c r="G363" s="75" t="inlineStr">
        <is>
          <t>806373</t>
        </is>
      </c>
      <c r="H363" s="75" t="inlineStr">
        <is>
          <t>Regulamento</t>
        </is>
      </c>
      <c r="I363" s="75" t="inlineStr">
        <is>
          <t>17/12/2024</t>
        </is>
      </c>
      <c r="J363" s="75" t="inlineStr">
        <is>
          <t>70</t>
        </is>
      </c>
      <c r="K363" s="75" t="inlineStr">
        <is>
          <t>encontrado_explicito</t>
        </is>
      </c>
      <c r="L363" s="144" t="n">
        <v>0.92</v>
      </c>
      <c r="M363" s="75" t="inlineStr">
        <is>
          <t>.cache/carteira_101_document_scan/51554551000138/806373.json.gz</t>
        </is>
      </c>
      <c r="N363" s="75" t="inlineStr">
        <is>
          <t>https://fnet.bmfbovespa.com.br/fnet/publico/downloadDocumento?id=806373</t>
        </is>
      </c>
      <c r="O363" s="75" t="inlineStr">
        <is>
          <t>evedores dos Direitos Creditórios originados pelo Cedente e previamente aprovados pelo Gestor. “Direitos Creditórios” Significam 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termos do Contrato de Cessão e do respectivo Termo de Cessão. “Direitos Creditórios Adquiridos” Significam os Direitos Creditórios Elegíveis adquiridos</t>
        </is>
      </c>
    </row>
    <row r="364" ht="43.5" customHeight="1">
      <c r="A364" s="142" t="n">
        <v>51554551000138</v>
      </c>
      <c r="B364" s="75" t="inlineStr">
        <is>
          <t>51.554.551/0001-38</t>
        </is>
      </c>
      <c r="C364" s="75" t="inlineStr">
        <is>
          <t>tipo_recebivel</t>
        </is>
      </c>
      <c r="D364" s="75" t="inlineStr">
        <is>
          <t>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t>
        </is>
      </c>
      <c r="E364" s="75" t="inlineStr">
        <is>
          <t>N/D</t>
        </is>
      </c>
      <c r="F364" s="75" t="inlineStr">
        <is>
          <t>regulamento</t>
        </is>
      </c>
      <c r="G364" s="75" t="inlineStr">
        <is>
          <t>1261911</t>
        </is>
      </c>
      <c r="H364" s="75" t="inlineStr">
        <is>
          <t>Regulamento</t>
        </is>
      </c>
      <c r="I364" s="75" t="inlineStr">
        <is>
          <t>18/06/2026</t>
        </is>
      </c>
      <c r="J364" s="75" t="inlineStr">
        <is>
          <t>15</t>
        </is>
      </c>
      <c r="K364" s="75" t="inlineStr">
        <is>
          <t>encontrado_explicito</t>
        </is>
      </c>
      <c r="L364" s="144" t="n">
        <v>0.92</v>
      </c>
      <c r="M364" s="75" t="inlineStr">
        <is>
          <t>.cache/carteira_101_document_scan/51554551000138/1261911.json.gz</t>
        </is>
      </c>
      <c r="N364" s="75" t="inlineStr">
        <is>
          <t>https://fnet.bmfbovespa.com.br/fnet/publico/downloadDocumento?id=1261911</t>
        </is>
      </c>
      <c r="O364" s="75" t="inlineStr">
        <is>
          <t>considerado Dia Útil qualquer dia que não seja sábado, domingo ou feriado declarado nacional. “Direitos Creditórios” Significam 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termos do Contrato de Cessão e do respectivo Termo de Cessão. “Direitos Creditórios Adquiridos” Significam os Direitos Creditórios Elegíveis adquiridos p</t>
        </is>
      </c>
    </row>
    <row r="365" ht="43.5" customHeight="1">
      <c r="A365" s="142" t="n">
        <v>51554551000138</v>
      </c>
      <c r="B365" s="75" t="inlineStr">
        <is>
          <t>51.554.551/0001-38</t>
        </is>
      </c>
      <c r="C365" s="75" t="inlineStr">
        <is>
          <t>tipo_recebivel</t>
        </is>
      </c>
      <c r="D365" s="75" t="inlineStr">
        <is>
          <t>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t>
        </is>
      </c>
      <c r="E365" s="75" t="inlineStr">
        <is>
          <t>N/D</t>
        </is>
      </c>
      <c r="F365" s="75" t="inlineStr">
        <is>
          <t>assembleia</t>
        </is>
      </c>
      <c r="G365" s="75" t="inlineStr">
        <is>
          <t>1261909</t>
        </is>
      </c>
      <c r="H365" s="75" t="inlineStr">
        <is>
          <t>Assembleia AGE Ata da Assembleia</t>
        </is>
      </c>
      <c r="I365" s="75" t="inlineStr">
        <is>
          <t>15/06/2026 10:00</t>
        </is>
      </c>
      <c r="J365" s="75" t="inlineStr">
        <is>
          <t>15</t>
        </is>
      </c>
      <c r="K365" s="75" t="inlineStr">
        <is>
          <t>encontrado_explicito</t>
        </is>
      </c>
      <c r="L365" s="144" t="n">
        <v>0.92</v>
      </c>
      <c r="M365" s="75" t="inlineStr">
        <is>
          <t>.cache/carteira_101_document_scan/51554551000138/1261909.json.gz</t>
        </is>
      </c>
      <c r="N365" s="75" t="inlineStr">
        <is>
          <t>https://fnet.bmfbovespa.com.br/fnet/publico/downloadDocumento?id=1261909</t>
        </is>
      </c>
      <c r="O365" s="75" t="inlineStr">
        <is>
          <t>considerado Dia Útil qualquer dia que não seja sábado, domingo ou feriado declarado nacional. “Direitos Creditórios” Significam os direitos creditórios do agronegócio performados, vincendos, existentes, livres e desimpedidos de quaisquer ônus ou gravame, de titularidade do Cedente, originados no âmbito de operações de compra e venda mercantil a prazo de Insumos representados por notas fiscais eletrônicas (consubstanciados em arquivos XML certificados digitalmente das notas fiscais de remessa dos Insumos, que se encontrem registradas eletronicamente em sistema próprio da Secretaria da Fazenda Estadual e Receita Federal, nos termos da legislação vigente, e títulos a elas relacionados, representativos de operações de compra e venda a prazo de Insumos, detidos contra os Devedores, que sejam cedidos pelo Cedente nos termos do Contrato de Cessão e do respectivo Termo de Cessão. “Direitos Creditórios Adquiridos” Significam os Direitos Creditórios Elegíveis adquiridos p</t>
        </is>
      </c>
    </row>
    <row r="366" ht="43.5" customHeight="1">
      <c r="A366" s="142" t="n">
        <v>51554551000138</v>
      </c>
      <c r="B366" s="75" t="inlineStr">
        <is>
          <t>51.554.551/0001-38</t>
        </is>
      </c>
      <c r="C366" s="75" t="inlineStr">
        <is>
          <t>tipo_recebivel</t>
        </is>
      </c>
      <c r="D366" s="75" t="inlineStr">
        <is>
          <t>Insumos Agrícolas - prazo Safra</t>
        </is>
      </c>
      <c r="E366" s="75" t="inlineStr">
        <is>
          <t>N/D</t>
        </is>
      </c>
      <c r="F366" s="75" t="inlineStr">
        <is>
          <t>planilha_manual</t>
        </is>
      </c>
      <c r="G366" s="75" t="inlineStr">
        <is>
          <t>IMG_8706.JPG</t>
        </is>
      </c>
      <c r="H366" s="75" t="inlineStr">
        <is>
          <t>payload</t>
        </is>
      </c>
      <c r="I366" s="75" t="inlineStr">
        <is>
          <t>2026-06-18</t>
        </is>
      </c>
      <c r="J366" s="75" t="inlineStr">
        <is>
          <t>71</t>
        </is>
      </c>
      <c r="K366" s="75" t="inlineStr">
        <is>
          <t>aceito_payload</t>
        </is>
      </c>
      <c r="L366" s="144" t="n">
        <v>1</v>
      </c>
      <c r="M366" s="75" t="inlineStr">
        <is>
          <t>data/industry_study/generated_revision/artifact_payload.json</t>
        </is>
      </c>
      <c r="N366" s="75" t="inlineStr">
        <is>
          <t>N/D</t>
        </is>
      </c>
      <c r="O366" s="75" t="inlineStr">
        <is>
          <t>Denominação cortada pela largura da coluna na foto.</t>
        </is>
      </c>
    </row>
    <row r="367" ht="43.5" customHeight="1">
      <c r="A367" s="142" t="n">
        <v>52100879000147</v>
      </c>
      <c r="B367" s="75" t="inlineStr">
        <is>
          <t>52.100.879/0001-47</t>
        </is>
      </c>
      <c r="C367" s="75" t="inlineStr">
        <is>
          <t>cedente</t>
        </is>
      </c>
      <c r="D367" s="75" t="inlineStr">
        <is>
          <t>a Sotreq e a Somov, na qualidade de cedentes de Direitos Creditórios, por meio de sua matriz ou de suas filiais</t>
        </is>
      </c>
      <c r="E367" s="75" t="inlineStr">
        <is>
          <t>N/D</t>
        </is>
      </c>
      <c r="F367" s="75" t="inlineStr">
        <is>
          <t>regulamento</t>
        </is>
      </c>
      <c r="G367" s="75" t="inlineStr">
        <is>
          <t>1117315</t>
        </is>
      </c>
      <c r="H367" s="75" t="inlineStr">
        <is>
          <t>Regulamento</t>
        </is>
      </c>
      <c r="I367" s="75" t="inlineStr">
        <is>
          <t>06/02/2026</t>
        </is>
      </c>
      <c r="J367" s="75" t="inlineStr">
        <is>
          <t>51</t>
        </is>
      </c>
      <c r="K367" s="75" t="inlineStr">
        <is>
          <t>encontrado_explicito</t>
        </is>
      </c>
      <c r="L367" s="144" t="n">
        <v>0.95</v>
      </c>
      <c r="M367" s="75" t="inlineStr">
        <is>
          <t>.cache/carteira_101_document_scan/52100879000147/1117315.json.gz</t>
        </is>
      </c>
      <c r="N367" s="75" t="inlineStr">
        <is>
          <t>https://fnet.bmfbovespa.com.br/fnet/publico/downloadDocumento?id=1117315</t>
        </is>
      </c>
      <c r="O367" s="75" t="inlineStr">
        <is>
          <t>nados no item “ii” acima, realizadas com contrapartes com classificação de risco mínima “AAA(bra)” ou equivalente. “Cedentes” Significa a Sotreq e a Somov, na qualidade de cedentes de Direitos Creditórios, por meio de sua matriz ou de suas filiais. D4Sign a8769ed2-e606-4c73-9a53-64f76888084a - Para conﬁrmar as assinaturas acesse https://secure.d4sign.com.br/veriﬁc</t>
        </is>
      </c>
    </row>
    <row r="368" ht="43.5" customHeight="1">
      <c r="A368" s="142" t="n">
        <v>52100879000147</v>
      </c>
      <c r="B368" s="75" t="inlineStr">
        <is>
          <t>52.100.879/0001-47</t>
        </is>
      </c>
      <c r="C368" s="75" t="inlineStr">
        <is>
          <t>cedente</t>
        </is>
      </c>
      <c r="D368" s="75" t="inlineStr">
        <is>
          <t>a Sotreq e a Somov, na qualidade de cedentes de Direitos Creditórios, por meio de sua matriz ou de suas filiais. - 9 -</t>
        </is>
      </c>
      <c r="E368" s="75" t="inlineStr">
        <is>
          <t>N/D</t>
        </is>
      </c>
      <c r="F368" s="75" t="inlineStr">
        <is>
          <t>regulamento</t>
        </is>
      </c>
      <c r="G368" s="75" t="inlineStr">
        <is>
          <t>740367</t>
        </is>
      </c>
      <c r="H368" s="75" t="inlineStr">
        <is>
          <t>Regulamento</t>
        </is>
      </c>
      <c r="I368" s="75" t="inlineStr">
        <is>
          <t>17/09/2024</t>
        </is>
      </c>
      <c r="J368" s="75" t="inlineStr">
        <is>
          <t>50</t>
        </is>
      </c>
      <c r="K368" s="75" t="inlineStr">
        <is>
          <t>encontrado_explicito</t>
        </is>
      </c>
      <c r="L368" s="144" t="n">
        <v>0.95</v>
      </c>
      <c r="M368" s="75" t="inlineStr">
        <is>
          <t>.cache/carteira_101_document_scan/52100879000147/740367.json.gz</t>
        </is>
      </c>
      <c r="N368" s="75" t="inlineStr">
        <is>
          <t>https://fnet.bmfbovespa.com.br/fnet/publico/downloadDocumento?id=740367</t>
        </is>
      </c>
      <c r="O368" s="75" t="inlineStr">
        <is>
          <t>ados no item “ii” acima, realizadas com contrapartes com classificação de risco mínima “AAA(bra)” ou equivalente. “Cedentes” Significa a Sotreq e a Somov, na qualidade de cedentes de Direitos Creditórios, por meio de sua matriz ou de suas filiais. - 9 - “Chave de Acesso NF-e” Significa um conjunto de 44 (quarenta e quatro) dígitos que identifica univocamen</t>
        </is>
      </c>
    </row>
    <row r="369" ht="43.5" customHeight="1">
      <c r="A369" s="142" t="n">
        <v>52100879000147</v>
      </c>
      <c r="B369" s="75" t="inlineStr">
        <is>
          <t>52.100.879/0001-47</t>
        </is>
      </c>
      <c r="C369" s="75" t="inlineStr">
        <is>
          <t>cedente</t>
        </is>
      </c>
      <c r="D369" s="75" t="inlineStr">
        <is>
          <t>Sotreq</t>
        </is>
      </c>
      <c r="E369" s="75" t="inlineStr">
        <is>
          <t>N/D</t>
        </is>
      </c>
      <c r="F369" s="75" t="inlineStr">
        <is>
          <t>planilha_manual</t>
        </is>
      </c>
      <c r="G369" s="75" t="inlineStr">
        <is>
          <t>IMG_8704.JPG</t>
        </is>
      </c>
      <c r="H369" s="75" t="inlineStr">
        <is>
          <t>payload</t>
        </is>
      </c>
      <c r="I369" s="75" t="inlineStr">
        <is>
          <t>2026-02-06</t>
        </is>
      </c>
      <c r="J369" s="75" t="inlineStr">
        <is>
          <t>49</t>
        </is>
      </c>
      <c r="K369" s="75" t="inlineStr">
        <is>
          <t>aceito_payload</t>
        </is>
      </c>
      <c r="L369" s="144" t="n">
        <v>1</v>
      </c>
      <c r="M369" s="75" t="inlineStr">
        <is>
          <t>data/industry_study/generated_revision/artifact_payload.json</t>
        </is>
      </c>
      <c r="N369" s="75" t="inlineStr">
        <is>
          <t>N/D</t>
        </is>
      </c>
      <c r="O369" s="75" t="inlineStr">
        <is>
          <t>Denominação cortada pela largura da coluna na foto.</t>
        </is>
      </c>
    </row>
    <row r="370" ht="43.5" customHeight="1">
      <c r="A370" s="142" t="n">
        <v>52100879000147</v>
      </c>
      <c r="B370" s="75" t="inlineStr">
        <is>
          <t>52.100.879/0001-47</t>
        </is>
      </c>
      <c r="C370" s="75" t="inlineStr">
        <is>
          <t>minimo_estrutural_total</t>
        </is>
      </c>
      <c r="D370" s="75" t="inlineStr">
        <is>
          <t>25%</t>
        </is>
      </c>
      <c r="E370" s="75" t="inlineStr">
        <is>
          <t>suporte_total_pl</t>
        </is>
      </c>
      <c r="F370" s="75" t="inlineStr">
        <is>
          <t>payload_documental</t>
        </is>
      </c>
      <c r="G370" s="75" t="inlineStr">
        <is>
          <t>1117315</t>
        </is>
      </c>
      <c r="H370" s="75" t="inlineStr">
        <is>
          <t>documento_curado</t>
        </is>
      </c>
      <c r="I370" s="75" t="inlineStr">
        <is>
          <t>2026-02-06</t>
        </is>
      </c>
      <c r="J370" s="75" t="inlineStr">
        <is>
          <t>49</t>
        </is>
      </c>
      <c r="K370" s="75" t="inlineStr">
        <is>
          <t>aceito_payload</t>
        </is>
      </c>
      <c r="L370" s="144" t="n">
        <v>1</v>
      </c>
      <c r="M370" s="75" t="inlineStr">
        <is>
          <t>data/industry_study/generated_revision/artifact_payload.json</t>
        </is>
      </c>
      <c r="N370" s="75" t="inlineStr">
        <is>
          <t>https://fnet.bmfbovespa.com.br/fnet/publico/downloadDocumento?id=1117315</t>
        </is>
      </c>
      <c r="O370" s="75" t="inlineStr">
        <is>
          <t>N/D</t>
        </is>
      </c>
    </row>
    <row r="371" ht="43.5" customHeight="1">
      <c r="A371" s="142" t="n">
        <v>52100879000147</v>
      </c>
      <c r="B371" s="75" t="inlineStr">
        <is>
          <t>52.100.879/0001-47</t>
        </is>
      </c>
      <c r="C371" s="75" t="inlineStr">
        <is>
          <t>natureza_indice</t>
        </is>
      </c>
      <c r="D371" s="75" t="inlineStr">
        <is>
          <t>suporte_total_pl</t>
        </is>
      </c>
      <c r="E371" s="75" t="inlineStr">
        <is>
          <t>suporte_total_pl</t>
        </is>
      </c>
      <c r="F371" s="75" t="inlineStr">
        <is>
          <t>payload_documental</t>
        </is>
      </c>
      <c r="G371" s="75" t="inlineStr">
        <is>
          <t>1117315</t>
        </is>
      </c>
      <c r="H371" s="75" t="inlineStr">
        <is>
          <t>documento_curado</t>
        </is>
      </c>
      <c r="I371" s="75" t="inlineStr">
        <is>
          <t>2026-02-06</t>
        </is>
      </c>
      <c r="J371" s="75" t="inlineStr">
        <is>
          <t>49</t>
        </is>
      </c>
      <c r="K371" s="75" t="inlineStr">
        <is>
          <t>aceito_payload</t>
        </is>
      </c>
      <c r="L371" s="144" t="n">
        <v>1</v>
      </c>
      <c r="M371" s="75" t="inlineStr">
        <is>
          <t>data/industry_study/generated_revision/artifact_payload.json</t>
        </is>
      </c>
      <c r="N371" s="75" t="inlineStr">
        <is>
          <t>https://fnet.bmfbovespa.com.br/fnet/publico/downloadDocumento?id=1117315</t>
        </is>
      </c>
      <c r="O371" s="75" t="inlineStr">
        <is>
          <t>N/D</t>
        </is>
      </c>
    </row>
    <row r="372" ht="43.5" customHeight="1">
      <c r="A372" s="142" t="n">
        <v>52271464000136</v>
      </c>
      <c r="B372" s="75" t="inlineStr">
        <is>
          <t>52.271.464/0001-36</t>
        </is>
      </c>
      <c r="C372" s="75" t="inlineStr">
        <is>
          <t>cedente</t>
        </is>
      </c>
      <c r="D372" s="75" t="inlineStr">
        <is>
          <t>a Subcredenciadora</t>
        </is>
      </c>
      <c r="E372" s="75" t="inlineStr">
        <is>
          <t>N/D</t>
        </is>
      </c>
      <c r="F372" s="75" t="inlineStr">
        <is>
          <t>regulamento</t>
        </is>
      </c>
      <c r="G372" s="75" t="inlineStr">
        <is>
          <t>1007659</t>
        </is>
      </c>
      <c r="H372" s="75" t="inlineStr">
        <is>
          <t>Regulamento</t>
        </is>
      </c>
      <c r="I372" s="75" t="inlineStr">
        <is>
          <t>02/10/2025</t>
        </is>
      </c>
      <c r="J372" s="75" t="inlineStr">
        <is>
          <t>7</t>
        </is>
      </c>
      <c r="K372" s="75" t="inlineStr">
        <is>
          <t>encontrado_explicito</t>
        </is>
      </c>
      <c r="L372" s="144" t="n">
        <v>0.95</v>
      </c>
      <c r="M372" s="75" t="inlineStr">
        <is>
          <t>.cache/carteira_101_document_scan/52271464000136/1007659.json.gz</t>
        </is>
      </c>
      <c r="N372" s="75" t="inlineStr">
        <is>
          <t>https://fnet.bmfbovespa.com.br/fnet/publico/downloadDocumento?id=1007659</t>
        </is>
      </c>
      <c r="O372" s="75" t="inlineStr">
        <is>
          <t>arcas, nomes ou logomarcas admitidas na Plataforma Kiwify, instrumento este utilizado em Transações de Pagamento. “Cedente” significa a Subcredenciadora. “Chargeback” significa a contestação de Transação(ões) de Pagamento, seja no todo ou em parte, por parte de Comp</t>
        </is>
      </c>
    </row>
    <row r="373" ht="43.5" customHeight="1">
      <c r="A373" s="142" t="n">
        <v>52271464000136</v>
      </c>
      <c r="B373" s="75" t="inlineStr">
        <is>
          <t>52.271.464/0001-36</t>
        </is>
      </c>
      <c r="C373" s="75" t="inlineStr">
        <is>
          <t>cedente</t>
        </is>
      </c>
      <c r="D373" s="75" t="inlineStr">
        <is>
          <t>a Subcredenciadora</t>
        </is>
      </c>
      <c r="E373" s="75" t="inlineStr">
        <is>
          <t>N/D</t>
        </is>
      </c>
      <c r="F373" s="75" t="inlineStr">
        <is>
          <t>regulamento</t>
        </is>
      </c>
      <c r="G373" s="75" t="inlineStr">
        <is>
          <t>1155755</t>
        </is>
      </c>
      <c r="H373" s="75" t="inlineStr">
        <is>
          <t>Regulamento</t>
        </is>
      </c>
      <c r="I373" s="75" t="inlineStr">
        <is>
          <t>18/03/2026</t>
        </is>
      </c>
      <c r="J373" s="75" t="inlineStr">
        <is>
          <t>7</t>
        </is>
      </c>
      <c r="K373" s="75" t="inlineStr">
        <is>
          <t>encontrado_explicito</t>
        </is>
      </c>
      <c r="L373" s="144" t="n">
        <v>0.95</v>
      </c>
      <c r="M373" s="75" t="inlineStr">
        <is>
          <t>.cache/carteira_101_document_scan/52271464000136/1155755.json.gz</t>
        </is>
      </c>
      <c r="N373" s="75" t="inlineStr">
        <is>
          <t>https://fnet.bmfbovespa.com.br/fnet/publico/downloadDocumento?id=1155755</t>
        </is>
      </c>
      <c r="O373" s="75" t="inlineStr">
        <is>
          <t>arcas, nomes ou logomarcas admitidas na Plataforma Kiwify, instrumento este utilizado em Transações de Pagamento. “Cedente” significa a Subcredenciadora. Docusign Envelope ID: DD8282DA-53D2-4EE1-9E04-15A3856127FF 8 “Chargeback” significa a contestação de Transaçã</t>
        </is>
      </c>
    </row>
    <row r="374" ht="43.5" customHeight="1">
      <c r="A374" s="142" t="n">
        <v>52271464000136</v>
      </c>
      <c r="B374" s="75" t="inlineStr">
        <is>
          <t>52.271.464/0001-36</t>
        </is>
      </c>
      <c r="C374" s="75" t="inlineStr">
        <is>
          <t>minimo_junior</t>
        </is>
      </c>
      <c r="D374" s="75" t="inlineStr">
        <is>
          <t>6%</t>
        </is>
      </c>
      <c r="E374" s="75" t="inlineStr">
        <is>
          <t>junior_pl</t>
        </is>
      </c>
      <c r="F374" s="75" t="inlineStr">
        <is>
          <t>payload_documental</t>
        </is>
      </c>
      <c r="G374" s="75" t="inlineStr">
        <is>
          <t>1155755</t>
        </is>
      </c>
      <c r="H374" s="75" t="inlineStr">
        <is>
          <t>documento_curado</t>
        </is>
      </c>
      <c r="I374" s="75" t="inlineStr">
        <is>
          <t>2026-03-18</t>
        </is>
      </c>
      <c r="J374" s="75" t="inlineStr">
        <is>
          <t>18</t>
        </is>
      </c>
      <c r="K374" s="75" t="inlineStr">
        <is>
          <t>aceito_payload</t>
        </is>
      </c>
      <c r="L374" s="144" t="n">
        <v>1</v>
      </c>
      <c r="M374" s="75" t="inlineStr">
        <is>
          <t>data/industry_study/generated_revision/artifact_payload.json</t>
        </is>
      </c>
      <c r="N374" s="75" t="inlineStr">
        <is>
          <t>https://fnet.bmfbovespa.com.br/fnet/publico/downloadDocumento?id=1155755</t>
        </is>
      </c>
      <c r="O374" s="75" t="inlineStr">
        <is>
          <t>Cotas subordinadas júnior / PL, mínimo de 6,0%.</t>
        </is>
      </c>
    </row>
    <row r="375" ht="43.5" customHeight="1">
      <c r="A375" s="142" t="n">
        <v>52271464000136</v>
      </c>
      <c r="B375" s="75" t="inlineStr">
        <is>
          <t>52.271.464/0001-36</t>
        </is>
      </c>
      <c r="C375" s="75" t="inlineStr">
        <is>
          <t>natureza_indice</t>
        </is>
      </c>
      <c r="D375" s="75" t="inlineStr">
        <is>
          <t>junior_pl</t>
        </is>
      </c>
      <c r="E375" s="75" t="inlineStr">
        <is>
          <t>junior_pl</t>
        </is>
      </c>
      <c r="F375" s="75" t="inlineStr">
        <is>
          <t>payload_documental</t>
        </is>
      </c>
      <c r="G375" s="75" t="inlineStr">
        <is>
          <t>1155755</t>
        </is>
      </c>
      <c r="H375" s="75" t="inlineStr">
        <is>
          <t>documento_curado</t>
        </is>
      </c>
      <c r="I375" s="75" t="inlineStr">
        <is>
          <t>2026-03-18</t>
        </is>
      </c>
      <c r="J375" s="75" t="inlineStr">
        <is>
          <t>18</t>
        </is>
      </c>
      <c r="K375" s="75" t="inlineStr">
        <is>
          <t>aceito_payload</t>
        </is>
      </c>
      <c r="L375" s="144" t="n">
        <v>1</v>
      </c>
      <c r="M375" s="75" t="inlineStr">
        <is>
          <t>data/industry_study/generated_revision/artifact_payload.json</t>
        </is>
      </c>
      <c r="N375" s="75" t="inlineStr">
        <is>
          <t>https://fnet.bmfbovespa.com.br/fnet/publico/downloadDocumento?id=1155755</t>
        </is>
      </c>
      <c r="O375" s="75" t="inlineStr">
        <is>
          <t>Cotas subordinadas júnior / PL, mínimo de 6,0%.</t>
        </is>
      </c>
    </row>
    <row r="376" ht="43.5" customHeight="1">
      <c r="A376" s="142" t="n">
        <v>52271464000136</v>
      </c>
      <c r="B376" s="75" t="inlineStr">
        <is>
          <t>52.271.464/0001-36</t>
        </is>
      </c>
      <c r="C376" s="75" t="inlineStr">
        <is>
          <t>sacado_devedor</t>
        </is>
      </c>
      <c r="D376" s="75" t="inlineStr">
        <is>
          <t>a Credenciadora, na qualidade de devedora dos Direitos Creditórios</t>
        </is>
      </c>
      <c r="E376" s="75" t="inlineStr">
        <is>
          <t>N/D</t>
        </is>
      </c>
      <c r="F376" s="75" t="inlineStr">
        <is>
          <t>regulamento</t>
        </is>
      </c>
      <c r="G376" s="75" t="inlineStr">
        <is>
          <t>1007659</t>
        </is>
      </c>
      <c r="H376" s="75" t="inlineStr">
        <is>
          <t>Regulamento</t>
        </is>
      </c>
      <c r="I376" s="75" t="inlineStr">
        <is>
          <t>02/10/2025</t>
        </is>
      </c>
      <c r="J376" s="75" t="inlineStr">
        <is>
          <t>12</t>
        </is>
      </c>
      <c r="K376" s="75" t="inlineStr">
        <is>
          <t>encontrado_explicito</t>
        </is>
      </c>
      <c r="L376" s="144" t="n">
        <v>0.95</v>
      </c>
      <c r="M376" s="75" t="inlineStr">
        <is>
          <t>.cache/carteira_101_document_scan/52271464000136/1007659.json.gz</t>
        </is>
      </c>
      <c r="N376" s="75" t="inlineStr">
        <is>
          <t>https://fnet.bmfbovespa.com.br/fnet/publico/downloadDocumento?id=1007659</t>
        </is>
      </c>
      <c r="O376" s="75" t="inlineStr">
        <is>
          <t>. “Data de Verificação” significa o 5º (quinto) Dia Útil do mês imediatamente posterior à Data de Referência. “Devedor” significa a Credenciadora, na qualidade de devedora dos Direitos Creditórios. “Dia Útil ou Dias Úteis” significa (i) com relação a qualquer obrigação do Fundo realizada por meio ou perante a</t>
        </is>
      </c>
    </row>
    <row r="377" ht="43.5" customHeight="1">
      <c r="A377" s="142" t="n">
        <v>52271464000136</v>
      </c>
      <c r="B377" s="75" t="inlineStr">
        <is>
          <t>52.271.464/0001-36</t>
        </is>
      </c>
      <c r="C377" s="75" t="inlineStr">
        <is>
          <t>sacado_devedor</t>
        </is>
      </c>
      <c r="D377" s="75" t="inlineStr">
        <is>
          <t>a Credenciadora, na qualidade de devedora dos Direitos Creditórios</t>
        </is>
      </c>
      <c r="E377" s="75" t="inlineStr">
        <is>
          <t>N/D</t>
        </is>
      </c>
      <c r="F377" s="75" t="inlineStr">
        <is>
          <t>regulamento</t>
        </is>
      </c>
      <c r="G377" s="75" t="inlineStr">
        <is>
          <t>1155755</t>
        </is>
      </c>
      <c r="H377" s="75" t="inlineStr">
        <is>
          <t>Regulamento</t>
        </is>
      </c>
      <c r="I377" s="75" t="inlineStr">
        <is>
          <t>18/03/2026</t>
        </is>
      </c>
      <c r="J377" s="75" t="inlineStr">
        <is>
          <t>13</t>
        </is>
      </c>
      <c r="K377" s="75" t="inlineStr">
        <is>
          <t>encontrado_explicito</t>
        </is>
      </c>
      <c r="L377" s="144" t="n">
        <v>0.95</v>
      </c>
      <c r="M377" s="75" t="inlineStr">
        <is>
          <t>.cache/carteira_101_document_scan/52271464000136/1155755.json.gz</t>
        </is>
      </c>
      <c r="N377" s="75" t="inlineStr">
        <is>
          <t>https://fnet.bmfbovespa.com.br/fnet/publico/downloadDocumento?id=1155755</t>
        </is>
      </c>
      <c r="O377" s="75" t="inlineStr">
        <is>
          <t>imediatamente posterior à Data de Referência. Docusign Envelope ID: DD8282DA-53D2-4EE1-9E04-15A3856127FF 13 “Devedor” significa a Credenciadora, na qualidade de devedora dos Direitos Creditórios. “Dia Útil ou Dias Úteis” significa (i) com relação a qualquer obrigação do Fundo realizada por meio ou perante a</t>
        </is>
      </c>
    </row>
    <row r="378" ht="43.5" customHeight="1">
      <c r="A378" s="142" t="n">
        <v>52271464000136</v>
      </c>
      <c r="B378" s="75" t="inlineStr">
        <is>
          <t>52.271.464/0001-36</t>
        </is>
      </c>
      <c r="C378" s="75" t="inlineStr">
        <is>
          <t>tipo_recebivel</t>
        </is>
      </c>
      <c r="D378" s="75" t="inlineStr">
        <is>
          <t>os direitos creditórios performados, de tempos em tempos detidos pela Subcredenciadora em face da Credenciadora, originários de Transações de Pagamento realizadas pelos Compradores dos Infoprodutores com a utilização de Instrumentos de Pagamento, à vista ou parceladas, para a aquisição de cursos e/ou outros conteúdos oferecidos pelo Infoprodutores na Plataforma Kiwify aos Compradores dos Infoprodutores, conforme aplicável, após o descont o das taxas que constituem a remuneração das Bandeiras, dos Emissores e da Credenciadora, conforme o caso, bem como de outras eventuais retenções previstas nas regras do Arranjo de Pagamento e/ou no respectivo contrato de credenciamento e adesão, conforme ap</t>
        </is>
      </c>
      <c r="E378" s="75" t="inlineStr">
        <is>
          <t>N/D</t>
        </is>
      </c>
      <c r="F378" s="75" t="inlineStr">
        <is>
          <t>regulamento</t>
        </is>
      </c>
      <c r="G378" s="75" t="inlineStr">
        <is>
          <t>1007659</t>
        </is>
      </c>
      <c r="H378" s="75" t="inlineStr">
        <is>
          <t>Regulamento</t>
        </is>
      </c>
      <c r="I378" s="75" t="inlineStr">
        <is>
          <t>02/10/2025</t>
        </is>
      </c>
      <c r="J378" s="75" t="inlineStr">
        <is>
          <t>13</t>
        </is>
      </c>
      <c r="K378" s="75" t="inlineStr">
        <is>
          <t>encontrado_explicito</t>
        </is>
      </c>
      <c r="L378" s="144" t="n">
        <v>0.92</v>
      </c>
      <c r="M378" s="75" t="inlineStr">
        <is>
          <t>.cache/carteira_101_document_scan/52271464000136/1007659.json.gz</t>
        </is>
      </c>
      <c r="N378" s="75" t="inlineStr">
        <is>
          <t>https://fnet.bmfbovespa.com.br/fnet/publico/downloadDocumento?id=1007659</t>
        </is>
      </c>
      <c r="O378" s="75" t="inlineStr">
        <is>
          <t>anhada da indicação de “dia(s) útil(eis)”, entende-se que o prazo é contado em dias corridos. “Direitos Creditórios” significam os direitos creditórios performados, de tempos em tempos detidos pela Subcredenciadora em face da Credenciadora, originários de Transações de Pagamento realizadas pelos Compradores dos Infoprodutores com a utilização de Instrumentos de Pagamento, à vista ou parceladas, para a aquisição de cursos e/ou outros conteúdos oferecidos pelo Infoprodutores na Plataforma Kiwify aos Compradores dos Infoprodutores, conforme aplicável, após o descont o das taxas que constituem a remuneração das Bandeiras, dos Emissores e da Credenciadora, conforme o caso, bem como de outras eventuais retenções previstas nas regras do Arranjo de Pagamento e/ou no respectivo contrato de credenciamento e adesão, conforme aplicável. “Direitos Creditórios Cedidos” significam os Direitos Creditórios cedidos pela Cedente ao F</t>
        </is>
      </c>
    </row>
    <row r="379" ht="43.5" customHeight="1">
      <c r="A379" s="142" t="n">
        <v>52271464000136</v>
      </c>
      <c r="B379" s="75" t="inlineStr">
        <is>
          <t>52.271.464/0001-36</t>
        </is>
      </c>
      <c r="C379" s="75" t="inlineStr">
        <is>
          <t>tipo_recebivel</t>
        </is>
      </c>
      <c r="D379" s="75" t="inlineStr">
        <is>
          <t>os direitos creditórios performados, de tempos em tempos detidos pela Subcredenciadora em face da Credenciadora, originários de Transações de Pagamento realizadas pelos Compradores dos Infoprodutores com a utilização de Instrumentos de Pagamento, à vista ou parceladas, para a aquisição de cursos e/ou outros conteúdos oferecidos pelo Infoprodutores na Plataforma Kiwify aos Compradores dos Infoprodutores, conforme aplicável, após o descont o das taxas que constituem a remuneração das Bandeiras, dos Emissores e da Credenciadora, conforme o caso, bem como de outras eventuais retenções previstas nas regras do Arranjo de Pagamento e/ou no respectivo contrato de credenciamento e adesão, conforme ap</t>
        </is>
      </c>
      <c r="E379" s="75" t="inlineStr">
        <is>
          <t>N/D</t>
        </is>
      </c>
      <c r="F379" s="75" t="inlineStr">
        <is>
          <t>regulamento</t>
        </is>
      </c>
      <c r="G379" s="75" t="inlineStr">
        <is>
          <t>1155755</t>
        </is>
      </c>
      <c r="H379" s="75" t="inlineStr">
        <is>
          <t>Regulamento</t>
        </is>
      </c>
      <c r="I379" s="75" t="inlineStr">
        <is>
          <t>18/03/2026</t>
        </is>
      </c>
      <c r="J379" s="75" t="inlineStr">
        <is>
          <t>13</t>
        </is>
      </c>
      <c r="K379" s="75" t="inlineStr">
        <is>
          <t>encontrado_explicito</t>
        </is>
      </c>
      <c r="L379" s="144" t="n">
        <v>0.92</v>
      </c>
      <c r="M379" s="75" t="inlineStr">
        <is>
          <t>.cache/carteira_101_document_scan/52271464000136/1155755.json.gz</t>
        </is>
      </c>
      <c r="N379" s="75" t="inlineStr">
        <is>
          <t>https://fnet.bmfbovespa.com.br/fnet/publico/downloadDocumento?id=1155755</t>
        </is>
      </c>
      <c r="O379" s="75" t="inlineStr">
        <is>
          <t>anhada da indicação de “dia(s) útil(eis)”, entende-se que o prazo é contado em dias corridos. “Direitos Creditórios” significam os direitos creditórios performados, de tempos em tempos detidos pela Subcredenciadora em face da Credenciadora, originários de Transações de Pagamento realizadas pelos Compradores dos Infoprodutores com a utilização de Instrumentos de Pagamento, à vista ou parceladas, para a aquisição de cursos e/ou outros conteúdos oferecidos pelo Infoprodutores na Plataforma Kiwify aos Compradores dos Infoprodutores, conforme aplicável, após o descont o das taxas que constituem a remuneração das Bandeiras, dos Emissores e da Credenciadora, conforme o caso, bem como de outras eventuais retenções previstas nas regras do Arranjo de Pagamento e/ou no respectivo contrato de credenciamento e adesão, conforme aplicável. “Direitos Creditórios Cedidos” significam os Direitos Creditórios cedidos pela Cedente ao F</t>
        </is>
      </c>
    </row>
    <row r="380" ht="43.5" customHeight="1">
      <c r="A380" s="142" t="n">
        <v>52340225000190</v>
      </c>
      <c r="B380" s="75" t="inlineStr">
        <is>
          <t>52.340.225/0001-90</t>
        </is>
      </c>
      <c r="C380" s="75" t="inlineStr">
        <is>
          <t>cedente</t>
        </is>
      </c>
      <c r="D380" s="75" t="inlineStr">
        <is>
          <t>49.288.113/0001-23</t>
        </is>
      </c>
      <c r="E380" s="75" t="inlineStr">
        <is>
          <t>N/D</t>
        </is>
      </c>
      <c r="F380" s="75" t="inlineStr">
        <is>
          <t>candidate_extraction</t>
        </is>
      </c>
      <c r="G380" s="75" t="inlineStr">
        <is>
          <t>52340225000190</t>
        </is>
      </c>
      <c r="H380" s="75" t="inlineStr">
        <is>
          <t>extração heurística</t>
        </is>
      </c>
      <c r="I380" s="75" t="inlineStr">
        <is>
          <t>N/D</t>
        </is>
      </c>
      <c r="J380" s="75" t="inlineStr">
        <is>
          <t>N/D</t>
        </is>
      </c>
      <c r="K380" s="75" t="inlineStr">
        <is>
          <t>candidato_revisao</t>
        </is>
      </c>
      <c r="L380" s="144" t="n">
        <v>0.95</v>
      </c>
      <c r="M380" s="75" t="inlineStr">
        <is>
          <t>outputs/fidc_director_deep_diagnostic_20260609/pdf_text_cache/52340225000190_1171206_regulamento_regulamento_1171206_2026-03-25.txt</t>
        </is>
      </c>
      <c r="N380" s="75" t="inlineStr">
        <is>
          <t>https://fnet.bmfbovespa.com.br/fnet/publico/downloadDocumento?id=52340225000190</t>
        </is>
      </c>
      <c r="O380" s="75" t="inlineStr">
        <is>
          <t>nº 49.288.113/0001-23, com sede na cidade de Uberlândia, Estado de Minas Gerais, na Avenida dos Vinhedos, nº 71, sala 803, Bairro Jardim Sul, CEP 38411-848; ou (ii) outras instituições financeiras selecionadas pela Originadora para ofertar Direitos Creditórios ao Fundo que venham a ser aprovadas pela Assembleia de Cotistas. “Investidores Profissionais” significam os investidores considerados profissionais, nos termos do artigo 11 da Resol</t>
        </is>
      </c>
    </row>
    <row r="381" ht="43.5" customHeight="1">
      <c r="A381" s="142" t="n">
        <v>52340225000190</v>
      </c>
      <c r="B381" s="75" t="inlineStr">
        <is>
          <t>52.340.225/0001-90</t>
        </is>
      </c>
      <c r="C381" s="75" t="inlineStr">
        <is>
          <t>cedente</t>
        </is>
      </c>
      <c r="D381" s="75" t="inlineStr">
        <is>
          <t>SIGNIFICA A CENCOSUD BRASIL COMERCIAL S.A</t>
        </is>
      </c>
      <c r="E381" s="75" t="inlineStr">
        <is>
          <t>N/D</t>
        </is>
      </c>
      <c r="F381" s="75" t="inlineStr">
        <is>
          <t>candidate_extraction</t>
        </is>
      </c>
      <c r="G381" s="75" t="inlineStr">
        <is>
          <t>52340225000190</t>
        </is>
      </c>
      <c r="H381" s="75" t="inlineStr">
        <is>
          <t>extração heurística</t>
        </is>
      </c>
      <c r="I381" s="75" t="inlineStr">
        <is>
          <t>N/D</t>
        </is>
      </c>
      <c r="J381" s="75" t="inlineStr">
        <is>
          <t>N/D</t>
        </is>
      </c>
      <c r="K381" s="75" t="inlineStr">
        <is>
          <t>candidato_revisao</t>
        </is>
      </c>
      <c r="L381" s="144" t="n">
        <v>0.95</v>
      </c>
      <c r="M381" s="75" t="inlineStr">
        <is>
          <t>outputs/fidc_director_deep_diagnostic_20260609/pdf_text_cache/52340225000190_1171206_regulamento_regulamento_1171206_2026-03-25.txt</t>
        </is>
      </c>
      <c r="N381" s="75" t="inlineStr">
        <is>
          <t>https://fnet.bmfbovespa.com.br/fnet/publico/downloadDocumento?id=52340225000190</t>
        </is>
      </c>
      <c r="O381" s="75" t="inlineStr">
        <is>
          <t>; (4) Ernst &amp; Young Auditores Independentes S.S.; (5) Baker Tilly 4Partners Auditoria e Consultoria Ltda.; (6) BDO RCS Auditores Independentes Sociedade Simples; ou (7) Grant Thornton Auditores Independentes Ltda. “Originadora” significa a CashU, acima qualificada, na qualidade de originadora dos Direitos Creditórios. “Originadora Cencosud” significa a CENCOSUD BRASIL COMERCIAL S.A., inscrita no CNPJ sob o nº 09.182.947/0001-35, com sede</t>
        </is>
      </c>
    </row>
    <row r="382" ht="43.5" customHeight="1">
      <c r="A382" s="142" t="n">
        <v>52340225000190</v>
      </c>
      <c r="B382" s="75" t="inlineStr">
        <is>
          <t>52.340.225/0001-90</t>
        </is>
      </c>
      <c r="C382" s="75" t="inlineStr">
        <is>
          <t>minimo_junior</t>
        </is>
      </c>
      <c r="D382" s="75" t="inlineStr">
        <is>
          <t>7.5%</t>
        </is>
      </c>
      <c r="E382" s="75" t="inlineStr">
        <is>
          <t>junior_pl</t>
        </is>
      </c>
      <c r="F382" s="75" t="inlineStr">
        <is>
          <t>payload_documental</t>
        </is>
      </c>
      <c r="G382" s="75" t="inlineStr">
        <is>
          <t>1171206</t>
        </is>
      </c>
      <c r="H382" s="75" t="inlineStr">
        <is>
          <t>documento_curado</t>
        </is>
      </c>
      <c r="I382" s="75" t="inlineStr">
        <is>
          <t>2026-03-25</t>
        </is>
      </c>
      <c r="J382" s="75" t="inlineStr">
        <is>
          <t>77</t>
        </is>
      </c>
      <c r="K382" s="75" t="inlineStr">
        <is>
          <t>aceito_payload</t>
        </is>
      </c>
      <c r="L382" s="144" t="n">
        <v>1</v>
      </c>
      <c r="M382" s="75" t="inlineStr">
        <is>
          <t>data/industry_study/generated_revision/artifact_payload.json</t>
        </is>
      </c>
      <c r="N382" s="75" t="inlineStr">
        <is>
          <t>https://fnet.bmfbovespa.com.br/fnet/publico/downloadDocumento?id=1171206</t>
        </is>
      </c>
      <c r="O382" s="75" t="inlineStr">
        <is>
          <t>Índice de Subordinação Mezanino B: cotas júnior / PL, mínimo de 7,5%.</t>
        </is>
      </c>
    </row>
    <row r="383" ht="43.5" customHeight="1">
      <c r="A383" s="142" t="n">
        <v>52340225000190</v>
      </c>
      <c r="B383" s="75" t="inlineStr">
        <is>
          <t>52.340.225/0001-90</t>
        </is>
      </c>
      <c r="C383" s="75" t="inlineStr">
        <is>
          <t>natureza_indice</t>
        </is>
      </c>
      <c r="D383" s="75" t="inlineStr">
        <is>
          <t>junior_pl</t>
        </is>
      </c>
      <c r="E383" s="75" t="inlineStr">
        <is>
          <t>junior_pl</t>
        </is>
      </c>
      <c r="F383" s="75" t="inlineStr">
        <is>
          <t>payload_documental</t>
        </is>
      </c>
      <c r="G383" s="75" t="inlineStr">
        <is>
          <t>1171206</t>
        </is>
      </c>
      <c r="H383" s="75" t="inlineStr">
        <is>
          <t>documento_curado</t>
        </is>
      </c>
      <c r="I383" s="75" t="inlineStr">
        <is>
          <t>2026-03-25</t>
        </is>
      </c>
      <c r="J383" s="75" t="inlineStr">
        <is>
          <t>77</t>
        </is>
      </c>
      <c r="K383" s="75" t="inlineStr">
        <is>
          <t>aceito_payload</t>
        </is>
      </c>
      <c r="L383" s="144" t="n">
        <v>1</v>
      </c>
      <c r="M383" s="75" t="inlineStr">
        <is>
          <t>data/industry_study/generated_revision/artifact_payload.json</t>
        </is>
      </c>
      <c r="N383" s="75" t="inlineStr">
        <is>
          <t>https://fnet.bmfbovespa.com.br/fnet/publico/downloadDocumento?id=1171206</t>
        </is>
      </c>
      <c r="O383" s="75" t="inlineStr">
        <is>
          <t>Índice de Subordinação Mezanino B: cotas júnior / PL, mínimo de 7,5%.</t>
        </is>
      </c>
    </row>
    <row r="384" ht="43.5" customHeight="1">
      <c r="A384" s="142" t="n">
        <v>52340225000190</v>
      </c>
      <c r="B384" s="75" t="inlineStr">
        <is>
          <t>52.340.225/0001-90</t>
        </is>
      </c>
      <c r="C384" s="75" t="inlineStr">
        <is>
          <t>sacado_devedor</t>
        </is>
      </c>
      <c r="D384" s="75" t="inlineStr">
        <is>
          <t>o devedor dos Direitos Creditórios Adquiridos</t>
        </is>
      </c>
      <c r="E384" s="75" t="inlineStr">
        <is>
          <t>N/D</t>
        </is>
      </c>
      <c r="F384" s="75" t="inlineStr">
        <is>
          <t>regulamento</t>
        </is>
      </c>
      <c r="G384" s="75" t="inlineStr">
        <is>
          <t>1143358</t>
        </is>
      </c>
      <c r="H384" s="75" t="inlineStr">
        <is>
          <t>regulamento</t>
        </is>
      </c>
      <c r="I384" s="75" t="inlineStr">
        <is>
          <t>2026-02-23</t>
        </is>
      </c>
      <c r="J384" s="75" t="inlineStr">
        <is>
          <t>70</t>
        </is>
      </c>
      <c r="K384" s="75" t="inlineStr">
        <is>
          <t>encontrado_explicito</t>
        </is>
      </c>
      <c r="L384" s="144" t="n">
        <v>0.95</v>
      </c>
      <c r="M384" s="75" t="inlineStr">
        <is>
          <t>data/raw/52340225000190/1143358_regulamento_regulamento_1143358_2026-02-23.pdf</t>
        </is>
      </c>
      <c r="N384" s="75" t="inlineStr">
        <is>
          <t>https://fnet.bmfbovespa.com.br/fnet/publico/downloadDocumento?id=1143358</t>
        </is>
      </c>
      <c r="O384" s="75" t="inlineStr">
        <is>
          <t>Central” significa uma empresa autorizada pela CVM a realizar o depósito central e escrituração das Notas Comerciais. “Devedor” significa o devedor dos Direitos Creditórios Adquiridos. “Dia Útil” significa qualquer dia exceto: (i) sábados, domingos ou feriados nacionais; e (ii) aqueles sem expediente</t>
        </is>
      </c>
    </row>
    <row r="385" ht="43.5" customHeight="1">
      <c r="A385" s="142" t="n">
        <v>52340225000190</v>
      </c>
      <c r="B385" s="75" t="inlineStr">
        <is>
          <t>52.340.225/0001-90</t>
        </is>
      </c>
      <c r="C385" s="75" t="inlineStr">
        <is>
          <t>sacado_devedor</t>
        </is>
      </c>
      <c r="D385" s="75" t="inlineStr">
        <is>
          <t>o devedor dos Direitos Creditórios Adquiridos</t>
        </is>
      </c>
      <c r="E385" s="75" t="inlineStr">
        <is>
          <t>N/D</t>
        </is>
      </c>
      <c r="F385" s="75" t="inlineStr">
        <is>
          <t>regulamento</t>
        </is>
      </c>
      <c r="G385" s="75" t="inlineStr">
        <is>
          <t>1171206</t>
        </is>
      </c>
      <c r="H385" s="75" t="inlineStr">
        <is>
          <t>regulamento</t>
        </is>
      </c>
      <c r="I385" s="75" t="inlineStr">
        <is>
          <t>2026-03-25</t>
        </is>
      </c>
      <c r="J385" s="75" t="inlineStr">
        <is>
          <t>70</t>
        </is>
      </c>
      <c r="K385" s="75" t="inlineStr">
        <is>
          <t>encontrado_explicito</t>
        </is>
      </c>
      <c r="L385" s="144" t="n">
        <v>0.95</v>
      </c>
      <c r="M385" s="75" t="inlineStr">
        <is>
          <t>data/raw/52340225000190/1171206_regulamento_regulamento_1171206_2026-03-25.pdf</t>
        </is>
      </c>
      <c r="N385" s="75" t="inlineStr">
        <is>
          <t>https://fnet.bmfbovespa.com.br/fnet/publico/downloadDocumento?id=1171206</t>
        </is>
      </c>
      <c r="O385" s="75" t="inlineStr">
        <is>
          <t>Central” significa uma empresa autorizada pela CVM a realizar o depósito central e escrituração das Notas Comerciais. “Devedor” significa o devedor dos Direitos Creditórios Adquiridos. “Dia Útil” significa qualquer dia exceto: (i) sábados, domingos ou feriados nacionais; e (ii) aqueles sem expediente</t>
        </is>
      </c>
    </row>
    <row r="386" ht="43.5" customHeight="1">
      <c r="A386" s="142" t="n">
        <v>52340225000190</v>
      </c>
      <c r="B386" s="75" t="inlineStr">
        <is>
          <t>52.340.225/0001-90</t>
        </is>
      </c>
      <c r="C386" s="75" t="inlineStr">
        <is>
          <t>sacado_devedor</t>
        </is>
      </c>
      <c r="D386" s="75" t="inlineStr">
        <is>
          <t>o devedor dos Direitos Creditórios Adquiridos</t>
        </is>
      </c>
      <c r="E386" s="75" t="inlineStr">
        <is>
          <t>N/D</t>
        </is>
      </c>
      <c r="F386" s="75" t="inlineStr">
        <is>
          <t>assembleia</t>
        </is>
      </c>
      <c r="G386" s="75" t="inlineStr">
        <is>
          <t>1143357</t>
        </is>
      </c>
      <c r="H386" s="75" t="inlineStr">
        <is>
          <t>assembleia</t>
        </is>
      </c>
      <c r="I386" s="75" t="inlineStr">
        <is>
          <t>2026-02-23</t>
        </is>
      </c>
      <c r="J386" s="75" t="inlineStr">
        <is>
          <t>74</t>
        </is>
      </c>
      <c r="K386" s="75" t="inlineStr">
        <is>
          <t>encontrado_explicito</t>
        </is>
      </c>
      <c r="L386" s="144" t="n">
        <v>0.95</v>
      </c>
      <c r="M386" s="75" t="inlineStr">
        <is>
          <t>data/raw/52340225000190/1143357_assembleia_assembleia_1143357_2026-02-23.pdf</t>
        </is>
      </c>
      <c r="N386" s="75" t="inlineStr">
        <is>
          <t>https://fnet.bmfbovespa.com.br/fnet/publico/downloadDocumento?id=1143357</t>
        </is>
      </c>
      <c r="O386" s="75" t="inlineStr">
        <is>
          <t>Central” significa uma empresa autorizada pela CVM a realizar o depósito central e escrituração das Notas Comerciais. “Devedor” significa o devedor dos Direitos Creditórios Adquiridos. “Dia Útil” significa qualquer dia exceto: (i) sábados, domingos ou feriados nacionais; e (ii) aqueles sem expediente</t>
        </is>
      </c>
    </row>
    <row r="387" ht="43.5" customHeight="1">
      <c r="A387" s="142" t="n">
        <v>52340225000190</v>
      </c>
      <c r="B387" s="75" t="inlineStr">
        <is>
          <t>52.340.225/0001-90</t>
        </is>
      </c>
      <c r="C387" s="75" t="inlineStr">
        <is>
          <t>sacado_devedor</t>
        </is>
      </c>
      <c r="D387" s="75" t="inlineStr">
        <is>
          <t>o devedor dos Direitos Creditórios Adquiridos</t>
        </is>
      </c>
      <c r="E387" s="75" t="inlineStr">
        <is>
          <t>N/D</t>
        </is>
      </c>
      <c r="F387" s="75" t="inlineStr">
        <is>
          <t>assembleia</t>
        </is>
      </c>
      <c r="G387" s="75" t="inlineStr">
        <is>
          <t>1171205</t>
        </is>
      </c>
      <c r="H387" s="75" t="inlineStr">
        <is>
          <t>assembleia</t>
        </is>
      </c>
      <c r="I387" s="75" t="inlineStr">
        <is>
          <t>2026-03-25</t>
        </is>
      </c>
      <c r="J387" s="75" t="inlineStr">
        <is>
          <t>76</t>
        </is>
      </c>
      <c r="K387" s="75" t="inlineStr">
        <is>
          <t>encontrado_explicito</t>
        </is>
      </c>
      <c r="L387" s="144" t="n">
        <v>0.95</v>
      </c>
      <c r="M387" s="75" t="inlineStr">
        <is>
          <t>data/raw/52340225000190/1171205_assembleia_assembleia_1171205_2026-03-25.pdf</t>
        </is>
      </c>
      <c r="N387" s="75" t="inlineStr">
        <is>
          <t>https://fnet.bmfbovespa.com.br/fnet/publico/downloadDocumento?id=1171205</t>
        </is>
      </c>
      <c r="O387" s="75" t="inlineStr">
        <is>
          <t>Central” significa uma empresa autorizada pela CVM a realizar o depósito central e escrituração das Notas Comerciais. “Devedor” significa o devedor dos Direitos Creditórios Adquiridos. “Dia Útil” significa qualquer dia exceto: (i) sábados, domingos ou feriados nacionais; e (ii) aqueles sem expediente</t>
        </is>
      </c>
    </row>
    <row r="388" ht="43.5" customHeight="1">
      <c r="A388" s="142" t="n">
        <v>52340225000190</v>
      </c>
      <c r="B388" s="75" t="inlineStr">
        <is>
          <t>52.340.225/0001-90</t>
        </is>
      </c>
      <c r="C388" s="75" t="inlineStr">
        <is>
          <t>sacado_devedor</t>
        </is>
      </c>
      <c r="D388" s="75" t="inlineStr">
        <is>
          <t>35.444.423/0001-85</t>
        </is>
      </c>
      <c r="E388" s="75" t="inlineStr">
        <is>
          <t>N/D</t>
        </is>
      </c>
      <c r="F388" s="75" t="inlineStr">
        <is>
          <t>candidate_extraction</t>
        </is>
      </c>
      <c r="G388" s="75" t="inlineStr">
        <is>
          <t>52340225000190</t>
        </is>
      </c>
      <c r="H388" s="75" t="inlineStr">
        <is>
          <t>extração heurística</t>
        </is>
      </c>
      <c r="I388" s="75" t="inlineStr">
        <is>
          <t>N/D</t>
        </is>
      </c>
      <c r="J388" s="75" t="inlineStr">
        <is>
          <t>N/D</t>
        </is>
      </c>
      <c r="K388" s="75" t="inlineStr">
        <is>
          <t>candidato_revisao</t>
        </is>
      </c>
      <c r="L388" s="144" t="n">
        <v>0.95</v>
      </c>
      <c r="M388" s="75" t="inlineStr">
        <is>
          <t>outputs/fidc_director_deep_diagnostic_20260609/pdf_text_cache/52340225000190_1171206_regulamento_regulamento_1171206_2026-03-25.txt</t>
        </is>
      </c>
      <c r="N388" s="75" t="inlineStr">
        <is>
          <t>https://fnet.bmfbovespa.com.br/fnet/publico/downloadDocumento?id=52340225000190</t>
        </is>
      </c>
      <c r="O388" s="75" t="inlineStr">
        <is>
          <t>Álvaro Maia, Nº 2.357, Sala 1501, Adrianópolis, CEP 69057-035, inscrita no CNPJ/MF sob o nº 35.444.423/0001-85. “CCBs” significam as cédulas de crédito bancário emitidas ou a serem emitidas eletronicamente pelos Devedores, nos termos da Lei nº 10.931, com o objetivo de adquirir produtos dos Fornecedores. “Classe” significa a classe única de Cotas fechada do Fundo, observado que todas as referências a Classe alcançam o Fundo já que</t>
        </is>
      </c>
    </row>
    <row r="389" ht="43.5" customHeight="1">
      <c r="A389" s="142" t="n">
        <v>52340225000190</v>
      </c>
      <c r="B389" s="75" t="inlineStr">
        <is>
          <t>52.340.225/0001-90</t>
        </is>
      </c>
      <c r="C389" s="75" t="inlineStr">
        <is>
          <t>tipo_recebivel</t>
        </is>
      </c>
      <c r="D389" s="75" t="inlineStr">
        <is>
          <t>os direitos creditórios originados pela Originadora e devidos pelos Devedores, os quais podem ser formalizados por Duplicatas, Notas Comerciais ou CCBs</t>
        </is>
      </c>
      <c r="E389" s="75" t="inlineStr">
        <is>
          <t>N/D</t>
        </is>
      </c>
      <c r="F389" s="75" t="inlineStr">
        <is>
          <t>regulamento</t>
        </is>
      </c>
      <c r="G389" s="75" t="inlineStr">
        <is>
          <t>1143358</t>
        </is>
      </c>
      <c r="H389" s="75" t="inlineStr">
        <is>
          <t>regulamento</t>
        </is>
      </c>
      <c r="I389" s="75" t="inlineStr">
        <is>
          <t>2026-02-23</t>
        </is>
      </c>
      <c r="J389" s="75" t="inlineStr">
        <is>
          <t>70</t>
        </is>
      </c>
      <c r="K389" s="75" t="inlineStr">
        <is>
          <t>encontrado_explicito</t>
        </is>
      </c>
      <c r="L389" s="144" t="n">
        <v>0.92</v>
      </c>
      <c r="M389" s="75" t="inlineStr">
        <is>
          <t>data/raw/52340225000190/1143358_regulamento_regulamento_1143358_2026-02-23.pdf</t>
        </is>
      </c>
      <c r="N389" s="75" t="inlineStr">
        <is>
          <t>https://fnet.bmfbovespa.com.br/fnet/publico/downloadDocumento?id=1143358</t>
        </is>
      </c>
      <c r="O389" s="75" t="inlineStr">
        <is>
          <t>uer dia exceto: (i) sábados, domingos ou feriados nacionais; e (ii) aqueles sem expediente na B3. “Direitos Creditórios” significam os direitos creditórios originados pela Originadora e devidos pelos Devedores, os quais podem ser formalizados por Duplicatas, Notas Comerciais ou CCBs. “Direitos Creditórios Adquiridos” significam os Direitos Creditórios adquiridos pelo Fundo. “Dir</t>
        </is>
      </c>
    </row>
    <row r="390" ht="43.5" customHeight="1">
      <c r="A390" s="142" t="n">
        <v>52340225000190</v>
      </c>
      <c r="B390" s="75" t="inlineStr">
        <is>
          <t>52.340.225/0001-90</t>
        </is>
      </c>
      <c r="C390" s="75" t="inlineStr">
        <is>
          <t>tipo_recebivel</t>
        </is>
      </c>
      <c r="D390" s="75" t="inlineStr">
        <is>
          <t>os direitos creditórios originados pela Originadora e devidos pelos Devedores, os quais podem ser formalizados por Duplicatas, Notas Comerciais ou CCBs</t>
        </is>
      </c>
      <c r="E390" s="75" t="inlineStr">
        <is>
          <t>N/D</t>
        </is>
      </c>
      <c r="F390" s="75" t="inlineStr">
        <is>
          <t>regulamento</t>
        </is>
      </c>
      <c r="G390" s="75" t="inlineStr">
        <is>
          <t>1171206</t>
        </is>
      </c>
      <c r="H390" s="75" t="inlineStr">
        <is>
          <t>regulamento</t>
        </is>
      </c>
      <c r="I390" s="75" t="inlineStr">
        <is>
          <t>2026-03-25</t>
        </is>
      </c>
      <c r="J390" s="75" t="inlineStr">
        <is>
          <t>70</t>
        </is>
      </c>
      <c r="K390" s="75" t="inlineStr">
        <is>
          <t>encontrado_explicito</t>
        </is>
      </c>
      <c r="L390" s="144" t="n">
        <v>0.92</v>
      </c>
      <c r="M390" s="75" t="inlineStr">
        <is>
          <t>data/raw/52340225000190/1171206_regulamento_regulamento_1171206_2026-03-25.pdf</t>
        </is>
      </c>
      <c r="N390" s="75" t="inlineStr">
        <is>
          <t>https://fnet.bmfbovespa.com.br/fnet/publico/downloadDocumento?id=1171206</t>
        </is>
      </c>
      <c r="O390" s="75" t="inlineStr">
        <is>
          <t>uer dia exceto: (i) sábados, domingos ou feriados nacionais; e (ii) aqueles sem expediente na B3. “Direitos Creditórios” significam os direitos creditórios originados pela Originadora e devidos pelos Devedores, os quais podem ser formalizados por Duplicatas, Notas Comerciais ou CCBs. “Direitos Creditórios Adquiridos” significam os Direitos Creditórios adquiridos pelo Fundo. “Dir</t>
        </is>
      </c>
    </row>
    <row r="391" ht="43.5" customHeight="1">
      <c r="A391" s="142" t="n">
        <v>52340225000190</v>
      </c>
      <c r="B391" s="75" t="inlineStr">
        <is>
          <t>52.340.225/0001-90</t>
        </is>
      </c>
      <c r="C391" s="75" t="inlineStr">
        <is>
          <t>tipo_recebivel</t>
        </is>
      </c>
      <c r="D391" s="75" t="inlineStr">
        <is>
          <t>os direitos creditórios originados pela Originadora e devidos pelos Devedores, os quais podem ser formalizados por Duplicatas, Notas Comerciais ou CCBs</t>
        </is>
      </c>
      <c r="E391" s="75" t="inlineStr">
        <is>
          <t>N/D</t>
        </is>
      </c>
      <c r="F391" s="75" t="inlineStr">
        <is>
          <t>assembleia</t>
        </is>
      </c>
      <c r="G391" s="75" t="inlineStr">
        <is>
          <t>1143357</t>
        </is>
      </c>
      <c r="H391" s="75" t="inlineStr">
        <is>
          <t>assembleia</t>
        </is>
      </c>
      <c r="I391" s="75" t="inlineStr">
        <is>
          <t>2026-02-23</t>
        </is>
      </c>
      <c r="J391" s="75" t="inlineStr">
        <is>
          <t>74</t>
        </is>
      </c>
      <c r="K391" s="75" t="inlineStr">
        <is>
          <t>encontrado_explicito</t>
        </is>
      </c>
      <c r="L391" s="144" t="n">
        <v>0.92</v>
      </c>
      <c r="M391" s="75" t="inlineStr">
        <is>
          <t>data/raw/52340225000190/1143357_assembleia_assembleia_1143357_2026-02-23.pdf</t>
        </is>
      </c>
      <c r="N391" s="75" t="inlineStr">
        <is>
          <t>https://fnet.bmfbovespa.com.br/fnet/publico/downloadDocumento?id=1143357</t>
        </is>
      </c>
      <c r="O391" s="75" t="inlineStr">
        <is>
          <t>uer dia exceto: (i) sábados, domingos ou feriados nacionais; e (ii) aqueles sem expediente na B3. “Direitos Creditórios” significam os direitos creditórios originados pela Originadora e devidos pelos Devedores, os quais podem ser formalizados por Duplicatas, Notas Comerciais ou CCBs. “Direitos Creditórios Adquiridos” significam os Direitos Creditórios adquiridos pelo Fundo. “Dir</t>
        </is>
      </c>
    </row>
    <row r="392" ht="43.5" customHeight="1">
      <c r="A392" s="142" t="n">
        <v>52340225000190</v>
      </c>
      <c r="B392" s="75" t="inlineStr">
        <is>
          <t>52.340.225/0001-90</t>
        </is>
      </c>
      <c r="C392" s="75" t="inlineStr">
        <is>
          <t>tipo_recebivel</t>
        </is>
      </c>
      <c r="D392" s="75" t="inlineStr">
        <is>
          <t>os direitos creditórios originados pela Originadora e devidos pelos Devedores, os quais podem ser formalizados por Duplicatas, Notas Comerciais ou CCBs</t>
        </is>
      </c>
      <c r="E392" s="75" t="inlineStr">
        <is>
          <t>N/D</t>
        </is>
      </c>
      <c r="F392" s="75" t="inlineStr">
        <is>
          <t>assembleia</t>
        </is>
      </c>
      <c r="G392" s="75" t="inlineStr">
        <is>
          <t>1171205</t>
        </is>
      </c>
      <c r="H392" s="75" t="inlineStr">
        <is>
          <t>assembleia</t>
        </is>
      </c>
      <c r="I392" s="75" t="inlineStr">
        <is>
          <t>2026-03-25</t>
        </is>
      </c>
      <c r="J392" s="75" t="inlineStr">
        <is>
          <t>76</t>
        </is>
      </c>
      <c r="K392" s="75" t="inlineStr">
        <is>
          <t>encontrado_explicito</t>
        </is>
      </c>
      <c r="L392" s="144" t="n">
        <v>0.92</v>
      </c>
      <c r="M392" s="75" t="inlineStr">
        <is>
          <t>data/raw/52340225000190/1171205_assembleia_assembleia_1171205_2026-03-25.pdf</t>
        </is>
      </c>
      <c r="N392" s="75" t="inlineStr">
        <is>
          <t>https://fnet.bmfbovespa.com.br/fnet/publico/downloadDocumento?id=1171205</t>
        </is>
      </c>
      <c r="O392" s="75" t="inlineStr">
        <is>
          <t>uer dia exceto: (i) sábados, domingos ou feriados nacionais; e (ii) aqueles sem expediente na B3. “Direitos Creditórios” significam os direitos creditórios originados pela Originadora e devidos pelos Devedores, os quais podem ser formalizados por Duplicatas, Notas Comerciais ou CCBs. “Direitos Creditórios Adquiridos” significam os Direitos Creditórios adquiridos pelo Fundo. “Dir</t>
        </is>
      </c>
    </row>
    <row r="393" ht="43.5" customHeight="1">
      <c r="A393" s="142" t="n">
        <v>52343195000176</v>
      </c>
      <c r="B393" s="75" t="inlineStr">
        <is>
          <t>52.343.195/0001-76</t>
        </is>
      </c>
      <c r="C393" s="75" t="inlineStr">
        <is>
          <t>cedente</t>
        </is>
      </c>
      <c r="D393" s="75" t="inlineStr">
        <is>
          <t>Multicedentes</t>
        </is>
      </c>
      <c r="E393" s="75" t="inlineStr">
        <is>
          <t>N/D</t>
        </is>
      </c>
      <c r="F393" s="75" t="inlineStr">
        <is>
          <t>planilha_manual</t>
        </is>
      </c>
      <c r="G393" s="75" t="inlineStr">
        <is>
          <t>IMG_8704.JPG</t>
        </is>
      </c>
      <c r="H393" s="75" t="inlineStr">
        <is>
          <t>payload</t>
        </is>
      </c>
      <c r="I393" s="75" t="inlineStr">
        <is>
          <t>2024-11-27</t>
        </is>
      </c>
      <c r="J393" s="75" t="inlineStr">
        <is>
          <t>7</t>
        </is>
      </c>
      <c r="K393" s="75" t="inlineStr">
        <is>
          <t>aceito_payload</t>
        </is>
      </c>
      <c r="L393" s="144" t="n">
        <v>1</v>
      </c>
      <c r="M393" s="75" t="inlineStr">
        <is>
          <t>data/industry_study/generated_revision/artifact_payload.json</t>
        </is>
      </c>
      <c r="N393" s="75" t="inlineStr">
        <is>
          <t>N/D</t>
        </is>
      </c>
      <c r="O393" s="75" t="inlineStr">
        <is>
          <t>OBS da foto: Multicedente análise FARM. Denominação cortada.</t>
        </is>
      </c>
    </row>
    <row r="394" ht="43.5" customHeight="1">
      <c r="A394" s="142" t="n">
        <v>52343195000176</v>
      </c>
      <c r="B394" s="75" t="inlineStr">
        <is>
          <t>52.343.195/0001-76</t>
        </is>
      </c>
      <c r="C394" s="75" t="inlineStr">
        <is>
          <t>minimo_estrutural_total</t>
        </is>
      </c>
      <c r="D394" s="75" t="inlineStr">
        <is>
          <t>15%</t>
        </is>
      </c>
      <c r="E394" s="75" t="inlineStr">
        <is>
          <t>suporte_total_pl</t>
        </is>
      </c>
      <c r="F394" s="75" t="inlineStr">
        <is>
          <t>payload_documental</t>
        </is>
      </c>
      <c r="G394" s="75" t="inlineStr">
        <is>
          <t>791944</t>
        </is>
      </c>
      <c r="H394" s="75" t="inlineStr">
        <is>
          <t>documento_curado</t>
        </is>
      </c>
      <c r="I394" s="75" t="inlineStr">
        <is>
          <t>2024-11-27</t>
        </is>
      </c>
      <c r="J394" s="75" t="inlineStr">
        <is>
          <t>7</t>
        </is>
      </c>
      <c r="K394" s="75" t="inlineStr">
        <is>
          <t>aceito_payload</t>
        </is>
      </c>
      <c r="L394" s="144" t="n">
        <v>1</v>
      </c>
      <c r="M394" s="75" t="inlineStr">
        <is>
          <t>data/industry_study/generated_revision/artifact_payload.json</t>
        </is>
      </c>
      <c r="N394" s="75" t="inlineStr">
        <is>
          <t>https://fnet.bmfbovespa.com.br/fnet/publico/downloadDocumento?id=791944</t>
        </is>
      </c>
      <c r="O394" s="75" t="inlineStr">
        <is>
          <t>N/D</t>
        </is>
      </c>
    </row>
    <row r="395" ht="43.5" customHeight="1">
      <c r="A395" s="142" t="n">
        <v>52343195000176</v>
      </c>
      <c r="B395" s="75" t="inlineStr">
        <is>
          <t>52.343.195/0001-76</t>
        </is>
      </c>
      <c r="C395" s="75" t="inlineStr">
        <is>
          <t>natureza_indice</t>
        </is>
      </c>
      <c r="D395" s="75" t="inlineStr">
        <is>
          <t>suporte_total_pl</t>
        </is>
      </c>
      <c r="E395" s="75" t="inlineStr">
        <is>
          <t>suporte_total_pl</t>
        </is>
      </c>
      <c r="F395" s="75" t="inlineStr">
        <is>
          <t>payload_documental</t>
        </is>
      </c>
      <c r="G395" s="75" t="inlineStr">
        <is>
          <t>791944</t>
        </is>
      </c>
      <c r="H395" s="75" t="inlineStr">
        <is>
          <t>documento_curado</t>
        </is>
      </c>
      <c r="I395" s="75" t="inlineStr">
        <is>
          <t>2024-11-27</t>
        </is>
      </c>
      <c r="J395" s="75" t="inlineStr">
        <is>
          <t>7</t>
        </is>
      </c>
      <c r="K395" s="75" t="inlineStr">
        <is>
          <t>aceito_payload</t>
        </is>
      </c>
      <c r="L395" s="144" t="n">
        <v>1</v>
      </c>
      <c r="M395" s="75" t="inlineStr">
        <is>
          <t>data/industry_study/generated_revision/artifact_payload.json</t>
        </is>
      </c>
      <c r="N395" s="75" t="inlineStr">
        <is>
          <t>https://fnet.bmfbovespa.com.br/fnet/publico/downloadDocumento?id=791944</t>
        </is>
      </c>
      <c r="O395" s="75" t="inlineStr">
        <is>
          <t>N/D</t>
        </is>
      </c>
    </row>
    <row r="396" ht="43.5" customHeight="1">
      <c r="A396" s="142" t="n">
        <v>52968533000165</v>
      </c>
      <c r="B396" s="75" t="inlineStr">
        <is>
          <t>52.968.533/0001-65</t>
        </is>
      </c>
      <c r="C396" s="75" t="inlineStr">
        <is>
          <t>cedente</t>
        </is>
      </c>
      <c r="D396" s="75" t="inlineStr">
        <is>
          <t>a MAQCAMPO SOLUÇÕES AGRÍCOLAS S.A., sociedade por ações, com sede na cidade de Brasília, Distrito Federal, no Setor S.I.A Trecho 17, Rua 12, Lote 80, térreo, S/N, CEP 71.200- 234, inscrita no CNPJ sob o nº 00.970.771/0001-01</t>
        </is>
      </c>
      <c r="E396" s="75" t="inlineStr">
        <is>
          <t>N/D</t>
        </is>
      </c>
      <c r="F396" s="75" t="inlineStr">
        <is>
          <t>regulamento</t>
        </is>
      </c>
      <c r="G396" s="75" t="inlineStr">
        <is>
          <t>994391</t>
        </is>
      </c>
      <c r="H396" s="75" t="inlineStr">
        <is>
          <t>Regulamento</t>
        </is>
      </c>
      <c r="I396" s="75" t="inlineStr">
        <is>
          <t>06/08/2025</t>
        </is>
      </c>
      <c r="J396" s="75" t="inlineStr">
        <is>
          <t>56</t>
        </is>
      </c>
      <c r="K396" s="75" t="inlineStr">
        <is>
          <t>encontrado_explicito</t>
        </is>
      </c>
      <c r="L396" s="144" t="n">
        <v>0.95</v>
      </c>
      <c r="M396" s="75" t="inlineStr">
        <is>
          <t>.cache/carteira_101_document_scan/52968533000165/994391.json.gz</t>
        </is>
      </c>
      <c r="N396" s="75" t="inlineStr">
        <is>
          <t>https://fnet.bmfbovespa.com.br/fnet/publico/downloadDocumento?id=994391</t>
        </is>
      </c>
      <c r="O396" s="75" t="inlineStr">
        <is>
          <t>didos, emitidos pelos Bancos Emissores de Boletos de Cobrança, e que tenham como beneficiária a Conta de Cobrança. “Cedente” Significa a MAQCAMPO SOLUÇÕES AGRÍCOLAS S.A., sociedade por ações, com sede na cidade de Brasília, Distrito Federal, no Setor S.I.A Trecho 17, Rua 12, Lote 80, térreo, S/N, CEP 71.200- 234, inscrita no CNPJ sob o nº 00.970.771/0001-01. “Chave de Acesso NF-e” Significa um conjunto de 44 (quarenta e quatro) dígitos que identifica univocamente uma No</t>
        </is>
      </c>
    </row>
    <row r="397" ht="43.5" customHeight="1">
      <c r="A397" s="142" t="n">
        <v>52968533000165</v>
      </c>
      <c r="B397" s="75" t="inlineStr">
        <is>
          <t>52.968.533/0001-65</t>
        </is>
      </c>
      <c r="C397" s="75" t="inlineStr">
        <is>
          <t>cedente</t>
        </is>
      </c>
      <c r="D397" s="75" t="inlineStr">
        <is>
          <t>a MAQCAMPO SOLUÇÕES AGRÍCOLAS S.A. , sociedade por ações, com sede na cidade de Brasília, Distrito Federal, no Docusign Envelope ID: 5A498997-5E9C-4FDB-AAA6-D7EDA05D2564</t>
        </is>
      </c>
      <c r="E397" s="75" t="inlineStr">
        <is>
          <t>N/D</t>
        </is>
      </c>
      <c r="F397" s="75" t="inlineStr">
        <is>
          <t>regulamento</t>
        </is>
      </c>
      <c r="G397" s="75" t="inlineStr">
        <is>
          <t>1049185</t>
        </is>
      </c>
      <c r="H397" s="75" t="inlineStr">
        <is>
          <t>Regulamento</t>
        </is>
      </c>
      <c r="I397" s="75" t="inlineStr">
        <is>
          <t>14/10/2025</t>
        </is>
      </c>
      <c r="J397" s="75" t="inlineStr">
        <is>
          <t>57</t>
        </is>
      </c>
      <c r="K397" s="75" t="inlineStr">
        <is>
          <t>encontrado_explicito</t>
        </is>
      </c>
      <c r="L397" s="144" t="n">
        <v>0.95</v>
      </c>
      <c r="M397" s="75" t="inlineStr">
        <is>
          <t>.cache/carteira_101_document_scan/52968533000165/1049185.json.gz</t>
        </is>
      </c>
      <c r="N397" s="75" t="inlineStr">
        <is>
          <t>https://fnet.bmfbovespa.com.br/fnet/publico/downloadDocumento?id=1049185</t>
        </is>
      </c>
      <c r="O397" s="75" t="inlineStr">
        <is>
          <t>didos, emitidos pelos Bancos Emissores de Boletos de Cobrança, e que tenham como beneficiária a Conta de Cobrança. “Cedente” Significa a MAQCAMPO SOLUÇÕES AGRÍCOLAS S.A. , sociedade por ações, com sede na cidade de Brasília, Distrito Federal, no Docusign Envelope ID: 5A498997-5E9C-4FDB-AAA6-D7EDA05D2564 Setor S.I.A Trecho 17, Rua 12, Lote 80, térreo, S/N, CEP 71.200 - 234, inscrita no CNPJ sob o nº 00.970.771/0</t>
        </is>
      </c>
    </row>
    <row r="398" ht="43.5" customHeight="1">
      <c r="A398" s="142" t="n">
        <v>52968533000165</v>
      </c>
      <c r="B398" s="75" t="inlineStr">
        <is>
          <t>52.968.533/0001-65</t>
        </is>
      </c>
      <c r="C398" s="75" t="inlineStr">
        <is>
          <t>cedente</t>
        </is>
      </c>
      <c r="D398" s="75" t="inlineStr">
        <is>
          <t>Maqcampo</t>
        </is>
      </c>
      <c r="E398" s="75" t="inlineStr">
        <is>
          <t>N/D</t>
        </is>
      </c>
      <c r="F398" s="75" t="inlineStr">
        <is>
          <t>planilha_manual</t>
        </is>
      </c>
      <c r="G398" s="75" t="inlineStr">
        <is>
          <t>IMG_8704.JPG</t>
        </is>
      </c>
      <c r="H398" s="75" t="inlineStr">
        <is>
          <t>payload</t>
        </is>
      </c>
      <c r="I398" s="75" t="inlineStr">
        <is>
          <t>2025-10-14</t>
        </is>
      </c>
      <c r="J398" s="75" t="inlineStr">
        <is>
          <t>72</t>
        </is>
      </c>
      <c r="K398" s="75" t="inlineStr">
        <is>
          <t>aceito_payload</t>
        </is>
      </c>
      <c r="L398" s="144" t="n">
        <v>1</v>
      </c>
      <c r="M398" s="75" t="inlineStr">
        <is>
          <t>data/industry_study/generated_revision/artifact_payload.json</t>
        </is>
      </c>
      <c r="N398" s="75" t="inlineStr">
        <is>
          <t>N/D</t>
        </is>
      </c>
      <c r="O398" s="75" t="inlineStr">
        <is>
          <t>OBS da foto: atrasos elevados; em discussão de possível solução de parcela dos vencidos.</t>
        </is>
      </c>
    </row>
    <row r="399" ht="43.5" customHeight="1">
      <c r="A399" s="142" t="n">
        <v>52968533000165</v>
      </c>
      <c r="B399" s="75" t="inlineStr">
        <is>
          <t>52.968.533/0001-65</t>
        </is>
      </c>
      <c r="C399" s="75" t="inlineStr">
        <is>
          <t>minimo_estrutural_total</t>
        </is>
      </c>
      <c r="D399" s="75" t="inlineStr">
        <is>
          <t>20%</t>
        </is>
      </c>
      <c r="E399" s="75" t="inlineStr">
        <is>
          <t>suporte_total_pl</t>
        </is>
      </c>
      <c r="F399" s="75" t="inlineStr">
        <is>
          <t>payload_documental</t>
        </is>
      </c>
      <c r="G399" s="75" t="inlineStr">
        <is>
          <t>1049185</t>
        </is>
      </c>
      <c r="H399" s="75" t="inlineStr">
        <is>
          <t>documento_curado</t>
        </is>
      </c>
      <c r="I399" s="75" t="inlineStr">
        <is>
          <t>2025-10-14</t>
        </is>
      </c>
      <c r="J399" s="75" t="inlineStr">
        <is>
          <t>72</t>
        </is>
      </c>
      <c r="K399" s="75" t="inlineStr">
        <is>
          <t>aceito_payload</t>
        </is>
      </c>
      <c r="L399" s="144" t="n">
        <v>1</v>
      </c>
      <c r="M399" s="75" t="inlineStr">
        <is>
          <t>data/industry_study/generated_revision/artifact_payload.json</t>
        </is>
      </c>
      <c r="N399" s="75" t="inlineStr">
        <is>
          <t>https://fnet.bmfbovespa.com.br/fnet/publico/downloadDocumento?id=1049185</t>
        </is>
      </c>
      <c r="O399" s="75" t="inlineStr">
        <is>
          <t>N/D</t>
        </is>
      </c>
    </row>
    <row r="400" ht="43.5" customHeight="1">
      <c r="A400" s="142" t="n">
        <v>52968533000165</v>
      </c>
      <c r="B400" s="75" t="inlineStr">
        <is>
          <t>52.968.533/0001-65</t>
        </is>
      </c>
      <c r="C400" s="75" t="inlineStr">
        <is>
          <t>natureza_indice</t>
        </is>
      </c>
      <c r="D400" s="75" t="inlineStr">
        <is>
          <t>suporte_total_pl</t>
        </is>
      </c>
      <c r="E400" s="75" t="inlineStr">
        <is>
          <t>suporte_total_pl</t>
        </is>
      </c>
      <c r="F400" s="75" t="inlineStr">
        <is>
          <t>payload_documental</t>
        </is>
      </c>
      <c r="G400" s="75" t="inlineStr">
        <is>
          <t>1049185</t>
        </is>
      </c>
      <c r="H400" s="75" t="inlineStr">
        <is>
          <t>documento_curado</t>
        </is>
      </c>
      <c r="I400" s="75" t="inlineStr">
        <is>
          <t>2025-10-14</t>
        </is>
      </c>
      <c r="J400" s="75" t="inlineStr">
        <is>
          <t>72</t>
        </is>
      </c>
      <c r="K400" s="75" t="inlineStr">
        <is>
          <t>aceito_payload</t>
        </is>
      </c>
      <c r="L400" s="144" t="n">
        <v>1</v>
      </c>
      <c r="M400" s="75" t="inlineStr">
        <is>
          <t>data/industry_study/generated_revision/artifact_payload.json</t>
        </is>
      </c>
      <c r="N400" s="75" t="inlineStr">
        <is>
          <t>https://fnet.bmfbovespa.com.br/fnet/publico/downloadDocumento?id=1049185</t>
        </is>
      </c>
      <c r="O400" s="75" t="inlineStr">
        <is>
          <t>N/D</t>
        </is>
      </c>
    </row>
    <row r="401" ht="43.5" customHeight="1">
      <c r="A401" s="142" t="n">
        <v>52968533000165</v>
      </c>
      <c r="B401" s="75" t="inlineStr">
        <is>
          <t>52.968.533/0001-65</t>
        </is>
      </c>
      <c r="C401" s="75" t="inlineStr">
        <is>
          <t>sacado_devedor</t>
        </is>
      </c>
      <c r="D401" s="75" t="inlineStr">
        <is>
          <t>qualquer cliente da Cedente cujos Direitos Creditórios venham a ser cedidos ao Fundo, observadas as características e condições descritas neste Anexo Descritivo</t>
        </is>
      </c>
      <c r="E401" s="75" t="inlineStr">
        <is>
          <t>N/D</t>
        </is>
      </c>
      <c r="F401" s="75" t="inlineStr">
        <is>
          <t>regulamento</t>
        </is>
      </c>
      <c r="G401" s="75" t="inlineStr">
        <is>
          <t>994391</t>
        </is>
      </c>
      <c r="H401" s="75" t="inlineStr">
        <is>
          <t>Regulamento</t>
        </is>
      </c>
      <c r="I401" s="75" t="inlineStr">
        <is>
          <t>06/08/2025</t>
        </is>
      </c>
      <c r="J401" s="75" t="inlineStr">
        <is>
          <t>63</t>
        </is>
      </c>
      <c r="K401" s="75" t="inlineStr">
        <is>
          <t>encontrado_explicito</t>
        </is>
      </c>
      <c r="L401" s="144" t="n">
        <v>0.95</v>
      </c>
      <c r="M401" s="75" t="inlineStr">
        <is>
          <t>.cache/carteira_101_document_scan/52968533000165/994391.json.gz</t>
        </is>
      </c>
      <c r="N401" s="75" t="inlineStr">
        <is>
          <t>https://fnet.bmfbovespa.com.br/fnet/publico/downloadDocumento?id=994391</t>
        </is>
      </c>
      <c r="O401" s="75" t="inlineStr">
        <is>
          <t>s, encargos e despesas exclusivos da Classe Única estimados pelo Administrador a serem incorridos periodicamente. “Devedores” Significa qualquer cliente da Cedente cujos Direitos Creditórios venham a ser cedidos ao Fundo, observadas as características e condições descritas neste Anexo Descritivo. “Direitos Creditórios” Significam os direitos creditórios performados originados da venda a prazo de Bens, assim</t>
        </is>
      </c>
    </row>
    <row r="402" ht="43.5" customHeight="1">
      <c r="A402" s="142" t="n">
        <v>52968533000165</v>
      </c>
      <c r="B402" s="75" t="inlineStr">
        <is>
          <t>52.968.533/0001-65</t>
        </is>
      </c>
      <c r="C402" s="75" t="inlineStr">
        <is>
          <t>sacado_devedor</t>
        </is>
      </c>
      <c r="D402" s="75" t="inlineStr">
        <is>
          <t>qualquer cliente da Cedente cujos Direitos Creditórios venham a ser cedidos ao Fundo, observadas as características e condições descritas neste Anexo Descritivo</t>
        </is>
      </c>
      <c r="E402" s="75" t="inlineStr">
        <is>
          <t>N/D</t>
        </is>
      </c>
      <c r="F402" s="75" t="inlineStr">
        <is>
          <t>regulamento</t>
        </is>
      </c>
      <c r="G402" s="75" t="inlineStr">
        <is>
          <t>1049185</t>
        </is>
      </c>
      <c r="H402" s="75" t="inlineStr">
        <is>
          <t>Regulamento</t>
        </is>
      </c>
      <c r="I402" s="75" t="inlineStr">
        <is>
          <t>14/10/2025</t>
        </is>
      </c>
      <c r="J402" s="75" t="inlineStr">
        <is>
          <t>63</t>
        </is>
      </c>
      <c r="K402" s="75" t="inlineStr">
        <is>
          <t>encontrado_explicito</t>
        </is>
      </c>
      <c r="L402" s="144" t="n">
        <v>0.95</v>
      </c>
      <c r="M402" s="75" t="inlineStr">
        <is>
          <t>.cache/carteira_101_document_scan/52968533000165/1049185.json.gz</t>
        </is>
      </c>
      <c r="N402" s="75" t="inlineStr">
        <is>
          <t>https://fnet.bmfbovespa.com.br/fnet/publico/downloadDocumento?id=1049185</t>
        </is>
      </c>
      <c r="O402" s="75" t="inlineStr">
        <is>
          <t>s, encargos e despesas exclusivos da Classe Única estimados pelo Administrador a serem incorridos periodicamente. “Devedores” Significa qualquer cliente da Cedente cujos Direitos Creditórios venham a ser cedidos ao Fundo, observadas as características e condições descritas neste Anexo Descritivo. “Direitos Creditórios” Significam os direitos creditórios performados originados da venda a prazo de Bens, assim</t>
        </is>
      </c>
    </row>
    <row r="403" ht="43.5" customHeight="1">
      <c r="A403" s="142" t="n">
        <v>52968533000165</v>
      </c>
      <c r="B403" s="75" t="inlineStr">
        <is>
          <t>52.968.533/0001-65</t>
        </is>
      </c>
      <c r="C403" s="75" t="inlineStr">
        <is>
          <t>tipo_recebivel</t>
        </is>
      </c>
      <c r="D403" s="75" t="inlineStr">
        <is>
          <t>os direitos creditórios performados originados da venda a prazo de Bens, assim como da prestação dos Serviços pela Cedente, representados pelos Documentos Comprobatórios, conforme o caso, detidas pela Cedente contra os Devedores</t>
        </is>
      </c>
      <c r="E403" s="75" t="inlineStr">
        <is>
          <t>N/D</t>
        </is>
      </c>
      <c r="F403" s="75" t="inlineStr">
        <is>
          <t>regulamento</t>
        </is>
      </c>
      <c r="G403" s="75" t="inlineStr">
        <is>
          <t>994391</t>
        </is>
      </c>
      <c r="H403" s="75" t="inlineStr">
        <is>
          <t>Regulamento</t>
        </is>
      </c>
      <c r="I403" s="75" t="inlineStr">
        <is>
          <t>06/08/2025</t>
        </is>
      </c>
      <c r="J403" s="75" t="inlineStr">
        <is>
          <t>63</t>
        </is>
      </c>
      <c r="K403" s="75" t="inlineStr">
        <is>
          <t>encontrado_explicito</t>
        </is>
      </c>
      <c r="L403" s="144" t="n">
        <v>0.92</v>
      </c>
      <c r="M403" s="75" t="inlineStr">
        <is>
          <t>.cache/carteira_101_document_scan/52968533000165/994391.json.gz</t>
        </is>
      </c>
      <c r="N403" s="75" t="inlineStr">
        <is>
          <t>https://fnet.bmfbovespa.com.br/fnet/publico/downloadDocumento?id=994391</t>
        </is>
      </c>
      <c r="O403" s="75" t="inlineStr">
        <is>
          <t>cedidos ao Fundo, observadas as características e condições descritas neste Anexo Descritivo. “Direitos Creditórios” Significam os direitos creditórios performados originados da venda a prazo de Bens, assim como da prestação dos Serviços pela Cedente, representados pelos Documentos Comprobatórios, conforme o caso, detidas pela Cedente contra os Devedores. “Direitos Creditórios Cedidos” Significam os Direitos Creditórios Elegíveis adquiridos pela</t>
        </is>
      </c>
    </row>
    <row r="404" ht="43.5" customHeight="1">
      <c r="A404" s="142" t="n">
        <v>53270983000142</v>
      </c>
      <c r="B404" s="75" t="inlineStr">
        <is>
          <t>53.270.983/0001-42</t>
        </is>
      </c>
      <c r="C404" s="75" t="inlineStr">
        <is>
          <t>cedente</t>
        </is>
      </c>
      <c r="D404" s="75" t="inlineStr">
        <is>
          <t>QI Tech</t>
        </is>
      </c>
      <c r="E404" s="75" t="inlineStr">
        <is>
          <t>N/D</t>
        </is>
      </c>
      <c r="F404" s="75" t="inlineStr">
        <is>
          <t>planilha_manual</t>
        </is>
      </c>
      <c r="G404" s="75" t="inlineStr">
        <is>
          <t>IMG_8704.JPG</t>
        </is>
      </c>
      <c r="H404" s="75" t="inlineStr">
        <is>
          <t>payload</t>
        </is>
      </c>
      <c r="I404" s="75" t="inlineStr">
        <is>
          <t>2025-04-03</t>
        </is>
      </c>
      <c r="J404" s="75" t="inlineStr">
        <is>
          <t>14</t>
        </is>
      </c>
      <c r="K404" s="75" t="inlineStr">
        <is>
          <t>aceito_payload</t>
        </is>
      </c>
      <c r="L404" s="144" t="n">
        <v>1</v>
      </c>
      <c r="M404" s="75" t="inlineStr">
        <is>
          <t>data/industry_study/generated_revision/artifact_payload.json</t>
        </is>
      </c>
      <c r="N404" s="75" t="inlineStr">
        <is>
          <t>N/D</t>
        </is>
      </c>
      <c r="O404" s="75" t="inlineStr">
        <is>
          <t>N/D</t>
        </is>
      </c>
    </row>
    <row r="405" ht="43.5" customHeight="1">
      <c r="A405" s="142" t="n">
        <v>53270983000142</v>
      </c>
      <c r="B405" s="75" t="inlineStr">
        <is>
          <t>53.270.983/0001-42</t>
        </is>
      </c>
      <c r="C405" s="75" t="inlineStr">
        <is>
          <t>minimo_estrutural_total</t>
        </is>
      </c>
      <c r="D405" s="75" t="inlineStr">
        <is>
          <t>20%</t>
        </is>
      </c>
      <c r="E405" s="75" t="inlineStr">
        <is>
          <t>suporte_total_pl</t>
        </is>
      </c>
      <c r="F405" s="75" t="inlineStr">
        <is>
          <t>regulamento</t>
        </is>
      </c>
      <c r="G405" s="75" t="inlineStr">
        <is>
          <t>881263</t>
        </is>
      </c>
      <c r="H405" s="75" t="inlineStr">
        <is>
          <t>Regulamento</t>
        </is>
      </c>
      <c r="I405" s="75" t="inlineStr">
        <is>
          <t>03/04/2025</t>
        </is>
      </c>
      <c r="J405" s="75" t="inlineStr">
        <is>
          <t>14</t>
        </is>
      </c>
      <c r="K405" s="75" t="inlineStr">
        <is>
          <t>encontrado_explicito</t>
        </is>
      </c>
      <c r="L405" s="144" t="n">
        <v>0.95</v>
      </c>
      <c r="M405" s="75" t="inlineStr">
        <is>
          <t>.cache/carteira_101_document_scan/53270983000142/881263.json.gz</t>
        </is>
      </c>
      <c r="N405" s="75" t="inlineStr">
        <is>
          <t>https://fnet.bmfbovespa.com.br/fnet/publico/downloadDocumento?id=881263</t>
        </is>
      </c>
      <c r="O405" s="75" t="inlineStr">
        <is>
          <t>nifica a razão entre (a) somatório do valor de face de todas as parcelas em aberto de CCB com parcelas em atraso; e (b) somatório do valor de face de todas as parcelas adquiridas; Índice de Subordinação Sênior A relação equivalente a, no mínimo, 20% (vinte por cento) entre o valor das Cotas Subordinadas Mezanino e das Cotas Subordinadas Júnior, em conjunto, em circulação, e o Patrimônio Líquidoda Classe A, nos termos do artigo2º,inciso XV e doartigo 20, inciso II,</t>
        </is>
      </c>
    </row>
    <row r="406" ht="43.5" customHeight="1">
      <c r="A406" s="142" t="n">
        <v>53270983000142</v>
      </c>
      <c r="B406" s="75" t="inlineStr">
        <is>
          <t>53.270.983/0001-42</t>
        </is>
      </c>
      <c r="C406" s="75" t="inlineStr">
        <is>
          <t>minimo_junior</t>
        </is>
      </c>
      <c r="D406" s="75" t="inlineStr">
        <is>
          <t>8%</t>
        </is>
      </c>
      <c r="E406" s="75" t="inlineStr">
        <is>
          <t>junior_pl</t>
        </is>
      </c>
      <c r="F406" s="75" t="inlineStr">
        <is>
          <t>payload_documental</t>
        </is>
      </c>
      <c r="G406" s="75" t="inlineStr">
        <is>
          <t>881263</t>
        </is>
      </c>
      <c r="H406" s="75" t="inlineStr">
        <is>
          <t>documento_curado</t>
        </is>
      </c>
      <c r="I406" s="75" t="inlineStr">
        <is>
          <t>2025-04-03</t>
        </is>
      </c>
      <c r="J406" s="75" t="inlineStr">
        <is>
          <t>14</t>
        </is>
      </c>
      <c r="K406" s="75" t="inlineStr">
        <is>
          <t>aceito_payload</t>
        </is>
      </c>
      <c r="L406" s="144" t="n">
        <v>1</v>
      </c>
      <c r="M406" s="75" t="inlineStr">
        <is>
          <t>data/industry_study/generated_revision/artifact_payload.json</t>
        </is>
      </c>
      <c r="N406" s="75" t="inlineStr">
        <is>
          <t>https://fnet.bmfbovespa.com.br/fnet/publico/downloadDocumento?id=881263</t>
        </is>
      </c>
      <c r="O406" s="75" t="inlineStr">
        <is>
          <t>Índice de Subordinação Mezanino: cotas júnior / PL, mínimo de 8,0%.</t>
        </is>
      </c>
    </row>
    <row r="407" ht="43.5" customHeight="1">
      <c r="A407" s="142" t="n">
        <v>53270983000142</v>
      </c>
      <c r="B407" s="75" t="inlineStr">
        <is>
          <t>53.270.983/0001-42</t>
        </is>
      </c>
      <c r="C407" s="75" t="inlineStr">
        <is>
          <t>natureza_indice</t>
        </is>
      </c>
      <c r="D407" s="75" t="inlineStr">
        <is>
          <t>junior_pl</t>
        </is>
      </c>
      <c r="E407" s="75" t="inlineStr">
        <is>
          <t>junior_pl</t>
        </is>
      </c>
      <c r="F407" s="75" t="inlineStr">
        <is>
          <t>payload_documental</t>
        </is>
      </c>
      <c r="G407" s="75" t="inlineStr">
        <is>
          <t>881263</t>
        </is>
      </c>
      <c r="H407" s="75" t="inlineStr">
        <is>
          <t>documento_curado</t>
        </is>
      </c>
      <c r="I407" s="75" t="inlineStr">
        <is>
          <t>2025-04-03</t>
        </is>
      </c>
      <c r="J407" s="75" t="inlineStr">
        <is>
          <t>14</t>
        </is>
      </c>
      <c r="K407" s="75" t="inlineStr">
        <is>
          <t>aceito_payload</t>
        </is>
      </c>
      <c r="L407" s="144" t="n">
        <v>1</v>
      </c>
      <c r="M407" s="75" t="inlineStr">
        <is>
          <t>data/industry_study/generated_revision/artifact_payload.json</t>
        </is>
      </c>
      <c r="N407" s="75" t="inlineStr">
        <is>
          <t>https://fnet.bmfbovespa.com.br/fnet/publico/downloadDocumento?id=881263</t>
        </is>
      </c>
      <c r="O407" s="75" t="inlineStr">
        <is>
          <t>Índice de Subordinação Mezanino: cotas júnior / PL, mínimo de 8,0%.</t>
        </is>
      </c>
    </row>
    <row r="408" ht="43.5" customHeight="1">
      <c r="A408" s="142" t="n">
        <v>53577135000180</v>
      </c>
      <c r="B408" s="75" t="inlineStr">
        <is>
          <t>53.577.135/0001-80</t>
        </is>
      </c>
      <c r="C408" s="75" t="inlineStr">
        <is>
          <t>cedente</t>
        </is>
      </c>
      <c r="D408" s="75" t="inlineStr">
        <is>
          <t>QI Tech</t>
        </is>
      </c>
      <c r="E408" s="75" t="inlineStr">
        <is>
          <t>N/D</t>
        </is>
      </c>
      <c r="F408" s="75" t="inlineStr">
        <is>
          <t>planilha_manual</t>
        </is>
      </c>
      <c r="G408" s="75" t="inlineStr">
        <is>
          <t>IMG_8704.JPG</t>
        </is>
      </c>
      <c r="H408" s="75" t="inlineStr">
        <is>
          <t>payload</t>
        </is>
      </c>
      <c r="I408" s="75" t="inlineStr">
        <is>
          <t>2026-06-18</t>
        </is>
      </c>
      <c r="J408" s="75" t="inlineStr">
        <is>
          <t>17</t>
        </is>
      </c>
      <c r="K408" s="75" t="inlineStr">
        <is>
          <t>aceito_payload</t>
        </is>
      </c>
      <c r="L408" s="144" t="n">
        <v>1</v>
      </c>
      <c r="M408" s="75" t="inlineStr">
        <is>
          <t>data/industry_study/generated_revision/artifact_payload.json</t>
        </is>
      </c>
      <c r="N408" s="75" t="inlineStr">
        <is>
          <t>N/D</t>
        </is>
      </c>
      <c r="O408" s="75" t="inlineStr">
        <is>
          <t>Denominação cortada pela largura da coluna na foto.</t>
        </is>
      </c>
    </row>
    <row r="409" ht="43.5" customHeight="1">
      <c r="A409" s="142" t="n">
        <v>53577135000180</v>
      </c>
      <c r="B409" s="75" t="inlineStr">
        <is>
          <t>53.577.135/0001-80</t>
        </is>
      </c>
      <c r="C409" s="75" t="inlineStr">
        <is>
          <t>minimo_junior</t>
        </is>
      </c>
      <c r="D409" s="75" t="inlineStr">
        <is>
          <t>15%</t>
        </is>
      </c>
      <c r="E409" s="75" t="inlineStr">
        <is>
          <t>junior_pl</t>
        </is>
      </c>
      <c r="F409" s="75" t="inlineStr">
        <is>
          <t>payload_documental</t>
        </is>
      </c>
      <c r="G409" s="75" t="inlineStr">
        <is>
          <t>1224059</t>
        </is>
      </c>
      <c r="H409" s="75" t="inlineStr">
        <is>
          <t>documento_curado</t>
        </is>
      </c>
      <c r="I409" s="75" t="inlineStr">
        <is>
          <t>2026-06-18</t>
        </is>
      </c>
      <c r="J409" s="75" t="inlineStr">
        <is>
          <t>17</t>
        </is>
      </c>
      <c r="K409" s="75" t="inlineStr">
        <is>
          <t>aceito_payload</t>
        </is>
      </c>
      <c r="L409" s="144" t="n">
        <v>1</v>
      </c>
      <c r="M409" s="75" t="inlineStr">
        <is>
          <t>data/industry_study/generated_revision/artifact_payload.json</t>
        </is>
      </c>
      <c r="N409" s="75" t="inlineStr">
        <is>
          <t>https://fnet.bmfbovespa.com.br/fnet/publico/downloadDocumento?id=1224059</t>
        </is>
      </c>
      <c r="O409" s="75" t="inlineStr">
        <is>
          <t>Índice de Subordinação Mezanino: cotas júnior / PL, mínimo de 15,0%.</t>
        </is>
      </c>
    </row>
    <row r="410" ht="43.5" customHeight="1">
      <c r="A410" s="142" t="n">
        <v>53577135000180</v>
      </c>
      <c r="B410" s="75" t="inlineStr">
        <is>
          <t>53.577.135/0001-80</t>
        </is>
      </c>
      <c r="C410" s="75" t="inlineStr">
        <is>
          <t>natureza_indice</t>
        </is>
      </c>
      <c r="D410" s="75" t="inlineStr">
        <is>
          <t>junior_pl</t>
        </is>
      </c>
      <c r="E410" s="75" t="inlineStr">
        <is>
          <t>junior_pl</t>
        </is>
      </c>
      <c r="F410" s="75" t="inlineStr">
        <is>
          <t>payload_documental</t>
        </is>
      </c>
      <c r="G410" s="75" t="inlineStr">
        <is>
          <t>1224059</t>
        </is>
      </c>
      <c r="H410" s="75" t="inlineStr">
        <is>
          <t>documento_curado</t>
        </is>
      </c>
      <c r="I410" s="75" t="inlineStr">
        <is>
          <t>2026-06-18</t>
        </is>
      </c>
      <c r="J410" s="75" t="inlineStr">
        <is>
          <t>17</t>
        </is>
      </c>
      <c r="K410" s="75" t="inlineStr">
        <is>
          <t>aceito_payload</t>
        </is>
      </c>
      <c r="L410" s="144" t="n">
        <v>1</v>
      </c>
      <c r="M410" s="75" t="inlineStr">
        <is>
          <t>data/industry_study/generated_revision/artifact_payload.json</t>
        </is>
      </c>
      <c r="N410" s="75" t="inlineStr">
        <is>
          <t>https://fnet.bmfbovespa.com.br/fnet/publico/downloadDocumento?id=1224059</t>
        </is>
      </c>
      <c r="O410" s="75" t="inlineStr">
        <is>
          <t>Índice de Subordinação Mezanino: cotas júnior / PL, mínimo de 15,0%.</t>
        </is>
      </c>
    </row>
    <row r="411" ht="43.5" customHeight="1">
      <c r="A411" s="142" t="n">
        <v>53577135000180</v>
      </c>
      <c r="B411" s="75" t="inlineStr">
        <is>
          <t>53.577.135/0001-80</t>
        </is>
      </c>
      <c r="C411" s="75" t="inlineStr">
        <is>
          <t>tipo_recebivel</t>
        </is>
      </c>
      <c r="D411" s="75" t="inlineStr">
        <is>
          <t>Crédito FGTS</t>
        </is>
      </c>
      <c r="E411" s="75" t="inlineStr">
        <is>
          <t>N/D</t>
        </is>
      </c>
      <c r="F411" s="75" t="inlineStr">
        <is>
          <t>planilha_manual</t>
        </is>
      </c>
      <c r="G411" s="75" t="inlineStr">
        <is>
          <t>IMG_8704.JPG</t>
        </is>
      </c>
      <c r="H411" s="75" t="inlineStr">
        <is>
          <t>payload</t>
        </is>
      </c>
      <c r="I411" s="75" t="inlineStr">
        <is>
          <t>2026-06-18</t>
        </is>
      </c>
      <c r="J411" s="75" t="inlineStr">
        <is>
          <t>17</t>
        </is>
      </c>
      <c r="K411" s="75" t="inlineStr">
        <is>
          <t>aceito_payload</t>
        </is>
      </c>
      <c r="L411" s="144" t="n">
        <v>1</v>
      </c>
      <c r="M411" s="75" t="inlineStr">
        <is>
          <t>data/industry_study/generated_revision/artifact_payload.json</t>
        </is>
      </c>
      <c r="N411" s="75" t="inlineStr">
        <is>
          <t>N/D</t>
        </is>
      </c>
      <c r="O411" s="75" t="inlineStr">
        <is>
          <t>Denominação cortada pela largura da coluna na foto.</t>
        </is>
      </c>
    </row>
    <row r="412" ht="43.5" customHeight="1">
      <c r="A412" s="142" t="n">
        <v>53662209000187</v>
      </c>
      <c r="B412" s="75" t="inlineStr">
        <is>
          <t>53.662.209/0001-87</t>
        </is>
      </c>
      <c r="C412" s="75" t="inlineStr">
        <is>
          <t>cedente</t>
        </is>
      </c>
      <c r="D412" s="75" t="inlineStr">
        <is>
          <t>Cantu Store</t>
        </is>
      </c>
      <c r="E412" s="75" t="inlineStr">
        <is>
          <t>N/D</t>
        </is>
      </c>
      <c r="F412" s="75" t="inlineStr">
        <is>
          <t>planilha_manual</t>
        </is>
      </c>
      <c r="G412" s="75" t="inlineStr">
        <is>
          <t>IMG_8704.JPG</t>
        </is>
      </c>
      <c r="H412" s="75" t="inlineStr">
        <is>
          <t>payload</t>
        </is>
      </c>
      <c r="I412" s="75" t="inlineStr">
        <is>
          <t>2026-06-30</t>
        </is>
      </c>
      <c r="J412" s="75" t="inlineStr">
        <is>
          <t>49</t>
        </is>
      </c>
      <c r="K412" s="75" t="inlineStr">
        <is>
          <t>aceito_payload</t>
        </is>
      </c>
      <c r="L412" s="144" t="n">
        <v>1</v>
      </c>
      <c r="M412" s="75" t="inlineStr">
        <is>
          <t>data/industry_study/generated_revision/artifact_payload.json</t>
        </is>
      </c>
      <c r="N412" s="75" t="inlineStr">
        <is>
          <t>N/D</t>
        </is>
      </c>
      <c r="O412" s="75" t="inlineStr">
        <is>
          <t>OBS da foto: FIDC pulverizado com 20% de subordinação e baixa inadimplência.</t>
        </is>
      </c>
    </row>
    <row r="413" ht="43.5" customHeight="1">
      <c r="A413" s="142" t="n">
        <v>53662209000187</v>
      </c>
      <c r="B413" s="75" t="inlineStr">
        <is>
          <t>53.662.209/0001-87</t>
        </is>
      </c>
      <c r="C413" s="75" t="inlineStr">
        <is>
          <t>minimo_estrutural_total</t>
        </is>
      </c>
      <c r="D413" s="75" t="inlineStr">
        <is>
          <t>20%</t>
        </is>
      </c>
      <c r="E413" s="75" t="inlineStr">
        <is>
          <t>suporte_total_pl</t>
        </is>
      </c>
      <c r="F413" s="75" t="inlineStr">
        <is>
          <t>payload_documental</t>
        </is>
      </c>
      <c r="G413" s="75" t="inlineStr">
        <is>
          <t>1239751</t>
        </is>
      </c>
      <c r="H413" s="75" t="inlineStr">
        <is>
          <t>documento_curado</t>
        </is>
      </c>
      <c r="I413" s="75" t="inlineStr">
        <is>
          <t>2026-06-30</t>
        </is>
      </c>
      <c r="J413" s="75" t="inlineStr">
        <is>
          <t>49</t>
        </is>
      </c>
      <c r="K413" s="75" t="inlineStr">
        <is>
          <t>aceito_payload</t>
        </is>
      </c>
      <c r="L413" s="144" t="n">
        <v>1</v>
      </c>
      <c r="M413" s="75" t="inlineStr">
        <is>
          <t>data/industry_study/generated_revision/artifact_payload.json</t>
        </is>
      </c>
      <c r="N413" s="75" t="inlineStr">
        <is>
          <t>https://fnet.bmfbovespa.com.br/fnet/publico/downloadDocumento?id=1239751</t>
        </is>
      </c>
      <c r="O413" s="75" t="inlineStr">
        <is>
          <t>N/D</t>
        </is>
      </c>
    </row>
    <row r="414" ht="43.5" customHeight="1">
      <c r="A414" s="142" t="n">
        <v>53662209000187</v>
      </c>
      <c r="B414" s="75" t="inlineStr">
        <is>
          <t>53.662.209/0001-87</t>
        </is>
      </c>
      <c r="C414" s="75" t="inlineStr">
        <is>
          <t>natureza_indice</t>
        </is>
      </c>
      <c r="D414" s="75" t="inlineStr">
        <is>
          <t>suporte_total_pl</t>
        </is>
      </c>
      <c r="E414" s="75" t="inlineStr">
        <is>
          <t>suporte_total_pl</t>
        </is>
      </c>
      <c r="F414" s="75" t="inlineStr">
        <is>
          <t>payload_documental</t>
        </is>
      </c>
      <c r="G414" s="75" t="inlineStr">
        <is>
          <t>1239751</t>
        </is>
      </c>
      <c r="H414" s="75" t="inlineStr">
        <is>
          <t>documento_curado</t>
        </is>
      </c>
      <c r="I414" s="75" t="inlineStr">
        <is>
          <t>2026-06-30</t>
        </is>
      </c>
      <c r="J414" s="75" t="inlineStr">
        <is>
          <t>49</t>
        </is>
      </c>
      <c r="K414" s="75" t="inlineStr">
        <is>
          <t>aceito_payload</t>
        </is>
      </c>
      <c r="L414" s="144" t="n">
        <v>1</v>
      </c>
      <c r="M414" s="75" t="inlineStr">
        <is>
          <t>data/industry_study/generated_revision/artifact_payload.json</t>
        </is>
      </c>
      <c r="N414" s="75" t="inlineStr">
        <is>
          <t>https://fnet.bmfbovespa.com.br/fnet/publico/downloadDocumento?id=1239751</t>
        </is>
      </c>
      <c r="O414" s="75" t="inlineStr">
        <is>
          <t>N/D</t>
        </is>
      </c>
    </row>
    <row r="415" ht="43.5" customHeight="1">
      <c r="A415" s="142" t="n">
        <v>53662209000187</v>
      </c>
      <c r="B415" s="75" t="inlineStr">
        <is>
          <t>53.662.209/0001-87</t>
        </is>
      </c>
      <c r="C415" s="75" t="inlineStr">
        <is>
          <t>sacado_devedor</t>
        </is>
      </c>
      <c r="D415" s="75" t="inlineStr">
        <is>
          <t>os devedores (sacados), pessoas físicas ou jurídicas, que tenham estabelecido relação de consumo dos Direitos Creditórios com as Cedentes</t>
        </is>
      </c>
      <c r="E415" s="75" t="inlineStr">
        <is>
          <t>N/D</t>
        </is>
      </c>
      <c r="F415" s="75" t="inlineStr">
        <is>
          <t>regulamento</t>
        </is>
      </c>
      <c r="G415" s="75" t="inlineStr">
        <is>
          <t>911129</t>
        </is>
      </c>
      <c r="H415" s="75" t="inlineStr">
        <is>
          <t>regulamento</t>
        </is>
      </c>
      <c r="I415" s="75" t="inlineStr">
        <is>
          <t>2025-05-21</t>
        </is>
      </c>
      <c r="J415" s="75" t="inlineStr">
        <is>
          <t>6</t>
        </is>
      </c>
      <c r="K415" s="75" t="inlineStr">
        <is>
          <t>encontrado_explicito</t>
        </is>
      </c>
      <c r="L415" s="144" t="n">
        <v>0.95</v>
      </c>
      <c r="M415" s="75" t="inlineStr">
        <is>
          <t>data/raw/53662209000187/911129_regulamento_regulamento_911129_2025-05-21_2025-05-21.pdf</t>
        </is>
      </c>
      <c r="N415" s="75" t="inlineStr">
        <is>
          <t>https://fnet.bmfbovespa.com.br/fnet/publico/downloadDocumento?id=911129</t>
        </is>
      </c>
      <c r="O415" s="75" t="inlineStr">
        <is>
          <t>Recursos. “Data de Subscrição Inicial” Significa a data da primeira subscrição e integralização da respectiva Cota. “Devedores” Significam os devedores (sacados), pessoas físicas ou jurídicas, que tenham estabelecido relação de consumo dos Direitos Creditórios com as Cedentes. “Dia Útil” Significa qualquer dia exceto (i) sábados, domingos ou feriados nacionais; e (ii) aqueles sem expediente</t>
        </is>
      </c>
    </row>
    <row r="416" ht="43.5" customHeight="1">
      <c r="A416" s="142" t="n">
        <v>53662209000187</v>
      </c>
      <c r="B416" s="75" t="inlineStr">
        <is>
          <t>53.662.209/0001-87</t>
        </is>
      </c>
      <c r="C416" s="75" t="inlineStr">
        <is>
          <t>sacado_devedor</t>
        </is>
      </c>
      <c r="D416" s="75" t="inlineStr">
        <is>
          <t>os devedores (sacados), pessoas físicas ou jurídicas, que tenham estabelecido relação de consumo dos Direitos Creditórios com as Cedentes</t>
        </is>
      </c>
      <c r="E416" s="75" t="inlineStr">
        <is>
          <t>N/D</t>
        </is>
      </c>
      <c r="F416" s="75" t="inlineStr">
        <is>
          <t>regulamento</t>
        </is>
      </c>
      <c r="G416" s="75" t="inlineStr">
        <is>
          <t>1239751</t>
        </is>
      </c>
      <c r="H416" s="75" t="inlineStr">
        <is>
          <t>Regulamento</t>
        </is>
      </c>
      <c r="I416" s="75" t="inlineStr">
        <is>
          <t>30/06/2026</t>
        </is>
      </c>
      <c r="J416" s="75" t="inlineStr">
        <is>
          <t>7</t>
        </is>
      </c>
      <c r="K416" s="75" t="inlineStr">
        <is>
          <t>encontrado_explicito</t>
        </is>
      </c>
      <c r="L416" s="144" t="n">
        <v>0.95</v>
      </c>
      <c r="M416" s="75" t="inlineStr">
        <is>
          <t>.cache/carteira_101_document_scan/53662209000187/1239751.json.gz</t>
        </is>
      </c>
      <c r="N416" s="75" t="inlineStr">
        <is>
          <t>https://fnet.bmfbovespa.com.br/fnet/publico/downloadDocumento?id=1239751</t>
        </is>
      </c>
      <c r="O416" s="75" t="inlineStr">
        <is>
          <t>de Subscrição Inicial ” Significa a data da primeira subscrição e integralização da respectiva Cota. “Devedores” Significam os devedores (sacados), pessoas físicas ou jurídicas, que tenham estabelecido relação de consumo dos Direitos Creditórios com as Cedentes. “Dia Úti l” Significa qualquer dia exceto (i) sábados, domingos ou feriados nacionais; e (ii) aqueles sem expedi</t>
        </is>
      </c>
    </row>
    <row r="417" ht="43.5" customHeight="1">
      <c r="A417" s="142" t="n">
        <v>53662209000187</v>
      </c>
      <c r="B417" s="75" t="inlineStr">
        <is>
          <t>53.662.209/0001-87</t>
        </is>
      </c>
      <c r="C417" s="75" t="inlineStr">
        <is>
          <t>sacado_devedor</t>
        </is>
      </c>
      <c r="D417" s="75" t="inlineStr">
        <is>
          <t>os devedores (sacados), pessoas físicas ou jurídicas, que tenham estabelecido relação de consumo dos Direitos Creditórios com as Cedentes</t>
        </is>
      </c>
      <c r="E417" s="75" t="inlineStr">
        <is>
          <t>N/D</t>
        </is>
      </c>
      <c r="F417" s="75" t="inlineStr">
        <is>
          <t>regulamento</t>
        </is>
      </c>
      <c r="G417" s="75" t="inlineStr">
        <is>
          <t>53662209000187</t>
        </is>
      </c>
      <c r="H417" s="75" t="inlineStr">
        <is>
          <t>regulamento</t>
        </is>
      </c>
      <c r="I417" s="75" t="inlineStr">
        <is>
          <t>N/D</t>
        </is>
      </c>
      <c r="J417" s="75" t="inlineStr">
        <is>
          <t>1</t>
        </is>
      </c>
      <c r="K417" s="75" t="inlineStr">
        <is>
          <t>encontrado_explicito</t>
        </is>
      </c>
      <c r="L417" s="144" t="n">
        <v>0.95</v>
      </c>
      <c r="M417" s="75" t="inlineStr">
        <is>
          <t>outputs/fidc_director_deep_diagnostic_20260609/pdf_text_cache/53662209000187_911129_regulamento_regulamento_911129_2025-05-21_2025-05-21.txt</t>
        </is>
      </c>
      <c r="N417" s="75" t="inlineStr">
        <is>
          <t>https://fnet.bmfbovespa.com.br/fnet/publico/downloadDocumento?id=53662209000187</t>
        </is>
      </c>
      <c r="O417" s="75" t="inlineStr">
        <is>
          <t>Recursos. “Data de Subscrição Inicial” Significa a data da primeira subscrição e integralização da respectiva Cota. “Devedores” Significam os devedores (sacados), pessoas físicas ou jurídicas, que tenham estabelecido relação de consumo dos Direitos Creditórios com as Cedentes. “Dia Útil” Significa qualquer dia exceto (i) sábados, domingos ou feriados nacionais; e (ii) aqueles sem expediente</t>
        </is>
      </c>
    </row>
    <row r="418" ht="43.5" customHeight="1">
      <c r="A418" s="142" t="n">
        <v>53662209000187</v>
      </c>
      <c r="B418" s="75" t="inlineStr">
        <is>
          <t>53.662.209/0001-87</t>
        </is>
      </c>
      <c r="C418" s="75" t="inlineStr">
        <is>
          <t>sacado_devedor</t>
        </is>
      </c>
      <c r="D418" s="75" t="inlineStr">
        <is>
          <t>15.426.874/0001-82</t>
        </is>
      </c>
      <c r="E418" s="75" t="inlineStr">
        <is>
          <t>N/D</t>
        </is>
      </c>
      <c r="F418" s="75" t="inlineStr">
        <is>
          <t>candidate_extraction</t>
        </is>
      </c>
      <c r="G418" s="75" t="inlineStr">
        <is>
          <t>53662209000187</t>
        </is>
      </c>
      <c r="H418" s="75" t="inlineStr">
        <is>
          <t>extração heurística</t>
        </is>
      </c>
      <c r="I418" s="75" t="inlineStr">
        <is>
          <t>N/D</t>
        </is>
      </c>
      <c r="J418" s="75" t="inlineStr">
        <is>
          <t>N/D</t>
        </is>
      </c>
      <c r="K418" s="75" t="inlineStr">
        <is>
          <t>candidato_revisao</t>
        </is>
      </c>
      <c r="L418" s="144" t="n">
        <v>0.95</v>
      </c>
      <c r="M418" s="75" t="inlineStr">
        <is>
          <t>outputs/fidc_director_deep_diagnostic_20260609/pdf_text_cache/53662209000187_911129_regulamento_regulamento_911129_2025-05-21_2025-05-21.txt</t>
        </is>
      </c>
      <c r="N418" s="75" t="inlineStr">
        <is>
          <t>https://fnet.bmfbovespa.com.br/fnet/publico/downloadDocumento?id=53662209000187</t>
        </is>
      </c>
      <c r="O418" s="75" t="inlineStr">
        <is>
          <t>nº 15.426.874/0001-82. “Nota Fiscal” Significam as notas fiscais eletrônicas representativas das Operações a Prazo que originaram os Direitos Creditórios Adquiridos pelo Fundo e/ou pela Classe Única, detidas pelos Cedentes contra os Devedores e cedidas de acordo com o estabelecido em cada Contrato de Cessão. “Operações a Prazo” Significa o comércio dos Produtos, pelas Cedentes junto aos Devedores, cujo pagamento é realizado a pra</t>
        </is>
      </c>
    </row>
    <row r="419" ht="43.5" customHeight="1">
      <c r="A419" s="142" t="n">
        <v>54083697000130</v>
      </c>
      <c r="B419" s="75" t="inlineStr">
        <is>
          <t>54.083.697/0001-30</t>
        </is>
      </c>
      <c r="C419" s="75" t="inlineStr">
        <is>
          <t>cedente</t>
        </is>
      </c>
      <c r="D419" s="75" t="inlineStr">
        <is>
          <t>a ARTHUR LUNDGREN TECIDOS S.A CASAS PERNAMBUCANAS, sociedade anônima, sem registro de companhia aberta perante à CVM, com sede na Cidade de São Paulo, Estado de São Paulo, na Rua da Consolação, 2.411, 2387, Consolação, CEP 01301-100, inscrita no CNPJ sob o nº 61.099.834/0001 -90, sendo certo que transações realizadas sob o CNPJ de quaisquer filiais estão abrangidas nesta definição</t>
        </is>
      </c>
      <c r="E419" s="75" t="inlineStr">
        <is>
          <t>N/D</t>
        </is>
      </c>
      <c r="F419" s="75" t="inlineStr">
        <is>
          <t>regulamento</t>
        </is>
      </c>
      <c r="G419" s="75" t="inlineStr">
        <is>
          <t>640301</t>
        </is>
      </c>
      <c r="H419" s="75" t="inlineStr">
        <is>
          <t>Regulamento</t>
        </is>
      </c>
      <c r="I419" s="75" t="inlineStr">
        <is>
          <t>12/04/2024</t>
        </is>
      </c>
      <c r="J419" s="75" t="inlineStr">
        <is>
          <t>5</t>
        </is>
      </c>
      <c r="K419" s="75" t="inlineStr">
        <is>
          <t>encontrado_explicito</t>
        </is>
      </c>
      <c r="L419" s="144" t="n">
        <v>0.95</v>
      </c>
      <c r="M419" s="75" t="inlineStr">
        <is>
          <t>.cache/carteira_101_document_scan/54083697000130/640301.json.gz</t>
        </is>
      </c>
      <c r="N419" s="75" t="inlineStr">
        <is>
          <t>https://fnet.bmfbovespa.com.br/fnet/publico/downloadDocumento?id=640301</t>
        </is>
      </c>
      <c r="O419" s="75" t="inlineStr">
        <is>
          <t>uário, prazo de validade e logomarca de uma das Bandeiras, instrumento este utilizado em transações de pagamento. “Cedente” Significa a ARTHUR LUNDGREN TECIDOS S.A CASAS PERNAMBUCANAS, sociedade anônima, sem registro de companhia aberta perante à CVM, com sede na Cidade de São Paulo, Estado de São Paulo, na Rua da Consolação, 2.411, 2387, Consolação, CEP 01301-100, inscrita no CNPJ sob o nº 61.099.834/0001 -90, sendo certo que transações realizadas sob o CNPJ de quaisquer filiais estão abrangidas nesta definição. “Classe” Classe única de Cotas. Uma vez que o Fundo é constituído com classe única de Cotas, todas as referênc</t>
        </is>
      </c>
    </row>
    <row r="420" ht="43.5" customHeight="1">
      <c r="A420" s="142" t="n">
        <v>54083697000130</v>
      </c>
      <c r="B420" s="75" t="inlineStr">
        <is>
          <t>54.083.697/0001-30</t>
        </is>
      </c>
      <c r="C420" s="75" t="inlineStr">
        <is>
          <t>cedente</t>
        </is>
      </c>
      <c r="D420" s="75" t="inlineStr">
        <is>
          <t>a ARTHUR LUNDGREN TECIDOS S.A CASAS PERNAMBUCANAS, sociedade anônima, sem registro de companhia aberta perante à CVM, com sede na Cidade de São Paulo, Estado de São Paulo, na Rua da Consolação, 2.411, 2387, Consolação, CEP 01301-100, inscrita no CNPJ sob o nº 61.09 9.834/0001-90, sendo certo que transações realizadas sob o CNPJ de quaisquer filiais estão abrangidas nesta definição</t>
        </is>
      </c>
      <c r="E420" s="75" t="inlineStr">
        <is>
          <t>N/D</t>
        </is>
      </c>
      <c r="F420" s="75" t="inlineStr">
        <is>
          <t>regulamento</t>
        </is>
      </c>
      <c r="G420" s="75" t="inlineStr">
        <is>
          <t>628851</t>
        </is>
      </c>
      <c r="H420" s="75" t="inlineStr">
        <is>
          <t>Regulamento</t>
        </is>
      </c>
      <c r="I420" s="75" t="inlineStr">
        <is>
          <t>27/03/2024</t>
        </is>
      </c>
      <c r="J420" s="75" t="inlineStr">
        <is>
          <t>5</t>
        </is>
      </c>
      <c r="K420" s="75" t="inlineStr">
        <is>
          <t>encontrado_explicito</t>
        </is>
      </c>
      <c r="L420" s="144" t="n">
        <v>0.95</v>
      </c>
      <c r="M420" s="75" t="inlineStr">
        <is>
          <t>.cache/carteira_101_document_scan/54083697000130/628851.json.gz</t>
        </is>
      </c>
      <c r="N420" s="75" t="inlineStr">
        <is>
          <t>https://fnet.bmfbovespa.com.br/fnet/publico/downloadDocumento?id=628851</t>
        </is>
      </c>
      <c r="O420" s="75" t="inlineStr">
        <is>
          <t>uário, prazo de validade e logomarca de uma das Bandeiras, instrumento este utilizado em transações de pagamento. “Cedente” Significa a ARTHUR LUNDGREN TECIDOS S.A CASAS PERNAMBUCANAS, sociedade anônima, sem registro de companhia aberta perante à CVM, com sede na Cidade de São Paulo, Estado de São Paulo, na Rua da Consolação, 2.411, 2387, Consolação, CEP 01301-100, inscrita no CNPJ sob o nº 61.09 9.834/0001-90, sendo certo que transações realizadas sob o CNPJ de quaisquer filiais estão abrangidas nesta definição. “Classe” Classe única de Cotas. Uma vez que o Fundo é constituído com classe única de Cotas, todas as referênc</t>
        </is>
      </c>
    </row>
    <row r="421" ht="43.5" customHeight="1">
      <c r="A421" s="142" t="n">
        <v>54083697000130</v>
      </c>
      <c r="B421" s="75" t="inlineStr">
        <is>
          <t>54.083.697/0001-30</t>
        </is>
      </c>
      <c r="C421" s="75" t="inlineStr">
        <is>
          <t>cedente</t>
        </is>
      </c>
      <c r="D421" s="75" t="inlineStr">
        <is>
          <t>Pernambucanas</t>
        </is>
      </c>
      <c r="E421" s="75" t="inlineStr">
        <is>
          <t>N/D</t>
        </is>
      </c>
      <c r="F421" s="75" t="inlineStr">
        <is>
          <t>planilha_manual</t>
        </is>
      </c>
      <c r="G421" s="75" t="inlineStr">
        <is>
          <t>IMG_8704.JPG</t>
        </is>
      </c>
      <c r="H421" s="75" t="inlineStr">
        <is>
          <t>payload</t>
        </is>
      </c>
      <c r="I421" s="75" t="inlineStr">
        <is>
          <t>2024-04-12</t>
        </is>
      </c>
      <c r="J421" s="75" t="inlineStr">
        <is>
          <t>84</t>
        </is>
      </c>
      <c r="K421" s="75" t="inlineStr">
        <is>
          <t>aceito_payload</t>
        </is>
      </c>
      <c r="L421" s="144" t="n">
        <v>1</v>
      </c>
      <c r="M421" s="75" t="inlineStr">
        <is>
          <t>data/industry_study/generated_revision/artifact_payload.json</t>
        </is>
      </c>
      <c r="N421" s="75" t="inlineStr">
        <is>
          <t>N/D</t>
        </is>
      </c>
      <c r="O421" s="75" t="inlineStr">
        <is>
          <t>N/D</t>
        </is>
      </c>
    </row>
    <row r="422" ht="43.5" customHeight="1">
      <c r="A422" s="142" t="n">
        <v>54083697000130</v>
      </c>
      <c r="B422" s="75" t="inlineStr">
        <is>
          <t>54.083.697/0001-30</t>
        </is>
      </c>
      <c r="C422" s="75" t="inlineStr">
        <is>
          <t>minimo_estrutural_total</t>
        </is>
      </c>
      <c r="D422" s="75" t="inlineStr">
        <is>
          <t>10%</t>
        </is>
      </c>
      <c r="E422" s="75" t="inlineStr">
        <is>
          <t>suporte_total_pl</t>
        </is>
      </c>
      <c r="F422" s="75" t="inlineStr">
        <is>
          <t>payload_documental</t>
        </is>
      </c>
      <c r="G422" s="75" t="inlineStr">
        <is>
          <t>640301</t>
        </is>
      </c>
      <c r="H422" s="75" t="inlineStr">
        <is>
          <t>documento_curado</t>
        </is>
      </c>
      <c r="I422" s="75" t="inlineStr">
        <is>
          <t>2024-04-12</t>
        </is>
      </c>
      <c r="J422" s="75" t="inlineStr">
        <is>
          <t>84</t>
        </is>
      </c>
      <c r="K422" s="75" t="inlineStr">
        <is>
          <t>aceito_payload</t>
        </is>
      </c>
      <c r="L422" s="144" t="n">
        <v>1</v>
      </c>
      <c r="M422" s="75" t="inlineStr">
        <is>
          <t>data/industry_study/generated_revision/artifact_payload.json</t>
        </is>
      </c>
      <c r="N422" s="75" t="inlineStr">
        <is>
          <t>https://fnet.bmfbovespa.com.br/fnet/publico/downloadDocumento?id=640301</t>
        </is>
      </c>
      <c r="O422" s="75" t="inlineStr">
        <is>
          <t>Cotas subordinadas júnior / PL, mínimo de 10,0%.</t>
        </is>
      </c>
    </row>
    <row r="423" ht="43.5" customHeight="1">
      <c r="A423" s="142" t="n">
        <v>54083697000130</v>
      </c>
      <c r="B423" s="75" t="inlineStr">
        <is>
          <t>54.083.697/0001-30</t>
        </is>
      </c>
      <c r="C423" s="75" t="inlineStr">
        <is>
          <t>minimo_junior</t>
        </is>
      </c>
      <c r="D423" s="75" t="inlineStr">
        <is>
          <t>10%</t>
        </is>
      </c>
      <c r="E423" s="75" t="inlineStr">
        <is>
          <t>junior_pl</t>
        </is>
      </c>
      <c r="F423" s="75" t="inlineStr">
        <is>
          <t>payload_documental</t>
        </is>
      </c>
      <c r="G423" s="75" t="inlineStr">
        <is>
          <t>640301</t>
        </is>
      </c>
      <c r="H423" s="75" t="inlineStr">
        <is>
          <t>documento_curado</t>
        </is>
      </c>
      <c r="I423" s="75" t="inlineStr">
        <is>
          <t>2024-04-12</t>
        </is>
      </c>
      <c r="J423" s="75" t="inlineStr">
        <is>
          <t>84</t>
        </is>
      </c>
      <c r="K423" s="75" t="inlineStr">
        <is>
          <t>aceito_payload</t>
        </is>
      </c>
      <c r="L423" s="144" t="n">
        <v>1</v>
      </c>
      <c r="M423" s="75" t="inlineStr">
        <is>
          <t>data/industry_study/generated_revision/artifact_payload.json</t>
        </is>
      </c>
      <c r="N423" s="75" t="inlineStr">
        <is>
          <t>https://fnet.bmfbovespa.com.br/fnet/publico/downloadDocumento?id=640301</t>
        </is>
      </c>
      <c r="O423" s="75" t="inlineStr">
        <is>
          <t>Cotas subordinadas júnior / PL, mínimo de 10,0%.</t>
        </is>
      </c>
    </row>
    <row r="424" ht="43.5" customHeight="1">
      <c r="A424" s="142" t="n">
        <v>54083697000130</v>
      </c>
      <c r="B424" s="75" t="inlineStr">
        <is>
          <t>54.083.697/0001-30</t>
        </is>
      </c>
      <c r="C424" s="75" t="inlineStr">
        <is>
          <t>natureza_indice</t>
        </is>
      </c>
      <c r="D424" s="75" t="inlineStr">
        <is>
          <t>junior_pl</t>
        </is>
      </c>
      <c r="E424" s="75" t="inlineStr">
        <is>
          <t>junior_pl</t>
        </is>
      </c>
      <c r="F424" s="75" t="inlineStr">
        <is>
          <t>payload_documental</t>
        </is>
      </c>
      <c r="G424" s="75" t="inlineStr">
        <is>
          <t>640301</t>
        </is>
      </c>
      <c r="H424" s="75" t="inlineStr">
        <is>
          <t>documento_curado</t>
        </is>
      </c>
      <c r="I424" s="75" t="inlineStr">
        <is>
          <t>2024-04-12</t>
        </is>
      </c>
      <c r="J424" s="75" t="inlineStr">
        <is>
          <t>84</t>
        </is>
      </c>
      <c r="K424" s="75" t="inlineStr">
        <is>
          <t>aceito_payload</t>
        </is>
      </c>
      <c r="L424" s="144" t="n">
        <v>1</v>
      </c>
      <c r="M424" s="75" t="inlineStr">
        <is>
          <t>data/industry_study/generated_revision/artifact_payload.json</t>
        </is>
      </c>
      <c r="N424" s="75" t="inlineStr">
        <is>
          <t>https://fnet.bmfbovespa.com.br/fnet/publico/downloadDocumento?id=640301</t>
        </is>
      </c>
      <c r="O424" s="75" t="inlineStr">
        <is>
          <t>Cotas subordinadas júnior / PL, mínimo de 10,0%.</t>
        </is>
      </c>
    </row>
    <row r="425" ht="43.5" customHeight="1">
      <c r="A425" s="142" t="n">
        <v>54252144000164</v>
      </c>
      <c r="B425" s="75" t="inlineStr">
        <is>
          <t>54.252.144/0001-64</t>
        </is>
      </c>
      <c r="C425" s="75" t="inlineStr">
        <is>
          <t>cedente</t>
        </is>
      </c>
      <c r="D425" s="75" t="inlineStr">
        <is>
          <t>a J17 e, apenas para a s Aquisições Iniciais, o Metropolitana FIDC-NP</t>
        </is>
      </c>
      <c r="E425" s="75" t="inlineStr">
        <is>
          <t>N/D</t>
        </is>
      </c>
      <c r="F425" s="75" t="inlineStr">
        <is>
          <t>regulamento</t>
        </is>
      </c>
      <c r="G425" s="75" t="inlineStr">
        <is>
          <t>1223382</t>
        </is>
      </c>
      <c r="H425" s="75" t="inlineStr">
        <is>
          <t>Regulamento</t>
        </is>
      </c>
      <c r="I425" s="75" t="inlineStr">
        <is>
          <t>08/06/2026</t>
        </is>
      </c>
      <c r="J425" s="75" t="inlineStr">
        <is>
          <t>44</t>
        </is>
      </c>
      <c r="K425" s="75" t="inlineStr">
        <is>
          <t>encontrado_explicito</t>
        </is>
      </c>
      <c r="L425" s="144" t="n">
        <v>0.95</v>
      </c>
      <c r="M425" s="75" t="inlineStr">
        <is>
          <t>.cache/carteira_101_document_scan/54252144000164/1223382.json.gz</t>
        </is>
      </c>
      <c r="N425" s="75" t="inlineStr">
        <is>
          <t>https://fnet.bmfbovespa.com.br/fnet/publico/downloadDocumento?id=1223382</t>
        </is>
      </c>
      <c r="O425" s="75" t="inlineStr">
        <is>
          <t>lo Conselho Curador do FGTS , incluindo a Resolução CCFGTS 958 , bem como os atos normativos do Governo Federal. "Cedente" Significa a J17 e, apenas para a s Aquisições Iniciais, o Metropolitana FIDC-NP. "Classe" ou "Classe Única" Significa, quando utilizado neste Anexo Descritivo, a presente classe de Cotas do Fun</t>
        </is>
      </c>
    </row>
    <row r="426" ht="43.5" customHeight="1">
      <c r="A426" s="142" t="n">
        <v>54252144000164</v>
      </c>
      <c r="B426" s="75" t="inlineStr">
        <is>
          <t>54.252.144/0001-64</t>
        </is>
      </c>
      <c r="C426" s="75" t="inlineStr">
        <is>
          <t>cedente</t>
        </is>
      </c>
      <c r="D426" s="75" t="inlineStr">
        <is>
          <t>a J17 e, apenas para a s Aquisições Iniciais, o Metropolitana FIDC-NP</t>
        </is>
      </c>
      <c r="E426" s="75" t="inlineStr">
        <is>
          <t>N/D</t>
        </is>
      </c>
      <c r="F426" s="75" t="inlineStr">
        <is>
          <t>regulamento</t>
        </is>
      </c>
      <c r="G426" s="75" t="inlineStr">
        <is>
          <t>1072289</t>
        </is>
      </c>
      <c r="H426" s="75" t="inlineStr">
        <is>
          <t>regulamento</t>
        </is>
      </c>
      <c r="I426" s="75" t="inlineStr">
        <is>
          <t>2025-12-29</t>
        </is>
      </c>
      <c r="J426" s="75" t="inlineStr">
        <is>
          <t>47</t>
        </is>
      </c>
      <c r="K426" s="75" t="inlineStr">
        <is>
          <t>encontrado_explicito</t>
        </is>
      </c>
      <c r="L426" s="144" t="n">
        <v>0.95</v>
      </c>
      <c r="M426" s="75" t="inlineStr">
        <is>
          <t>data/raw/54252144000164/1072289_regulamento_regulamento_1072289_2025-12-29.pdf</t>
        </is>
      </c>
      <c r="N426" s="75" t="inlineStr">
        <is>
          <t>https://fnet.bmfbovespa.com.br/fnet/publico/downloadDocumento?id=1072289</t>
        </is>
      </c>
      <c r="O426" s="75" t="inlineStr">
        <is>
          <t>lo Conselho Curador do FGTS , incluindo a Resolução CCFGTS 958 , bem como os atos normativos do Governo Federal. "Cedente" Significa a J17 e, apenas para a s Aquisições Iniciais, o Metropolitana FIDC-NP. "Classe" ou "Classe Única" Significa, quando utilizado neste Anexo Descritivo, a presente classe de Cotas do Fun</t>
        </is>
      </c>
    </row>
    <row r="427" ht="43.5" customHeight="1">
      <c r="A427" s="142" t="n">
        <v>54252144000164</v>
      </c>
      <c r="B427" s="75" t="inlineStr">
        <is>
          <t>54.252.144/0001-64</t>
        </is>
      </c>
      <c r="C427" s="75" t="inlineStr">
        <is>
          <t>cedente</t>
        </is>
      </c>
      <c r="D427" s="75" t="inlineStr">
        <is>
          <t>a J17 e, apenas para a s Aquisições Iniciais, o Metropolitana FIDC-NP</t>
        </is>
      </c>
      <c r="E427" s="75" t="inlineStr">
        <is>
          <t>N/D</t>
        </is>
      </c>
      <c r="F427" s="75" t="inlineStr">
        <is>
          <t>regulamento</t>
        </is>
      </c>
      <c r="G427" s="75" t="inlineStr">
        <is>
          <t>1072290</t>
        </is>
      </c>
      <c r="H427" s="75" t="inlineStr">
        <is>
          <t>regulamento</t>
        </is>
      </c>
      <c r="I427" s="75" t="inlineStr">
        <is>
          <t>2025-12-29</t>
        </is>
      </c>
      <c r="J427" s="75" t="inlineStr">
        <is>
          <t>N/D</t>
        </is>
      </c>
      <c r="K427" s="75" t="inlineStr">
        <is>
          <t>encontrado_explicito</t>
        </is>
      </c>
      <c r="L427" s="144" t="n">
        <v>0.95</v>
      </c>
      <c r="M427" s="75" t="inlineStr">
        <is>
          <t>outputs/fidc_director_deep_diagnostic_20260609/pdf_text_cache/54252144000164_1072290_regulamento_regulamento_1072290_2025-12-29.txt</t>
        </is>
      </c>
      <c r="N427" s="75" t="inlineStr">
        <is>
          <t>https://fnet.bmfbovespa.com.br/fnet/publico/downloadDocumento?id=1072290</t>
        </is>
      </c>
      <c r="O427" s="75" t="inlineStr">
        <is>
          <t>lo Conselho Curador do FGTS , incluindo a Resolução CCFGTS 958 , bem como os atos normativos do Governo Federal. "Cedente" Significa a J17 e, apenas para a s Aquisições Iniciais, o Metropolitana FIDC-NP. "Classe" ou "Classe Única" Significa, quando utilizado neste Anexo Descritivo, a presente classe de Cotas do Fun</t>
        </is>
      </c>
    </row>
    <row r="428" ht="43.5" customHeight="1">
      <c r="A428" s="142" t="n">
        <v>54252144000164</v>
      </c>
      <c r="B428" s="75" t="inlineStr">
        <is>
          <t>54.252.144/0001-64</t>
        </is>
      </c>
      <c r="C428" s="75" t="inlineStr">
        <is>
          <t>cedente</t>
        </is>
      </c>
      <c r="D428" s="75" t="inlineStr">
        <is>
          <t>a J17 e, apenas para a s Aquisições Iniciais, o Metropolitana FIDC-NP</t>
        </is>
      </c>
      <c r="E428" s="75" t="inlineStr">
        <is>
          <t>N/D</t>
        </is>
      </c>
      <c r="F428" s="75" t="inlineStr">
        <is>
          <t>assembleia</t>
        </is>
      </c>
      <c r="G428" s="75" t="inlineStr">
        <is>
          <t>1223380</t>
        </is>
      </c>
      <c r="H428" s="75" t="inlineStr">
        <is>
          <t>Assembleia AGE Ata da Assembleia</t>
        </is>
      </c>
      <c r="I428" s="75" t="inlineStr">
        <is>
          <t>08/06/2026 09:00</t>
        </is>
      </c>
      <c r="J428" s="75" t="inlineStr">
        <is>
          <t>49</t>
        </is>
      </c>
      <c r="K428" s="75" t="inlineStr">
        <is>
          <t>encontrado_explicito</t>
        </is>
      </c>
      <c r="L428" s="144" t="n">
        <v>0.95</v>
      </c>
      <c r="M428" s="75" t="inlineStr">
        <is>
          <t>.cache/carteira_101_document_scan/54252144000164/1223380.json.gz</t>
        </is>
      </c>
      <c r="N428" s="75" t="inlineStr">
        <is>
          <t>https://fnet.bmfbovespa.com.br/fnet/publico/downloadDocumento?id=1223380</t>
        </is>
      </c>
      <c r="O428" s="75" t="inlineStr">
        <is>
          <t>lo Conselho Curador do FGTS , incluindo a Resolução CCFGTS 958 , bem como os atos normativos do Governo Federal. "Cedente" Significa a J17 e, apenas para a s Aquisições Iniciais, o Metropolitana FIDC-NP. "Classe" ou "Classe Única" Significa, quando utilizado neste Anexo Descritivo, a presente classe de Cotas do Fun</t>
        </is>
      </c>
    </row>
    <row r="429" ht="43.5" customHeight="1">
      <c r="A429" s="142" t="n">
        <v>54252144000164</v>
      </c>
      <c r="B429" s="75" t="inlineStr">
        <is>
          <t>54.252.144/0001-64</t>
        </is>
      </c>
      <c r="C429" s="75" t="inlineStr">
        <is>
          <t>cedente</t>
        </is>
      </c>
      <c r="D429" s="75" t="inlineStr">
        <is>
          <t>a J17 e, apenas para a s Aquisições Iniciais, o Metropolitana FIDC-NP.</t>
        </is>
      </c>
      <c r="E429" s="75" t="inlineStr">
        <is>
          <t>N/D</t>
        </is>
      </c>
      <c r="F429" s="75" t="inlineStr">
        <is>
          <t>assembleia</t>
        </is>
      </c>
      <c r="G429" s="75" t="inlineStr">
        <is>
          <t>926234</t>
        </is>
      </c>
      <c r="H429" s="75" t="inlineStr">
        <is>
          <t>assembleia</t>
        </is>
      </c>
      <c r="I429" s="75" t="inlineStr">
        <is>
          <t>2025-06-13</t>
        </is>
      </c>
      <c r="J429" s="75" t="inlineStr">
        <is>
          <t>46</t>
        </is>
      </c>
      <c r="K429" s="75" t="inlineStr">
        <is>
          <t>encontrado_explicito</t>
        </is>
      </c>
      <c r="L429" s="144" t="n">
        <v>0.95</v>
      </c>
      <c r="M429" s="75" t="inlineStr">
        <is>
          <t>data/raw/54252144000164/926234_assembleia_assembleia_926234_2025-06-13.pdf</t>
        </is>
      </c>
      <c r="N429" s="75" t="inlineStr">
        <is>
          <t>https://fnet.bmfbovespa.com.br/fnet/publico/downloadDocumento?id=926234</t>
        </is>
      </c>
      <c r="O429" s="75" t="inlineStr">
        <is>
          <t>s pelo Conselho Curador do FGTS, incluindo a Resolução CCFGTS 958, bem como os atos normativos do Governo Federal. "Cedente" Significa a J17 e, apenas para a s Aquisições Iniciais, o Metropolitana FIDC-NP. 47 "Classe" ou "Classe Única" Significa, quando utilizado neste Anexo Descritivo, a presente classe de Cota</t>
        </is>
      </c>
    </row>
    <row r="430" ht="43.5" customHeight="1">
      <c r="A430" s="142" t="n">
        <v>54252144000164</v>
      </c>
      <c r="B430" s="75" t="inlineStr">
        <is>
          <t>54.252.144/0001-64</t>
        </is>
      </c>
      <c r="C430" s="75" t="inlineStr">
        <is>
          <t>cedente</t>
        </is>
      </c>
      <c r="D430" s="75" t="inlineStr">
        <is>
          <t>J17</t>
        </is>
      </c>
      <c r="E430" s="75" t="inlineStr">
        <is>
          <t>N/D</t>
        </is>
      </c>
      <c r="F430" s="75" t="inlineStr">
        <is>
          <t>planilha_manual</t>
        </is>
      </c>
      <c r="G430" s="75" t="inlineStr">
        <is>
          <t>IMG_8704.JPG</t>
        </is>
      </c>
      <c r="H430" s="75" t="inlineStr">
        <is>
          <t>payload</t>
        </is>
      </c>
      <c r="I430" s="75" t="inlineStr">
        <is>
          <t>2026-06-08</t>
        </is>
      </c>
      <c r="J430" s="75" t="inlineStr">
        <is>
          <t>109</t>
        </is>
      </c>
      <c r="K430" s="75" t="inlineStr">
        <is>
          <t>aceito_payload</t>
        </is>
      </c>
      <c r="L430" s="144" t="n">
        <v>1</v>
      </c>
      <c r="M430" s="75" t="inlineStr">
        <is>
          <t>data/industry_study/generated_revision/artifact_payload.json</t>
        </is>
      </c>
      <c r="N430" s="75" t="inlineStr">
        <is>
          <t>N/D</t>
        </is>
      </c>
      <c r="O430" s="75" t="inlineStr">
        <is>
          <t>Denominação cortada pela largura da coluna na foto.</t>
        </is>
      </c>
    </row>
    <row r="431" ht="43.5" customHeight="1">
      <c r="A431" s="142" t="n">
        <v>54252144000164</v>
      </c>
      <c r="B431" s="75" t="inlineStr">
        <is>
          <t>54.252.144/0001-64</t>
        </is>
      </c>
      <c r="C431" s="75" t="inlineStr">
        <is>
          <t>cedente</t>
        </is>
      </c>
      <c r="D431" s="75" t="inlineStr">
        <is>
          <t>SIGNIFICA GRANDINO LTDA</t>
        </is>
      </c>
      <c r="E431" s="75" t="inlineStr">
        <is>
          <t>N/D</t>
        </is>
      </c>
      <c r="F431" s="75" t="inlineStr">
        <is>
          <t>candidate_extraction</t>
        </is>
      </c>
      <c r="G431" s="75" t="inlineStr">
        <is>
          <t>54252144000164</t>
        </is>
      </c>
      <c r="H431" s="75" t="inlineStr">
        <is>
          <t>extração heurística</t>
        </is>
      </c>
      <c r="I431" s="75" t="inlineStr">
        <is>
          <t>N/D</t>
        </is>
      </c>
      <c r="J431" s="75" t="inlineStr">
        <is>
          <t>N/D</t>
        </is>
      </c>
      <c r="K431" s="75" t="inlineStr">
        <is>
          <t>candidato_revisao</t>
        </is>
      </c>
      <c r="L431" s="144" t="n">
        <v>0.95</v>
      </c>
      <c r="M431" s="75" t="inlineStr">
        <is>
          <t>outputs/fidc_director_deep_diagnostic_20260609/pdf_text_cache/54252144000164_1072290_regulamento_regulamento_1072290_2025-12-29.txt</t>
        </is>
      </c>
      <c r="N431" s="75" t="inlineStr">
        <is>
          <t>https://fnet.bmfbovespa.com.br/fnet/publico/downloadDocumento?id=54252144000164</t>
        </is>
      </c>
      <c r="O431" s="75" t="inlineStr">
        <is>
          <t>Global das Operações de Derivativos" Significa o valor agregado líquido dos MTMs das Operações de Derivativos da Classe. "Ordem de Alocação de Recursos" Tem seu significado atribuído no item 9.14 abaixo. "Originador" Significa Grandino Ltda., inscrita no CNPJ sob o nº 33.311.701/0001-09. "Parâmetros Mínimos" Significam as informações mínimas referentes ao cronograma de pagamento de Cotas Seniores e Cotas Subordinadas Mezanin</t>
        </is>
      </c>
    </row>
    <row r="432" ht="43.5" customHeight="1">
      <c r="A432" s="142" t="n">
        <v>54252144000164</v>
      </c>
      <c r="B432" s="75" t="inlineStr">
        <is>
          <t>54.252.144/0001-64</t>
        </is>
      </c>
      <c r="C432" s="75" t="inlineStr">
        <is>
          <t>minimo_estrutural_total</t>
        </is>
      </c>
      <c r="D432" s="75" t="inlineStr">
        <is>
          <t>15%</t>
        </is>
      </c>
      <c r="E432" s="75" t="inlineStr">
        <is>
          <t>suporte_total_pl</t>
        </is>
      </c>
      <c r="F432" s="75" t="inlineStr">
        <is>
          <t>regulamento</t>
        </is>
      </c>
      <c r="G432" s="75" t="inlineStr">
        <is>
          <t>1223382</t>
        </is>
      </c>
      <c r="H432" s="75" t="inlineStr">
        <is>
          <t>Regulamento</t>
        </is>
      </c>
      <c r="I432" s="75" t="inlineStr">
        <is>
          <t>08/06/2026</t>
        </is>
      </c>
      <c r="J432" s="75" t="inlineStr">
        <is>
          <t>109</t>
        </is>
      </c>
      <c r="K432" s="75" t="inlineStr">
        <is>
          <t>encontrado_explicito</t>
        </is>
      </c>
      <c r="L432" s="144" t="n">
        <v>0.95</v>
      </c>
      <c r="M432" s="75" t="inlineStr">
        <is>
          <t>.cache/carteira_101_document_scan/54252144000164/1223382.json.gz</t>
        </is>
      </c>
      <c r="N432" s="75" t="inlineStr">
        <is>
          <t>https://fnet.bmfbovespa.com.br/fnet/publico/downloadDocumento?id=1223382</t>
        </is>
      </c>
      <c r="O432" s="75" t="inlineStr">
        <is>
          <t>otas Subordinadas Júnior em circulação, dividido pelo Patrimônio Líquido da Classe) 10.1. Desde a 1ª Data de Integralização de Cotas Seniores até a última Data de Resgate, o Índice de Subordinação Sênior deverá ser igual ou superior a 15% (quinze por cento) de seu Patrimônio Líquido ("Índice de Subordinação Mínimo Sênior"). 10.2. Desde a 1ª Data de Integralização de Cotas Subordinadas Mezanino até a última Data de Resgate, o Índice de Subordinação</t>
        </is>
      </c>
    </row>
    <row r="433" ht="43.5" customHeight="1">
      <c r="A433" s="142" t="n">
        <v>54252144000164</v>
      </c>
      <c r="B433" s="75" t="inlineStr">
        <is>
          <t>54.252.144/0001-64</t>
        </is>
      </c>
      <c r="C433" s="75" t="inlineStr">
        <is>
          <t>minimo_estrutural_total</t>
        </is>
      </c>
      <c r="D433" s="75" t="inlineStr">
        <is>
          <t>15%</t>
        </is>
      </c>
      <c r="E433" s="75" t="inlineStr">
        <is>
          <t>suporte_total_pl</t>
        </is>
      </c>
      <c r="F433" s="75" t="inlineStr">
        <is>
          <t>regulamento</t>
        </is>
      </c>
      <c r="G433" s="75" t="inlineStr">
        <is>
          <t>1072289</t>
        </is>
      </c>
      <c r="H433" s="75" t="inlineStr">
        <is>
          <t>regulamento</t>
        </is>
      </c>
      <c r="I433" s="75" t="inlineStr">
        <is>
          <t>2025-12-29</t>
        </is>
      </c>
      <c r="J433" s="75" t="inlineStr">
        <is>
          <t>111</t>
        </is>
      </c>
      <c r="K433" s="75" t="inlineStr">
        <is>
          <t>encontrado_explicito</t>
        </is>
      </c>
      <c r="L433" s="144" t="n">
        <v>0.95</v>
      </c>
      <c r="M433" s="75" t="inlineStr">
        <is>
          <t>data/raw/54252144000164/1072289_regulamento_regulamento_1072289_2025-12-29.pdf</t>
        </is>
      </c>
      <c r="N433" s="75" t="inlineStr">
        <is>
          <t>https://fnet.bmfbovespa.com.br/fnet/publico/downloadDocumento?id=1072289</t>
        </is>
      </c>
      <c r="O433" s="75" t="inlineStr">
        <is>
          <t>otas Subordinadas Júnior em circulação, dividido pelo Patrimônio Líquido da Classe) 10.1. Desde a 1ª Data de Integralização de Cotas Seniores até a última Data de Resgate, o Índice de Subordinação Sênior deverá ser igual ou superior a 15% (quinze por cento) de seu Patrimônio Líquido ("Índice de Subordinação Mínimo Sênior"). 10.2. Desde a 1ª Data de Integralização de Cotas Subordinadas Mezanino até a última Data de Resgate, o Índice de Subordinação</t>
        </is>
      </c>
    </row>
    <row r="434" ht="43.5" customHeight="1">
      <c r="A434" s="142" t="n">
        <v>54252144000164</v>
      </c>
      <c r="B434" s="75" t="inlineStr">
        <is>
          <t>54.252.144/0001-64</t>
        </is>
      </c>
      <c r="C434" s="75" t="inlineStr">
        <is>
          <t>minimo_estrutural_total</t>
        </is>
      </c>
      <c r="D434" s="75" t="inlineStr">
        <is>
          <t>15%</t>
        </is>
      </c>
      <c r="E434" s="75" t="inlineStr">
        <is>
          <t>suporte_total_pl</t>
        </is>
      </c>
      <c r="F434" s="75" t="inlineStr">
        <is>
          <t>regulamento</t>
        </is>
      </c>
      <c r="G434" s="75" t="inlineStr">
        <is>
          <t>1072290</t>
        </is>
      </c>
      <c r="H434" s="75" t="inlineStr">
        <is>
          <t>regulamento</t>
        </is>
      </c>
      <c r="I434" s="75" t="inlineStr">
        <is>
          <t>2025-12-29</t>
        </is>
      </c>
      <c r="J434" s="75" t="inlineStr">
        <is>
          <t>N/D</t>
        </is>
      </c>
      <c r="K434" s="75" t="inlineStr">
        <is>
          <t>encontrado_explicito</t>
        </is>
      </c>
      <c r="L434" s="144" t="n">
        <v>0.95</v>
      </c>
      <c r="M434" s="75" t="inlineStr">
        <is>
          <t>outputs/fidc_director_deep_diagnostic_20260609/pdf_text_cache/54252144000164_1072290_regulamento_regulamento_1072290_2025-12-29.txt</t>
        </is>
      </c>
      <c r="N434" s="75" t="inlineStr">
        <is>
          <t>https://fnet.bmfbovespa.com.br/fnet/publico/downloadDocumento?id=1072290</t>
        </is>
      </c>
      <c r="O434" s="75" t="inlineStr">
        <is>
          <t>otas Subordinadas Júnior em circulação, dividido pelo Patrimônio Líquido da Classe) 10.1. Desde a 1ª Data de Integralização de Cotas Seniores até a última Data de Resgate, o Índice de Subordinação Sênior deverá ser igual ou superior a 15% (quinze por cento) de seu Patrimônio Líquido ("Índice de Subordinação Mínimo Sênior"). 10.2. Desde a 1ª Data de Integralização de Cotas Subordinadas Mezanino até a última Data de Resgate, o Índice de Subordinação</t>
        </is>
      </c>
    </row>
    <row r="435" ht="43.5" customHeight="1">
      <c r="A435" s="142" t="n">
        <v>54252144000164</v>
      </c>
      <c r="B435" s="75" t="inlineStr">
        <is>
          <t>54.252.144/0001-64</t>
        </is>
      </c>
      <c r="C435" s="75" t="inlineStr">
        <is>
          <t>minimo_estrutural_total</t>
        </is>
      </c>
      <c r="D435" s="75" t="inlineStr">
        <is>
          <t>15%</t>
        </is>
      </c>
      <c r="E435" s="75" t="inlineStr">
        <is>
          <t>suporte_total_pl</t>
        </is>
      </c>
      <c r="F435" s="75" t="inlineStr">
        <is>
          <t>assembleia</t>
        </is>
      </c>
      <c r="G435" s="75" t="inlineStr">
        <is>
          <t>1223380</t>
        </is>
      </c>
      <c r="H435" s="75" t="inlineStr">
        <is>
          <t>Assembleia AGE Ata da Assembleia</t>
        </is>
      </c>
      <c r="I435" s="75" t="inlineStr">
        <is>
          <t>08/06/2026 09:00</t>
        </is>
      </c>
      <c r="J435" s="75" t="inlineStr">
        <is>
          <t>114</t>
        </is>
      </c>
      <c r="K435" s="75" t="inlineStr">
        <is>
          <t>encontrado_explicito</t>
        </is>
      </c>
      <c r="L435" s="144" t="n">
        <v>0.95</v>
      </c>
      <c r="M435" s="75" t="inlineStr">
        <is>
          <t>.cache/carteira_101_document_scan/54252144000164/1223380.json.gz</t>
        </is>
      </c>
      <c r="N435" s="75" t="inlineStr">
        <is>
          <t>https://fnet.bmfbovespa.com.br/fnet/publico/downloadDocumento?id=1223380</t>
        </is>
      </c>
      <c r="O435" s="75" t="inlineStr">
        <is>
          <t>otas Subordinadas Júnior em circulação, dividido pelo Patrimônio Líquido da Classe) 10.1. Desde a 1ª Data de Integralização de Cotas Seniores até a última Data de Resgate, o Índice de Subordinação Sênior deverá ser igual ou superior a 15% (quinze por cento) de seu Patrimônio Líquido ("Índice de Subordinação Mínimo Sênior"). 10.2. Desde a 1ª Data de Integralização de Cotas Subordinadas Mezanino até a última Data de Resgate, o Índice de Subordinação</t>
        </is>
      </c>
    </row>
    <row r="436" ht="43.5" customHeight="1">
      <c r="A436" s="142" t="n">
        <v>54252144000164</v>
      </c>
      <c r="B436" s="75" t="inlineStr">
        <is>
          <t>54.252.144/0001-64</t>
        </is>
      </c>
      <c r="C436" s="75" t="inlineStr">
        <is>
          <t>minimo_estrutural_total</t>
        </is>
      </c>
      <c r="D436" s="75" t="inlineStr">
        <is>
          <t>15%</t>
        </is>
      </c>
      <c r="E436" s="75" t="inlineStr">
        <is>
          <t>suporte_total_pl</t>
        </is>
      </c>
      <c r="F436" s="75" t="inlineStr">
        <is>
          <t>assembleia</t>
        </is>
      </c>
      <c r="G436" s="75" t="inlineStr">
        <is>
          <t>926234</t>
        </is>
      </c>
      <c r="H436" s="75" t="inlineStr">
        <is>
          <t>assembleia</t>
        </is>
      </c>
      <c r="I436" s="75" t="inlineStr">
        <is>
          <t>2025-06-13</t>
        </is>
      </c>
      <c r="J436" s="75" t="inlineStr">
        <is>
          <t>109</t>
        </is>
      </c>
      <c r="K436" s="75" t="inlineStr">
        <is>
          <t>encontrado_explicito</t>
        </is>
      </c>
      <c r="L436" s="144" t="n">
        <v>0.95</v>
      </c>
      <c r="M436" s="75" t="inlineStr">
        <is>
          <t>data/raw/54252144000164/926234_assembleia_assembleia_926234_2025-06-13.pdf</t>
        </is>
      </c>
      <c r="N436" s="75" t="inlineStr">
        <is>
          <t>https://fnet.bmfbovespa.com.br/fnet/publico/downloadDocumento?id=926234</t>
        </is>
      </c>
      <c r="O436" s="75" t="inlineStr">
        <is>
          <t>Cotas Subordinadas Júnior em circulação, dividido pelo Patrimônio Líquido da Classe) 10.1. Desde a 1ª Data de Integralização de Cotas Seniores até a última Data de Resgate, o Índice de Subordinação Sênior deverá ser igual ou superior a 15% (quinze por cento) de seu Patrimônio Líquido ("Índice de Subordinação Mínimo Sênior"). 10.2. Desde a 1ª Data de Integralização de Cotas Subordinadas Mezanino até a última Data de Resgate, o Índice de Subordinação</t>
        </is>
      </c>
    </row>
    <row r="437" ht="43.5" customHeight="1">
      <c r="A437" s="142" t="n">
        <v>54252144000164</v>
      </c>
      <c r="B437" s="75" t="inlineStr">
        <is>
          <t>54.252.144/0001-64</t>
        </is>
      </c>
      <c r="C437" s="75" t="inlineStr">
        <is>
          <t>minimo_junior</t>
        </is>
      </c>
      <c r="D437" s="75" t="inlineStr">
        <is>
          <t>5%</t>
        </is>
      </c>
      <c r="E437" s="75" t="inlineStr">
        <is>
          <t>junior_pl</t>
        </is>
      </c>
      <c r="F437" s="75" t="inlineStr">
        <is>
          <t>payload_documental</t>
        </is>
      </c>
      <c r="G437" s="75" t="inlineStr">
        <is>
          <t>1223382</t>
        </is>
      </c>
      <c r="H437" s="75" t="inlineStr">
        <is>
          <t>documento_curado</t>
        </is>
      </c>
      <c r="I437" s="75" t="inlineStr">
        <is>
          <t>2026-06-08</t>
        </is>
      </c>
      <c r="J437" s="75" t="inlineStr">
        <is>
          <t>109</t>
        </is>
      </c>
      <c r="K437" s="75" t="inlineStr">
        <is>
          <t>aceito_payload</t>
        </is>
      </c>
      <c r="L437" s="144" t="n">
        <v>1</v>
      </c>
      <c r="M437" s="75" t="inlineStr">
        <is>
          <t>data/industry_study/generated_revision/artifact_payload.json</t>
        </is>
      </c>
      <c r="N437" s="75" t="inlineStr">
        <is>
          <t>https://fnet.bmfbovespa.com.br/fnet/publico/downloadDocumento?id=1223382</t>
        </is>
      </c>
      <c r="O437" s="75" t="inlineStr">
        <is>
          <t>Índice de Subordinação Mezanino: cotas júnior / PL, mínimo de 5,0%.</t>
        </is>
      </c>
    </row>
    <row r="438" ht="43.5" customHeight="1">
      <c r="A438" s="142" t="n">
        <v>54252144000164</v>
      </c>
      <c r="B438" s="75" t="inlineStr">
        <is>
          <t>54.252.144/0001-64</t>
        </is>
      </c>
      <c r="C438" s="75" t="inlineStr">
        <is>
          <t>natureza_indice</t>
        </is>
      </c>
      <c r="D438" s="75" t="inlineStr">
        <is>
          <t>junior_pl</t>
        </is>
      </c>
      <c r="E438" s="75" t="inlineStr">
        <is>
          <t>junior_pl</t>
        </is>
      </c>
      <c r="F438" s="75" t="inlineStr">
        <is>
          <t>payload_documental</t>
        </is>
      </c>
      <c r="G438" s="75" t="inlineStr">
        <is>
          <t>1223382</t>
        </is>
      </c>
      <c r="H438" s="75" t="inlineStr">
        <is>
          <t>documento_curado</t>
        </is>
      </c>
      <c r="I438" s="75" t="inlineStr">
        <is>
          <t>2026-06-08</t>
        </is>
      </c>
      <c r="J438" s="75" t="inlineStr">
        <is>
          <t>109</t>
        </is>
      </c>
      <c r="K438" s="75" t="inlineStr">
        <is>
          <t>aceito_payload</t>
        </is>
      </c>
      <c r="L438" s="144" t="n">
        <v>1</v>
      </c>
      <c r="M438" s="75" t="inlineStr">
        <is>
          <t>data/industry_study/generated_revision/artifact_payload.json</t>
        </is>
      </c>
      <c r="N438" s="75" t="inlineStr">
        <is>
          <t>https://fnet.bmfbovespa.com.br/fnet/publico/downloadDocumento?id=1223382</t>
        </is>
      </c>
      <c r="O438" s="75" t="inlineStr">
        <is>
          <t>Índice de Subordinação Mezanino: cotas júnior / PL, mínimo de 5,0%.</t>
        </is>
      </c>
    </row>
    <row r="439" ht="43.5" customHeight="1">
      <c r="A439" s="142" t="n">
        <v>54252144000164</v>
      </c>
      <c r="B439" s="75" t="inlineStr">
        <is>
          <t>54.252.144/0001-64</t>
        </is>
      </c>
      <c r="C439" s="75" t="inlineStr">
        <is>
          <t>originador</t>
        </is>
      </c>
      <c r="D439" s="75" t="inlineStr">
        <is>
          <t>GRANDINO LTDA.</t>
        </is>
      </c>
      <c r="E439" s="75" t="inlineStr">
        <is>
          <t>rótulo explícito de participante v2</t>
        </is>
      </c>
      <c r="F439" s="75" t="inlineStr">
        <is>
          <t>rating_report</t>
        </is>
      </c>
      <c r="G439" s="75" t="inlineStr">
        <is>
          <t>990257</t>
        </is>
      </c>
      <c r="H439" s="75" t="inlineStr">
        <is>
          <t>Relatórios Relatório de Agência de Rating</t>
        </is>
      </c>
      <c r="I439" s="75" t="inlineStr">
        <is>
          <t>30/06/2025</t>
        </is>
      </c>
      <c r="J439" s="75" t="inlineStr">
        <is>
          <t>1</t>
        </is>
      </c>
      <c r="K439" s="75" t="inlineStr">
        <is>
          <t>encontrado_explicito</t>
        </is>
      </c>
      <c r="L439" s="144" t="n">
        <v>0.93</v>
      </c>
      <c r="M439" s="75" t="inlineStr">
        <is>
          <t>.cache/carteira_101_document_scan/54252144000164/990257.json.gz</t>
        </is>
      </c>
      <c r="N439" s="75" t="inlineStr">
        <is>
          <t>https://fnet.bmfbovespa.com.br/fnet/publico/downloadDocumento?id=990257</t>
        </is>
      </c>
      <c r="O439" s="75" t="inlineStr">
        <is>
          <t>dito Direto S.A. (“J17”), através de canais digitais. Participantes da Operação Originador GRANDINO LTDA. Gestor BURITI INVESTIMENTOS GESTORA DE RECURSOS LTDA Administrador LIMINE TRUST</t>
        </is>
      </c>
    </row>
    <row r="440" ht="43.5" customHeight="1">
      <c r="A440" s="142" t="n">
        <v>54252144000164</v>
      </c>
      <c r="B440" s="75" t="inlineStr">
        <is>
          <t>54.252.144/0001-64</t>
        </is>
      </c>
      <c r="C440" s="75" t="inlineStr">
        <is>
          <t>originador</t>
        </is>
      </c>
      <c r="D440" s="75" t="inlineStr">
        <is>
          <t>Grandino Ltda., inscrita no CNPJ sob o nº 33.311.701/0001-09</t>
        </is>
      </c>
      <c r="E440" s="75" t="inlineStr">
        <is>
          <t>N/D</t>
        </is>
      </c>
      <c r="F440" s="75" t="inlineStr">
        <is>
          <t>regulamento</t>
        </is>
      </c>
      <c r="G440" s="75" t="inlineStr">
        <is>
          <t>1223382</t>
        </is>
      </c>
      <c r="H440" s="75" t="inlineStr">
        <is>
          <t>Regulamento</t>
        </is>
      </c>
      <c r="I440" s="75" t="inlineStr">
        <is>
          <t>08/06/2026</t>
        </is>
      </c>
      <c r="J440" s="75" t="inlineStr">
        <is>
          <t>55</t>
        </is>
      </c>
      <c r="K440" s="75" t="inlineStr">
        <is>
          <t>encontrado_explicito</t>
        </is>
      </c>
      <c r="L440" s="144" t="n">
        <v>0.95</v>
      </c>
      <c r="M440" s="75" t="inlineStr">
        <is>
          <t>.cache/carteira_101_document_scan/54252144000164/1223382.json.gz</t>
        </is>
      </c>
      <c r="N440" s="75" t="inlineStr">
        <is>
          <t>https://fnet.bmfbovespa.com.br/fnet/publico/downloadDocumento?id=1223382</t>
        </is>
      </c>
      <c r="O440" s="75" t="inlineStr">
        <is>
          <t>Derivativos da Classe. "Ordem de Alocação de Recursos" Tem seu significado atribuído no item 9.14 abaixo. "Originador" Significa Grandino Ltda., inscrita no CNPJ sob o nº 33.311.701/0001-09. "Parâmetros Mínimos" Significam as informações mínimas referentes ao cronograma de pagamento de Cotas Seniores e</t>
        </is>
      </c>
    </row>
    <row r="441" ht="43.5" customHeight="1">
      <c r="A441" s="142" t="n">
        <v>54252144000164</v>
      </c>
      <c r="B441" s="75" t="inlineStr">
        <is>
          <t>54.252.144/0001-64</t>
        </is>
      </c>
      <c r="C441" s="75" t="inlineStr">
        <is>
          <t>originador</t>
        </is>
      </c>
      <c r="D441" s="75" t="inlineStr">
        <is>
          <t>Grandino Ltda., inscrita no CNPJ sob o nº 33.311.701/0001-09</t>
        </is>
      </c>
      <c r="E441" s="75" t="inlineStr">
        <is>
          <t>N/D</t>
        </is>
      </c>
      <c r="F441" s="75" t="inlineStr">
        <is>
          <t>regulamento</t>
        </is>
      </c>
      <c r="G441" s="75" t="inlineStr">
        <is>
          <t>1072289</t>
        </is>
      </c>
      <c r="H441" s="75" t="inlineStr">
        <is>
          <t>regulamento</t>
        </is>
      </c>
      <c r="I441" s="75" t="inlineStr">
        <is>
          <t>2025-12-29</t>
        </is>
      </c>
      <c r="J441" s="75" t="inlineStr">
        <is>
          <t>58</t>
        </is>
      </c>
      <c r="K441" s="75" t="inlineStr">
        <is>
          <t>encontrado_explicito</t>
        </is>
      </c>
      <c r="L441" s="144" t="n">
        <v>0.95</v>
      </c>
      <c r="M441" s="75" t="inlineStr">
        <is>
          <t>data/raw/54252144000164/1072289_regulamento_regulamento_1072289_2025-12-29.pdf</t>
        </is>
      </c>
      <c r="N441" s="75" t="inlineStr">
        <is>
          <t>https://fnet.bmfbovespa.com.br/fnet/publico/downloadDocumento?id=1072289</t>
        </is>
      </c>
      <c r="O441" s="75" t="inlineStr">
        <is>
          <t>Derivativos da Classe. "Ordem de Alocação de Recursos" Tem seu significado atribuído no item 9.14 abaixo. "Originador" Significa Grandino Ltda., inscrita no CNPJ sob o nº 33.311.701/0001-09. "Parâmetros Mínimos" Significam as informações mínimas referentes ao cronograma de pagamento de Cotas Seniores e</t>
        </is>
      </c>
    </row>
    <row r="442" ht="43.5" customHeight="1">
      <c r="A442" s="142" t="n">
        <v>54252144000164</v>
      </c>
      <c r="B442" s="75" t="inlineStr">
        <is>
          <t>54.252.144/0001-64</t>
        </is>
      </c>
      <c r="C442" s="75" t="inlineStr">
        <is>
          <t>originador</t>
        </is>
      </c>
      <c r="D442" s="75" t="inlineStr">
        <is>
          <t>Grandino Ltda., inscrita no CNPJ sob o nº 33.311.701/0001-09</t>
        </is>
      </c>
      <c r="E442" s="75" t="inlineStr">
        <is>
          <t>N/D</t>
        </is>
      </c>
      <c r="F442" s="75" t="inlineStr">
        <is>
          <t>regulamento</t>
        </is>
      </c>
      <c r="G442" s="75" t="inlineStr">
        <is>
          <t>1072290</t>
        </is>
      </c>
      <c r="H442" s="75" t="inlineStr">
        <is>
          <t>regulamento</t>
        </is>
      </c>
      <c r="I442" s="75" t="inlineStr">
        <is>
          <t>2025-12-29</t>
        </is>
      </c>
      <c r="J442" s="75" t="inlineStr">
        <is>
          <t>N/D</t>
        </is>
      </c>
      <c r="K442" s="75" t="inlineStr">
        <is>
          <t>encontrado_explicito</t>
        </is>
      </c>
      <c r="L442" s="144" t="n">
        <v>0.95</v>
      </c>
      <c r="M442" s="75" t="inlineStr">
        <is>
          <t>outputs/fidc_director_deep_diagnostic_20260609/pdf_text_cache/54252144000164_1072290_regulamento_regulamento_1072290_2025-12-29.txt</t>
        </is>
      </c>
      <c r="N442" s="75" t="inlineStr">
        <is>
          <t>https://fnet.bmfbovespa.com.br/fnet/publico/downloadDocumento?id=1072290</t>
        </is>
      </c>
      <c r="O442" s="75" t="inlineStr">
        <is>
          <t>Derivativos da Classe. "Ordem de Alocação de Recursos" Tem seu significado atribuído no item 9.14 abaixo. "Originador" Significa Grandino Ltda., inscrita no CNPJ sob o nº 33.311.701/0001-09. "Parâmetros Mínimos" Significam as informações mínimas referentes ao cronograma de pagamento de Cotas Seniores e</t>
        </is>
      </c>
    </row>
    <row r="443" ht="43.5" customHeight="1">
      <c r="A443" s="142" t="n">
        <v>54252144000164</v>
      </c>
      <c r="B443" s="75" t="inlineStr">
        <is>
          <t>54.252.144/0001-64</t>
        </is>
      </c>
      <c r="C443" s="75" t="inlineStr">
        <is>
          <t>originador</t>
        </is>
      </c>
      <c r="D443" s="75" t="inlineStr">
        <is>
          <t>Grandino Ltda., inscrita no CNPJ sob o nº 33.311.701/0001-09</t>
        </is>
      </c>
      <c r="E443" s="75" t="inlineStr">
        <is>
          <t>N/D</t>
        </is>
      </c>
      <c r="F443" s="75" t="inlineStr">
        <is>
          <t>assembleia</t>
        </is>
      </c>
      <c r="G443" s="75" t="inlineStr">
        <is>
          <t>1223380</t>
        </is>
      </c>
      <c r="H443" s="75" t="inlineStr">
        <is>
          <t>Assembleia AGE Ata da Assembleia</t>
        </is>
      </c>
      <c r="I443" s="75" t="inlineStr">
        <is>
          <t>08/06/2026 09:00</t>
        </is>
      </c>
      <c r="J443" s="75" t="inlineStr">
        <is>
          <t>60</t>
        </is>
      </c>
      <c r="K443" s="75" t="inlineStr">
        <is>
          <t>encontrado_explicito</t>
        </is>
      </c>
      <c r="L443" s="144" t="n">
        <v>0.95</v>
      </c>
      <c r="M443" s="75" t="inlineStr">
        <is>
          <t>.cache/carteira_101_document_scan/54252144000164/1223380.json.gz</t>
        </is>
      </c>
      <c r="N443" s="75" t="inlineStr">
        <is>
          <t>https://fnet.bmfbovespa.com.br/fnet/publico/downloadDocumento?id=1223380</t>
        </is>
      </c>
      <c r="O443" s="75" t="inlineStr">
        <is>
          <t>Derivativos da Classe. "Ordem de Alocação de Recursos" Tem seu significado atribuído no item 9.14 abaixo. "Originador" Significa Grandino Ltda., inscrita no CNPJ sob o nº 33.311.701/0001-09. "Parâmetros Mínimos" Significam as informações mínimas referentes ao cronograma de pagamento de Cotas Seniores e</t>
        </is>
      </c>
    </row>
    <row r="444" ht="43.5" customHeight="1">
      <c r="A444" s="142" t="n">
        <v>54252144000164</v>
      </c>
      <c r="B444" s="75" t="inlineStr">
        <is>
          <t>54.252.144/0001-64</t>
        </is>
      </c>
      <c r="C444" s="75" t="inlineStr">
        <is>
          <t>originador</t>
        </is>
      </c>
      <c r="D444" s="75" t="inlineStr">
        <is>
          <t>Grandino Ltda., inscrita no CNPJ sob o nº 33.311.701/0001-09</t>
        </is>
      </c>
      <c r="E444" s="75" t="inlineStr">
        <is>
          <t>N/D</t>
        </is>
      </c>
      <c r="F444" s="75" t="inlineStr">
        <is>
          <t>assembleia</t>
        </is>
      </c>
      <c r="G444" s="75" t="inlineStr">
        <is>
          <t>926234</t>
        </is>
      </c>
      <c r="H444" s="75" t="inlineStr">
        <is>
          <t>assembleia</t>
        </is>
      </c>
      <c r="I444" s="75" t="inlineStr">
        <is>
          <t>2025-06-13</t>
        </is>
      </c>
      <c r="J444" s="75" t="inlineStr">
        <is>
          <t>57</t>
        </is>
      </c>
      <c r="K444" s="75" t="inlineStr">
        <is>
          <t>encontrado_explicito</t>
        </is>
      </c>
      <c r="L444" s="144" t="n">
        <v>0.95</v>
      </c>
      <c r="M444" s="75" t="inlineStr">
        <is>
          <t>data/raw/54252144000164/926234_assembleia_assembleia_926234_2025-06-13.pdf</t>
        </is>
      </c>
      <c r="N444" s="75" t="inlineStr">
        <is>
          <t>https://fnet.bmfbovespa.com.br/fnet/publico/downloadDocumento?id=926234</t>
        </is>
      </c>
      <c r="O444" s="75" t="inlineStr">
        <is>
          <t>Derivativos da Classe. "Ordem de Alocação de Recursos" Tem seu significado atribuído no item 9.14 abaixo. "Originador" Significa Grandino Ltda., inscrita no CNPJ sob o nº 33.311.701/0001-09. "Parâmetros Mínimos" Significam as informações mínimas referentes ao cronograma de pagamento de Cotas Seniores e</t>
        </is>
      </c>
    </row>
    <row r="445" ht="43.5" customHeight="1">
      <c r="A445" s="142" t="n">
        <v>54252144000164</v>
      </c>
      <c r="B445" s="75" t="inlineStr">
        <is>
          <t>54.252.144/0001-64</t>
        </is>
      </c>
      <c r="C445" s="75" t="inlineStr">
        <is>
          <t>sacado_devedor</t>
        </is>
      </c>
      <c r="D445"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E445" s="75" t="inlineStr">
        <is>
          <t>N/D</t>
        </is>
      </c>
      <c r="F445" s="75" t="inlineStr">
        <is>
          <t>regulamento</t>
        </is>
      </c>
      <c r="G445" s="75" t="inlineStr">
        <is>
          <t>1223382</t>
        </is>
      </c>
      <c r="H445" s="75" t="inlineStr">
        <is>
          <t>Regulamento</t>
        </is>
      </c>
      <c r="I445" s="75" t="inlineStr">
        <is>
          <t>08/06/2026</t>
        </is>
      </c>
      <c r="J445" s="75" t="inlineStr">
        <is>
          <t>49</t>
        </is>
      </c>
      <c r="K445" s="75" t="inlineStr">
        <is>
          <t>encontrado_explicito</t>
        </is>
      </c>
      <c r="L445" s="144" t="n">
        <v>0.95</v>
      </c>
      <c r="M445" s="75" t="inlineStr">
        <is>
          <t>.cache/carteira_101_document_scan/54252144000164/1223382.json.gz</t>
        </is>
      </c>
      <c r="N445" s="75" t="inlineStr">
        <is>
          <t>https://fnet.bmfbovespa.com.br/fnet/publico/downloadDocumento?id=1223382</t>
        </is>
      </c>
      <c r="O445" s="75" t="inlineStr">
        <is>
          <t>l dos Direitos Creditórios Elegíveis" Significa a data de vencimento final de cada Direito Creditório Elegível. "Devedores" Significam pessoas físicas titulares de contas vinculadas do FGTS e que estejam com a opção da modalidade de Saque Aniversário vigente na data da contratação do empréstimo e emissão de CCBs, e que figurem na qualidade de devedores dos Direitos Creditórios. "Direitos Creditórios" Significam aos direitos creditórios performados oriundos de operações de empréstimo pessoa</t>
        </is>
      </c>
    </row>
    <row r="446" ht="43.5" customHeight="1">
      <c r="A446" s="142" t="n">
        <v>54252144000164</v>
      </c>
      <c r="B446" s="75" t="inlineStr">
        <is>
          <t>54.252.144/0001-64</t>
        </is>
      </c>
      <c r="C446" s="75" t="inlineStr">
        <is>
          <t>sacado_devedor</t>
        </is>
      </c>
      <c r="D446"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E446" s="75" t="inlineStr">
        <is>
          <t>N/D</t>
        </is>
      </c>
      <c r="F446" s="75" t="inlineStr">
        <is>
          <t>regulamento</t>
        </is>
      </c>
      <c r="G446" s="75" t="inlineStr">
        <is>
          <t>1072289</t>
        </is>
      </c>
      <c r="H446" s="75" t="inlineStr">
        <is>
          <t>regulamento</t>
        </is>
      </c>
      <c r="I446" s="75" t="inlineStr">
        <is>
          <t>2025-12-29</t>
        </is>
      </c>
      <c r="J446" s="75" t="inlineStr">
        <is>
          <t>52</t>
        </is>
      </c>
      <c r="K446" s="75" t="inlineStr">
        <is>
          <t>encontrado_explicito</t>
        </is>
      </c>
      <c r="L446" s="144" t="n">
        <v>0.95</v>
      </c>
      <c r="M446" s="75" t="inlineStr">
        <is>
          <t>data/raw/54252144000164/1072289_regulamento_regulamento_1072289_2025-12-29.pdf</t>
        </is>
      </c>
      <c r="N446" s="75" t="inlineStr">
        <is>
          <t>https://fnet.bmfbovespa.com.br/fnet/publico/downloadDocumento?id=1072289</t>
        </is>
      </c>
      <c r="O446" s="75" t="inlineStr">
        <is>
          <t>l dos Direitos Creditórios Elegíveis" Significa a data de vencimento final de cada Direito Creditório Elegível. "Devedores" Significam pessoas físicas titulares de contas vinculadas do FGTS e que estejam com a opção da modalidade de Saque Aniversário vigente na data da contratação do empréstimo e emissão de CCBs, e que figurem na qualidade de devedores dos Direitos Creditórios. "Direitos Creditórios" Significam aos direitos creditórios performados oriundos de operações de empréstimo pessoa</t>
        </is>
      </c>
    </row>
    <row r="447" ht="43.5" customHeight="1">
      <c r="A447" s="142" t="n">
        <v>54252144000164</v>
      </c>
      <c r="B447" s="75" t="inlineStr">
        <is>
          <t>54.252.144/0001-64</t>
        </is>
      </c>
      <c r="C447" s="75" t="inlineStr">
        <is>
          <t>sacado_devedor</t>
        </is>
      </c>
      <c r="D447"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E447" s="75" t="inlineStr">
        <is>
          <t>N/D</t>
        </is>
      </c>
      <c r="F447" s="75" t="inlineStr">
        <is>
          <t>regulamento</t>
        </is>
      </c>
      <c r="G447" s="75" t="inlineStr">
        <is>
          <t>1072290</t>
        </is>
      </c>
      <c r="H447" s="75" t="inlineStr">
        <is>
          <t>regulamento</t>
        </is>
      </c>
      <c r="I447" s="75" t="inlineStr">
        <is>
          <t>2025-12-29</t>
        </is>
      </c>
      <c r="J447" s="75" t="inlineStr">
        <is>
          <t>N/D</t>
        </is>
      </c>
      <c r="K447" s="75" t="inlineStr">
        <is>
          <t>encontrado_explicito</t>
        </is>
      </c>
      <c r="L447" s="144" t="n">
        <v>0.95</v>
      </c>
      <c r="M447" s="75" t="inlineStr">
        <is>
          <t>outputs/fidc_director_deep_diagnostic_20260609/pdf_text_cache/54252144000164_1072290_regulamento_regulamento_1072290_2025-12-29.txt</t>
        </is>
      </c>
      <c r="N447" s="75" t="inlineStr">
        <is>
          <t>https://fnet.bmfbovespa.com.br/fnet/publico/downloadDocumento?id=1072290</t>
        </is>
      </c>
      <c r="O447" s="75" t="inlineStr">
        <is>
          <t>l dos Direitos Creditórios Elegíveis" Significa a data de vencimento final de cada Direito Creditório Elegível. "Devedores" Significam pessoas físicas titulares de contas vinculadas do FGTS e que estejam com a opção da modalidade de Saque Aniversário vigente na data da contratação do empréstimo e emissão de CCBs, e que figurem na qualidade de devedores dos Direitos Creditórios. "Direitos Creditórios" Significam aos direitos creditórios performados oriundos de operações de empréstimo pessoa</t>
        </is>
      </c>
    </row>
    <row r="448" ht="43.5" customHeight="1">
      <c r="A448" s="142" t="n">
        <v>54252144000164</v>
      </c>
      <c r="B448" s="75" t="inlineStr">
        <is>
          <t>54.252.144/0001-64</t>
        </is>
      </c>
      <c r="C448" s="75" t="inlineStr">
        <is>
          <t>sacado_devedor</t>
        </is>
      </c>
      <c r="D448"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E448" s="75" t="inlineStr">
        <is>
          <t>N/D</t>
        </is>
      </c>
      <c r="F448" s="75" t="inlineStr">
        <is>
          <t>assembleia</t>
        </is>
      </c>
      <c r="G448" s="75" t="inlineStr">
        <is>
          <t>1223380</t>
        </is>
      </c>
      <c r="H448" s="75" t="inlineStr">
        <is>
          <t>Assembleia AGE Ata da Assembleia</t>
        </is>
      </c>
      <c r="I448" s="75" t="inlineStr">
        <is>
          <t>08/06/2026 09:00</t>
        </is>
      </c>
      <c r="J448" s="75" t="inlineStr">
        <is>
          <t>54</t>
        </is>
      </c>
      <c r="K448" s="75" t="inlineStr">
        <is>
          <t>encontrado_explicito</t>
        </is>
      </c>
      <c r="L448" s="144" t="n">
        <v>0.95</v>
      </c>
      <c r="M448" s="75" t="inlineStr">
        <is>
          <t>.cache/carteira_101_document_scan/54252144000164/1223380.json.gz</t>
        </is>
      </c>
      <c r="N448" s="75" t="inlineStr">
        <is>
          <t>https://fnet.bmfbovespa.com.br/fnet/publico/downloadDocumento?id=1223380</t>
        </is>
      </c>
      <c r="O448" s="75" t="inlineStr">
        <is>
          <t>l dos Direitos Creditórios Elegíveis" Significa a data de vencimento final de cada Direito Creditório Elegível. "Devedores" Significam pessoas físicas titulares de contas vinculadas do FGTS e que estejam com a opção da modalidade de Saque Aniversário vigente na data da contratação do empréstimo e emissão de CCBs, e que figurem na qualidade de devedores dos Direitos Creditórios. "Direitos Creditórios" Significam aos direitos creditórios performados oriundos de operações de empréstimo pessoa</t>
        </is>
      </c>
    </row>
    <row r="449" ht="43.5" customHeight="1">
      <c r="A449" s="142" t="n">
        <v>54252144000164</v>
      </c>
      <c r="B449" s="75" t="inlineStr">
        <is>
          <t>54.252.144/0001-64</t>
        </is>
      </c>
      <c r="C449" s="75" t="inlineStr">
        <is>
          <t>sacado_devedor</t>
        </is>
      </c>
      <c r="D449" s="75" t="inlineStr">
        <is>
          <t>pessoas físicas titulares de contas vinculadas do FGTS e que estejam com a opção da modalidade de Saque Aniversário vigente na data da contratação do empréstimo e emissão de CCBs, e que figurem na qualidade de devedores dos Direitos Creditórios.</t>
        </is>
      </c>
      <c r="E449" s="75" t="inlineStr">
        <is>
          <t>N/D</t>
        </is>
      </c>
      <c r="F449" s="75" t="inlineStr">
        <is>
          <t>assembleia</t>
        </is>
      </c>
      <c r="G449" s="75" t="inlineStr">
        <is>
          <t>926234</t>
        </is>
      </c>
      <c r="H449" s="75" t="inlineStr">
        <is>
          <t>assembleia</t>
        </is>
      </c>
      <c r="I449" s="75" t="inlineStr">
        <is>
          <t>2025-06-13</t>
        </is>
      </c>
      <c r="J449" s="75" t="inlineStr">
        <is>
          <t>51</t>
        </is>
      </c>
      <c r="K449" s="75" t="inlineStr">
        <is>
          <t>encontrado_explicito</t>
        </is>
      </c>
      <c r="L449" s="144" t="n">
        <v>0.95</v>
      </c>
      <c r="M449" s="75" t="inlineStr">
        <is>
          <t>data/raw/54252144000164/926234_assembleia_assembleia_926234_2025-06-13.pdf</t>
        </is>
      </c>
      <c r="N449" s="75" t="inlineStr">
        <is>
          <t>https://fnet.bmfbovespa.com.br/fnet/publico/downloadDocumento?id=926234</t>
        </is>
      </c>
      <c r="O449" s="75" t="inlineStr">
        <is>
          <t>l dos Direitos Creditórios Elegíveis" Significa a data de vencimento final de cada Direito Creditório Elegível. "Devedores" Significam pessoas físicas titulares de contas vinculadas do FGTS e que estejam com a opção da modalidade de Saque Aniversário vigente na data da contratação do empréstimo e emissão de CCBs, e que figurem na qualidade de devedores dos Direitos Creditórios. 52 "Direitos Creditórios" Significam aos direitos creditórios performados oriundos de operações de emprésti</t>
        </is>
      </c>
    </row>
    <row r="450" ht="43.5" customHeight="1">
      <c r="A450" s="142" t="n">
        <v>54252144000164</v>
      </c>
      <c r="B450" s="75" t="inlineStr">
        <is>
          <t>54.252.144/0001-64</t>
        </is>
      </c>
      <c r="C450" s="75" t="inlineStr">
        <is>
          <t>tipo_recebivel</t>
        </is>
      </c>
      <c r="D450" s="75" t="inlineStr">
        <is>
          <t>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t>
        </is>
      </c>
      <c r="E450" s="75" t="inlineStr">
        <is>
          <t>N/D</t>
        </is>
      </c>
      <c r="F450" s="75" t="inlineStr">
        <is>
          <t>regulamento</t>
        </is>
      </c>
      <c r="G450" s="75" t="inlineStr">
        <is>
          <t>1223382</t>
        </is>
      </c>
      <c r="H450" s="75" t="inlineStr">
        <is>
          <t>Regulamento</t>
        </is>
      </c>
      <c r="I450" s="75" t="inlineStr">
        <is>
          <t>08/06/2026</t>
        </is>
      </c>
      <c r="J450" s="75" t="inlineStr">
        <is>
          <t>49</t>
        </is>
      </c>
      <c r="K450" s="75" t="inlineStr">
        <is>
          <t>encontrado_explicito</t>
        </is>
      </c>
      <c r="L450" s="144" t="n">
        <v>0.92</v>
      </c>
      <c r="M450" s="75" t="inlineStr">
        <is>
          <t>.cache/carteira_101_document_scan/54252144000164/1223382.json.gz</t>
        </is>
      </c>
      <c r="N450" s="75" t="inlineStr">
        <is>
          <t>https://fnet.bmfbovespa.com.br/fnet/publico/downloadDocumento?id=1223382</t>
        </is>
      </c>
      <c r="O450" s="75" t="inlineStr">
        <is>
          <t>préstimo e emissão de CCBs, e que figurem na qualidade de devedores dos Direitos Creditórios. "Direitos Creditórios" Significam 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Direitos Creditórios Elegíveis adquiridos pe</t>
        </is>
      </c>
    </row>
    <row r="451" ht="43.5" customHeight="1">
      <c r="A451" s="142" t="n">
        <v>54252144000164</v>
      </c>
      <c r="B451" s="75" t="inlineStr">
        <is>
          <t>54.252.144/0001-64</t>
        </is>
      </c>
      <c r="C451" s="75" t="inlineStr">
        <is>
          <t>tipo_recebivel</t>
        </is>
      </c>
      <c r="D451" s="75" t="inlineStr">
        <is>
          <t>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t>
        </is>
      </c>
      <c r="E451" s="75" t="inlineStr">
        <is>
          <t>N/D</t>
        </is>
      </c>
      <c r="F451" s="75" t="inlineStr">
        <is>
          <t>regulamento</t>
        </is>
      </c>
      <c r="G451" s="75" t="inlineStr">
        <is>
          <t>1072289</t>
        </is>
      </c>
      <c r="H451" s="75" t="inlineStr">
        <is>
          <t>regulamento</t>
        </is>
      </c>
      <c r="I451" s="75" t="inlineStr">
        <is>
          <t>2025-12-29</t>
        </is>
      </c>
      <c r="J451" s="75" t="inlineStr">
        <is>
          <t>52</t>
        </is>
      </c>
      <c r="K451" s="75" t="inlineStr">
        <is>
          <t>encontrado_explicito</t>
        </is>
      </c>
      <c r="L451" s="144" t="n">
        <v>0.92</v>
      </c>
      <c r="M451" s="75" t="inlineStr">
        <is>
          <t>data/raw/54252144000164/1072289_regulamento_regulamento_1072289_2025-12-29.pdf</t>
        </is>
      </c>
      <c r="N451" s="75" t="inlineStr">
        <is>
          <t>https://fnet.bmfbovespa.com.br/fnet/publico/downloadDocumento?id=1072289</t>
        </is>
      </c>
      <c r="O451" s="75" t="inlineStr">
        <is>
          <t>préstimo e emissão de CCBs, e que figurem na qualidade de devedores dos Direitos Creditórios. "Direitos Creditórios" Significam 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Direitos Creditórios Elegíveis adquiridos pe</t>
        </is>
      </c>
    </row>
    <row r="452" ht="43.5" customHeight="1">
      <c r="A452" s="142" t="n">
        <v>54252144000164</v>
      </c>
      <c r="B452" s="75" t="inlineStr">
        <is>
          <t>54.252.144/0001-64</t>
        </is>
      </c>
      <c r="C452" s="75" t="inlineStr">
        <is>
          <t>tipo_recebivel</t>
        </is>
      </c>
      <c r="D452" s="75" t="inlineStr">
        <is>
          <t>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t>
        </is>
      </c>
      <c r="E452" s="75" t="inlineStr">
        <is>
          <t>N/D</t>
        </is>
      </c>
      <c r="F452" s="75" t="inlineStr">
        <is>
          <t>regulamento</t>
        </is>
      </c>
      <c r="G452" s="75" t="inlineStr">
        <is>
          <t>1072290</t>
        </is>
      </c>
      <c r="H452" s="75" t="inlineStr">
        <is>
          <t>regulamento</t>
        </is>
      </c>
      <c r="I452" s="75" t="inlineStr">
        <is>
          <t>2025-12-29</t>
        </is>
      </c>
      <c r="J452" s="75" t="inlineStr">
        <is>
          <t>N/D</t>
        </is>
      </c>
      <c r="K452" s="75" t="inlineStr">
        <is>
          <t>encontrado_explicito</t>
        </is>
      </c>
      <c r="L452" s="144" t="n">
        <v>0.92</v>
      </c>
      <c r="M452" s="75" t="inlineStr">
        <is>
          <t>outputs/fidc_director_deep_diagnostic_20260609/pdf_text_cache/54252144000164_1072290_regulamento_regulamento_1072290_2025-12-29.txt</t>
        </is>
      </c>
      <c r="N452" s="75" t="inlineStr">
        <is>
          <t>https://fnet.bmfbovespa.com.br/fnet/publico/downloadDocumento?id=1072290</t>
        </is>
      </c>
      <c r="O452" s="75" t="inlineStr">
        <is>
          <t>préstimo e emissão de CCBs, e que figurem na qualidade de devedores dos Direitos Creditórios. "Direitos Creditórios" Significam 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Direitos Creditórios Elegíveis adquiridos pe</t>
        </is>
      </c>
    </row>
    <row r="453" ht="43.5" customHeight="1">
      <c r="A453" s="142" t="n">
        <v>54252144000164</v>
      </c>
      <c r="B453" s="75" t="inlineStr">
        <is>
          <t>54.252.144/0001-64</t>
        </is>
      </c>
      <c r="C453" s="75" t="inlineStr">
        <is>
          <t>tipo_recebivel</t>
        </is>
      </c>
      <c r="D453" s="75" t="inlineStr">
        <is>
          <t>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t>
        </is>
      </c>
      <c r="E453" s="75" t="inlineStr">
        <is>
          <t>N/D</t>
        </is>
      </c>
      <c r="F453" s="75" t="inlineStr">
        <is>
          <t>assembleia</t>
        </is>
      </c>
      <c r="G453" s="75" t="inlineStr">
        <is>
          <t>1223380</t>
        </is>
      </c>
      <c r="H453" s="75" t="inlineStr">
        <is>
          <t>Assembleia AGE Ata da Assembleia</t>
        </is>
      </c>
      <c r="I453" s="75" t="inlineStr">
        <is>
          <t>08/06/2026 09:00</t>
        </is>
      </c>
      <c r="J453" s="75" t="inlineStr">
        <is>
          <t>54</t>
        </is>
      </c>
      <c r="K453" s="75" t="inlineStr">
        <is>
          <t>encontrado_explicito</t>
        </is>
      </c>
      <c r="L453" s="144" t="n">
        <v>0.92</v>
      </c>
      <c r="M453" s="75" t="inlineStr">
        <is>
          <t>.cache/carteira_101_document_scan/54252144000164/1223380.json.gz</t>
        </is>
      </c>
      <c r="N453" s="75" t="inlineStr">
        <is>
          <t>https://fnet.bmfbovespa.com.br/fnet/publico/downloadDocumento?id=1223380</t>
        </is>
      </c>
      <c r="O453" s="75" t="inlineStr">
        <is>
          <t>préstimo e emissão de CCBs, e que figurem na qualidade de devedores dos Direitos Creditórios. "Direitos Creditórios" Significam 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Direitos Creditórios Elegíveis adquiridos pe</t>
        </is>
      </c>
    </row>
    <row r="454" ht="43.5" customHeight="1">
      <c r="A454" s="142" t="n">
        <v>54252144000164</v>
      </c>
      <c r="B454" s="75" t="inlineStr">
        <is>
          <t>54.252.144/0001-64</t>
        </is>
      </c>
      <c r="C454" s="75" t="inlineStr">
        <is>
          <t>tipo_recebivel</t>
        </is>
      </c>
      <c r="D454" s="75" t="inlineStr">
        <is>
          <t>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t>
        </is>
      </c>
      <c r="E454" s="75" t="inlineStr">
        <is>
          <t>N/D</t>
        </is>
      </c>
      <c r="F454" s="75" t="inlineStr">
        <is>
          <t>assembleia</t>
        </is>
      </c>
      <c r="G454" s="75" t="inlineStr">
        <is>
          <t>926234</t>
        </is>
      </c>
      <c r="H454" s="75" t="inlineStr">
        <is>
          <t>assembleia</t>
        </is>
      </c>
      <c r="I454" s="75" t="inlineStr">
        <is>
          <t>2025-06-13</t>
        </is>
      </c>
      <c r="J454" s="75" t="inlineStr">
        <is>
          <t>52</t>
        </is>
      </c>
      <c r="K454" s="75" t="inlineStr">
        <is>
          <t>encontrado_explicito</t>
        </is>
      </c>
      <c r="L454" s="144" t="n">
        <v>0.92</v>
      </c>
      <c r="M454" s="75" t="inlineStr">
        <is>
          <t>data/raw/54252144000164/926234_assembleia_assembleia_926234_2025-06-13.pdf</t>
        </is>
      </c>
      <c r="N454" s="75" t="inlineStr">
        <is>
          <t>https://fnet.bmfbovespa.com.br/fnet/publico/downloadDocumento?id=926234</t>
        </is>
      </c>
      <c r="O454" s="75" t="inlineStr">
        <is>
          <t>emissão de CCBs, e que figurem na qualidade de devedores dos Direitos Creditórios. 52 "Direitos Creditórios" Significam aos direitos creditórios performados oriundos de operações de empréstimo pessoal, formalizadas por CCBs emitidas por Devedores em favor do Credor Original, e garantidas por cessão fiduciária da totalidade ou de parte dos direitos do Devedor aos Saques Aniversário, nos termos da Lei 8.036 e da Resolução CCFGTS 958 ou qualquer outro normativo que venha a substituí-la. "Direitos Creditórios Adquiridos" Significam os Direitos Creditórios Elegíveis adquiridos pe</t>
        </is>
      </c>
    </row>
    <row r="455" ht="43.5" customHeight="1">
      <c r="A455" s="142" t="n">
        <v>54252144000164</v>
      </c>
      <c r="B455" s="75" t="inlineStr">
        <is>
          <t>54.252.144/0001-64</t>
        </is>
      </c>
      <c r="C455" s="75" t="inlineStr">
        <is>
          <t>tipo_recebivel</t>
        </is>
      </c>
      <c r="D455" s="75" t="inlineStr">
        <is>
          <t>FGTS Saque-aniversário</t>
        </is>
      </c>
      <c r="E455" s="75" t="inlineStr">
        <is>
          <t>N/D</t>
        </is>
      </c>
      <c r="F455" s="75" t="inlineStr">
        <is>
          <t>planilha_manual</t>
        </is>
      </c>
      <c r="G455" s="75" t="inlineStr">
        <is>
          <t>IMG_8704.JPG</t>
        </is>
      </c>
      <c r="H455" s="75" t="inlineStr">
        <is>
          <t>payload</t>
        </is>
      </c>
      <c r="I455" s="75" t="inlineStr">
        <is>
          <t>2026-06-08</t>
        </is>
      </c>
      <c r="J455" s="75" t="inlineStr">
        <is>
          <t>109</t>
        </is>
      </c>
      <c r="K455" s="75" t="inlineStr">
        <is>
          <t>aceito_payload</t>
        </is>
      </c>
      <c r="L455" s="144" t="n">
        <v>1</v>
      </c>
      <c r="M455" s="75" t="inlineStr">
        <is>
          <t>data/industry_study/generated_revision/artifact_payload.json</t>
        </is>
      </c>
      <c r="N455" s="75" t="inlineStr">
        <is>
          <t>N/D</t>
        </is>
      </c>
      <c r="O455" s="75" t="inlineStr">
        <is>
          <t>Denominação cortada pela largura da coluna na foto.</t>
        </is>
      </c>
    </row>
    <row r="456" ht="43.5" customHeight="1">
      <c r="A456" s="142" t="n">
        <v>54464892000100</v>
      </c>
      <c r="B456" s="75" t="inlineStr">
        <is>
          <t>54.464.892/0001-00</t>
        </is>
      </c>
      <c r="C456" s="75" t="inlineStr">
        <is>
          <t>cedente</t>
        </is>
      </c>
      <c r="D456" s="75" t="inlineStr">
        <is>
          <t>75% Parati / 25% QI Tech</t>
        </is>
      </c>
      <c r="E456" s="75" t="inlineStr">
        <is>
          <t>N/D</t>
        </is>
      </c>
      <c r="F456" s="75" t="inlineStr">
        <is>
          <t>planilha_manual</t>
        </is>
      </c>
      <c r="G456" s="75" t="inlineStr">
        <is>
          <t>IMG_8707.jpg</t>
        </is>
      </c>
      <c r="H456" s="75" t="inlineStr">
        <is>
          <t>payload</t>
        </is>
      </c>
      <c r="I456" s="75" t="inlineStr">
        <is>
          <t>2025-04-23</t>
        </is>
      </c>
      <c r="J456" s="75" t="inlineStr">
        <is>
          <t>85–86</t>
        </is>
      </c>
      <c r="K456" s="75" t="inlineStr">
        <is>
          <t>aceito_payload</t>
        </is>
      </c>
      <c r="L456" s="144" t="n">
        <v>1</v>
      </c>
      <c r="M456" s="75" t="inlineStr">
        <is>
          <t>data/industry_study/generated_revision/artifact_payload.json</t>
        </is>
      </c>
      <c r="N456" s="75" t="inlineStr">
        <is>
          <t>N/D</t>
        </is>
      </c>
      <c r="O456" s="75" t="inlineStr">
        <is>
          <t>OBS da foto: Rating atual Ba1; se ajustar o rating na base, pode considerar perspectiva estável. Denominação cortada.</t>
        </is>
      </c>
    </row>
    <row r="457" ht="43.5" customHeight="1">
      <c r="A457" s="142" t="n">
        <v>54464892000100</v>
      </c>
      <c r="B457" s="75" t="inlineStr">
        <is>
          <t>54.464.892/0001-00</t>
        </is>
      </c>
      <c r="C457" s="75" t="inlineStr">
        <is>
          <t>minimo_junior</t>
        </is>
      </c>
      <c r="D457" s="75" t="inlineStr">
        <is>
          <t>3.5%</t>
        </is>
      </c>
      <c r="E457" s="75" t="inlineStr">
        <is>
          <t>junior_pl</t>
        </is>
      </c>
      <c r="F457" s="75" t="inlineStr">
        <is>
          <t>payload_documental</t>
        </is>
      </c>
      <c r="G457" s="75" t="inlineStr">
        <is>
          <t>884293</t>
        </is>
      </c>
      <c r="H457" s="75" t="inlineStr">
        <is>
          <t>documento_curado</t>
        </is>
      </c>
      <c r="I457" s="75" t="inlineStr">
        <is>
          <t>2025-04-23</t>
        </is>
      </c>
      <c r="J457" s="75" t="inlineStr">
        <is>
          <t>85–86</t>
        </is>
      </c>
      <c r="K457" s="75" t="inlineStr">
        <is>
          <t>aceito_payload</t>
        </is>
      </c>
      <c r="L457" s="144" t="n">
        <v>1</v>
      </c>
      <c r="M457" s="75" t="inlineStr">
        <is>
          <t>data/industry_study/generated_revision/artifact_payload.json</t>
        </is>
      </c>
      <c r="N457" s="75" t="inlineStr">
        <is>
          <t>https://fnet.bmfbovespa.com.br/fnet/publico/downloadDocumento?id=884293</t>
        </is>
      </c>
      <c r="O457" s="75" t="inlineStr">
        <is>
          <t>Cotas júnior / PL, mínimo de 3,5% no período de investimento e 5,0% depois.</t>
        </is>
      </c>
    </row>
    <row r="458" ht="43.5" customHeight="1">
      <c r="A458" s="142" t="n">
        <v>54464892000100</v>
      </c>
      <c r="B458" s="75" t="inlineStr">
        <is>
          <t>54.464.892/0001-00</t>
        </is>
      </c>
      <c r="C458" s="75" t="inlineStr">
        <is>
          <t>natureza_indice</t>
        </is>
      </c>
      <c r="D458" s="75" t="inlineStr">
        <is>
          <t>junior_pl</t>
        </is>
      </c>
      <c r="E458" s="75" t="inlineStr">
        <is>
          <t>junior_pl</t>
        </is>
      </c>
      <c r="F458" s="75" t="inlineStr">
        <is>
          <t>payload_documental</t>
        </is>
      </c>
      <c r="G458" s="75" t="inlineStr">
        <is>
          <t>884293</t>
        </is>
      </c>
      <c r="H458" s="75" t="inlineStr">
        <is>
          <t>documento_curado</t>
        </is>
      </c>
      <c r="I458" s="75" t="inlineStr">
        <is>
          <t>2025-04-23</t>
        </is>
      </c>
      <c r="J458" s="75" t="inlineStr">
        <is>
          <t>85–86</t>
        </is>
      </c>
      <c r="K458" s="75" t="inlineStr">
        <is>
          <t>aceito_payload</t>
        </is>
      </c>
      <c r="L458" s="144" t="n">
        <v>1</v>
      </c>
      <c r="M458" s="75" t="inlineStr">
        <is>
          <t>data/industry_study/generated_revision/artifact_payload.json</t>
        </is>
      </c>
      <c r="N458" s="75" t="inlineStr">
        <is>
          <t>https://fnet.bmfbovespa.com.br/fnet/publico/downloadDocumento?id=884293</t>
        </is>
      </c>
      <c r="O458" s="75" t="inlineStr">
        <is>
          <t>Cotas júnior / PL, mínimo de 3,5% no período de investimento e 5,0% depois.</t>
        </is>
      </c>
    </row>
    <row r="459" ht="43.5" customHeight="1">
      <c r="A459" s="142" t="n">
        <v>54559035000194</v>
      </c>
      <c r="B459" s="75" t="inlineStr">
        <is>
          <t>54.559.035/0001-94</t>
        </is>
      </c>
      <c r="C459" s="75" t="inlineStr">
        <is>
          <t>cedente</t>
        </is>
      </c>
      <c r="D459" s="75" t="inlineStr">
        <is>
          <t>Banco IBM</t>
        </is>
      </c>
      <c r="E459" s="75" t="inlineStr">
        <is>
          <t>N/D</t>
        </is>
      </c>
      <c r="F459" s="75" t="inlineStr">
        <is>
          <t>planilha_manual</t>
        </is>
      </c>
      <c r="G459" s="75" t="inlineStr">
        <is>
          <t>IMG_8706.JPG</t>
        </is>
      </c>
      <c r="H459" s="75" t="inlineStr">
        <is>
          <t>payload</t>
        </is>
      </c>
      <c r="I459" s="75" t="inlineStr">
        <is>
          <t>2024-04-05</t>
        </is>
      </c>
      <c r="J459" s="75" t="inlineStr">
        <is>
          <t>50</t>
        </is>
      </c>
      <c r="K459" s="75" t="inlineStr">
        <is>
          <t>aceito_payload</t>
        </is>
      </c>
      <c r="L459" s="144" t="n">
        <v>1</v>
      </c>
      <c r="M459" s="75" t="inlineStr">
        <is>
          <t>data/industry_study/generated_revision/artifact_payload.json</t>
        </is>
      </c>
      <c r="N459" s="75" t="inlineStr">
        <is>
          <t>N/D</t>
        </is>
      </c>
      <c r="O459" s="75" t="inlineStr">
        <is>
          <t>N/D</t>
        </is>
      </c>
    </row>
    <row r="460" ht="43.5" customHeight="1">
      <c r="A460" s="142" t="n">
        <v>54559035000194</v>
      </c>
      <c r="B460" s="75" t="inlineStr">
        <is>
          <t>54.559.035/0001-94</t>
        </is>
      </c>
      <c r="C460" s="75" t="inlineStr">
        <is>
          <t>minimo_estrutural_total</t>
        </is>
      </c>
      <c r="D460" s="75" t="inlineStr">
        <is>
          <t>10%</t>
        </is>
      </c>
      <c r="E460" s="75" t="inlineStr">
        <is>
          <t>suporte_total_pl</t>
        </is>
      </c>
      <c r="F460" s="75" t="inlineStr">
        <is>
          <t>payload_documental</t>
        </is>
      </c>
      <c r="G460" s="75" t="inlineStr">
        <is>
          <t>634463</t>
        </is>
      </c>
      <c r="H460" s="75" t="inlineStr">
        <is>
          <t>documento_curado</t>
        </is>
      </c>
      <c r="I460" s="75" t="inlineStr">
        <is>
          <t>2024-04-05</t>
        </is>
      </c>
      <c r="J460" s="75" t="inlineStr">
        <is>
          <t>50</t>
        </is>
      </c>
      <c r="K460" s="75" t="inlineStr">
        <is>
          <t>aceito_payload</t>
        </is>
      </c>
      <c r="L460" s="144" t="n">
        <v>1</v>
      </c>
      <c r="M460" s="75" t="inlineStr">
        <is>
          <t>data/industry_study/generated_revision/artifact_payload.json</t>
        </is>
      </c>
      <c r="N460" s="75" t="inlineStr">
        <is>
          <t>https://fnet.bmfbovespa.com.br/fnet/publico/downloadDocumento?id=634463</t>
        </is>
      </c>
      <c r="O460" s="75" t="inlineStr">
        <is>
          <t>Cotas subordinadas júnior / PL, mínimo de 10,0%; estrutura com cotas seniores e juniores.</t>
        </is>
      </c>
    </row>
    <row r="461" ht="43.5" customHeight="1">
      <c r="A461" s="142" t="n">
        <v>54559035000194</v>
      </c>
      <c r="B461" s="75" t="inlineStr">
        <is>
          <t>54.559.035/0001-94</t>
        </is>
      </c>
      <c r="C461" s="75" t="inlineStr">
        <is>
          <t>minimo_junior</t>
        </is>
      </c>
      <c r="D461" s="75" t="inlineStr">
        <is>
          <t>10%</t>
        </is>
      </c>
      <c r="E461" s="75" t="inlineStr">
        <is>
          <t>junior_pl</t>
        </is>
      </c>
      <c r="F461" s="75" t="inlineStr">
        <is>
          <t>payload_documental</t>
        </is>
      </c>
      <c r="G461" s="75" t="inlineStr">
        <is>
          <t>634463</t>
        </is>
      </c>
      <c r="H461" s="75" t="inlineStr">
        <is>
          <t>documento_curado</t>
        </is>
      </c>
      <c r="I461" s="75" t="inlineStr">
        <is>
          <t>2024-04-05</t>
        </is>
      </c>
      <c r="J461" s="75" t="inlineStr">
        <is>
          <t>50</t>
        </is>
      </c>
      <c r="K461" s="75" t="inlineStr">
        <is>
          <t>aceito_payload</t>
        </is>
      </c>
      <c r="L461" s="144" t="n">
        <v>1</v>
      </c>
      <c r="M461" s="75" t="inlineStr">
        <is>
          <t>data/industry_study/generated_revision/artifact_payload.json</t>
        </is>
      </c>
      <c r="N461" s="75" t="inlineStr">
        <is>
          <t>https://fnet.bmfbovespa.com.br/fnet/publico/downloadDocumento?id=634463</t>
        </is>
      </c>
      <c r="O461" s="75" t="inlineStr">
        <is>
          <t>Cotas subordinadas júnior / PL, mínimo de 10,0%; estrutura com cotas seniores e juniores.</t>
        </is>
      </c>
    </row>
    <row r="462" ht="43.5" customHeight="1">
      <c r="A462" s="142" t="n">
        <v>54559035000194</v>
      </c>
      <c r="B462" s="75" t="inlineStr">
        <is>
          <t>54.559.035/0001-94</t>
        </is>
      </c>
      <c r="C462" s="75" t="inlineStr">
        <is>
          <t>natureza_indice</t>
        </is>
      </c>
      <c r="D462" s="75" t="inlineStr">
        <is>
          <t>junior_pl</t>
        </is>
      </c>
      <c r="E462" s="75" t="inlineStr">
        <is>
          <t>junior_pl</t>
        </is>
      </c>
      <c r="F462" s="75" t="inlineStr">
        <is>
          <t>payload_documental</t>
        </is>
      </c>
      <c r="G462" s="75" t="inlineStr">
        <is>
          <t>634463</t>
        </is>
      </c>
      <c r="H462" s="75" t="inlineStr">
        <is>
          <t>documento_curado</t>
        </is>
      </c>
      <c r="I462" s="75" t="inlineStr">
        <is>
          <t>2024-04-05</t>
        </is>
      </c>
      <c r="J462" s="75" t="inlineStr">
        <is>
          <t>50</t>
        </is>
      </c>
      <c r="K462" s="75" t="inlineStr">
        <is>
          <t>aceito_payload</t>
        </is>
      </c>
      <c r="L462" s="144" t="n">
        <v>1</v>
      </c>
      <c r="M462" s="75" t="inlineStr">
        <is>
          <t>data/industry_study/generated_revision/artifact_payload.json</t>
        </is>
      </c>
      <c r="N462" s="75" t="inlineStr">
        <is>
          <t>https://fnet.bmfbovespa.com.br/fnet/publico/downloadDocumento?id=634463</t>
        </is>
      </c>
      <c r="O462" s="75" t="inlineStr">
        <is>
          <t>Cotas subordinadas júnior / PL, mínimo de 10,0%; estrutura com cotas seniores e juniores.</t>
        </is>
      </c>
    </row>
    <row r="463" ht="43.5" customHeight="1">
      <c r="A463" s="142" t="n">
        <v>54559035000194</v>
      </c>
      <c r="B463" s="75" t="inlineStr">
        <is>
          <t>54.559.035/0001-94</t>
        </is>
      </c>
      <c r="C463" s="75" t="inlineStr">
        <is>
          <t>tipo_recebivel</t>
        </is>
      </c>
      <c r="D463" s="75" t="inlineStr">
        <is>
          <t>os direitos creditórios consubstanciados nos Certificados de Depósito Bancário Vinculados , bem como todos e quaisquer outros encargos devidos por força dos Certificados de Depósito Bancário Vinculados , incluindo a totalidade dos respectivos acessórios, tais como encargos moratórios, multas, penalidades, indenizações, despesas, custas, honorários e demais encargos contratuais e legais previstos e relacionados nos Certificados de Depósito Bancário Vinculados , observado que o pagamento dos Certificados de Depósito Bancário Vinculados fica sujeito ao recebimento, pelo Banco IBM, dos valores devidos ao Banco IBM sob os Contratos de Leasing</t>
        </is>
      </c>
      <c r="E463" s="75" t="inlineStr">
        <is>
          <t>N/D</t>
        </is>
      </c>
      <c r="F463" s="75" t="inlineStr">
        <is>
          <t>regulamento</t>
        </is>
      </c>
      <c r="G463" s="75" t="inlineStr">
        <is>
          <t>634437</t>
        </is>
      </c>
      <c r="H463" s="75" t="inlineStr">
        <is>
          <t>regulamento</t>
        </is>
      </c>
      <c r="I463" s="75" t="inlineStr">
        <is>
          <t>2024-04-05</t>
        </is>
      </c>
      <c r="J463" s="75" t="inlineStr">
        <is>
          <t>49</t>
        </is>
      </c>
      <c r="K463" s="75" t="inlineStr">
        <is>
          <t>encontrado_explicito</t>
        </is>
      </c>
      <c r="L463" s="144" t="n">
        <v>0.92</v>
      </c>
      <c r="M463" s="75" t="inlineStr">
        <is>
          <t>data/raw/54559035000194/634437_regulamento_regulamento_634437_2024-04-05.pdf</t>
        </is>
      </c>
      <c r="N463" s="75" t="inlineStr">
        <is>
          <t>https://fnet.bmfbovespa.com.br/fnet/publico/downloadDocumento?id=634437</t>
        </is>
      </c>
      <c r="O463" s="75" t="inlineStr">
        <is>
          <t>tórios Adquiridos” Significa os Direitos Creditórios Elegíveis adquiridos pela Classe Única. “Direitos Creditórios” Significam os direitos creditórios consubstanciados nos Certificados de Depósito Bancário Vinculados , bem como todos e quaisquer outros encargos devidos por força dos Certificados de Depósito Bancário Vinculados , incluindo a totalidade dos respectivos acessórios, tais como encargos moratórios, multas, penalidades, indenizações, despesas, custas, honorários e demais encargos contratuais e legais previstos e relacionados nos Certificados de Depósito Bancário Vinculados , observado que o pagamento dos Certificados de Depósito Bancário Vinculados fica sujeito ao recebimento, pelo Banco IBM, dos valores devidos ao Banco IBM sob os Contratos de Leasing. “Direitos Creditórios Elegíveis” Significam os Direitos Creditórios que atendam aos respec</t>
        </is>
      </c>
    </row>
    <row r="464" ht="43.5" customHeight="1">
      <c r="A464" s="142" t="n">
        <v>54559035000194</v>
      </c>
      <c r="B464" s="75" t="inlineStr">
        <is>
          <t>54.559.035/0001-94</t>
        </is>
      </c>
      <c r="C464" s="75" t="inlineStr">
        <is>
          <t>tipo_recebivel</t>
        </is>
      </c>
      <c r="D464" s="75" t="inlineStr">
        <is>
          <t>os direitos creditórios consubstanciados nos Certificados de Depósito Bancário Vinculados , bem como todos e quaisquer outros encargos devidos por força dos Certificados de Depósito Bancário Vinculados , incluindo a totalidade dos respectivos acessórios, tais como encargos moratórios, multas, penalidades, indenizações, despesas, custas, honorários e demais encargos contratuais e legais previstos e relacionados n os Certificados de Depósito Bancário Vinculados , observado que o pagamento dos Certificados de Depósito Bancário Vinculados fica sujeito ao recebimento, pelo Banco IBM, dos valores devidos a o Banco IBM sob os Contratos de Leasing</t>
        </is>
      </c>
      <c r="E464" s="75" t="inlineStr">
        <is>
          <t>N/D</t>
        </is>
      </c>
      <c r="F464" s="75" t="inlineStr">
        <is>
          <t>assembleia</t>
        </is>
      </c>
      <c r="G464" s="75" t="inlineStr">
        <is>
          <t>634435</t>
        </is>
      </c>
      <c r="H464" s="75" t="inlineStr">
        <is>
          <t>assembleia</t>
        </is>
      </c>
      <c r="I464" s="75" t="inlineStr">
        <is>
          <t>2024-04-01</t>
        </is>
      </c>
      <c r="J464" s="75" t="inlineStr">
        <is>
          <t>49</t>
        </is>
      </c>
      <c r="K464" s="75" t="inlineStr">
        <is>
          <t>encontrado_explicito</t>
        </is>
      </c>
      <c r="L464" s="144" t="n">
        <v>0.92</v>
      </c>
      <c r="M464" s="75" t="inlineStr">
        <is>
          <t>data/raw/54559035000194/634435_assembleia_assembleia_634435_2024-04-01.pdf</t>
        </is>
      </c>
      <c r="N464" s="75" t="inlineStr">
        <is>
          <t>https://fnet.bmfbovespa.com.br/fnet/publico/downloadDocumento?id=634435</t>
        </is>
      </c>
      <c r="O464" s="75" t="inlineStr">
        <is>
          <t>tórios Adquiridos” Significa os Direitos Creditórios Elegíveis adquiridos pela Classe Única. “Direitos Creditórios” Significam os direitos creditórios consubstanciados nos Certificados de Depósito Bancário Vinculados , bem como todos e quaisquer outros encargos devidos por força dos Certificados de Depósito Bancário Vinculados , incluindo a totalidade dos respectivos acessórios, tais como encargos moratórios, multas, penalidades, indenizações, despesas, custas, honorários e demais encargos contratuais e legais previstos e relacionados n os Certificados de Depósito Bancário Vinculados , observado que o pagamento dos Certificados de Depósito Bancário Vinculados fica sujeito ao recebimento, pelo Banco IBM, dos valores devidos a o Banco IBM sob os Contratos de Leasing. “Direitos Creditórios Elegíveis” Significam os Direitos Creditórios que atendam aos respec</t>
        </is>
      </c>
    </row>
    <row r="465" ht="43.5" customHeight="1">
      <c r="A465" s="142" t="n">
        <v>54810968000102</v>
      </c>
      <c r="B465" s="75" t="inlineStr">
        <is>
          <t>54.810.968/0001-02</t>
        </is>
      </c>
      <c r="C465" s="75" t="inlineStr">
        <is>
          <t>cedente</t>
        </is>
      </c>
      <c r="D465" s="75" t="inlineStr">
        <is>
          <t>BMG</t>
        </is>
      </c>
      <c r="E465" s="75" t="inlineStr">
        <is>
          <t>N/D</t>
        </is>
      </c>
      <c r="F465" s="75" t="inlineStr">
        <is>
          <t>planilha_manual</t>
        </is>
      </c>
      <c r="G465" s="75" t="inlineStr">
        <is>
          <t>IMG_8704.JPG</t>
        </is>
      </c>
      <c r="H465" s="75" t="inlineStr">
        <is>
          <t>payload</t>
        </is>
      </c>
      <c r="I465" s="75" t="inlineStr">
        <is>
          <t>2025-04-22</t>
        </is>
      </c>
      <c r="J465" s="75" t="inlineStr">
        <is>
          <t>16</t>
        </is>
      </c>
      <c r="K465" s="75" t="inlineStr">
        <is>
          <t>aceito_payload</t>
        </is>
      </c>
      <c r="L465" s="144" t="n">
        <v>1</v>
      </c>
      <c r="M465" s="75" t="inlineStr">
        <is>
          <t>data/industry_study/generated_revision/artifact_payload.json</t>
        </is>
      </c>
      <c r="N465" s="75" t="inlineStr">
        <is>
          <t>N/D</t>
        </is>
      </c>
      <c r="O465" s="75" t="inlineStr">
        <is>
          <t>Denominação cortada pela largura da coluna na foto.</t>
        </is>
      </c>
    </row>
    <row r="466" ht="43.5" customHeight="1">
      <c r="A466" s="142" t="n">
        <v>54810968000102</v>
      </c>
      <c r="B466" s="75" t="inlineStr">
        <is>
          <t>54.810.968/0001-02</t>
        </is>
      </c>
      <c r="C466" s="75" t="inlineStr">
        <is>
          <t>minimo_junior</t>
        </is>
      </c>
      <c r="D466" s="75" t="inlineStr">
        <is>
          <t>5%</t>
        </is>
      </c>
      <c r="E466" s="75" t="inlineStr">
        <is>
          <t>junior_pl</t>
        </is>
      </c>
      <c r="F466" s="75" t="inlineStr">
        <is>
          <t>payload_documental</t>
        </is>
      </c>
      <c r="G466" s="75" t="inlineStr">
        <is>
          <t>937760</t>
        </is>
      </c>
      <c r="H466" s="75" t="inlineStr">
        <is>
          <t>documento_curado</t>
        </is>
      </c>
      <c r="I466" s="75" t="inlineStr">
        <is>
          <t>2025-04-22</t>
        </is>
      </c>
      <c r="J466" s="75" t="inlineStr">
        <is>
          <t>16</t>
        </is>
      </c>
      <c r="K466" s="75" t="inlineStr">
        <is>
          <t>aceito_payload</t>
        </is>
      </c>
      <c r="L466" s="144" t="n">
        <v>1</v>
      </c>
      <c r="M466" s="75" t="inlineStr">
        <is>
          <t>data/industry_study/generated_revision/artifact_payload.json</t>
        </is>
      </c>
      <c r="N466" s="75" t="inlineStr">
        <is>
          <t>https://fnet.bmfbovespa.com.br/fnet/publico/downloadDocumento?id=937760</t>
        </is>
      </c>
      <c r="O466" s="75" t="inlineStr">
        <is>
          <t>Índice de Subordinação Mezanino: cotas júnior / PL, mínimo de 5,0%.</t>
        </is>
      </c>
    </row>
    <row r="467" ht="43.5" customHeight="1">
      <c r="A467" s="142" t="n">
        <v>54810968000102</v>
      </c>
      <c r="B467" s="75" t="inlineStr">
        <is>
          <t>54.810.968/0001-02</t>
        </is>
      </c>
      <c r="C467" s="75" t="inlineStr">
        <is>
          <t>natureza_indice</t>
        </is>
      </c>
      <c r="D467" s="75" t="inlineStr">
        <is>
          <t>junior_pl</t>
        </is>
      </c>
      <c r="E467" s="75" t="inlineStr">
        <is>
          <t>junior_pl</t>
        </is>
      </c>
      <c r="F467" s="75" t="inlineStr">
        <is>
          <t>payload_documental</t>
        </is>
      </c>
      <c r="G467" s="75" t="inlineStr">
        <is>
          <t>937760</t>
        </is>
      </c>
      <c r="H467" s="75" t="inlineStr">
        <is>
          <t>documento_curado</t>
        </is>
      </c>
      <c r="I467" s="75" t="inlineStr">
        <is>
          <t>2025-04-22</t>
        </is>
      </c>
      <c r="J467" s="75" t="inlineStr">
        <is>
          <t>16</t>
        </is>
      </c>
      <c r="K467" s="75" t="inlineStr">
        <is>
          <t>aceito_payload</t>
        </is>
      </c>
      <c r="L467" s="144" t="n">
        <v>1</v>
      </c>
      <c r="M467" s="75" t="inlineStr">
        <is>
          <t>data/industry_study/generated_revision/artifact_payload.json</t>
        </is>
      </c>
      <c r="N467" s="75" t="inlineStr">
        <is>
          <t>https://fnet.bmfbovespa.com.br/fnet/publico/downloadDocumento?id=937760</t>
        </is>
      </c>
      <c r="O467" s="75" t="inlineStr">
        <is>
          <t>Índice de Subordinação Mezanino: cotas júnior / PL, mínimo de 5,0%.</t>
        </is>
      </c>
    </row>
    <row r="468" ht="43.5" customHeight="1">
      <c r="A468" s="142" t="n">
        <v>54810968000102</v>
      </c>
      <c r="B468" s="75" t="inlineStr">
        <is>
          <t>54.810.968/0001-02</t>
        </is>
      </c>
      <c r="C468" s="75" t="inlineStr">
        <is>
          <t>sacado_devedor</t>
        </is>
      </c>
      <c r="D468" s="75" t="inlineStr">
        <is>
          <t>61.186.680/0001-74</t>
        </is>
      </c>
      <c r="E468" s="75" t="inlineStr">
        <is>
          <t>N/D</t>
        </is>
      </c>
      <c r="F468" s="75" t="inlineStr">
        <is>
          <t>candidate_extraction</t>
        </is>
      </c>
      <c r="G468" s="75" t="inlineStr">
        <is>
          <t>54810968000102</t>
        </is>
      </c>
      <c r="H468" s="75" t="inlineStr">
        <is>
          <t>extração heurística</t>
        </is>
      </c>
      <c r="I468" s="75" t="inlineStr">
        <is>
          <t>N/D</t>
        </is>
      </c>
      <c r="J468" s="75" t="inlineStr">
        <is>
          <t>N/D</t>
        </is>
      </c>
      <c r="K468" s="75" t="inlineStr">
        <is>
          <t>candidato_revisao</t>
        </is>
      </c>
      <c r="L468" s="144" t="n">
        <v>0.95</v>
      </c>
      <c r="M468" s="75" t="inlineStr">
        <is>
          <t>outputs/fidc_director_deep_diagnostic_20260609/pdf_text_cache/54810968000102_937760_regulamento_regulamento_937760_2025-04-22.txt</t>
        </is>
      </c>
      <c r="N468" s="75" t="inlineStr">
        <is>
          <t>https://fnet.bmfbovespa.com.br/fnet/publico/downloadDocumento?id=54810968000102</t>
        </is>
      </c>
      <c r="O468" s="75" t="inlineStr">
        <is>
          <t>e 14º andar, Sala 141, Bloco 01, Condomínio Edifício São Luiz, Bairro Vila Nova Conceição, CEP 04543-000, inscrita no CNPJ sob o nº 61.186.680/0001-74; 12/101 “CCB”: As cédulas de crédito bancário emitidas pelos Devedores em favor do Cedente, nos termos da Lei nº 10.931, de 2 de agosto de 2004, conforme alterada, que poderão ser emitidas e assinadas por meio eletrônico; “Cessão Fiduciária”: A cessão fiduciária de parte ou da tota</t>
        </is>
      </c>
    </row>
    <row r="469" ht="43.5" customHeight="1">
      <c r="A469" s="142" t="n">
        <v>54810968000102</v>
      </c>
      <c r="B469" s="75" t="inlineStr">
        <is>
          <t>54.810.968/0001-02</t>
        </is>
      </c>
      <c r="C469" s="75" t="inlineStr">
        <is>
          <t>tipo_recebivel</t>
        </is>
      </c>
      <c r="D469" s="75" t="inlineStr">
        <is>
          <t>Crédito FGTS</t>
        </is>
      </c>
      <c r="E469" s="75" t="inlineStr">
        <is>
          <t>N/D</t>
        </is>
      </c>
      <c r="F469" s="75" t="inlineStr">
        <is>
          <t>planilha_manual</t>
        </is>
      </c>
      <c r="G469" s="75" t="inlineStr">
        <is>
          <t>IMG_8704.JPG</t>
        </is>
      </c>
      <c r="H469" s="75" t="inlineStr">
        <is>
          <t>payload</t>
        </is>
      </c>
      <c r="I469" s="75" t="inlineStr">
        <is>
          <t>2025-04-22</t>
        </is>
      </c>
      <c r="J469" s="75" t="inlineStr">
        <is>
          <t>16</t>
        </is>
      </c>
      <c r="K469" s="75" t="inlineStr">
        <is>
          <t>aceito_payload</t>
        </is>
      </c>
      <c r="L469" s="144" t="n">
        <v>1</v>
      </c>
      <c r="M469" s="75" t="inlineStr">
        <is>
          <t>data/industry_study/generated_revision/artifact_payload.json</t>
        </is>
      </c>
      <c r="N469" s="75" t="inlineStr">
        <is>
          <t>N/D</t>
        </is>
      </c>
      <c r="O469" s="75" t="inlineStr">
        <is>
          <t>Denominação cortada pela largura da coluna na foto.</t>
        </is>
      </c>
    </row>
    <row r="470" ht="43.5" customHeight="1">
      <c r="A470" s="142" t="n">
        <v>54857414000160</v>
      </c>
      <c r="B470" s="75" t="inlineStr">
        <is>
          <t>54.857.414/0001-60</t>
        </is>
      </c>
      <c r="C470" s="75" t="inlineStr">
        <is>
          <t>cedente</t>
        </is>
      </c>
      <c r="D470" s="75" t="inlineStr">
        <is>
          <t>Emissão direta de produtor rural</t>
        </is>
      </c>
      <c r="E470" s="75" t="inlineStr">
        <is>
          <t>N/D</t>
        </is>
      </c>
      <c r="F470" s="75" t="inlineStr">
        <is>
          <t>planilha_manual</t>
        </is>
      </c>
      <c r="G470" s="75" t="inlineStr">
        <is>
          <t>IMG_8705.JPG</t>
        </is>
      </c>
      <c r="H470" s="75" t="inlineStr">
        <is>
          <t>payload</t>
        </is>
      </c>
      <c r="I470" s="75" t="inlineStr">
        <is>
          <t>2026-06-01</t>
        </is>
      </c>
      <c r="J470" s="75" t="inlineStr">
        <is>
          <t>74</t>
        </is>
      </c>
      <c r="K470" s="75" t="inlineStr">
        <is>
          <t>aceito_payload</t>
        </is>
      </c>
      <c r="L470" s="144" t="n">
        <v>1</v>
      </c>
      <c r="M470" s="75" t="inlineStr">
        <is>
          <t>data/industry_study/generated_revision/artifact_payload.json</t>
        </is>
      </c>
      <c r="N470" s="75" t="inlineStr">
        <is>
          <t>N/D</t>
        </is>
      </c>
      <c r="O470" s="75" t="inlineStr">
        <is>
          <t>Literal preservado da coluna Cedente do Direito Creditório; OBS continua fora da foto. Denominação cortada.</t>
        </is>
      </c>
    </row>
    <row r="471" ht="43.5" customHeight="1">
      <c r="A471" s="142" t="n">
        <v>54857414000160</v>
      </c>
      <c r="B471" s="75" t="inlineStr">
        <is>
          <t>54.857.414/0001-60</t>
        </is>
      </c>
      <c r="C471" s="75" t="inlineStr">
        <is>
          <t>minimo_junior</t>
        </is>
      </c>
      <c r="D471" s="75" t="inlineStr">
        <is>
          <t>15%</t>
        </is>
      </c>
      <c r="E471" s="75" t="inlineStr">
        <is>
          <t>junior_pl</t>
        </is>
      </c>
      <c r="F471" s="75" t="inlineStr">
        <is>
          <t>payload_documental</t>
        </is>
      </c>
      <c r="G471" s="75" t="inlineStr">
        <is>
          <t>1263627</t>
        </is>
      </c>
      <c r="H471" s="75" t="inlineStr">
        <is>
          <t>documento_curado</t>
        </is>
      </c>
      <c r="I471" s="75" t="inlineStr">
        <is>
          <t>2026-06-01</t>
        </is>
      </c>
      <c r="J471" s="75" t="inlineStr">
        <is>
          <t>74</t>
        </is>
      </c>
      <c r="K471" s="75" t="inlineStr">
        <is>
          <t>aceito_payload</t>
        </is>
      </c>
      <c r="L471" s="144" t="n">
        <v>1</v>
      </c>
      <c r="M471" s="75" t="inlineStr">
        <is>
          <t>data/industry_study/generated_revision/artifact_payload.json</t>
        </is>
      </c>
      <c r="N471" s="75" t="inlineStr">
        <is>
          <t>https://fnet.bmfbovespa.com.br/fnet/publico/downloadDocumento?id=1263627</t>
        </is>
      </c>
      <c r="O471" s="75" t="inlineStr">
        <is>
          <t>Índice de Subordinação Mezanino: cotas júnior / PL, mínimo de 15,0%.</t>
        </is>
      </c>
    </row>
    <row r="472" ht="43.5" customHeight="1">
      <c r="A472" s="142" t="n">
        <v>54857414000160</v>
      </c>
      <c r="B472" s="75" t="inlineStr">
        <is>
          <t>54.857.414/0001-60</t>
        </is>
      </c>
      <c r="C472" s="75" t="inlineStr">
        <is>
          <t>natureza_indice</t>
        </is>
      </c>
      <c r="D472" s="75" t="inlineStr">
        <is>
          <t>junior_pl</t>
        </is>
      </c>
      <c r="E472" s="75" t="inlineStr">
        <is>
          <t>junior_pl</t>
        </is>
      </c>
      <c r="F472" s="75" t="inlineStr">
        <is>
          <t>payload_documental</t>
        </is>
      </c>
      <c r="G472" s="75" t="inlineStr">
        <is>
          <t>1263627</t>
        </is>
      </c>
      <c r="H472" s="75" t="inlineStr">
        <is>
          <t>documento_curado</t>
        </is>
      </c>
      <c r="I472" s="75" t="inlineStr">
        <is>
          <t>2026-06-01</t>
        </is>
      </c>
      <c r="J472" s="75" t="inlineStr">
        <is>
          <t>74</t>
        </is>
      </c>
      <c r="K472" s="75" t="inlineStr">
        <is>
          <t>aceito_payload</t>
        </is>
      </c>
      <c r="L472" s="144" t="n">
        <v>1</v>
      </c>
      <c r="M472" s="75" t="inlineStr">
        <is>
          <t>data/industry_study/generated_revision/artifact_payload.json</t>
        </is>
      </c>
      <c r="N472" s="75" t="inlineStr">
        <is>
          <t>https://fnet.bmfbovespa.com.br/fnet/publico/downloadDocumento?id=1263627</t>
        </is>
      </c>
      <c r="O472" s="75" t="inlineStr">
        <is>
          <t>Índice de Subordinação Mezanino: cotas júnior / PL, mínimo de 15,0%.</t>
        </is>
      </c>
    </row>
    <row r="473" ht="43.5" customHeight="1">
      <c r="A473" s="142" t="n">
        <v>54857414000160</v>
      </c>
      <c r="B473" s="75" t="inlineStr">
        <is>
          <t>54.857.414/0001-60</t>
        </is>
      </c>
      <c r="C473" s="75" t="inlineStr">
        <is>
          <t>sacado_devedor</t>
        </is>
      </c>
      <c r="D473" s="75" t="inlineStr">
        <is>
          <t>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t>
        </is>
      </c>
      <c r="E473" s="75" t="inlineStr">
        <is>
          <t>N/D</t>
        </is>
      </c>
      <c r="F473" s="75" t="inlineStr">
        <is>
          <t>regulamento</t>
        </is>
      </c>
      <c r="G473" s="75" t="inlineStr">
        <is>
          <t>1263627</t>
        </is>
      </c>
      <c r="H473" s="75" t="inlineStr">
        <is>
          <t>Regulamento</t>
        </is>
      </c>
      <c r="I473" s="75" t="inlineStr">
        <is>
          <t>01/06/2026</t>
        </is>
      </c>
      <c r="J473" s="75" t="inlineStr">
        <is>
          <t>66</t>
        </is>
      </c>
      <c r="K473" s="75" t="inlineStr">
        <is>
          <t>encontrado_explicito</t>
        </is>
      </c>
      <c r="L473" s="144" t="n">
        <v>0.95</v>
      </c>
      <c r="M473" s="75" t="inlineStr">
        <is>
          <t>.cache/carteira_101_document_scan/54857414000160/1263627.json.gz</t>
        </is>
      </c>
      <c r="N473" s="75" t="inlineStr">
        <is>
          <t>https://fnet.bmfbovespa.com.br/fnet/publico/downloadDocumento?id=1263627</t>
        </is>
      </c>
      <c r="O473" s="75" t="inlineStr">
        <is>
          <t>stos, encargos e despesas exclusivos da Classe Única estimados pelo Administrador a serem incorridos periodicamente. “Devedores” Significam 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 “Direitos Creditórios” Significam os Direitos Creditórios Cessão e os Direitos Creditórios Emissão, em conjunto. “D</t>
        </is>
      </c>
    </row>
    <row r="474" ht="43.5" customHeight="1">
      <c r="A474" s="142" t="n">
        <v>54857414000160</v>
      </c>
      <c r="B474" s="75" t="inlineStr">
        <is>
          <t>54.857.414/0001-60</t>
        </is>
      </c>
      <c r="C474" s="75" t="inlineStr">
        <is>
          <t>sacado_devedor</t>
        </is>
      </c>
      <c r="D474" s="75" t="inlineStr">
        <is>
          <t>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t>
        </is>
      </c>
      <c r="E474" s="75" t="inlineStr">
        <is>
          <t>N/D</t>
        </is>
      </c>
      <c r="F474" s="75" t="inlineStr">
        <is>
          <t>regulamento</t>
        </is>
      </c>
      <c r="G474" s="75" t="inlineStr">
        <is>
          <t>975459</t>
        </is>
      </c>
      <c r="H474" s="75" t="inlineStr">
        <is>
          <t>Regulamento</t>
        </is>
      </c>
      <c r="I474" s="75" t="inlineStr">
        <is>
          <t>20/08/2025</t>
        </is>
      </c>
      <c r="J474" s="75" t="inlineStr">
        <is>
          <t>66</t>
        </is>
      </c>
      <c r="K474" s="75" t="inlineStr">
        <is>
          <t>encontrado_explicito</t>
        </is>
      </c>
      <c r="L474" s="144" t="n">
        <v>0.95</v>
      </c>
      <c r="M474" s="75" t="inlineStr">
        <is>
          <t>.cache/carteira_101_document_scan/54857414000160/975459.json.gz</t>
        </is>
      </c>
      <c r="N474" s="75" t="inlineStr">
        <is>
          <t>https://fnet.bmfbovespa.com.br/fnet/publico/downloadDocumento?id=975459</t>
        </is>
      </c>
      <c r="O474" s="75" t="inlineStr">
        <is>
          <t>stos, encargos e despesas exclusivos da Classe Única estimados pelo Administrador a serem incorridos periodicamente. “Devedores” Significam 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 “Direitos Creditórios” Significam os Direitos Creditórios Cessão e os Direitos Creditórios Emissão, em conjunto. “D</t>
        </is>
      </c>
    </row>
    <row r="475" ht="43.5" customHeight="1">
      <c r="A475" s="142" t="n">
        <v>54857414000160</v>
      </c>
      <c r="B475" s="75" t="inlineStr">
        <is>
          <t>54.857.414/0001-60</t>
        </is>
      </c>
      <c r="C475" s="75" t="inlineStr">
        <is>
          <t>sacado_devedor</t>
        </is>
      </c>
      <c r="D475" s="75" t="inlineStr">
        <is>
          <t>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t>
        </is>
      </c>
      <c r="E475" s="75" t="inlineStr">
        <is>
          <t>N/D</t>
        </is>
      </c>
      <c r="F475" s="75" t="inlineStr">
        <is>
          <t>assembleia</t>
        </is>
      </c>
      <c r="G475" s="75" t="inlineStr">
        <is>
          <t>1209771</t>
        </is>
      </c>
      <c r="H475" s="75" t="inlineStr">
        <is>
          <t>Assembleia AGE Ata da Assembleia</t>
        </is>
      </c>
      <c r="I475" s="75" t="inlineStr">
        <is>
          <t>01/06/2026 11:00</t>
        </is>
      </c>
      <c r="J475" s="75" t="inlineStr">
        <is>
          <t>68</t>
        </is>
      </c>
      <c r="K475" s="75" t="inlineStr">
        <is>
          <t>encontrado_explicito</t>
        </is>
      </c>
      <c r="L475" s="144" t="n">
        <v>0.95</v>
      </c>
      <c r="M475" s="75" t="inlineStr">
        <is>
          <t>.cache/carteira_101_document_scan/54857414000160/1209771.json.gz</t>
        </is>
      </c>
      <c r="N475" s="75" t="inlineStr">
        <is>
          <t>https://fnet.bmfbovespa.com.br/fnet/publico/downloadDocumento?id=1209771</t>
        </is>
      </c>
      <c r="O475" s="75" t="inlineStr">
        <is>
          <t>stos, encargos e despesas exclusivos da Classe Única estimados pelo Administrador a serem incorridos periodicamente. “Devedores” Significam os Devedores que são produtores rurais, pessoas físicas e/ou jurídicas, e/ou cooperativas de produtores rurais, indicadas pela Originadora e que sejam devedores dos Direitos Creditórios Adquiridos decorrentes das CPR-F emitidas diretamente em favor da Classe e/ou cedidas pelo Cedente à Classe, conforme o caso. “Direitos Creditórios” Significam os Direitos Creditórios Cessão e os Direitos Creditórios Emissão, em conjunto. “D</t>
        </is>
      </c>
    </row>
    <row r="476" ht="43.5" customHeight="1">
      <c r="A476" s="142" t="n">
        <v>54857414000160</v>
      </c>
      <c r="B476" s="75" t="inlineStr">
        <is>
          <t>54.857.414/0001-60</t>
        </is>
      </c>
      <c r="C476" s="75" t="inlineStr">
        <is>
          <t>tipo_recebivel</t>
        </is>
      </c>
      <c r="D476" s="75" t="inlineStr">
        <is>
          <t>risco produtor rural com passagem SIPAL e Fazendão</t>
        </is>
      </c>
      <c r="E476" s="75" t="inlineStr">
        <is>
          <t>N/D</t>
        </is>
      </c>
      <c r="F476" s="75" t="inlineStr">
        <is>
          <t>planilha_manual</t>
        </is>
      </c>
      <c r="G476" s="75" t="inlineStr">
        <is>
          <t>IMG_8705.JPG</t>
        </is>
      </c>
      <c r="H476" s="75" t="inlineStr">
        <is>
          <t>payload</t>
        </is>
      </c>
      <c r="I476" s="75" t="inlineStr">
        <is>
          <t>2026-06-01</t>
        </is>
      </c>
      <c r="J476" s="75" t="inlineStr">
        <is>
          <t>74</t>
        </is>
      </c>
      <c r="K476" s="75" t="inlineStr">
        <is>
          <t>aceito_payload</t>
        </is>
      </c>
      <c r="L476" s="144" t="n">
        <v>1</v>
      </c>
      <c r="M476" s="75" t="inlineStr">
        <is>
          <t>data/industry_study/generated_revision/artifact_payload.json</t>
        </is>
      </c>
      <c r="N476" s="75" t="inlineStr">
        <is>
          <t>N/D</t>
        </is>
      </c>
      <c r="O476" s="75" t="inlineStr">
        <is>
          <t>Literal preservado da coluna Cedente do Direito Creditório; OBS continua fora da foto. Denominação cortada.</t>
        </is>
      </c>
    </row>
    <row r="477" ht="43.5" customHeight="1">
      <c r="A477" s="142" t="n">
        <v>55070804000159</v>
      </c>
      <c r="B477" s="75" t="inlineStr">
        <is>
          <t>55.070.804/0001-59</t>
        </is>
      </c>
      <c r="C477" s="75" t="inlineStr">
        <is>
          <t>cedente</t>
        </is>
      </c>
      <c r="D477" s="75" t="inlineStr">
        <is>
          <t>o IBM BRASIL - INDÚSTRIA, MÁQUINAS, E SERVIÇOS LTDA. , sociedade limitada, com sede na Cidade do Rio de Janeiro , Estado d o Rio de Janeiro , na Avenida República do Chile, nº 330, 11º e 12º andares , CEP 20.031-170, inscrita no CNPJ/MF sob o nº 33.372.251/0001-56</t>
        </is>
      </c>
      <c r="E477" s="75" t="inlineStr">
        <is>
          <t>N/D</t>
        </is>
      </c>
      <c r="F477" s="75" t="inlineStr">
        <is>
          <t>regulamento</t>
        </is>
      </c>
      <c r="G477" s="75" t="inlineStr">
        <is>
          <t>667195</t>
        </is>
      </c>
      <c r="H477" s="75" t="inlineStr">
        <is>
          <t>regulamento</t>
        </is>
      </c>
      <c r="I477" s="75" t="inlineStr">
        <is>
          <t>2024-05-22</t>
        </is>
      </c>
      <c r="J477" s="75" t="inlineStr">
        <is>
          <t>48</t>
        </is>
      </c>
      <c r="K477" s="75" t="inlineStr">
        <is>
          <t>encontrado_explicito</t>
        </is>
      </c>
      <c r="L477" s="144" t="n">
        <v>0.95</v>
      </c>
      <c r="M477" s="75" t="inlineStr">
        <is>
          <t>data/raw/55070804000159/667195_regulamento_regulamento_667195_2024-05-22.pdf</t>
        </is>
      </c>
      <c r="N477" s="75" t="inlineStr">
        <is>
          <t>https://fnet.bmfbovespa.com.br/fnet/publico/downloadDocumento?id=667195</t>
        </is>
      </c>
      <c r="O477" s="75" t="inlineStr">
        <is>
          <t>a República do Chile, nº 330, 11º e 12º andares, CEP 20.031 -170, inscrita no CNPJ/MF sob o nº 34.270.520/0001-36. “Cedente” significa o IBM BRASIL - INDÚSTRIA, MÁQUINAS, E SERVIÇOS LTDA. , sociedade limitada, com sede na Cidade do Rio de Janeiro , Estado d o Rio de Janeiro , na Avenida República do Chile, nº 330, 11º e 12º andares , CEP 20.031-170, inscrita no CNPJ/MF sob o nº 33.372.251/0001-56; “Certificados de Depósito Bancário Vinculados” ou “CDB-V” Significa os 46 (quarenta e seus) Certificados de Depó</t>
        </is>
      </c>
    </row>
    <row r="478" ht="43.5" customHeight="1">
      <c r="A478" s="142" t="n">
        <v>55070804000159</v>
      </c>
      <c r="B478" s="75" t="inlineStr">
        <is>
          <t>55.070.804/0001-59</t>
        </is>
      </c>
      <c r="C478" s="75" t="inlineStr">
        <is>
          <t>cedente</t>
        </is>
      </c>
      <c r="D478" s="75" t="inlineStr">
        <is>
          <t>Banco IBM</t>
        </is>
      </c>
      <c r="E478" s="75" t="inlineStr">
        <is>
          <t>N/D</t>
        </is>
      </c>
      <c r="F478" s="75" t="inlineStr">
        <is>
          <t>planilha_manual</t>
        </is>
      </c>
      <c r="G478" s="75" t="inlineStr">
        <is>
          <t>IMG_8706.JPG</t>
        </is>
      </c>
      <c r="H478" s="75" t="inlineStr">
        <is>
          <t>payload</t>
        </is>
      </c>
      <c r="I478" s="75" t="inlineStr">
        <is>
          <t>2024-05-22</t>
        </is>
      </c>
      <c r="J478" s="75" t="inlineStr">
        <is>
          <t>57</t>
        </is>
      </c>
      <c r="K478" s="75" t="inlineStr">
        <is>
          <t>aceito_payload</t>
        </is>
      </c>
      <c r="L478" s="144" t="n">
        <v>1</v>
      </c>
      <c r="M478" s="75" t="inlineStr">
        <is>
          <t>data/industry_study/generated_revision/artifact_payload.json</t>
        </is>
      </c>
      <c r="N478" s="75" t="inlineStr">
        <is>
          <t>N/D</t>
        </is>
      </c>
      <c r="O478" s="75" t="inlineStr">
        <is>
          <t>Denominação cortada pela largura da coluna na foto.</t>
        </is>
      </c>
    </row>
    <row r="479" ht="43.5" customHeight="1">
      <c r="A479" s="142" t="n">
        <v>55070804000159</v>
      </c>
      <c r="B479" s="75" t="inlineStr">
        <is>
          <t>55.070.804/0001-59</t>
        </is>
      </c>
      <c r="C479" s="75" t="inlineStr">
        <is>
          <t>cedente</t>
        </is>
      </c>
      <c r="D479" s="75" t="inlineStr">
        <is>
          <t>34.270.520/0001-36</t>
        </is>
      </c>
      <c r="E479" s="75" t="inlineStr">
        <is>
          <t>N/D</t>
        </is>
      </c>
      <c r="F479" s="75" t="inlineStr">
        <is>
          <t>candidate_extraction</t>
        </is>
      </c>
      <c r="G479" s="75" t="inlineStr">
        <is>
          <t>55070804000159</t>
        </is>
      </c>
      <c r="H479" s="75" t="inlineStr">
        <is>
          <t>extração heurística</t>
        </is>
      </c>
      <c r="I479" s="75" t="inlineStr">
        <is>
          <t>N/D</t>
        </is>
      </c>
      <c r="J479" s="75" t="inlineStr">
        <is>
          <t>N/D</t>
        </is>
      </c>
      <c r="K479" s="75" t="inlineStr">
        <is>
          <t>candidato_revisao</t>
        </is>
      </c>
      <c r="L479" s="144" t="n">
        <v>0.95</v>
      </c>
      <c r="M479" s="75" t="inlineStr">
        <is>
          <t>outputs/fidc_director_deep_diagnostic_20260609/pdf_text_cache/55070804000159_667195_regulamento_regulamento_667195_2024-05-22.txt</t>
        </is>
      </c>
      <c r="N479" s="75" t="inlineStr">
        <is>
          <t>https://fnet.bmfbovespa.com.br/fnet/publico/downloadDocumento?id=55070804000159</t>
        </is>
      </c>
      <c r="O479" s="75" t="inlineStr">
        <is>
          <t>instituição financeira com sede na Cidade do Rio de Janeiro, Estado do Rio de Janeiro, na Avenida República do Chile, nº 330, 11º e 12º andares, CEP 20.031 -170, inscrita no CNPJ/MF sob o nº 34.270.520/0001-36. “Cedente” significa o IBM BRASIL - INDÚSTRIA, MÁQUINAS, E SERVIÇOS LTDA. , sociedade limitada, com sede na Cidade do Rio de Janeiro , Estado d o Rio de Janeiro , na Avenida República do Chile, nº 330, 11º e 12º andares , CE</t>
        </is>
      </c>
    </row>
    <row r="480" ht="43.5" customHeight="1">
      <c r="A480" s="142" t="n">
        <v>55070804000159</v>
      </c>
      <c r="B480" s="75" t="inlineStr">
        <is>
          <t>55.070.804/0001-59</t>
        </is>
      </c>
      <c r="C480" s="75" t="inlineStr">
        <is>
          <t>minimo_estrutural_total</t>
        </is>
      </c>
      <c r="D480" s="75" t="inlineStr">
        <is>
          <t>10%</t>
        </is>
      </c>
      <c r="E480" s="75" t="inlineStr">
        <is>
          <t>suporte_total_pl</t>
        </is>
      </c>
      <c r="F480" s="75" t="inlineStr">
        <is>
          <t>payload_documental</t>
        </is>
      </c>
      <c r="G480" s="75" t="inlineStr">
        <is>
          <t>667195</t>
        </is>
      </c>
      <c r="H480" s="75" t="inlineStr">
        <is>
          <t>documento_curado</t>
        </is>
      </c>
      <c r="I480" s="75" t="inlineStr">
        <is>
          <t>2024-05-22</t>
        </is>
      </c>
      <c r="J480" s="75" t="inlineStr">
        <is>
          <t>57</t>
        </is>
      </c>
      <c r="K480" s="75" t="inlineStr">
        <is>
          <t>aceito_payload</t>
        </is>
      </c>
      <c r="L480" s="144" t="n">
        <v>1</v>
      </c>
      <c r="M480" s="75" t="inlineStr">
        <is>
          <t>data/industry_study/generated_revision/artifact_payload.json</t>
        </is>
      </c>
      <c r="N480" s="75" t="inlineStr">
        <is>
          <t>https://fnet.bmfbovespa.com.br/fnet/publico/downloadDocumento?id=667195</t>
        </is>
      </c>
      <c r="O480" s="75" t="inlineStr">
        <is>
          <t>Cotas subordinadas júnior / PL, mínimo de 10,0%; estrutura com cotas seniores e juniores.</t>
        </is>
      </c>
    </row>
    <row r="481" ht="43.5" customHeight="1">
      <c r="A481" s="142" t="n">
        <v>55070804000159</v>
      </c>
      <c r="B481" s="75" t="inlineStr">
        <is>
          <t>55.070.804/0001-59</t>
        </is>
      </c>
      <c r="C481" s="75" t="inlineStr">
        <is>
          <t>minimo_junior</t>
        </is>
      </c>
      <c r="D481" s="75" t="inlineStr">
        <is>
          <t>10%</t>
        </is>
      </c>
      <c r="E481" s="75" t="inlineStr">
        <is>
          <t>junior_pl</t>
        </is>
      </c>
      <c r="F481" s="75" t="inlineStr">
        <is>
          <t>payload_documental</t>
        </is>
      </c>
      <c r="G481" s="75" t="inlineStr">
        <is>
          <t>667195</t>
        </is>
      </c>
      <c r="H481" s="75" t="inlineStr">
        <is>
          <t>documento_curado</t>
        </is>
      </c>
      <c r="I481" s="75" t="inlineStr">
        <is>
          <t>2024-05-22</t>
        </is>
      </c>
      <c r="J481" s="75" t="inlineStr">
        <is>
          <t>57</t>
        </is>
      </c>
      <c r="K481" s="75" t="inlineStr">
        <is>
          <t>aceito_payload</t>
        </is>
      </c>
      <c r="L481" s="144" t="n">
        <v>1</v>
      </c>
      <c r="M481" s="75" t="inlineStr">
        <is>
          <t>data/industry_study/generated_revision/artifact_payload.json</t>
        </is>
      </c>
      <c r="N481" s="75" t="inlineStr">
        <is>
          <t>https://fnet.bmfbovespa.com.br/fnet/publico/downloadDocumento?id=667195</t>
        </is>
      </c>
      <c r="O481" s="75" t="inlineStr">
        <is>
          <t>Cotas subordinadas júnior / PL, mínimo de 10,0%; estrutura com cotas seniores e juniores.</t>
        </is>
      </c>
    </row>
    <row r="482" ht="43.5" customHeight="1">
      <c r="A482" s="142" t="n">
        <v>55070804000159</v>
      </c>
      <c r="B482" s="75" t="inlineStr">
        <is>
          <t>55.070.804/0001-59</t>
        </is>
      </c>
      <c r="C482" s="75" t="inlineStr">
        <is>
          <t>natureza_indice</t>
        </is>
      </c>
      <c r="D482" s="75" t="inlineStr">
        <is>
          <t>junior_pl</t>
        </is>
      </c>
      <c r="E482" s="75" t="inlineStr">
        <is>
          <t>junior_pl</t>
        </is>
      </c>
      <c r="F482" s="75" t="inlineStr">
        <is>
          <t>payload_documental</t>
        </is>
      </c>
      <c r="G482" s="75" t="inlineStr">
        <is>
          <t>667195</t>
        </is>
      </c>
      <c r="H482" s="75" t="inlineStr">
        <is>
          <t>documento_curado</t>
        </is>
      </c>
      <c r="I482" s="75" t="inlineStr">
        <is>
          <t>2024-05-22</t>
        </is>
      </c>
      <c r="J482" s="75" t="inlineStr">
        <is>
          <t>57</t>
        </is>
      </c>
      <c r="K482" s="75" t="inlineStr">
        <is>
          <t>aceito_payload</t>
        </is>
      </c>
      <c r="L482" s="144" t="n">
        <v>1</v>
      </c>
      <c r="M482" s="75" t="inlineStr">
        <is>
          <t>data/industry_study/generated_revision/artifact_payload.json</t>
        </is>
      </c>
      <c r="N482" s="75" t="inlineStr">
        <is>
          <t>https://fnet.bmfbovespa.com.br/fnet/publico/downloadDocumento?id=667195</t>
        </is>
      </c>
      <c r="O482" s="75" t="inlineStr">
        <is>
          <t>Cotas subordinadas júnior / PL, mínimo de 10,0%; estrutura com cotas seniores e juniores.</t>
        </is>
      </c>
    </row>
    <row r="483" ht="43.5" customHeight="1">
      <c r="A483" s="142" t="n">
        <v>55070804000159</v>
      </c>
      <c r="B483" s="75" t="inlineStr">
        <is>
          <t>55.070.804/0001-59</t>
        </is>
      </c>
      <c r="C483" s="75" t="inlineStr">
        <is>
          <t>tipo_recebivel</t>
        </is>
      </c>
      <c r="D483" s="75" t="inlineStr">
        <is>
          <t>os direitos creditórios consubstanciados nos Certificados de Depósito Bancário Vinculados , bem como todos e quaisquer outros encargos devidos por força dos Certificados de Depósito Bancário Vinculados, incluindo a totalidade dos respectivos acessórios, tais como encargos moratórios, multas, penalidades, indenizações, despesas, custas, honorários e demais encargos contratuais e legais previstos e relacionados n os Certificados de Depós ito Bancário Vinculados , observado que o pagamento dos Certificados de Depósito Bancário Vinculados fica sujeito ao recebimento, pelo Banco IBM, dos valores devidos ao Banco IBM sob os Contratos de Leasing</t>
        </is>
      </c>
      <c r="E483" s="75" t="inlineStr">
        <is>
          <t>N/D</t>
        </is>
      </c>
      <c r="F483" s="75" t="inlineStr">
        <is>
          <t>regulamento</t>
        </is>
      </c>
      <c r="G483" s="75" t="inlineStr">
        <is>
          <t>667195</t>
        </is>
      </c>
      <c r="H483" s="75" t="inlineStr">
        <is>
          <t>regulamento</t>
        </is>
      </c>
      <c r="I483" s="75" t="inlineStr">
        <is>
          <t>2024-05-22</t>
        </is>
      </c>
      <c r="J483" s="75" t="inlineStr">
        <is>
          <t>52</t>
        </is>
      </c>
      <c r="K483" s="75" t="inlineStr">
        <is>
          <t>encontrado_explicito</t>
        </is>
      </c>
      <c r="L483" s="144" t="n">
        <v>0.92</v>
      </c>
      <c r="M483" s="75" t="inlineStr">
        <is>
          <t>data/raw/55070804000159/667195_regulamento_regulamento_667195_2024-05-22.pdf</t>
        </is>
      </c>
      <c r="N483" s="75" t="inlineStr">
        <is>
          <t>https://fnet.bmfbovespa.com.br/fnet/publico/downloadDocumento?id=667195</t>
        </is>
      </c>
      <c r="O483" s="75" t="inlineStr">
        <is>
          <t>tórios Adquiridos” Significa os Direitos Creditórios Elegíveis adquiridos pela Classe Única. “Direitos Creditórios” Significam os direitos creditórios consubstanciados nos Certificados de Depósito Bancário Vinculados , bem como todos e quaisquer outros encargos devidos por força dos Certificados de Depósito Bancário Vinculados, incluindo a totalidade dos respectivos acessórios, tais como encargos moratórios, multas, penalidades, indenizações, despesas, custas, honorários e demais encargos contratuais e legais previstos e relacionados n os Certificados de Depós ito Bancário Vinculados , observado que o pagamento dos Certificados de Depósito Bancário Vinculados fica sujeito ao recebimento, pelo Banco IBM, dos valores devidos ao Banco IBM sob os Contratos de Leasing. “Direitos Creditórios Elegíveis” Significam os Direitos Creditórios que atendam aos respec</t>
        </is>
      </c>
    </row>
    <row r="484" ht="43.5" customHeight="1">
      <c r="A484" s="142" t="n">
        <v>55374251000128</v>
      </c>
      <c r="B484" s="75" t="inlineStr">
        <is>
          <t>55.374.251/0001-28</t>
        </is>
      </c>
      <c r="C484" s="75" t="inlineStr">
        <is>
          <t>cedente</t>
        </is>
      </c>
      <c r="D484" s="75" t="inlineStr">
        <is>
          <t>Azul</t>
        </is>
      </c>
      <c r="E484" s="75" t="inlineStr">
        <is>
          <t>N/D</t>
        </is>
      </c>
      <c r="F484" s="75" t="inlineStr">
        <is>
          <t>planilha_manual</t>
        </is>
      </c>
      <c r="G484" s="75" t="inlineStr">
        <is>
          <t>IMG_8705.JPG</t>
        </is>
      </c>
      <c r="H484" s="75" t="inlineStr">
        <is>
          <t>payload</t>
        </is>
      </c>
      <c r="I484" s="75" t="inlineStr">
        <is>
          <t>2024-06-25</t>
        </is>
      </c>
      <c r="J484" s="75" t="inlineStr">
        <is>
          <t>61</t>
        </is>
      </c>
      <c r="K484" s="75" t="inlineStr">
        <is>
          <t>aceito_payload</t>
        </is>
      </c>
      <c r="L484" s="144" t="n">
        <v>1</v>
      </c>
      <c r="M484" s="75" t="inlineStr">
        <is>
          <t>data/industry_study/generated_revision/artifact_payload.json</t>
        </is>
      </c>
      <c r="N484" s="75" t="inlineStr">
        <is>
          <t>N/D</t>
        </is>
      </c>
      <c r="O484" s="75" t="inlineStr">
        <is>
          <t>OBS da foto: Book Special Sits; risco de repagamento Azul com 40% de subordinação.</t>
        </is>
      </c>
    </row>
    <row r="485" ht="43.5" customHeight="1">
      <c r="A485" s="142" t="n">
        <v>55374251000128</v>
      </c>
      <c r="B485" s="75" t="inlineStr">
        <is>
          <t>55.374.251/0001-28</t>
        </is>
      </c>
      <c r="C485" s="75" t="inlineStr">
        <is>
          <t>minimo_junior</t>
        </is>
      </c>
      <c r="D485" s="75" t="inlineStr">
        <is>
          <t>5%</t>
        </is>
      </c>
      <c r="E485" s="75" t="inlineStr">
        <is>
          <t>junior_pl</t>
        </is>
      </c>
      <c r="F485" s="75" t="inlineStr">
        <is>
          <t>payload_documental</t>
        </is>
      </c>
      <c r="G485" s="75" t="inlineStr">
        <is>
          <t>686750</t>
        </is>
      </c>
      <c r="H485" s="75" t="inlineStr">
        <is>
          <t>documento_curado</t>
        </is>
      </c>
      <c r="I485" s="75" t="inlineStr">
        <is>
          <t>2024-06-25</t>
        </is>
      </c>
      <c r="J485" s="75" t="inlineStr">
        <is>
          <t>61</t>
        </is>
      </c>
      <c r="K485" s="75" t="inlineStr">
        <is>
          <t>aceito_payload</t>
        </is>
      </c>
      <c r="L485" s="144" t="n">
        <v>1</v>
      </c>
      <c r="M485" s="75" t="inlineStr">
        <is>
          <t>data/industry_study/generated_revision/artifact_payload.json</t>
        </is>
      </c>
      <c r="N485" s="75" t="inlineStr">
        <is>
          <t>https://fnet.bmfbovespa.com.br/fnet/publico/downloadDocumento?id=686750</t>
        </is>
      </c>
      <c r="O485" s="75" t="inlineStr">
        <is>
          <t>Índice de Subordinação Mezanino II: cotas júnior / PL, mínimo de 5,0%.</t>
        </is>
      </c>
    </row>
    <row r="486" ht="43.5" customHeight="1">
      <c r="A486" s="142" t="n">
        <v>55374251000128</v>
      </c>
      <c r="B486" s="75" t="inlineStr">
        <is>
          <t>55.374.251/0001-28</t>
        </is>
      </c>
      <c r="C486" s="75" t="inlineStr">
        <is>
          <t>natureza_indice</t>
        </is>
      </c>
      <c r="D486" s="75" t="inlineStr">
        <is>
          <t>junior_pl</t>
        </is>
      </c>
      <c r="E486" s="75" t="inlineStr">
        <is>
          <t>junior_pl</t>
        </is>
      </c>
      <c r="F486" s="75" t="inlineStr">
        <is>
          <t>payload_documental</t>
        </is>
      </c>
      <c r="G486" s="75" t="inlineStr">
        <is>
          <t>686750</t>
        </is>
      </c>
      <c r="H486" s="75" t="inlineStr">
        <is>
          <t>documento_curado</t>
        </is>
      </c>
      <c r="I486" s="75" t="inlineStr">
        <is>
          <t>2024-06-25</t>
        </is>
      </c>
      <c r="J486" s="75" t="inlineStr">
        <is>
          <t>61</t>
        </is>
      </c>
      <c r="K486" s="75" t="inlineStr">
        <is>
          <t>aceito_payload</t>
        </is>
      </c>
      <c r="L486" s="144" t="n">
        <v>1</v>
      </c>
      <c r="M486" s="75" t="inlineStr">
        <is>
          <t>data/industry_study/generated_revision/artifact_payload.json</t>
        </is>
      </c>
      <c r="N486" s="75" t="inlineStr">
        <is>
          <t>https://fnet.bmfbovespa.com.br/fnet/publico/downloadDocumento?id=686750</t>
        </is>
      </c>
      <c r="O486" s="75" t="inlineStr">
        <is>
          <t>Índice de Subordinação Mezanino II: cotas júnior / PL, mínimo de 5,0%.</t>
        </is>
      </c>
    </row>
    <row r="487" ht="43.5" customHeight="1">
      <c r="A487" s="142" t="n">
        <v>55374251000128</v>
      </c>
      <c r="B487" s="75" t="inlineStr">
        <is>
          <t>55.374.251/0001-28</t>
        </is>
      </c>
      <c r="C487" s="75" t="inlineStr">
        <is>
          <t>tipo_recebivel</t>
        </is>
      </c>
      <c r="D487" s="75" t="inlineStr">
        <is>
          <t>Debênture</t>
        </is>
      </c>
      <c r="E487" s="75" t="inlineStr">
        <is>
          <t>N/D</t>
        </is>
      </c>
      <c r="F487" s="75" t="inlineStr">
        <is>
          <t>planilha_manual</t>
        </is>
      </c>
      <c r="G487" s="75" t="inlineStr">
        <is>
          <t>IMG_8705.JPG</t>
        </is>
      </c>
      <c r="H487" s="75" t="inlineStr">
        <is>
          <t>payload</t>
        </is>
      </c>
      <c r="I487" s="75" t="inlineStr">
        <is>
          <t>2024-06-25</t>
        </is>
      </c>
      <c r="J487" s="75" t="inlineStr">
        <is>
          <t>61</t>
        </is>
      </c>
      <c r="K487" s="75" t="inlineStr">
        <is>
          <t>aceito_payload</t>
        </is>
      </c>
      <c r="L487" s="144" t="n">
        <v>1</v>
      </c>
      <c r="M487" s="75" t="inlineStr">
        <is>
          <t>data/industry_study/generated_revision/artifact_payload.json</t>
        </is>
      </c>
      <c r="N487" s="75" t="inlineStr">
        <is>
          <t>N/D</t>
        </is>
      </c>
      <c r="O487" s="75" t="inlineStr">
        <is>
          <t>OBS da foto: Book Special Sits; risco de repagamento Azul com 40% de subordinação.</t>
        </is>
      </c>
    </row>
    <row r="488" ht="43.5" customHeight="1">
      <c r="A488" s="142" t="n">
        <v>55401645000128</v>
      </c>
      <c r="B488" s="75" t="inlineStr">
        <is>
          <t>55.401.645/0001-28</t>
        </is>
      </c>
      <c r="C488" s="75" t="inlineStr">
        <is>
          <t>cedente</t>
        </is>
      </c>
      <c r="D488" s="75" t="inlineStr">
        <is>
          <t>QI Tech</t>
        </is>
      </c>
      <c r="E488" s="75" t="inlineStr">
        <is>
          <t>N/D</t>
        </is>
      </c>
      <c r="F488" s="75" t="inlineStr">
        <is>
          <t>planilha_manual</t>
        </is>
      </c>
      <c r="G488" s="75" t="inlineStr">
        <is>
          <t>IMG_8705.JPG</t>
        </is>
      </c>
      <c r="H488" s="75" t="inlineStr">
        <is>
          <t>payload</t>
        </is>
      </c>
      <c r="I488" s="75" t="inlineStr">
        <is>
          <t>2025-12-01</t>
        </is>
      </c>
      <c r="J488" s="75" t="inlineStr">
        <is>
          <t>17</t>
        </is>
      </c>
      <c r="K488" s="75" t="inlineStr">
        <is>
          <t>aceito_payload</t>
        </is>
      </c>
      <c r="L488" s="144" t="n">
        <v>1</v>
      </c>
      <c r="M488" s="75" t="inlineStr">
        <is>
          <t>data/industry_study/generated_revision/artifact_payload.json</t>
        </is>
      </c>
      <c r="N488" s="75" t="inlineStr">
        <is>
          <t>N/D</t>
        </is>
      </c>
      <c r="O488" s="75" t="inlineStr">
        <is>
          <t>Denominação cortada pela largura da coluna na foto.</t>
        </is>
      </c>
    </row>
    <row r="489" ht="43.5" customHeight="1">
      <c r="A489" s="142" t="n">
        <v>55401645000128</v>
      </c>
      <c r="B489" s="75" t="inlineStr">
        <is>
          <t>55.401.645/0001-28</t>
        </is>
      </c>
      <c r="C489" s="75" t="inlineStr">
        <is>
          <t>cedente</t>
        </is>
      </c>
      <c r="D489" s="75" t="inlineStr">
        <is>
          <t>SIGNIFICA A SINGULARE CORRETORA DE TÍTULOS E VALORES MOBILIÁRIOS S.A</t>
        </is>
      </c>
      <c r="E489" s="75" t="inlineStr">
        <is>
          <t>N/D</t>
        </is>
      </c>
      <c r="F489" s="75" t="inlineStr">
        <is>
          <t>candidate_extraction</t>
        </is>
      </c>
      <c r="G489" s="75" t="inlineStr">
        <is>
          <t>55401645000128</t>
        </is>
      </c>
      <c r="H489" s="75" t="inlineStr">
        <is>
          <t>extração heurística</t>
        </is>
      </c>
      <c r="I489" s="75" t="inlineStr">
        <is>
          <t>N/D</t>
        </is>
      </c>
      <c r="J489" s="75" t="inlineStr">
        <is>
          <t>N/D</t>
        </is>
      </c>
      <c r="K489" s="75" t="inlineStr">
        <is>
          <t>candidato_revisao</t>
        </is>
      </c>
      <c r="L489" s="144" t="n">
        <v>0.95</v>
      </c>
      <c r="M489" s="75" t="inlineStr">
        <is>
          <t>outputs/fidc_director_deep_diagnostic_20260609/pdf_text_cache/55401645000128_1051890_regulamento_regulamento_1051890_2025-12-01.txt</t>
        </is>
      </c>
      <c r="N489" s="75" t="inlineStr">
        <is>
          <t>https://fnet.bmfbovespa.com.br/fnet/publico/downloadDocumento?id=55401645000128</t>
        </is>
      </c>
      <c r="O489" s="75" t="inlineStr">
        <is>
          <t>ição Financeira ou Credor Original na originação e monitoramento das operações de crédito represe ntadas pelas CCBs, inclusive por meio da Plataforma Originador; “Administradora” Significa a SINGULARE CORRETORA DE TÍTULOS E VALORES MOBILIÁRIOS S.A. , inscrita no CNPJ sob o nº 62.285.390/0001-40, com sede na cidade de São Paulo, estado de São Paulo, na Avenida Rebouças, nº 2</t>
        </is>
      </c>
    </row>
    <row r="490" ht="43.5" customHeight="1">
      <c r="A490" s="142" t="n">
        <v>55401645000128</v>
      </c>
      <c r="B490" s="75" t="inlineStr">
        <is>
          <t>55.401.645/0001-28</t>
        </is>
      </c>
      <c r="C490" s="75" t="inlineStr">
        <is>
          <t>minimo_estrutural_total</t>
        </is>
      </c>
      <c r="D490" s="75" t="inlineStr">
        <is>
          <t>15%</t>
        </is>
      </c>
      <c r="E490" s="75" t="inlineStr">
        <is>
          <t>suporte_total_pl</t>
        </is>
      </c>
      <c r="F490" s="75" t="inlineStr">
        <is>
          <t>assembleia</t>
        </is>
      </c>
      <c r="G490" s="75" t="inlineStr">
        <is>
          <t>823271</t>
        </is>
      </c>
      <c r="H490" s="75" t="inlineStr">
        <is>
          <t>assembleia</t>
        </is>
      </c>
      <c r="I490" s="75" t="inlineStr">
        <is>
          <t>2025-01-20</t>
        </is>
      </c>
      <c r="J490" s="75" t="inlineStr">
        <is>
          <t>2</t>
        </is>
      </c>
      <c r="K490" s="75" t="inlineStr">
        <is>
          <t>encontrado_explicito</t>
        </is>
      </c>
      <c r="L490" s="144" t="n">
        <v>0.95</v>
      </c>
      <c r="M490" s="75" t="inlineStr">
        <is>
          <t>data/raw/55401645000128/823271_assembleia_assembleia_823271_2025-01-20.pdf</t>
        </is>
      </c>
      <c r="N490" s="75" t="inlineStr">
        <is>
          <t>https://fnet.bmfbovespa.com.br/fnet/publico/downloadDocumento?id=823271</t>
        </is>
      </c>
      <c r="O490" s="75" t="inlineStr">
        <is>
          <t>exos aplicam-se aos itens e anexos deste Anexo Descritivo; e (e) todas as referências a quaisquer partes incluem seus sucessores, representantes e cessionários autorizados. (...) Índice de Subordinação Sênior A relação equivalente a, no mínimo, 15% (quinze por cento) entre o valor das Cotas Subordinadas Mezanino e das Cotas Subordinadas Júnior, em conjunto, em circulação, e o Patrimônio Líquido da Classe A, nos termos do artigo 2º, inciso XV e do artigo 20, inciso</t>
        </is>
      </c>
    </row>
    <row r="491" ht="43.5" customHeight="1">
      <c r="A491" s="142" t="n">
        <v>55401645000128</v>
      </c>
      <c r="B491" s="75" t="inlineStr">
        <is>
          <t>55.401.645/0001-28</t>
        </is>
      </c>
      <c r="C491" s="75" t="inlineStr">
        <is>
          <t>minimo_junior</t>
        </is>
      </c>
      <c r="D491" s="75" t="inlineStr">
        <is>
          <t>3%</t>
        </is>
      </c>
      <c r="E491" s="75" t="inlineStr">
        <is>
          <t>junior_pl</t>
        </is>
      </c>
      <c r="F491" s="75" t="inlineStr">
        <is>
          <t>payload_documental</t>
        </is>
      </c>
      <c r="G491" s="75" t="inlineStr">
        <is>
          <t>1051890</t>
        </is>
      </c>
      <c r="H491" s="75" t="inlineStr">
        <is>
          <t>documento_curado</t>
        </is>
      </c>
      <c r="I491" s="75" t="inlineStr">
        <is>
          <t>2025-12-01</t>
        </is>
      </c>
      <c r="J491" s="75" t="inlineStr">
        <is>
          <t>17</t>
        </is>
      </c>
      <c r="K491" s="75" t="inlineStr">
        <is>
          <t>aceito_payload</t>
        </is>
      </c>
      <c r="L491" s="144" t="n">
        <v>1</v>
      </c>
      <c r="M491" s="75" t="inlineStr">
        <is>
          <t>data/industry_study/generated_revision/artifact_payload.json</t>
        </is>
      </c>
      <c r="N491" s="75" t="inlineStr">
        <is>
          <t>https://fnet.bmfbovespa.com.br/fnet/publico/downloadDocumento?id=1051890</t>
        </is>
      </c>
      <c r="O491" s="75" t="inlineStr">
        <is>
          <t>Índice de Subordinação Mezanino: cotas júnior / PL, mínimo de 3,0%.</t>
        </is>
      </c>
    </row>
    <row r="492" ht="43.5" customHeight="1">
      <c r="A492" s="142" t="n">
        <v>55401645000128</v>
      </c>
      <c r="B492" s="75" t="inlineStr">
        <is>
          <t>55.401.645/0001-28</t>
        </is>
      </c>
      <c r="C492" s="75" t="inlineStr">
        <is>
          <t>natureza_indice</t>
        </is>
      </c>
      <c r="D492" s="75" t="inlineStr">
        <is>
          <t>junior_pl</t>
        </is>
      </c>
      <c r="E492" s="75" t="inlineStr">
        <is>
          <t>junior_pl</t>
        </is>
      </c>
      <c r="F492" s="75" t="inlineStr">
        <is>
          <t>payload_documental</t>
        </is>
      </c>
      <c r="G492" s="75" t="inlineStr">
        <is>
          <t>1051890</t>
        </is>
      </c>
      <c r="H492" s="75" t="inlineStr">
        <is>
          <t>documento_curado</t>
        </is>
      </c>
      <c r="I492" s="75" t="inlineStr">
        <is>
          <t>2025-12-01</t>
        </is>
      </c>
      <c r="J492" s="75" t="inlineStr">
        <is>
          <t>17</t>
        </is>
      </c>
      <c r="K492" s="75" t="inlineStr">
        <is>
          <t>aceito_payload</t>
        </is>
      </c>
      <c r="L492" s="144" t="n">
        <v>1</v>
      </c>
      <c r="M492" s="75" t="inlineStr">
        <is>
          <t>data/industry_study/generated_revision/artifact_payload.json</t>
        </is>
      </c>
      <c r="N492" s="75" t="inlineStr">
        <is>
          <t>https://fnet.bmfbovespa.com.br/fnet/publico/downloadDocumento?id=1051890</t>
        </is>
      </c>
      <c r="O492" s="75" t="inlineStr">
        <is>
          <t>Índice de Subordinação Mezanino: cotas júnior / PL, mínimo de 3,0%.</t>
        </is>
      </c>
    </row>
    <row r="493" ht="43.5" customHeight="1">
      <c r="A493" s="142" t="n">
        <v>55401645000128</v>
      </c>
      <c r="B493" s="75" t="inlineStr">
        <is>
          <t>55.401.645/0001-28</t>
        </is>
      </c>
      <c r="C493" s="75" t="inlineStr">
        <is>
          <t>originador</t>
        </is>
      </c>
      <c r="D493" s="75" t="inlineStr">
        <is>
          <t>a FINTECH DO CORBAN LTDA., sociedade limitada com sede na cidade de Cássia, estado de Minas Gerais, na Rua Comendador Antenor Machado, nº 295, sala virtual 2, Centro, CEP 37980-000, inscrita no CNPJ sob o nº 48.672.821/0001-09 ou outro parceiro do Endossante Instituição Financeria que acesse uma plataforma eletrônica e Interfaces de Programação de Aplicação (“APIs”) do Endossante Instituição Financeria que permite a criação de estruturas para a concessão de crédito por meio do Endossante Institu</t>
        </is>
      </c>
      <c r="E493" s="75" t="inlineStr">
        <is>
          <t>N/D</t>
        </is>
      </c>
      <c r="F493" s="75" t="inlineStr">
        <is>
          <t>regulamento</t>
        </is>
      </c>
      <c r="G493" s="75" t="inlineStr">
        <is>
          <t>1051890</t>
        </is>
      </c>
      <c r="H493" s="75" t="inlineStr">
        <is>
          <t>regulamento</t>
        </is>
      </c>
      <c r="I493" s="75" t="inlineStr">
        <is>
          <t>2025-12-01</t>
        </is>
      </c>
      <c r="J493" s="75" t="inlineStr">
        <is>
          <t>N/D</t>
        </is>
      </c>
      <c r="K493" s="75" t="inlineStr">
        <is>
          <t>encontrado_explicito</t>
        </is>
      </c>
      <c r="L493" s="144" t="n">
        <v>0.95</v>
      </c>
      <c r="M493" s="75" t="inlineStr">
        <is>
          <t>outputs/fidc_director_deep_diagnostic_20260609/pdf_text_cache/55401645000128_1051890_regulamento_regulamento_1051890_2025-12-01.txt</t>
        </is>
      </c>
      <c r="N493" s="75" t="inlineStr">
        <is>
          <t>https://fnet.bmfbovespa.com.br/fnet/publico/downloadDocumento?id=1051890</t>
        </is>
      </c>
      <c r="O493" s="75" t="inlineStr">
        <is>
          <t>a, que dispõe sobre o FGTS; “Originadores” Significa, em conjunto, o Originador – DC IF e o Originador – DC Fundos. “Originador – DC IF” Significa a FINTECH DO CORBAN LTDA., sociedade limitada com sede na cidade de Cássia, estado de Minas Gerais, na Rua Comendador Antenor Machado, nº 295, sala virtual 2, Centro, CEP 37980-000, inscrita no CNPJ sob o nº 48.672.821/0001-09 ou outro parceiro do Endossante Instituição Financeria que acesse uma plataforma eletrônica e Interfaces de Programação de Aplicação (“APIs”) do Endossante Instituição Financeria que permite a criação de estruturas para a concessão de crédito por meio do Endossante Instituição Financeria. “Originadores – DC Fundos” Significa os originadores dos Direitos Creditórios Fundo ou outro parceiro do Credor Or</t>
        </is>
      </c>
    </row>
    <row r="494" ht="43.5" customHeight="1">
      <c r="A494" s="142" t="n">
        <v>55401645000128</v>
      </c>
      <c r="B494" s="75" t="inlineStr">
        <is>
          <t>55.401.645/0001-28</t>
        </is>
      </c>
      <c r="C494" s="75" t="inlineStr">
        <is>
          <t>tipo_recebivel</t>
        </is>
      </c>
      <c r="D494" s="75" t="inlineStr">
        <is>
          <t>Crédito FGTS</t>
        </is>
      </c>
      <c r="E494" s="75" t="inlineStr">
        <is>
          <t>N/D</t>
        </is>
      </c>
      <c r="F494" s="75" t="inlineStr">
        <is>
          <t>planilha_manual</t>
        </is>
      </c>
      <c r="G494" s="75" t="inlineStr">
        <is>
          <t>IMG_8705.JPG</t>
        </is>
      </c>
      <c r="H494" s="75" t="inlineStr">
        <is>
          <t>payload</t>
        </is>
      </c>
      <c r="I494" s="75" t="inlineStr">
        <is>
          <t>2025-12-01</t>
        </is>
      </c>
      <c r="J494" s="75" t="inlineStr">
        <is>
          <t>17</t>
        </is>
      </c>
      <c r="K494" s="75" t="inlineStr">
        <is>
          <t>aceito_payload</t>
        </is>
      </c>
      <c r="L494" s="144" t="n">
        <v>1</v>
      </c>
      <c r="M494" s="75" t="inlineStr">
        <is>
          <t>data/industry_study/generated_revision/artifact_payload.json</t>
        </is>
      </c>
      <c r="N494" s="75" t="inlineStr">
        <is>
          <t>N/D</t>
        </is>
      </c>
      <c r="O494" s="75" t="inlineStr">
        <is>
          <t>Denominação cortada pela largura da coluna na foto.</t>
        </is>
      </c>
    </row>
    <row r="495" ht="43.5" customHeight="1">
      <c r="A495" s="142" t="n">
        <v>55476342000174</v>
      </c>
      <c r="B495" s="75" t="inlineStr">
        <is>
          <t>55.476.342/0001-74</t>
        </is>
      </c>
      <c r="C495" s="75" t="inlineStr">
        <is>
          <t>cedente</t>
        </is>
      </c>
      <c r="D495" s="75" t="inlineStr">
        <is>
          <t>Lavoro</t>
        </is>
      </c>
      <c r="E495" s="75" t="inlineStr">
        <is>
          <t>N/D</t>
        </is>
      </c>
      <c r="F495" s="75" t="inlineStr">
        <is>
          <t>planilha_manual</t>
        </is>
      </c>
      <c r="G495" s="75" t="inlineStr">
        <is>
          <t>IMG_8705.JPG</t>
        </is>
      </c>
      <c r="H495" s="75" t="inlineStr">
        <is>
          <t>payload</t>
        </is>
      </c>
      <c r="I495" s="75" t="inlineStr">
        <is>
          <t>2025-09-30</t>
        </is>
      </c>
      <c r="J495" s="75" t="inlineStr">
        <is>
          <t>107; 122</t>
        </is>
      </c>
      <c r="K495" s="75" t="inlineStr">
        <is>
          <t>aceito_payload</t>
        </is>
      </c>
      <c r="L495" s="144" t="n">
        <v>1</v>
      </c>
      <c r="M495" s="75" t="inlineStr">
        <is>
          <t>data/industry_study/generated_revision/artifact_payload.json</t>
        </is>
      </c>
      <c r="N495" s="75" t="inlineStr">
        <is>
          <t>N/D</t>
        </is>
      </c>
      <c r="O495" s="75" t="inlineStr">
        <is>
          <t>OBS da foto: em discussão para possível migração do FIDC para risco bilateral. Denominação cortada.</t>
        </is>
      </c>
    </row>
    <row r="496" ht="43.5" customHeight="1">
      <c r="A496" s="142" t="n">
        <v>55476342000174</v>
      </c>
      <c r="B496" s="75" t="inlineStr">
        <is>
          <t>55.476.342/0001-74</t>
        </is>
      </c>
      <c r="C496" s="75" t="inlineStr">
        <is>
          <t>minimo_estrutural_total</t>
        </is>
      </c>
      <c r="D496" s="75" t="inlineStr">
        <is>
          <t>20%</t>
        </is>
      </c>
      <c r="E496" s="75" t="inlineStr">
        <is>
          <t>suporte_total_pl</t>
        </is>
      </c>
      <c r="F496" s="75" t="inlineStr">
        <is>
          <t>payload_documental</t>
        </is>
      </c>
      <c r="G496" s="75" t="inlineStr">
        <is>
          <t>1003108</t>
        </is>
      </c>
      <c r="H496" s="75" t="inlineStr">
        <is>
          <t>documento_curado</t>
        </is>
      </c>
      <c r="I496" s="75" t="inlineStr">
        <is>
          <t>2025-09-30</t>
        </is>
      </c>
      <c r="J496" s="75" t="inlineStr">
        <is>
          <t>107; 122</t>
        </is>
      </c>
      <c r="K496" s="75" t="inlineStr">
        <is>
          <t>aceito_payload</t>
        </is>
      </c>
      <c r="L496" s="144" t="n">
        <v>1</v>
      </c>
      <c r="M496" s="75" t="inlineStr">
        <is>
          <t>data/industry_study/generated_revision/artifact_payload.json</t>
        </is>
      </c>
      <c r="N496" s="75" t="inlineStr">
        <is>
          <t>https://fnet.bmfbovespa.com.br/fnet/publico/downloadDocumento?id=1003108</t>
        </is>
      </c>
      <c r="O496" s="75" t="inlineStr">
        <is>
          <t>Cotas subordinadas / PL, mínimo de 20,0%; estrutura com uma única classe residual.</t>
        </is>
      </c>
    </row>
    <row r="497" ht="43.5" customHeight="1">
      <c r="A497" s="142" t="n">
        <v>55476342000174</v>
      </c>
      <c r="B497" s="75" t="inlineStr">
        <is>
          <t>55.476.342/0001-74</t>
        </is>
      </c>
      <c r="C497" s="75" t="inlineStr">
        <is>
          <t>minimo_junior</t>
        </is>
      </c>
      <c r="D497" s="75" t="inlineStr">
        <is>
          <t>20%</t>
        </is>
      </c>
      <c r="E497" s="75" t="inlineStr">
        <is>
          <t>junior_pl</t>
        </is>
      </c>
      <c r="F497" s="75" t="inlineStr">
        <is>
          <t>payload_documental</t>
        </is>
      </c>
      <c r="G497" s="75" t="inlineStr">
        <is>
          <t>1003108</t>
        </is>
      </c>
      <c r="H497" s="75" t="inlineStr">
        <is>
          <t>documento_curado</t>
        </is>
      </c>
      <c r="I497" s="75" t="inlineStr">
        <is>
          <t>2025-09-30</t>
        </is>
      </c>
      <c r="J497" s="75" t="inlineStr">
        <is>
          <t>107; 122</t>
        </is>
      </c>
      <c r="K497" s="75" t="inlineStr">
        <is>
          <t>aceito_payload</t>
        </is>
      </c>
      <c r="L497" s="144" t="n">
        <v>1</v>
      </c>
      <c r="M497" s="75" t="inlineStr">
        <is>
          <t>data/industry_study/generated_revision/artifact_payload.json</t>
        </is>
      </c>
      <c r="N497" s="75" t="inlineStr">
        <is>
          <t>https://fnet.bmfbovespa.com.br/fnet/publico/downloadDocumento?id=1003108</t>
        </is>
      </c>
      <c r="O497" s="75" t="inlineStr">
        <is>
          <t>Cotas subordinadas / PL, mínimo de 20,0%; estrutura com uma única classe residual.</t>
        </is>
      </c>
    </row>
    <row r="498" ht="43.5" customHeight="1">
      <c r="A498" s="142" t="n">
        <v>55476342000174</v>
      </c>
      <c r="B498" s="75" t="inlineStr">
        <is>
          <t>55.476.342/0001-74</t>
        </is>
      </c>
      <c r="C498" s="75" t="inlineStr">
        <is>
          <t>natureza_indice</t>
        </is>
      </c>
      <c r="D498" s="75" t="inlineStr">
        <is>
          <t>junior_pl</t>
        </is>
      </c>
      <c r="E498" s="75" t="inlineStr">
        <is>
          <t>junior_pl</t>
        </is>
      </c>
      <c r="F498" s="75" t="inlineStr">
        <is>
          <t>payload_documental</t>
        </is>
      </c>
      <c r="G498" s="75" t="inlineStr">
        <is>
          <t>1003108</t>
        </is>
      </c>
      <c r="H498" s="75" t="inlineStr">
        <is>
          <t>documento_curado</t>
        </is>
      </c>
      <c r="I498" s="75" t="inlineStr">
        <is>
          <t>2025-09-30</t>
        </is>
      </c>
      <c r="J498" s="75" t="inlineStr">
        <is>
          <t>107; 122</t>
        </is>
      </c>
      <c r="K498" s="75" t="inlineStr">
        <is>
          <t>aceito_payload</t>
        </is>
      </c>
      <c r="L498" s="144" t="n">
        <v>1</v>
      </c>
      <c r="M498" s="75" t="inlineStr">
        <is>
          <t>data/industry_study/generated_revision/artifact_payload.json</t>
        </is>
      </c>
      <c r="N498" s="75" t="inlineStr">
        <is>
          <t>https://fnet.bmfbovespa.com.br/fnet/publico/downloadDocumento?id=1003108</t>
        </is>
      </c>
      <c r="O498" s="75" t="inlineStr">
        <is>
          <t>Cotas subordinadas / PL, mínimo de 20,0%; estrutura com uma única classe residual.</t>
        </is>
      </c>
    </row>
    <row r="499" ht="43.5" customHeight="1">
      <c r="A499" s="142" t="n">
        <v>56936116000191</v>
      </c>
      <c r="B499" s="75" t="inlineStr">
        <is>
          <t>56.936.116/0001-91</t>
        </is>
      </c>
      <c r="C499" s="75" t="inlineStr">
        <is>
          <t>cedente</t>
        </is>
      </c>
      <c r="D499" s="75" t="inlineStr">
        <is>
          <t>um titular de Direitos Creditórios, que realiza transferência do referido Direito Creditório ao Fundo</t>
        </is>
      </c>
      <c r="E499" s="75" t="inlineStr">
        <is>
          <t>N/D</t>
        </is>
      </c>
      <c r="F499" s="75" t="inlineStr">
        <is>
          <t>regulamento</t>
        </is>
      </c>
      <c r="G499" s="75" t="inlineStr">
        <is>
          <t>1023213</t>
        </is>
      </c>
      <c r="H499" s="75" t="inlineStr">
        <is>
          <t>regulamento</t>
        </is>
      </c>
      <c r="I499" s="75" t="inlineStr">
        <is>
          <t>2025-10-27</t>
        </is>
      </c>
      <c r="J499" s="75" t="inlineStr">
        <is>
          <t>4</t>
        </is>
      </c>
      <c r="K499" s="75" t="inlineStr">
        <is>
          <t>encontrado_explicito</t>
        </is>
      </c>
      <c r="L499" s="144" t="n">
        <v>0.95</v>
      </c>
      <c r="M499" s="75" t="inlineStr">
        <is>
          <t>data/raw/56936116000191/1023213_regulamento_regulamento_1023213_2025-10-27_2025-10-27.pdf</t>
        </is>
      </c>
      <c r="N499" s="75" t="inlineStr">
        <is>
          <t>https://fnet.bmfbovespa.com.br/fnet/publico/downloadDocumento?id=1023213</t>
        </is>
      </c>
      <c r="O499" s="75" t="inlineStr">
        <is>
          <t>ação da Assembleia de Cotistas. “Carteira” significa a carteira de investimentos da Classe, composta por Ativos. “Cedente” significa um titular de Direitos Creditórios, que realiza transferência do referido Direito Creditório ao Fundo. “Chamada de Capital” significa cada aviso entregue aos Cotistas de tempos em tempos pel a Administradora, confor</t>
        </is>
      </c>
    </row>
    <row r="500" ht="43.5" customHeight="1">
      <c r="A500" s="142" t="n">
        <v>56936116000191</v>
      </c>
      <c r="B500" s="75" t="inlineStr">
        <is>
          <t>56.936.116/0001-91</t>
        </is>
      </c>
      <c r="C500" s="75" t="inlineStr">
        <is>
          <t>cedente</t>
        </is>
      </c>
      <c r="D500" s="75" t="inlineStr">
        <is>
          <t>um titular de Direitos Creditórios , que realiza transferência do referido Direito Creditório ao Fundo</t>
        </is>
      </c>
      <c r="E500" s="75" t="inlineStr">
        <is>
          <t>N/D</t>
        </is>
      </c>
      <c r="F500" s="75" t="inlineStr">
        <is>
          <t>regulamento</t>
        </is>
      </c>
      <c r="G500" s="75" t="inlineStr">
        <is>
          <t>950915</t>
        </is>
      </c>
      <c r="H500" s="75" t="inlineStr">
        <is>
          <t>Regulamento</t>
        </is>
      </c>
      <c r="I500" s="75" t="inlineStr">
        <is>
          <t>22/07/2025</t>
        </is>
      </c>
      <c r="J500" s="75" t="inlineStr">
        <is>
          <t>4</t>
        </is>
      </c>
      <c r="K500" s="75" t="inlineStr">
        <is>
          <t>encontrado_explicito</t>
        </is>
      </c>
      <c r="L500" s="144" t="n">
        <v>0.95</v>
      </c>
      <c r="M500" s="75" t="inlineStr">
        <is>
          <t>.cache/carteira_101_document_scan/56936116000191/950915.json.gz</t>
        </is>
      </c>
      <c r="N500" s="75" t="inlineStr">
        <is>
          <t>https://fnet.bmfbovespa.com.br/fnet/publico/downloadDocumento?id=950915</t>
        </is>
      </c>
      <c r="O500" s="75" t="inlineStr">
        <is>
          <t>ação da Assembleia de Cotistas. “Carteira” significa a carteira de investimentos da Classe, composta por Ativos. “Cedente” significa um titular de Direitos Creditórios , que realiza transferência do referido Direito Creditório ao Fundo. “Chamada de Capital” significa cada aviso entregue aos Cotistas de tempos em tempos pel a Administradora, confor</t>
        </is>
      </c>
    </row>
    <row r="501" ht="43.5" customHeight="1">
      <c r="A501" s="142" t="n">
        <v>56936116000191</v>
      </c>
      <c r="B501" s="75" t="inlineStr">
        <is>
          <t>56.936.116/0001-91</t>
        </is>
      </c>
      <c r="C501" s="75" t="inlineStr">
        <is>
          <t>cedente</t>
        </is>
      </c>
      <c r="D501" s="75" t="inlineStr">
        <is>
          <t>um titular de Direitos Creditórios, que realiza transferência do referido Direito Creditório ao Fundo</t>
        </is>
      </c>
      <c r="E501" s="75" t="inlineStr">
        <is>
          <t>N/D</t>
        </is>
      </c>
      <c r="F501" s="75" t="inlineStr">
        <is>
          <t>regulamento</t>
        </is>
      </c>
      <c r="G501" s="75" t="inlineStr">
        <is>
          <t>56936116000191</t>
        </is>
      </c>
      <c r="H501" s="75" t="inlineStr">
        <is>
          <t>regulamento</t>
        </is>
      </c>
      <c r="I501" s="75" t="inlineStr">
        <is>
          <t>N/D</t>
        </is>
      </c>
      <c r="J501" s="75" t="inlineStr">
        <is>
          <t>1</t>
        </is>
      </c>
      <c r="K501" s="75" t="inlineStr">
        <is>
          <t>encontrado_explicito</t>
        </is>
      </c>
      <c r="L501" s="144" t="n">
        <v>0.95</v>
      </c>
      <c r="M501" s="75" t="inlineStr">
        <is>
          <t>outputs/fidc_director_deep_diagnostic_20260609/pdf_text_cache/56936116000191_1023213_regulamento_regulamento_1023213_2025-10-27_2025-10-27.txt</t>
        </is>
      </c>
      <c r="N501" s="75" t="inlineStr">
        <is>
          <t>https://fnet.bmfbovespa.com.br/fnet/publico/downloadDocumento?id=56936116000191</t>
        </is>
      </c>
      <c r="O501" s="75" t="inlineStr">
        <is>
          <t>ação da Assembleia de Cotistas. “Carteira” significa a carteira de investimentos da Classe, composta por Ativos. “Cedente” significa um titular de Direitos Creditórios, que realiza transferência do referido Direito Creditório ao Fundo. “Chamada de Capital” significa cada aviso entregue aos Cotistas de tempos em tempos pel a Administradora, confor</t>
        </is>
      </c>
    </row>
    <row r="502" ht="43.5" customHeight="1">
      <c r="A502" s="142" t="n">
        <v>56936116000191</v>
      </c>
      <c r="B502" s="75" t="inlineStr">
        <is>
          <t>56.936.116/0001-91</t>
        </is>
      </c>
      <c r="C502" s="75" t="inlineStr">
        <is>
          <t>cedente</t>
        </is>
      </c>
      <c r="D502" s="75" t="inlineStr">
        <is>
          <t>Multicedente</t>
        </is>
      </c>
      <c r="E502" s="75" t="inlineStr">
        <is>
          <t>N/D</t>
        </is>
      </c>
      <c r="F502" s="75" t="inlineStr">
        <is>
          <t>planilha_manual</t>
        </is>
      </c>
      <c r="G502" s="75" t="inlineStr">
        <is>
          <t>IMG_8704.JPG</t>
        </is>
      </c>
      <c r="H502" s="75" t="inlineStr">
        <is>
          <t>payload</t>
        </is>
      </c>
      <c r="I502" s="75" t="inlineStr">
        <is>
          <t>2025-10-27</t>
        </is>
      </c>
      <c r="J502" s="75" t="inlineStr">
        <is>
          <t>61</t>
        </is>
      </c>
      <c r="K502" s="75" t="inlineStr">
        <is>
          <t>aceito_payload</t>
        </is>
      </c>
      <c r="L502" s="144" t="n">
        <v>1</v>
      </c>
      <c r="M502" s="75" t="inlineStr">
        <is>
          <t>data/industry_study/generated_revision/artifact_payload.json</t>
        </is>
      </c>
      <c r="N502" s="75" t="inlineStr">
        <is>
          <t>N/D</t>
        </is>
      </c>
      <c r="O502" s="75" t="inlineStr">
        <is>
          <t>OBS da foto: conta com seguro de crédito. Denominação cortada.</t>
        </is>
      </c>
    </row>
    <row r="503" ht="43.5" customHeight="1">
      <c r="A503" s="142" t="n">
        <v>56936116000191</v>
      </c>
      <c r="B503" s="75" t="inlineStr">
        <is>
          <t>56.936.116/0001-91</t>
        </is>
      </c>
      <c r="C503" s="75" t="inlineStr">
        <is>
          <t>minimo_junior</t>
        </is>
      </c>
      <c r="D503" s="75" t="inlineStr">
        <is>
          <t>3%</t>
        </is>
      </c>
      <c r="E503" s="75" t="inlineStr">
        <is>
          <t>junior_pl</t>
        </is>
      </c>
      <c r="F503" s="75" t="inlineStr">
        <is>
          <t>payload_documental</t>
        </is>
      </c>
      <c r="G503" s="75" t="inlineStr">
        <is>
          <t>1023213</t>
        </is>
      </c>
      <c r="H503" s="75" t="inlineStr">
        <is>
          <t>documento_curado</t>
        </is>
      </c>
      <c r="I503" s="75" t="inlineStr">
        <is>
          <t>2025-10-27</t>
        </is>
      </c>
      <c r="J503" s="75" t="inlineStr">
        <is>
          <t>61</t>
        </is>
      </c>
      <c r="K503" s="75" t="inlineStr">
        <is>
          <t>aceito_payload</t>
        </is>
      </c>
      <c r="L503" s="144" t="n">
        <v>1</v>
      </c>
      <c r="M503" s="75" t="inlineStr">
        <is>
          <t>data/industry_study/generated_revision/artifact_payload.json</t>
        </is>
      </c>
      <c r="N503" s="75" t="inlineStr">
        <is>
          <t>https://fnet.bmfbovespa.com.br/fnet/publico/downloadDocumento?id=1023213</t>
        </is>
      </c>
      <c r="O503" s="75" t="inlineStr">
        <is>
          <t>Índice de Subordinação Mezanino: cotas júnior / PL, mínimo de 3,0%.</t>
        </is>
      </c>
    </row>
    <row r="504" ht="43.5" customHeight="1">
      <c r="A504" s="142" t="n">
        <v>56936116000191</v>
      </c>
      <c r="B504" s="75" t="inlineStr">
        <is>
          <t>56.936.116/0001-91</t>
        </is>
      </c>
      <c r="C504" s="75" t="inlineStr">
        <is>
          <t>natureza_indice</t>
        </is>
      </c>
      <c r="D504" s="75" t="inlineStr">
        <is>
          <t>junior_pl</t>
        </is>
      </c>
      <c r="E504" s="75" t="inlineStr">
        <is>
          <t>junior_pl</t>
        </is>
      </c>
      <c r="F504" s="75" t="inlineStr">
        <is>
          <t>payload_documental</t>
        </is>
      </c>
      <c r="G504" s="75" t="inlineStr">
        <is>
          <t>1023213</t>
        </is>
      </c>
      <c r="H504" s="75" t="inlineStr">
        <is>
          <t>documento_curado</t>
        </is>
      </c>
      <c r="I504" s="75" t="inlineStr">
        <is>
          <t>2025-10-27</t>
        </is>
      </c>
      <c r="J504" s="75" t="inlineStr">
        <is>
          <t>61</t>
        </is>
      </c>
      <c r="K504" s="75" t="inlineStr">
        <is>
          <t>aceito_payload</t>
        </is>
      </c>
      <c r="L504" s="144" t="n">
        <v>1</v>
      </c>
      <c r="M504" s="75" t="inlineStr">
        <is>
          <t>data/industry_study/generated_revision/artifact_payload.json</t>
        </is>
      </c>
      <c r="N504" s="75" t="inlineStr">
        <is>
          <t>https://fnet.bmfbovespa.com.br/fnet/publico/downloadDocumento?id=1023213</t>
        </is>
      </c>
      <c r="O504" s="75" t="inlineStr">
        <is>
          <t>Índice de Subordinação Mezanino: cotas júnior / PL, mínimo de 3,0%.</t>
        </is>
      </c>
    </row>
    <row r="505" ht="43.5" customHeight="1">
      <c r="A505" s="142" t="n">
        <v>56936116000191</v>
      </c>
      <c r="B505" s="75" t="inlineStr">
        <is>
          <t>56.936.116/0001-91</t>
        </is>
      </c>
      <c r="C505" s="75" t="inlineStr">
        <is>
          <t>sacado_devedor</t>
        </is>
      </c>
      <c r="D505" s="75" t="inlineStr">
        <is>
          <t>os devedores dos Direitos Creditórios</t>
        </is>
      </c>
      <c r="E505" s="75" t="inlineStr">
        <is>
          <t>N/D</t>
        </is>
      </c>
      <c r="F505" s="75" t="inlineStr">
        <is>
          <t>regulamento</t>
        </is>
      </c>
      <c r="G505" s="75" t="inlineStr">
        <is>
          <t>1023213</t>
        </is>
      </c>
      <c r="H505" s="75" t="inlineStr">
        <is>
          <t>regulamento</t>
        </is>
      </c>
      <c r="I505" s="75" t="inlineStr">
        <is>
          <t>2025-10-27</t>
        </is>
      </c>
      <c r="J505" s="75" t="inlineStr">
        <is>
          <t>7</t>
        </is>
      </c>
      <c r="K505" s="75" t="inlineStr">
        <is>
          <t>encontrado_explicito</t>
        </is>
      </c>
      <c r="L505" s="144" t="n">
        <v>0.95</v>
      </c>
      <c r="M505" s="75" t="inlineStr">
        <is>
          <t>data/raw/56936116000191/1023213_regulamento_regulamento_1023213_2025-10-27_2025-10-27.pdf</t>
        </is>
      </c>
      <c r="N505" s="75" t="inlineStr">
        <is>
          <t>https://fnet.bmfbovespa.com.br/fnet/publico/downloadDocumento?id=1023213</t>
        </is>
      </c>
      <c r="O505" s="75" t="inlineStr">
        <is>
          <t>o” significa cada data de verificação dos Índices de Monitoramento, qual seja, 5º (quinto) Dia Útil de cada mês. “Devedores” significa os devedores dos Direitos Creditórios. “Dia Útil” significa qualquer dia da semana, exceto sábados, domingos e feriados declarados nacionais ou dias em</t>
        </is>
      </c>
    </row>
    <row r="506" ht="43.5" customHeight="1">
      <c r="A506" s="142" t="n">
        <v>56936116000191</v>
      </c>
      <c r="B506" s="75" t="inlineStr">
        <is>
          <t>56.936.116/0001-91</t>
        </is>
      </c>
      <c r="C506" s="75" t="inlineStr">
        <is>
          <t>sacado_devedor</t>
        </is>
      </c>
      <c r="D506" s="75" t="inlineStr">
        <is>
          <t>os devedores dos Direitos Creditórios</t>
        </is>
      </c>
      <c r="E506" s="75" t="inlineStr">
        <is>
          <t>N/D</t>
        </is>
      </c>
      <c r="F506" s="75" t="inlineStr">
        <is>
          <t>regulamento</t>
        </is>
      </c>
      <c r="G506" s="75" t="inlineStr">
        <is>
          <t>950915</t>
        </is>
      </c>
      <c r="H506" s="75" t="inlineStr">
        <is>
          <t>Regulamento</t>
        </is>
      </c>
      <c r="I506" s="75" t="inlineStr">
        <is>
          <t>22/07/2025</t>
        </is>
      </c>
      <c r="J506" s="75" t="inlineStr">
        <is>
          <t>7</t>
        </is>
      </c>
      <c r="K506" s="75" t="inlineStr">
        <is>
          <t>encontrado_explicito</t>
        </is>
      </c>
      <c r="L506" s="144" t="n">
        <v>0.95</v>
      </c>
      <c r="M506" s="75" t="inlineStr">
        <is>
          <t>.cache/carteira_101_document_scan/56936116000191/950915.json.gz</t>
        </is>
      </c>
      <c r="N506" s="75" t="inlineStr">
        <is>
          <t>https://fnet.bmfbovespa.com.br/fnet/publico/downloadDocumento?id=950915</t>
        </is>
      </c>
      <c r="O506" s="75" t="inlineStr">
        <is>
          <t>o” significa cada data de verificação dos Índices de Monitoramento, qual seja, 5º (quinto) Dia Útil de cada mês. “Devedores” significa os devedores dos Direitos Creditórios. “Dia Útil” significa qualquer dia da semana, exceto sábados, domingos e feriados declarados nacionais ou dias em</t>
        </is>
      </c>
    </row>
    <row r="507" ht="43.5" customHeight="1">
      <c r="A507" s="142" t="n">
        <v>56936116000191</v>
      </c>
      <c r="B507" s="75" t="inlineStr">
        <is>
          <t>56.936.116/0001-91</t>
        </is>
      </c>
      <c r="C507" s="75" t="inlineStr">
        <is>
          <t>sacado_devedor</t>
        </is>
      </c>
      <c r="D507" s="75" t="inlineStr">
        <is>
          <t>os devedores dos Direitos Creditórios</t>
        </is>
      </c>
      <c r="E507" s="75" t="inlineStr">
        <is>
          <t>N/D</t>
        </is>
      </c>
      <c r="F507" s="75" t="inlineStr">
        <is>
          <t>regulamento</t>
        </is>
      </c>
      <c r="G507" s="75" t="inlineStr">
        <is>
          <t>56936116000191</t>
        </is>
      </c>
      <c r="H507" s="75" t="inlineStr">
        <is>
          <t>regulamento</t>
        </is>
      </c>
      <c r="I507" s="75" t="inlineStr">
        <is>
          <t>N/D</t>
        </is>
      </c>
      <c r="J507" s="75" t="inlineStr">
        <is>
          <t>1</t>
        </is>
      </c>
      <c r="K507" s="75" t="inlineStr">
        <is>
          <t>encontrado_explicito</t>
        </is>
      </c>
      <c r="L507" s="144" t="n">
        <v>0.95</v>
      </c>
      <c r="M507" s="75" t="inlineStr">
        <is>
          <t>outputs/fidc_director_deep_diagnostic_20260609/pdf_text_cache/56936116000191_1023213_regulamento_regulamento_1023213_2025-10-27_2025-10-27.txt</t>
        </is>
      </c>
      <c r="N507" s="75" t="inlineStr">
        <is>
          <t>https://fnet.bmfbovespa.com.br/fnet/publico/downloadDocumento?id=56936116000191</t>
        </is>
      </c>
      <c r="O507" s="75" t="inlineStr">
        <is>
          <t>o” significa cada data de verificação dos Índices de Monitoramento, qual seja, 5º (quinto) Dia Útil de cada mês. “Devedores” significa os devedores dos Direitos Creditórios. “Dia Útil” significa qualquer dia da semana, exceto sábados, domingos e feriados declarados nacionais ou dias em</t>
        </is>
      </c>
    </row>
    <row r="508" ht="43.5" customHeight="1">
      <c r="A508" s="142" t="n">
        <v>57028406000108</v>
      </c>
      <c r="B508" s="75" t="inlineStr">
        <is>
          <t>57.028.406/0001-08</t>
        </is>
      </c>
      <c r="C508" s="75" t="inlineStr">
        <is>
          <t>cedente</t>
        </is>
      </c>
      <c r="D508" s="75" t="inlineStr">
        <is>
          <t>Solfácil SCD</t>
        </is>
      </c>
      <c r="E508" s="75" t="inlineStr">
        <is>
          <t>N/D</t>
        </is>
      </c>
      <c r="F508" s="75" t="inlineStr">
        <is>
          <t>planilha_manual</t>
        </is>
      </c>
      <c r="G508" s="75" t="inlineStr">
        <is>
          <t>IMG_8706.JPG</t>
        </is>
      </c>
      <c r="H508" s="75" t="inlineStr">
        <is>
          <t>payload</t>
        </is>
      </c>
      <c r="I508" s="75" t="inlineStr">
        <is>
          <t>2026-05-21</t>
        </is>
      </c>
      <c r="J508" s="75" t="inlineStr">
        <is>
          <t>112</t>
        </is>
      </c>
      <c r="K508" s="75" t="inlineStr">
        <is>
          <t>aceito_payload</t>
        </is>
      </c>
      <c r="L508" s="144" t="n">
        <v>1</v>
      </c>
      <c r="M508" s="75" t="inlineStr">
        <is>
          <t>data/industry_study/generated_revision/artifact_payload.json</t>
        </is>
      </c>
      <c r="N508" s="75" t="inlineStr">
        <is>
          <t>N/D</t>
        </is>
      </c>
      <c r="O508" s="75" t="inlineStr">
        <is>
          <t>FIDC pulverizado para aquisição dos direitos creditórios descritos.</t>
        </is>
      </c>
    </row>
    <row r="509" ht="43.5" customHeight="1">
      <c r="A509" s="142" t="n">
        <v>57028406000108</v>
      </c>
      <c r="B509" s="75" t="inlineStr">
        <is>
          <t>57.028.406/0001-08</t>
        </is>
      </c>
      <c r="C509" s="75" t="inlineStr">
        <is>
          <t>minimo_junior</t>
        </is>
      </c>
      <c r="D509" s="75" t="inlineStr">
        <is>
          <t>2%</t>
        </is>
      </c>
      <c r="E509" s="75" t="inlineStr">
        <is>
          <t>junior_pl</t>
        </is>
      </c>
      <c r="F509" s="75" t="inlineStr">
        <is>
          <t>payload_documental</t>
        </is>
      </c>
      <c r="G509" s="75" t="inlineStr">
        <is>
          <t>1202319</t>
        </is>
      </c>
      <c r="H509" s="75" t="inlineStr">
        <is>
          <t>documento_curado</t>
        </is>
      </c>
      <c r="I509" s="75" t="inlineStr">
        <is>
          <t>2026-05-21</t>
        </is>
      </c>
      <c r="J509" s="75" t="inlineStr">
        <is>
          <t>112</t>
        </is>
      </c>
      <c r="K509" s="75" t="inlineStr">
        <is>
          <t>aceito_payload</t>
        </is>
      </c>
      <c r="L509" s="144" t="n">
        <v>1</v>
      </c>
      <c r="M509" s="75" t="inlineStr">
        <is>
          <t>data/industry_study/generated_revision/artifact_payload.json</t>
        </is>
      </c>
      <c r="N509" s="75" t="inlineStr">
        <is>
          <t>https://fnet.bmfbovespa.com.br/fnet/publico/downloadDocumento?id=1202319</t>
        </is>
      </c>
      <c r="O509" s="75" t="inlineStr">
        <is>
          <t>Índice de Subordinação das cotas júnior / PL, mínimo de 2,0%.</t>
        </is>
      </c>
    </row>
    <row r="510" ht="43.5" customHeight="1">
      <c r="A510" s="142" t="n">
        <v>57028406000108</v>
      </c>
      <c r="B510" s="75" t="inlineStr">
        <is>
          <t>57.028.406/0001-08</t>
        </is>
      </c>
      <c r="C510" s="75" t="inlineStr">
        <is>
          <t>natureza_indice</t>
        </is>
      </c>
      <c r="D510" s="75" t="inlineStr">
        <is>
          <t>junior_pl</t>
        </is>
      </c>
      <c r="E510" s="75" t="inlineStr">
        <is>
          <t>junior_pl</t>
        </is>
      </c>
      <c r="F510" s="75" t="inlineStr">
        <is>
          <t>payload_documental</t>
        </is>
      </c>
      <c r="G510" s="75" t="inlineStr">
        <is>
          <t>1202319</t>
        </is>
      </c>
      <c r="H510" s="75" t="inlineStr">
        <is>
          <t>documento_curado</t>
        </is>
      </c>
      <c r="I510" s="75" t="inlineStr">
        <is>
          <t>2026-05-21</t>
        </is>
      </c>
      <c r="J510" s="75" t="inlineStr">
        <is>
          <t>112</t>
        </is>
      </c>
      <c r="K510" s="75" t="inlineStr">
        <is>
          <t>aceito_payload</t>
        </is>
      </c>
      <c r="L510" s="144" t="n">
        <v>1</v>
      </c>
      <c r="M510" s="75" t="inlineStr">
        <is>
          <t>data/industry_study/generated_revision/artifact_payload.json</t>
        </is>
      </c>
      <c r="N510" s="75" t="inlineStr">
        <is>
          <t>https://fnet.bmfbovespa.com.br/fnet/publico/downloadDocumento?id=1202319</t>
        </is>
      </c>
      <c r="O510" s="75" t="inlineStr">
        <is>
          <t>Índice de Subordinação das cotas júnior / PL, mínimo de 2,0%.</t>
        </is>
      </c>
    </row>
    <row r="511" ht="43.5" customHeight="1">
      <c r="A511" s="142" t="n">
        <v>57028406000108</v>
      </c>
      <c r="B511" s="75" t="inlineStr">
        <is>
          <t>57.028.406/0001-08</t>
        </is>
      </c>
      <c r="C511" s="75" t="inlineStr">
        <is>
          <t>originador</t>
        </is>
      </c>
      <c r="D511" s="75" t="inlineStr">
        <is>
          <t>Solfácil Energia</t>
        </is>
      </c>
      <c r="E511" s="75" t="inlineStr">
        <is>
          <t>rótulo explícito de participante v2</t>
        </is>
      </c>
      <c r="F511" s="75" t="inlineStr">
        <is>
          <t>rating_report</t>
        </is>
      </c>
      <c r="G511" s="75" t="inlineStr">
        <is>
          <t>1048523</t>
        </is>
      </c>
      <c r="H511" s="75" t="inlineStr">
        <is>
          <t>Relatórios Relatório de Agência de Rating</t>
        </is>
      </c>
      <c r="I511" s="75" t="inlineStr">
        <is>
          <t>25/11/2025</t>
        </is>
      </c>
      <c r="J511" s="75" t="inlineStr">
        <is>
          <t>5</t>
        </is>
      </c>
      <c r="K511" s="75" t="inlineStr">
        <is>
          <t>encontrado_explicito</t>
        </is>
      </c>
      <c r="L511" s="144" t="n">
        <v>0.93</v>
      </c>
      <c r="M511" s="75" t="inlineStr">
        <is>
          <t>.cache/carteira_101_document_scan/57028406000108/1048523.json.gz</t>
        </is>
      </c>
      <c r="N511" s="75" t="inlineStr">
        <is>
          <t>https://fnet.bmfbovespa.com.br/fnet/publico/downloadDocumento?id=1048523</t>
        </is>
      </c>
      <c r="O511" s="75" t="inlineStr">
        <is>
          <t>. Os analistas utilizaram informações provenientes da(s) seguinte(s) fonte(s): Solfácil Energia (Originadora). 7. As informações obtidas pela Austin Rating foram consideradas suficientes p</t>
        </is>
      </c>
    </row>
    <row r="512" ht="43.5" customHeight="1">
      <c r="A512" s="142" t="n">
        <v>57028406000108</v>
      </c>
      <c r="B512" s="75" t="inlineStr">
        <is>
          <t>57.028.406/0001-08</t>
        </is>
      </c>
      <c r="C512" s="75" t="inlineStr">
        <is>
          <t>originador</t>
        </is>
      </c>
      <c r="D512" s="75" t="inlineStr">
        <is>
          <t>Solfácil Energia</t>
        </is>
      </c>
      <c r="E512" s="75" t="inlineStr">
        <is>
          <t>rótulo explícito de participante v2</t>
        </is>
      </c>
      <c r="F512" s="75" t="inlineStr">
        <is>
          <t>rating_report</t>
        </is>
      </c>
      <c r="G512" s="75" t="inlineStr">
        <is>
          <t>1048522</t>
        </is>
      </c>
      <c r="H512" s="75" t="inlineStr">
        <is>
          <t>Relatórios Relatório de Agência de Rating</t>
        </is>
      </c>
      <c r="I512" s="75" t="inlineStr">
        <is>
          <t>29/08/2025</t>
        </is>
      </c>
      <c r="J512" s="75" t="inlineStr">
        <is>
          <t>5</t>
        </is>
      </c>
      <c r="K512" s="75" t="inlineStr">
        <is>
          <t>encontrado_explicito</t>
        </is>
      </c>
      <c r="L512" s="144" t="n">
        <v>0.93</v>
      </c>
      <c r="M512" s="75" t="inlineStr">
        <is>
          <t>.cache/carteira_101_document_scan/57028406000108/1048522.json.gz</t>
        </is>
      </c>
      <c r="N512" s="75" t="inlineStr">
        <is>
          <t>https://fnet.bmfbovespa.com.br/fnet/publico/downloadDocumento?id=1048522</t>
        </is>
      </c>
      <c r="O512" s="75" t="inlineStr">
        <is>
          <t>. Os analistas utilizaram informações provenientes da(s) seguinte(s) fonte(s): Solfácil Energia (Originadora). 7. As informações obtidas pela Austin Rating foram consideradas suficientes p</t>
        </is>
      </c>
    </row>
    <row r="513" ht="43.5" customHeight="1">
      <c r="A513" s="142" t="n">
        <v>57028406000108</v>
      </c>
      <c r="B513" s="75" t="inlineStr">
        <is>
          <t>57.028.406/0001-08</t>
        </is>
      </c>
      <c r="C513" s="75" t="inlineStr">
        <is>
          <t>tipo_recebivel</t>
        </is>
      </c>
      <c r="D513" s="75" t="inlineStr">
        <is>
          <t>Direitos Creditórios performados oriundos de financiamento de instalação de placas solares</t>
        </is>
      </c>
      <c r="E513" s="75" t="inlineStr">
        <is>
          <t>N/D</t>
        </is>
      </c>
      <c r="F513" s="75" t="inlineStr">
        <is>
          <t>planilha_manual</t>
        </is>
      </c>
      <c r="G513" s="75" t="inlineStr">
        <is>
          <t>IMG_8706.JPG</t>
        </is>
      </c>
      <c r="H513" s="75" t="inlineStr">
        <is>
          <t>payload</t>
        </is>
      </c>
      <c r="I513" s="75" t="inlineStr">
        <is>
          <t>2026-05-21</t>
        </is>
      </c>
      <c r="J513" s="75" t="inlineStr">
        <is>
          <t>112</t>
        </is>
      </c>
      <c r="K513" s="75" t="inlineStr">
        <is>
          <t>aceito_payload</t>
        </is>
      </c>
      <c r="L513" s="144" t="n">
        <v>1</v>
      </c>
      <c r="M513" s="75" t="inlineStr">
        <is>
          <t>data/industry_study/generated_revision/artifact_payload.json</t>
        </is>
      </c>
      <c r="N513" s="75" t="inlineStr">
        <is>
          <t>N/D</t>
        </is>
      </c>
      <c r="O513" s="75" t="inlineStr">
        <is>
          <t>FIDC pulverizado para aquisição dos direitos creditórios descritos.</t>
        </is>
      </c>
    </row>
    <row r="514" ht="43.5" customHeight="1">
      <c r="A514" s="142" t="n">
        <v>57131490000182</v>
      </c>
      <c r="B514" s="75" t="inlineStr">
        <is>
          <t>57.131.490/0001-82</t>
        </is>
      </c>
      <c r="C514" s="75" t="inlineStr">
        <is>
          <t>cedente</t>
        </is>
      </c>
      <c r="D514" s="75" t="inlineStr">
        <is>
          <t>a Ponto Rural e as Empresas do Grupo Econômico da Ponto Rural, quando mencionadas em conjunto</t>
        </is>
      </c>
      <c r="E514" s="75" t="inlineStr">
        <is>
          <t>N/D</t>
        </is>
      </c>
      <c r="F514" s="75" t="inlineStr">
        <is>
          <t>regulamento</t>
        </is>
      </c>
      <c r="G514" s="75" t="inlineStr">
        <is>
          <t>995970</t>
        </is>
      </c>
      <c r="H514" s="75" t="inlineStr">
        <is>
          <t>Regulamento</t>
        </is>
      </c>
      <c r="I514" s="75" t="inlineStr">
        <is>
          <t>23/09/2025</t>
        </is>
      </c>
      <c r="J514" s="75" t="inlineStr">
        <is>
          <t>4</t>
        </is>
      </c>
      <c r="K514" s="75" t="inlineStr">
        <is>
          <t>encontrado_explicito</t>
        </is>
      </c>
      <c r="L514" s="144" t="n">
        <v>0.95</v>
      </c>
      <c r="M514" s="75" t="inlineStr">
        <is>
          <t>.cache/carteira_101_document_scan/57131490000182/995970.json.gz</t>
        </is>
      </c>
      <c r="N514" s="75" t="inlineStr">
        <is>
          <t>https://fnet.bmfbovespa.com.br/fnet/publico/downloadDocumento?id=995970</t>
        </is>
      </c>
      <c r="O514" s="75" t="inlineStr">
        <is>
          <t>ão da Assembleia de Cotistas. “Carteira” significa a carteira de investimentos da Classe, composta por Ativos. “Cedente” significa a Ponto Rural e as Empresas do Grupo Econômico da Ponto Rural, quando mencionadas em conjunto. “Classe” significa a CLASSE ÚNICA DO PONTO RURAL FIAGRO RESPONSABILIDADE LIMITADA , conforme características des</t>
        </is>
      </c>
    </row>
    <row r="515" ht="43.5" customHeight="1">
      <c r="A515" s="142" t="n">
        <v>57131490000182</v>
      </c>
      <c r="B515" s="75" t="inlineStr">
        <is>
          <t>57.131.490/0001-82</t>
        </is>
      </c>
      <c r="C515" s="75" t="inlineStr">
        <is>
          <t>cedente</t>
        </is>
      </c>
      <c r="D515" s="75" t="inlineStr">
        <is>
          <t>PONTO RURAL</t>
        </is>
      </c>
      <c r="E515" s="75" t="inlineStr">
        <is>
          <t>N/D</t>
        </is>
      </c>
      <c r="F515" s="75" t="inlineStr">
        <is>
          <t>planilha_manual</t>
        </is>
      </c>
      <c r="G515" s="75" t="inlineStr">
        <is>
          <t>IMG_8704.JPG</t>
        </is>
      </c>
      <c r="H515" s="75" t="inlineStr">
        <is>
          <t>payload</t>
        </is>
      </c>
      <c r="I515" s="75" t="inlineStr">
        <is>
          <t>2025-09-23</t>
        </is>
      </c>
      <c r="J515" s="75" t="inlineStr">
        <is>
          <t>39</t>
        </is>
      </c>
      <c r="K515" s="75" t="inlineStr">
        <is>
          <t>aceito_payload</t>
        </is>
      </c>
      <c r="L515" s="144" t="n">
        <v>1</v>
      </c>
      <c r="M515" s="75" t="inlineStr">
        <is>
          <t>data/industry_study/generated_revision/artifact_payload.json</t>
        </is>
      </c>
      <c r="N515" s="75" t="inlineStr">
        <is>
          <t>N/D</t>
        </is>
      </c>
      <c r="O515" s="75" t="inlineStr">
        <is>
          <t>N/D</t>
        </is>
      </c>
    </row>
    <row r="516" ht="43.5" customHeight="1">
      <c r="A516" s="142" t="n">
        <v>57131490000182</v>
      </c>
      <c r="B516" s="75" t="inlineStr">
        <is>
          <t>57.131.490/0001-82</t>
        </is>
      </c>
      <c r="C516" s="75" t="inlineStr">
        <is>
          <t>minimo_estrutural_total</t>
        </is>
      </c>
      <c r="D516" s="75" t="inlineStr">
        <is>
          <t>50%</t>
        </is>
      </c>
      <c r="E516" s="75" t="inlineStr">
        <is>
          <t>suporte_total_pl</t>
        </is>
      </c>
      <c r="F516" s="75" t="inlineStr">
        <is>
          <t>payload_documental</t>
        </is>
      </c>
      <c r="G516" s="75" t="inlineStr">
        <is>
          <t>995970</t>
        </is>
      </c>
      <c r="H516" s="75" t="inlineStr">
        <is>
          <t>documento_curado</t>
        </is>
      </c>
      <c r="I516" s="75" t="inlineStr">
        <is>
          <t>2025-09-23</t>
        </is>
      </c>
      <c r="J516" s="75" t="inlineStr">
        <is>
          <t>39</t>
        </is>
      </c>
      <c r="K516" s="75" t="inlineStr">
        <is>
          <t>aceito_payload</t>
        </is>
      </c>
      <c r="L516" s="144" t="n">
        <v>1</v>
      </c>
      <c r="M516" s="75" t="inlineStr">
        <is>
          <t>data/industry_study/generated_revision/artifact_payload.json</t>
        </is>
      </c>
      <c r="N516" s="75" t="inlineStr">
        <is>
          <t>https://fnet.bmfbovespa.com.br/fnet/publico/downloadDocumento?id=995970</t>
        </is>
      </c>
      <c r="O516" s="75" t="inlineStr">
        <is>
          <t>N/D</t>
        </is>
      </c>
    </row>
    <row r="517" ht="43.5" customHeight="1">
      <c r="A517" s="142" t="n">
        <v>57131490000182</v>
      </c>
      <c r="B517" s="75" t="inlineStr">
        <is>
          <t>57.131.490/0001-82</t>
        </is>
      </c>
      <c r="C517" s="75" t="inlineStr">
        <is>
          <t>natureza_indice</t>
        </is>
      </c>
      <c r="D517" s="75" t="inlineStr">
        <is>
          <t>suporte_total_pl</t>
        </is>
      </c>
      <c r="E517" s="75" t="inlineStr">
        <is>
          <t>suporte_total_pl</t>
        </is>
      </c>
      <c r="F517" s="75" t="inlineStr">
        <is>
          <t>payload_documental</t>
        </is>
      </c>
      <c r="G517" s="75" t="inlineStr">
        <is>
          <t>995970</t>
        </is>
      </c>
      <c r="H517" s="75" t="inlineStr">
        <is>
          <t>documento_curado</t>
        </is>
      </c>
      <c r="I517" s="75" t="inlineStr">
        <is>
          <t>2025-09-23</t>
        </is>
      </c>
      <c r="J517" s="75" t="inlineStr">
        <is>
          <t>39</t>
        </is>
      </c>
      <c r="K517" s="75" t="inlineStr">
        <is>
          <t>aceito_payload</t>
        </is>
      </c>
      <c r="L517" s="144" t="n">
        <v>1</v>
      </c>
      <c r="M517" s="75" t="inlineStr">
        <is>
          <t>data/industry_study/generated_revision/artifact_payload.json</t>
        </is>
      </c>
      <c r="N517" s="75" t="inlineStr">
        <is>
          <t>https://fnet.bmfbovespa.com.br/fnet/publico/downloadDocumento?id=995970</t>
        </is>
      </c>
      <c r="O517" s="75" t="inlineStr">
        <is>
          <t>N/D</t>
        </is>
      </c>
    </row>
    <row r="518" ht="43.5" customHeight="1">
      <c r="A518" s="142" t="n">
        <v>57131490000182</v>
      </c>
      <c r="B518" s="75" t="inlineStr">
        <is>
          <t>57.131.490/0001-82</t>
        </is>
      </c>
      <c r="C518" s="75" t="inlineStr">
        <is>
          <t>sacado_devedor</t>
        </is>
      </c>
      <c r="D518" s="75" t="inlineStr">
        <is>
          <t>os devedores dos Direitos Creditórios , os quais são clientes de uma das Cedentes</t>
        </is>
      </c>
      <c r="E518" s="75" t="inlineStr">
        <is>
          <t>N/D</t>
        </is>
      </c>
      <c r="F518" s="75" t="inlineStr">
        <is>
          <t>regulamento</t>
        </is>
      </c>
      <c r="G518" s="75" t="inlineStr">
        <is>
          <t>995970</t>
        </is>
      </c>
      <c r="H518" s="75" t="inlineStr">
        <is>
          <t>Regulamento</t>
        </is>
      </c>
      <c r="I518" s="75" t="inlineStr">
        <is>
          <t>23/09/2025</t>
        </is>
      </c>
      <c r="J518" s="75" t="inlineStr">
        <is>
          <t>6</t>
        </is>
      </c>
      <c r="K518" s="75" t="inlineStr">
        <is>
          <t>encontrado_explicito</t>
        </is>
      </c>
      <c r="L518" s="144" t="n">
        <v>0.95</v>
      </c>
      <c r="M518" s="75" t="inlineStr">
        <is>
          <t>.cache/carteira_101_document_scan/57131490000182/995970.json.gz</t>
        </is>
      </c>
      <c r="N518" s="75" t="inlineStr">
        <is>
          <t>https://fnet.bmfbovespa.com.br/fnet/publico/downloadDocumento?id=995970</t>
        </is>
      </c>
      <c r="O518" s="75" t="inlineStr">
        <is>
          <t>o” significa cada data de verificação dos Índices de Monitoramento, qual seja, 5º (quinto) Dia Útil de cada mês. “Devedores” significa os devedores dos Direitos Creditórios , os quais são clientes de uma das Cedentes. “Dia Útil” significa qualquer dia da semana, exceto sábados, domingos e feriados declarados nacionais ou dias em</t>
        </is>
      </c>
    </row>
    <row r="519" ht="43.5" customHeight="1">
      <c r="A519" s="142" t="n">
        <v>57131490000182</v>
      </c>
      <c r="B519" s="75" t="inlineStr">
        <is>
          <t>57.131.490/0001-82</t>
        </is>
      </c>
      <c r="C519" s="75" t="inlineStr">
        <is>
          <t>tipo_recebivel</t>
        </is>
      </c>
      <c r="D519" s="75" t="inlineStr">
        <is>
          <t>Insumos Agrícolas - prazo Safra</t>
        </is>
      </c>
      <c r="E519" s="75" t="inlineStr">
        <is>
          <t>N/D</t>
        </is>
      </c>
      <c r="F519" s="75" t="inlineStr">
        <is>
          <t>planilha_manual</t>
        </is>
      </c>
      <c r="G519" s="75" t="inlineStr">
        <is>
          <t>IMG_8704.JPG</t>
        </is>
      </c>
      <c r="H519" s="75" t="inlineStr">
        <is>
          <t>payload</t>
        </is>
      </c>
      <c r="I519" s="75" t="inlineStr">
        <is>
          <t>2025-09-23</t>
        </is>
      </c>
      <c r="J519" s="75" t="inlineStr">
        <is>
          <t>39</t>
        </is>
      </c>
      <c r="K519" s="75" t="inlineStr">
        <is>
          <t>aceito_payload</t>
        </is>
      </c>
      <c r="L519" s="144" t="n">
        <v>1</v>
      </c>
      <c r="M519" s="75" t="inlineStr">
        <is>
          <t>data/industry_study/generated_revision/artifact_payload.json</t>
        </is>
      </c>
      <c r="N519" s="75" t="inlineStr">
        <is>
          <t>N/D</t>
        </is>
      </c>
      <c r="O519" s="75" t="inlineStr">
        <is>
          <t>N/D</t>
        </is>
      </c>
    </row>
    <row r="520" ht="43.5" customHeight="1">
      <c r="A520" s="142" t="n">
        <v>57259989000170</v>
      </c>
      <c r="B520" s="75" t="inlineStr">
        <is>
          <t>57.259.989/0001-70</t>
        </is>
      </c>
      <c r="C520" s="75" t="inlineStr">
        <is>
          <t>cedente</t>
        </is>
      </c>
      <c r="D520" s="75" t="inlineStr">
        <is>
          <t>Tres Tentos</t>
        </is>
      </c>
      <c r="E520" s="75" t="inlineStr">
        <is>
          <t>N/D</t>
        </is>
      </c>
      <c r="F520" s="75" t="inlineStr">
        <is>
          <t>planilha_manual</t>
        </is>
      </c>
      <c r="G520" s="75" t="inlineStr">
        <is>
          <t>IMG_8706.JPG</t>
        </is>
      </c>
      <c r="H520" s="75" t="inlineStr">
        <is>
          <t>payload</t>
        </is>
      </c>
      <c r="I520" s="75" t="inlineStr">
        <is>
          <t>2025-10-16</t>
        </is>
      </c>
      <c r="J520" s="75" t="inlineStr">
        <is>
          <t>104</t>
        </is>
      </c>
      <c r="K520" s="75" t="inlineStr">
        <is>
          <t>aceito_payload</t>
        </is>
      </c>
      <c r="L520" s="144" t="n">
        <v>1</v>
      </c>
      <c r="M520" s="75" t="inlineStr">
        <is>
          <t>data/industry_study/generated_revision/artifact_payload.json</t>
        </is>
      </c>
      <c r="N520" s="75" t="inlineStr">
        <is>
          <t>N/D</t>
        </is>
      </c>
      <c r="O520" s="75" t="inlineStr">
        <is>
          <t>Denominação cortada pela largura da coluna na foto.</t>
        </is>
      </c>
    </row>
    <row r="521" ht="43.5" customHeight="1">
      <c r="A521" s="142" t="n">
        <v>57259989000170</v>
      </c>
      <c r="B521" s="75" t="inlineStr">
        <is>
          <t>57.259.989/0001-70</t>
        </is>
      </c>
      <c r="C521" s="75" t="inlineStr">
        <is>
          <t>minimo_estrutural_total</t>
        </is>
      </c>
      <c r="D521" s="75" t="inlineStr">
        <is>
          <t>20%</t>
        </is>
      </c>
      <c r="E521" s="75" t="inlineStr">
        <is>
          <t>suporte_total_pl</t>
        </is>
      </c>
      <c r="F521" s="75" t="inlineStr">
        <is>
          <t>payload_documental</t>
        </is>
      </c>
      <c r="G521" s="75" t="inlineStr">
        <is>
          <t>1016583</t>
        </is>
      </c>
      <c r="H521" s="75" t="inlineStr">
        <is>
          <t>documento_curado</t>
        </is>
      </c>
      <c r="I521" s="75" t="inlineStr">
        <is>
          <t>2025-10-16</t>
        </is>
      </c>
      <c r="J521" s="75" t="inlineStr">
        <is>
          <t>104</t>
        </is>
      </c>
      <c r="K521" s="75" t="inlineStr">
        <is>
          <t>aceito_payload</t>
        </is>
      </c>
      <c r="L521" s="144" t="n">
        <v>1</v>
      </c>
      <c r="M521" s="75" t="inlineStr">
        <is>
          <t>data/industry_study/generated_revision/artifact_payload.json</t>
        </is>
      </c>
      <c r="N521" s="75" t="inlineStr">
        <is>
          <t>https://fnet.bmfbovespa.com.br/fnet/publico/downloadDocumento?id=1016583</t>
        </is>
      </c>
      <c r="O521" s="75" t="inlineStr">
        <is>
          <t>N/D</t>
        </is>
      </c>
    </row>
    <row r="522" ht="43.5" customHeight="1">
      <c r="A522" s="142" t="n">
        <v>57259989000170</v>
      </c>
      <c r="B522" s="75" t="inlineStr">
        <is>
          <t>57.259.989/0001-70</t>
        </is>
      </c>
      <c r="C522" s="75" t="inlineStr">
        <is>
          <t>natureza_indice</t>
        </is>
      </c>
      <c r="D522" s="75" t="inlineStr">
        <is>
          <t>suporte_total_pl</t>
        </is>
      </c>
      <c r="E522" s="75" t="inlineStr">
        <is>
          <t>suporte_total_pl</t>
        </is>
      </c>
      <c r="F522" s="75" t="inlineStr">
        <is>
          <t>payload_documental</t>
        </is>
      </c>
      <c r="G522" s="75" t="inlineStr">
        <is>
          <t>1016583</t>
        </is>
      </c>
      <c r="H522" s="75" t="inlineStr">
        <is>
          <t>documento_curado</t>
        </is>
      </c>
      <c r="I522" s="75" t="inlineStr">
        <is>
          <t>2025-10-16</t>
        </is>
      </c>
      <c r="J522" s="75" t="inlineStr">
        <is>
          <t>104</t>
        </is>
      </c>
      <c r="K522" s="75" t="inlineStr">
        <is>
          <t>aceito_payload</t>
        </is>
      </c>
      <c r="L522" s="144" t="n">
        <v>1</v>
      </c>
      <c r="M522" s="75" t="inlineStr">
        <is>
          <t>data/industry_study/generated_revision/artifact_payload.json</t>
        </is>
      </c>
      <c r="N522" s="75" t="inlineStr">
        <is>
          <t>https://fnet.bmfbovespa.com.br/fnet/publico/downloadDocumento?id=1016583</t>
        </is>
      </c>
      <c r="O522" s="75" t="inlineStr">
        <is>
          <t>N/D</t>
        </is>
      </c>
    </row>
    <row r="523" ht="43.5" customHeight="1">
      <c r="A523" s="142" t="n">
        <v>57259989000170</v>
      </c>
      <c r="B523" s="75" t="inlineStr">
        <is>
          <t>57.259.989/0001-70</t>
        </is>
      </c>
      <c r="C523" s="75" t="inlineStr">
        <is>
          <t>sacado_devedor</t>
        </is>
      </c>
      <c r="D523" s="75" t="inlineStr">
        <is>
          <t>qualquer cliente das Cedentes, atuantes no segmento</t>
        </is>
      </c>
      <c r="E523" s="75" t="inlineStr">
        <is>
          <t>N/D</t>
        </is>
      </c>
      <c r="F523" s="75" t="inlineStr">
        <is>
          <t>regulamento</t>
        </is>
      </c>
      <c r="G523" s="75" t="inlineStr">
        <is>
          <t>1016583</t>
        </is>
      </c>
      <c r="H523" s="75" t="inlineStr">
        <is>
          <t>regulamento</t>
        </is>
      </c>
      <c r="I523" s="75" t="inlineStr">
        <is>
          <t>2025-10-16</t>
        </is>
      </c>
      <c r="J523" s="75" t="inlineStr">
        <is>
          <t>55</t>
        </is>
      </c>
      <c r="K523" s="75" t="inlineStr">
        <is>
          <t>encontrado_explicito</t>
        </is>
      </c>
      <c r="L523" s="144" t="n">
        <v>0.95</v>
      </c>
      <c r="M523" s="75" t="inlineStr">
        <is>
          <t>data/raw/57259989000170/1016583_regulamento_regulamento_1016583_2025-10-16_2025-10-16.pdf</t>
        </is>
      </c>
      <c r="N523" s="75" t="inlineStr">
        <is>
          <t>https://fnet.bmfbovespa.com.br/fnet/publico/downloadDocumento?id=1016583</t>
        </is>
      </c>
      <c r="O523" s="75" t="inlineStr">
        <is>
          <t>encargos e despesas exclusivos da Classe Única estimados pelo Administrador a serem incorridos periodicamente. “Devedores” Significa qualquer cliente das Cedentes, atuantes no segmento - 11 - do agronegócio, cujos Direitos Creditórios venham a ser cedidos ao Fundo, observadas as característic</t>
        </is>
      </c>
    </row>
    <row r="524" ht="43.5" customHeight="1">
      <c r="A524" s="142" t="n">
        <v>57259989000170</v>
      </c>
      <c r="B524" s="75" t="inlineStr">
        <is>
          <t>57.259.989/0001-70</t>
        </is>
      </c>
      <c r="C524" s="75" t="inlineStr">
        <is>
          <t>sacado_devedor</t>
        </is>
      </c>
      <c r="D524" s="75" t="inlineStr">
        <is>
          <t>02.150.453/0001-20</t>
        </is>
      </c>
      <c r="E524" s="75" t="inlineStr">
        <is>
          <t>N/D</t>
        </is>
      </c>
      <c r="F524" s="75" t="inlineStr">
        <is>
          <t>candidate_extraction</t>
        </is>
      </c>
      <c r="G524" s="75" t="inlineStr">
        <is>
          <t>57259989000170</t>
        </is>
      </c>
      <c r="H524" s="75" t="inlineStr">
        <is>
          <t>extração heurística</t>
        </is>
      </c>
      <c r="I524" s="75" t="inlineStr">
        <is>
          <t>N/D</t>
        </is>
      </c>
      <c r="J524" s="75" t="inlineStr">
        <is>
          <t>N/D</t>
        </is>
      </c>
      <c r="K524" s="75" t="inlineStr">
        <is>
          <t>candidato_revisao</t>
        </is>
      </c>
      <c r="L524" s="144" t="n">
        <v>0.95</v>
      </c>
      <c r="M524" s="75" t="inlineStr">
        <is>
          <t>outputs/fidc_director_deep_diagnostic_20260609/pdf_text_cache/57259989000170_1016583_regulamento_regulamento_1016583_2025-10-16_2025-10-16.txt</t>
        </is>
      </c>
      <c r="N524" s="75" t="inlineStr">
        <is>
          <t>https://fnet.bmfbovespa.com.br/fnet/publico/downloadDocumento?id=57259989000170</t>
        </is>
      </c>
      <c r="O524" s="75" t="inlineStr">
        <is>
          <t>ita no CNPJ sob o nº 02.150.453/0001-20. “Alienação por Portabilidade” Significa, observadas as disposições do Contrato de Cessão, a possibilidade de pagamento, total ou parcial, dos Direitos Creditórios pelas Cedentes, em nome dos devedores, a qualquer tempo, desde que observado o Índice de Recompra e de Alienação por Portabilidade. “Anexo” Significa qualquer anexo a este Regulamento, os quais constituem parte integrante e in</t>
        </is>
      </c>
    </row>
    <row r="525" ht="43.5" customHeight="1">
      <c r="A525" s="142" t="n">
        <v>57259989000170</v>
      </c>
      <c r="B525" s="75" t="inlineStr">
        <is>
          <t>57.259.989/0001-70</t>
        </is>
      </c>
      <c r="C525" s="75" t="inlineStr">
        <is>
          <t>tipo_recebivel</t>
        </is>
      </c>
      <c r="D525" s="75" t="inlineStr">
        <is>
          <t>os direitos creditórios originados pelas Cedentes, representados pelos Documentos Comprobatórios, detidos pelas Cedentes contra os Devedores, os quais incluem os Direitos Creditórios CPR</t>
        </is>
      </c>
      <c r="E525" s="75" t="inlineStr">
        <is>
          <t>N/D</t>
        </is>
      </c>
      <c r="F525" s="75" t="inlineStr">
        <is>
          <t>regulamento</t>
        </is>
      </c>
      <c r="G525" s="75" t="inlineStr">
        <is>
          <t>1016583</t>
        </is>
      </c>
      <c r="H525" s="75" t="inlineStr">
        <is>
          <t>regulamento</t>
        </is>
      </c>
      <c r="I525" s="75" t="inlineStr">
        <is>
          <t>2025-10-16</t>
        </is>
      </c>
      <c r="J525" s="75" t="inlineStr">
        <is>
          <t>56</t>
        </is>
      </c>
      <c r="K525" s="75" t="inlineStr">
        <is>
          <t>encontrado_explicito</t>
        </is>
      </c>
      <c r="L525" s="144" t="n">
        <v>0.92</v>
      </c>
      <c r="M525" s="75" t="inlineStr">
        <is>
          <t>data/raw/57259989000170/1016583_regulamento_regulamento_1016583_2025-10-16_2025-10-16.pdf</t>
        </is>
      </c>
      <c r="N525" s="75" t="inlineStr">
        <is>
          <t>https://fnet.bmfbovespa.com.br/fnet/publico/downloadDocumento?id=1016583</t>
        </is>
      </c>
      <c r="O525" s="75" t="inlineStr">
        <is>
          <t>exo Descritivo, e que estejam de acordo com a Política de Crédito e Originação das Cedentes. “Direitos Creditórios” Significam os direitos creditórios originados pelas Cedentes, representados pelos Documentos Comprobatórios, detidos pelas Cedentes contra os Devedores, os quais incluem os Direitos Creditórios CPR. “Direitos Creditórios Cedidos” Significam os Direitos Creditórios Elegíveis adquiridos pe</t>
        </is>
      </c>
    </row>
    <row r="526" ht="43.5" customHeight="1">
      <c r="A526" s="142" t="n">
        <v>57259989000170</v>
      </c>
      <c r="B526" s="75" t="inlineStr">
        <is>
          <t>57.259.989/0001-70</t>
        </is>
      </c>
      <c r="C526" s="75" t="inlineStr">
        <is>
          <t>tipo_recebivel</t>
        </is>
      </c>
      <c r="D526" s="75" t="inlineStr">
        <is>
          <t>Insumos Agrícolas - prazo Safra</t>
        </is>
      </c>
      <c r="E526" s="75" t="inlineStr">
        <is>
          <t>N/D</t>
        </is>
      </c>
      <c r="F526" s="75" t="inlineStr">
        <is>
          <t>planilha_manual</t>
        </is>
      </c>
      <c r="G526" s="75" t="inlineStr">
        <is>
          <t>IMG_8706.JPG</t>
        </is>
      </c>
      <c r="H526" s="75" t="inlineStr">
        <is>
          <t>payload</t>
        </is>
      </c>
      <c r="I526" s="75" t="inlineStr">
        <is>
          <t>2025-10-16</t>
        </is>
      </c>
      <c r="J526" s="75" t="inlineStr">
        <is>
          <t>104</t>
        </is>
      </c>
      <c r="K526" s="75" t="inlineStr">
        <is>
          <t>aceito_payload</t>
        </is>
      </c>
      <c r="L526" s="144" t="n">
        <v>1</v>
      </c>
      <c r="M526" s="75" t="inlineStr">
        <is>
          <t>data/industry_study/generated_revision/artifact_payload.json</t>
        </is>
      </c>
      <c r="N526" s="75" t="inlineStr">
        <is>
          <t>N/D</t>
        </is>
      </c>
      <c r="O526" s="75" t="inlineStr">
        <is>
          <t>Denominação cortada pela largura da coluna na foto.</t>
        </is>
      </c>
    </row>
    <row r="527" ht="43.5" customHeight="1">
      <c r="A527" s="142" t="n">
        <v>57270666000187</v>
      </c>
      <c r="B527" s="75" t="inlineStr">
        <is>
          <t>57.270.666/0001-87</t>
        </is>
      </c>
      <c r="C527" s="75" t="inlineStr">
        <is>
          <t>minimo_junior</t>
        </is>
      </c>
      <c r="D527" s="75" t="inlineStr">
        <is>
          <t>10%</t>
        </is>
      </c>
      <c r="E527" s="75" t="inlineStr">
        <is>
          <t>junior_pl</t>
        </is>
      </c>
      <c r="F527" s="75" t="inlineStr">
        <is>
          <t>payload_documental</t>
        </is>
      </c>
      <c r="G527" s="75" t="inlineStr">
        <is>
          <t>769277</t>
        </is>
      </c>
      <c r="H527" s="75" t="inlineStr">
        <is>
          <t>documento_curado</t>
        </is>
      </c>
      <c r="I527" s="75" t="inlineStr">
        <is>
          <t>2024-10-31</t>
        </is>
      </c>
      <c r="J527" s="75" t="inlineStr">
        <is>
          <t>49</t>
        </is>
      </c>
      <c r="K527" s="75" t="inlineStr">
        <is>
          <t>aceito_payload</t>
        </is>
      </c>
      <c r="L527" s="144" t="n">
        <v>1</v>
      </c>
      <c r="M527" s="75" t="inlineStr">
        <is>
          <t>data/industry_study/generated_revision/artifact_payload.json</t>
        </is>
      </c>
      <c r="N527" s="75" t="inlineStr">
        <is>
          <t>https://fnet.bmfbovespa.com.br/fnet/publico/downloadDocumento?id=769277</t>
        </is>
      </c>
      <c r="O527" s="75" t="inlineStr">
        <is>
          <t>Cotas subordinadas júnior / PL, mínimo de 10,0%.</t>
        </is>
      </c>
    </row>
    <row r="528" ht="43.5" customHeight="1">
      <c r="A528" s="142" t="n">
        <v>57270666000187</v>
      </c>
      <c r="B528" s="75" t="inlineStr">
        <is>
          <t>57.270.666/0001-87</t>
        </is>
      </c>
      <c r="C528" s="75" t="inlineStr">
        <is>
          <t>natureza_indice</t>
        </is>
      </c>
      <c r="D528" s="75" t="inlineStr">
        <is>
          <t>junior_pl</t>
        </is>
      </c>
      <c r="E528" s="75" t="inlineStr">
        <is>
          <t>junior_pl</t>
        </is>
      </c>
      <c r="F528" s="75" t="inlineStr">
        <is>
          <t>payload_documental</t>
        </is>
      </c>
      <c r="G528" s="75" t="inlineStr">
        <is>
          <t>769277</t>
        </is>
      </c>
      <c r="H528" s="75" t="inlineStr">
        <is>
          <t>documento_curado</t>
        </is>
      </c>
      <c r="I528" s="75" t="inlineStr">
        <is>
          <t>2024-10-31</t>
        </is>
      </c>
      <c r="J528" s="75" t="inlineStr">
        <is>
          <t>49</t>
        </is>
      </c>
      <c r="K528" s="75" t="inlineStr">
        <is>
          <t>aceito_payload</t>
        </is>
      </c>
      <c r="L528" s="144" t="n">
        <v>1</v>
      </c>
      <c r="M528" s="75" t="inlineStr">
        <is>
          <t>data/industry_study/generated_revision/artifact_payload.json</t>
        </is>
      </c>
      <c r="N528" s="75" t="inlineStr">
        <is>
          <t>https://fnet.bmfbovespa.com.br/fnet/publico/downloadDocumento?id=769277</t>
        </is>
      </c>
      <c r="O528" s="75" t="inlineStr">
        <is>
          <t>Cotas subordinadas júnior / PL, mínimo de 10,0%.</t>
        </is>
      </c>
    </row>
    <row r="529" ht="43.5" customHeight="1">
      <c r="A529" s="142" t="n">
        <v>57270666000187</v>
      </c>
      <c r="B529" s="75" t="inlineStr">
        <is>
          <t>57.270.666/0001-87</t>
        </is>
      </c>
      <c r="C529" s="75" t="inlineStr">
        <is>
          <t>tipo_recebivel</t>
        </is>
      </c>
      <c r="D529" s="75" t="inlineStr">
        <is>
          <t>Direitos Creditórios performados; REDE como adquirente</t>
        </is>
      </c>
      <c r="E529" s="75" t="inlineStr">
        <is>
          <t>N/D</t>
        </is>
      </c>
      <c r="F529" s="75" t="inlineStr">
        <is>
          <t>planilha_manual</t>
        </is>
      </c>
      <c r="G529" s="75" t="inlineStr">
        <is>
          <t>IMG_8705.JPG</t>
        </is>
      </c>
      <c r="H529" s="75" t="inlineStr">
        <is>
          <t>payload</t>
        </is>
      </c>
      <c r="I529" s="75" t="inlineStr">
        <is>
          <t>2024-10-31</t>
        </is>
      </c>
      <c r="J529" s="75" t="inlineStr">
        <is>
          <t>49</t>
        </is>
      </c>
      <c r="K529" s="75" t="inlineStr">
        <is>
          <t>aceito_payload</t>
        </is>
      </c>
      <c r="L529" s="144" t="n">
        <v>1</v>
      </c>
      <c r="M529" s="75" t="inlineStr">
        <is>
          <t>data/industry_study/generated_revision/artifact_payload.json</t>
        </is>
      </c>
      <c r="N529" s="75" t="inlineStr">
        <is>
          <t>N/D</t>
        </is>
      </c>
      <c r="O529" s="75" t="inlineStr">
        <is>
          <t>Campo Cedente do Direito Creditório vazio na foto.</t>
        </is>
      </c>
    </row>
    <row r="530" ht="43.5" customHeight="1">
      <c r="A530" s="142" t="n">
        <v>57752597000148</v>
      </c>
      <c r="B530" s="75" t="inlineStr">
        <is>
          <t>57.752.597/0001-48</t>
        </is>
      </c>
      <c r="C530" s="75" t="inlineStr">
        <is>
          <t>cedente</t>
        </is>
      </c>
      <c r="D530" s="75" t="inlineStr">
        <is>
          <t>AGROMERCANTIL</t>
        </is>
      </c>
      <c r="E530" s="75" t="inlineStr">
        <is>
          <t>N/D</t>
        </is>
      </c>
      <c r="F530" s="75" t="inlineStr">
        <is>
          <t>planilha_manual</t>
        </is>
      </c>
      <c r="G530" s="75" t="inlineStr">
        <is>
          <t>IMG_8706.JPG</t>
        </is>
      </c>
      <c r="H530" s="75" t="inlineStr">
        <is>
          <t>payload</t>
        </is>
      </c>
      <c r="I530" s="75" t="inlineStr">
        <is>
          <t>2026-05-21</t>
        </is>
      </c>
      <c r="J530" s="75" t="inlineStr">
        <is>
          <t>44</t>
        </is>
      </c>
      <c r="K530" s="75" t="inlineStr">
        <is>
          <t>aceito_payload</t>
        </is>
      </c>
      <c r="L530" s="144" t="n">
        <v>1</v>
      </c>
      <c r="M530" s="75" t="inlineStr">
        <is>
          <t>data/industry_study/generated_revision/artifact_payload.json</t>
        </is>
      </c>
      <c r="N530" s="75" t="inlineStr">
        <is>
          <t>N/D</t>
        </is>
      </c>
      <c r="O530" s="75" t="inlineStr">
        <is>
          <t>Denominação cortada pela largura da coluna na foto.</t>
        </is>
      </c>
    </row>
    <row r="531" ht="43.5" customHeight="1">
      <c r="A531" s="142" t="n">
        <v>57752597000148</v>
      </c>
      <c r="B531" s="75" t="inlineStr">
        <is>
          <t>57.752.597/0001-48</t>
        </is>
      </c>
      <c r="C531" s="75" t="inlineStr">
        <is>
          <t>minimo_junior</t>
        </is>
      </c>
      <c r="D531" s="75" t="inlineStr">
        <is>
          <t>30%</t>
        </is>
      </c>
      <c r="E531" s="75" t="inlineStr">
        <is>
          <t>junior_pl</t>
        </is>
      </c>
      <c r="F531" s="75" t="inlineStr">
        <is>
          <t>payload_documental</t>
        </is>
      </c>
      <c r="G531" s="75" t="inlineStr">
        <is>
          <t>1200681</t>
        </is>
      </c>
      <c r="H531" s="75" t="inlineStr">
        <is>
          <t>documento_curado</t>
        </is>
      </c>
      <c r="I531" s="75" t="inlineStr">
        <is>
          <t>2026-05-21</t>
        </is>
      </c>
      <c r="J531" s="75" t="inlineStr">
        <is>
          <t>44</t>
        </is>
      </c>
      <c r="K531" s="75" t="inlineStr">
        <is>
          <t>aceito_payload</t>
        </is>
      </c>
      <c r="L531" s="144" t="n">
        <v>1</v>
      </c>
      <c r="M531" s="75" t="inlineStr">
        <is>
          <t>data/industry_study/generated_revision/artifact_payload.json</t>
        </is>
      </c>
      <c r="N531" s="75" t="inlineStr">
        <is>
          <t>https://fnet.bmfbovespa.com.br/fnet/publico/downloadDocumento?id=1200681</t>
        </is>
      </c>
      <c r="O531" s="75" t="inlineStr">
        <is>
          <t>Totalidade das cotas subordinadas júnior / PL, mínimo de 30,0%.</t>
        </is>
      </c>
    </row>
    <row r="532" ht="43.5" customHeight="1">
      <c r="A532" s="142" t="n">
        <v>57752597000148</v>
      </c>
      <c r="B532" s="75" t="inlineStr">
        <is>
          <t>57.752.597/0001-48</t>
        </is>
      </c>
      <c r="C532" s="75" t="inlineStr">
        <is>
          <t>natureza_indice</t>
        </is>
      </c>
      <c r="D532" s="75" t="inlineStr">
        <is>
          <t>junior_pl</t>
        </is>
      </c>
      <c r="E532" s="75" t="inlineStr">
        <is>
          <t>junior_pl</t>
        </is>
      </c>
      <c r="F532" s="75" t="inlineStr">
        <is>
          <t>payload_documental</t>
        </is>
      </c>
      <c r="G532" s="75" t="inlineStr">
        <is>
          <t>1200681</t>
        </is>
      </c>
      <c r="H532" s="75" t="inlineStr">
        <is>
          <t>documento_curado</t>
        </is>
      </c>
      <c r="I532" s="75" t="inlineStr">
        <is>
          <t>2026-05-21</t>
        </is>
      </c>
      <c r="J532" s="75" t="inlineStr">
        <is>
          <t>44</t>
        </is>
      </c>
      <c r="K532" s="75" t="inlineStr">
        <is>
          <t>aceito_payload</t>
        </is>
      </c>
      <c r="L532" s="144" t="n">
        <v>1</v>
      </c>
      <c r="M532" s="75" t="inlineStr">
        <is>
          <t>data/industry_study/generated_revision/artifact_payload.json</t>
        </is>
      </c>
      <c r="N532" s="75" t="inlineStr">
        <is>
          <t>https://fnet.bmfbovespa.com.br/fnet/publico/downloadDocumento?id=1200681</t>
        </is>
      </c>
      <c r="O532" s="75" t="inlineStr">
        <is>
          <t>Totalidade das cotas subordinadas júnior / PL, mínimo de 30,0%.</t>
        </is>
      </c>
    </row>
    <row r="533" ht="43.5" customHeight="1">
      <c r="A533" s="142" t="n">
        <v>57752597000148</v>
      </c>
      <c r="B533" s="75" t="inlineStr">
        <is>
          <t>57.752.597/0001-48</t>
        </is>
      </c>
      <c r="C533" s="75" t="inlineStr">
        <is>
          <t>tipo_recebivel</t>
        </is>
      </c>
      <c r="D533" s="75" t="inlineStr">
        <is>
          <t>Comercializadora de grãos</t>
        </is>
      </c>
      <c r="E533" s="75" t="inlineStr">
        <is>
          <t>N/D</t>
        </is>
      </c>
      <c r="F533" s="75" t="inlineStr">
        <is>
          <t>planilha_manual</t>
        </is>
      </c>
      <c r="G533" s="75" t="inlineStr">
        <is>
          <t>IMG_8706.JPG</t>
        </is>
      </c>
      <c r="H533" s="75" t="inlineStr">
        <is>
          <t>payload</t>
        </is>
      </c>
      <c r="I533" s="75" t="inlineStr">
        <is>
          <t>2026-05-21</t>
        </is>
      </c>
      <c r="J533" s="75" t="inlineStr">
        <is>
          <t>44</t>
        </is>
      </c>
      <c r="K533" s="75" t="inlineStr">
        <is>
          <t>aceito_payload</t>
        </is>
      </c>
      <c r="L533" s="144" t="n">
        <v>1</v>
      </c>
      <c r="M533" s="75" t="inlineStr">
        <is>
          <t>data/industry_study/generated_revision/artifact_payload.json</t>
        </is>
      </c>
      <c r="N533" s="75" t="inlineStr">
        <is>
          <t>N/D</t>
        </is>
      </c>
      <c r="O533" s="75" t="inlineStr">
        <is>
          <t>Denominação cortada pela largura da coluna na foto.</t>
        </is>
      </c>
    </row>
    <row r="534" ht="43.5" customHeight="1">
      <c r="A534" s="142" t="n">
        <v>57816252000100</v>
      </c>
      <c r="B534" s="75" t="inlineStr">
        <is>
          <t>57.816.252/0001-00</t>
        </is>
      </c>
      <c r="C534" s="75" t="inlineStr">
        <is>
          <t>cedente</t>
        </is>
      </c>
      <c r="D534" s="75" t="inlineStr">
        <is>
          <t>Natura &amp;CO Pay Sociedade de Crédito Direto S.A.</t>
        </is>
      </c>
      <c r="E534" s="75" t="inlineStr">
        <is>
          <t>N/D</t>
        </is>
      </c>
      <c r="F534" s="75" t="inlineStr">
        <is>
          <t>planilha_manual</t>
        </is>
      </c>
      <c r="G534" s="75" t="inlineStr">
        <is>
          <t>IMG_8706.JPG</t>
        </is>
      </c>
      <c r="H534" s="75" t="inlineStr">
        <is>
          <t>payload</t>
        </is>
      </c>
      <c r="I534" s="75" t="inlineStr">
        <is>
          <t>2026-05-07</t>
        </is>
      </c>
      <c r="J534" s="75" t="inlineStr">
        <is>
          <t>28; 68</t>
        </is>
      </c>
      <c r="K534" s="75" t="inlineStr">
        <is>
          <t>aceito_payload</t>
        </is>
      </c>
      <c r="L534" s="144" t="n">
        <v>1</v>
      </c>
      <c r="M534" s="75" t="inlineStr">
        <is>
          <t>data/industry_study/generated_revision/artifact_payload.json</t>
        </is>
      </c>
      <c r="N534" s="75" t="inlineStr">
        <is>
          <t>N/D</t>
        </is>
      </c>
      <c r="O534" s="75" t="inlineStr">
        <is>
          <t>Coluna adicional da foto: Duplicatas. Denominação cortada.</t>
        </is>
      </c>
    </row>
    <row r="535" ht="43.5" customHeight="1">
      <c r="A535" s="142" t="n">
        <v>57816252000100</v>
      </c>
      <c r="B535" s="75" t="inlineStr">
        <is>
          <t>57.816.252/0001-00</t>
        </is>
      </c>
      <c r="C535" s="75" t="inlineStr">
        <is>
          <t>minimo_estrutural_total</t>
        </is>
      </c>
      <c r="D535" s="75" t="inlineStr">
        <is>
          <t>25.26%</t>
        </is>
      </c>
      <c r="E535" s="75" t="inlineStr">
        <is>
          <t>suporte_total_pl</t>
        </is>
      </c>
      <c r="F535" s="75" t="inlineStr">
        <is>
          <t>payload_documental</t>
        </is>
      </c>
      <c r="G535" s="75" t="inlineStr">
        <is>
          <t>1182394</t>
        </is>
      </c>
      <c r="H535" s="75" t="inlineStr">
        <is>
          <t>documento_curado</t>
        </is>
      </c>
      <c r="I535" s="75" t="inlineStr">
        <is>
          <t>2026-05-07</t>
        </is>
      </c>
      <c r="J535" s="75" t="inlineStr">
        <is>
          <t>28; 68</t>
        </is>
      </c>
      <c r="K535" s="75" t="inlineStr">
        <is>
          <t>aceito_payload</t>
        </is>
      </c>
      <c r="L535" s="144" t="n">
        <v>1</v>
      </c>
      <c r="M535" s="75" t="inlineStr">
        <is>
          <t>data/industry_study/generated_revision/artifact_payload.json</t>
        </is>
      </c>
      <c r="N535" s="75" t="inlineStr">
        <is>
          <t>https://fnet.bmfbovespa.com.br/fnet/publico/downloadDocumento?id=1182394</t>
        </is>
      </c>
      <c r="O535" s="75" t="inlineStr">
        <is>
          <t>Cotas subordinadas / PL, mínimo de 25,26%; estrutura com uma única classe residual.</t>
        </is>
      </c>
    </row>
    <row r="536" ht="43.5" customHeight="1">
      <c r="A536" s="142" t="n">
        <v>57816252000100</v>
      </c>
      <c r="B536" s="75" t="inlineStr">
        <is>
          <t>57.816.252/0001-00</t>
        </is>
      </c>
      <c r="C536" s="75" t="inlineStr">
        <is>
          <t>minimo_junior</t>
        </is>
      </c>
      <c r="D536" s="75" t="inlineStr">
        <is>
          <t>25.26%</t>
        </is>
      </c>
      <c r="E536" s="75" t="inlineStr">
        <is>
          <t>junior_pl</t>
        </is>
      </c>
      <c r="F536" s="75" t="inlineStr">
        <is>
          <t>payload_documental</t>
        </is>
      </c>
      <c r="G536" s="75" t="inlineStr">
        <is>
          <t>1182394</t>
        </is>
      </c>
      <c r="H536" s="75" t="inlineStr">
        <is>
          <t>documento_curado</t>
        </is>
      </c>
      <c r="I536" s="75" t="inlineStr">
        <is>
          <t>2026-05-07</t>
        </is>
      </c>
      <c r="J536" s="75" t="inlineStr">
        <is>
          <t>28; 68</t>
        </is>
      </c>
      <c r="K536" s="75" t="inlineStr">
        <is>
          <t>aceito_payload</t>
        </is>
      </c>
      <c r="L536" s="144" t="n">
        <v>1</v>
      </c>
      <c r="M536" s="75" t="inlineStr">
        <is>
          <t>data/industry_study/generated_revision/artifact_payload.json</t>
        </is>
      </c>
      <c r="N536" s="75" t="inlineStr">
        <is>
          <t>https://fnet.bmfbovespa.com.br/fnet/publico/downloadDocumento?id=1182394</t>
        </is>
      </c>
      <c r="O536" s="75" t="inlineStr">
        <is>
          <t>Cotas subordinadas / PL, mínimo de 25,26%; estrutura com uma única classe residual.</t>
        </is>
      </c>
    </row>
    <row r="537" ht="43.5" customHeight="1">
      <c r="A537" s="142" t="n">
        <v>57816252000100</v>
      </c>
      <c r="B537" s="75" t="inlineStr">
        <is>
          <t>57.816.252/0001-00</t>
        </is>
      </c>
      <c r="C537" s="75" t="inlineStr">
        <is>
          <t>natureza_indice</t>
        </is>
      </c>
      <c r="D537" s="75" t="inlineStr">
        <is>
          <t>junior_pl</t>
        </is>
      </c>
      <c r="E537" s="75" t="inlineStr">
        <is>
          <t>junior_pl</t>
        </is>
      </c>
      <c r="F537" s="75" t="inlineStr">
        <is>
          <t>payload_documental</t>
        </is>
      </c>
      <c r="G537" s="75" t="inlineStr">
        <is>
          <t>1182394</t>
        </is>
      </c>
      <c r="H537" s="75" t="inlineStr">
        <is>
          <t>documento_curado</t>
        </is>
      </c>
      <c r="I537" s="75" t="inlineStr">
        <is>
          <t>2026-05-07</t>
        </is>
      </c>
      <c r="J537" s="75" t="inlineStr">
        <is>
          <t>28; 68</t>
        </is>
      </c>
      <c r="K537" s="75" t="inlineStr">
        <is>
          <t>aceito_payload</t>
        </is>
      </c>
      <c r="L537" s="144" t="n">
        <v>1</v>
      </c>
      <c r="M537" s="75" t="inlineStr">
        <is>
          <t>data/industry_study/generated_revision/artifact_payload.json</t>
        </is>
      </c>
      <c r="N537" s="75" t="inlineStr">
        <is>
          <t>https://fnet.bmfbovespa.com.br/fnet/publico/downloadDocumento?id=1182394</t>
        </is>
      </c>
      <c r="O537" s="75" t="inlineStr">
        <is>
          <t>Cotas subordinadas / PL, mínimo de 25,26%; estrutura com uma única classe residual.</t>
        </is>
      </c>
    </row>
    <row r="538" ht="43.5" customHeight="1">
      <c r="A538" s="142" t="n">
        <v>57816252000100</v>
      </c>
      <c r="B538" s="75" t="inlineStr">
        <is>
          <t>57.816.252/0001-00</t>
        </is>
      </c>
      <c r="C538" s="75" t="inlineStr">
        <is>
          <t>tipo_recebivel</t>
        </is>
      </c>
      <c r="D538" s="75" t="inlineStr">
        <is>
          <t>os recebíveis alienados pela Endossante à Classe, originados no âmbito de operações de financiamentos concedidos pela Natura SCD às Devedoras, mediante a emissão de CCB em favor da Natura SCD</t>
        </is>
      </c>
      <c r="E538" s="75" t="inlineStr">
        <is>
          <t>N/D</t>
        </is>
      </c>
      <c r="F538" s="75" t="inlineStr">
        <is>
          <t>regulamento</t>
        </is>
      </c>
      <c r="G538" s="75" t="inlineStr">
        <is>
          <t>1182394</t>
        </is>
      </c>
      <c r="H538" s="75" t="inlineStr">
        <is>
          <t>Regulamento</t>
        </is>
      </c>
      <c r="I538" s="75" t="inlineStr">
        <is>
          <t>07/05/2026</t>
        </is>
      </c>
      <c r="J538" s="75" t="inlineStr">
        <is>
          <t>65</t>
        </is>
      </c>
      <c r="K538" s="75" t="inlineStr">
        <is>
          <t>encontrado_explicito</t>
        </is>
      </c>
      <c r="L538" s="144" t="n">
        <v>0.92</v>
      </c>
      <c r="M538" s="75" t="inlineStr">
        <is>
          <t>.cache/carteira_101_document_scan/57816252000100/1182394.json.gz</t>
        </is>
      </c>
      <c r="N538" s="75" t="inlineStr">
        <is>
          <t>https://fnet.bmfbovespa.com.br/fnet/publico/downloadDocumento?id=1182394</t>
        </is>
      </c>
      <c r="O538" s="75" t="inlineStr">
        <is>
          <t>Dia Útil” significa qualquer dia, de segunda a sexta-feira, exceto feriados de âmbito nacional. “Direitos Creditórios” significam os recebíveis alienados pela Endossante à Classe, originados no âmbito de operações de financiamentos concedidos pela Natura SCD às Devedoras, mediante a emissão de CCB em favor da Natura SCD. Docusign Envelope ID: 54203056 -7729-4DDF-97E9-96FBD206783A ANEXO I -B – DEFINIÇÕES APLICÁVEIS</t>
        </is>
      </c>
    </row>
    <row r="539" ht="43.5" customHeight="1">
      <c r="A539" s="142" t="n">
        <v>57816252000100</v>
      </c>
      <c r="B539" s="75" t="inlineStr">
        <is>
          <t>57.816.252/0001-00</t>
        </is>
      </c>
      <c r="C539" s="75" t="inlineStr">
        <is>
          <t>tipo_recebivel</t>
        </is>
      </c>
      <c r="D539" s="75" t="inlineStr">
        <is>
          <t>os recebíveis alienados pela Endossante à Classe, originados no âmbito de operações de financiamentos concedidos pela Natura SCD às Devedoras, mediante a emissão de CCB em favor da Natura SCD</t>
        </is>
      </c>
      <c r="E539" s="75" t="inlineStr">
        <is>
          <t>N/D</t>
        </is>
      </c>
      <c r="F539" s="75" t="inlineStr">
        <is>
          <t>assembleia</t>
        </is>
      </c>
      <c r="G539" s="75" t="inlineStr">
        <is>
          <t>1150911</t>
        </is>
      </c>
      <c r="H539" s="75" t="inlineStr">
        <is>
          <t>Assembleia AGE Ata da Assembleia</t>
        </is>
      </c>
      <c r="I539" s="75" t="inlineStr">
        <is>
          <t>30/03/2026 18:00</t>
        </is>
      </c>
      <c r="J539" s="75" t="inlineStr">
        <is>
          <t>77</t>
        </is>
      </c>
      <c r="K539" s="75" t="inlineStr">
        <is>
          <t>encontrado_explicito</t>
        </is>
      </c>
      <c r="L539" s="144" t="n">
        <v>0.92</v>
      </c>
      <c r="M539" s="75" t="inlineStr">
        <is>
          <t>.cache/carteira_101_document_scan/57816252000100/1150911.json.gz</t>
        </is>
      </c>
      <c r="N539" s="75" t="inlineStr">
        <is>
          <t>https://fnet.bmfbovespa.com.br/fnet/publico/downloadDocumento?id=1150911</t>
        </is>
      </c>
      <c r="O539" s="75" t="inlineStr">
        <is>
          <t>ia Útil” significa qualquer dia, de segunda a sexta -feira, exceto feriados de âmbito nacional. “Direitos Creditórios” significam os recebíveis alienados pela Endossante à Classe, originados no âmbito de operações de financiamentos concedidos pela Natura SCD às Devedoras, mediante a emissão de CCB em favor da Natura SCD. ANEXO I -B – DEFINIÇÕES APLICÁVEIS À CLASSE ÚNICA DO NATURA PAY FUNDO DE INVESTIMENTO EM DIRE</t>
        </is>
      </c>
    </row>
    <row r="540" ht="43.5" customHeight="1">
      <c r="A540" s="142" t="n">
        <v>57816252000100</v>
      </c>
      <c r="B540" s="75" t="inlineStr">
        <is>
          <t>57.816.252/0001-00</t>
        </is>
      </c>
      <c r="C540" s="75" t="inlineStr">
        <is>
          <t>tipo_recebivel</t>
        </is>
      </c>
      <c r="D540" s="75" t="inlineStr">
        <is>
          <t>Duplicatas de venda de produtos a prazo para Consultoras Natura; em geral parcelado 3x sem juros</t>
        </is>
      </c>
      <c r="E540" s="75" t="inlineStr">
        <is>
          <t>N/D</t>
        </is>
      </c>
      <c r="F540" s="75" t="inlineStr">
        <is>
          <t>planilha_manual</t>
        </is>
      </c>
      <c r="G540" s="75" t="inlineStr">
        <is>
          <t>IMG_8706.JPG</t>
        </is>
      </c>
      <c r="H540" s="75" t="inlineStr">
        <is>
          <t>payload</t>
        </is>
      </c>
      <c r="I540" s="75" t="inlineStr">
        <is>
          <t>2026-05-07</t>
        </is>
      </c>
      <c r="J540" s="75" t="inlineStr">
        <is>
          <t>28; 68</t>
        </is>
      </c>
      <c r="K540" s="75" t="inlineStr">
        <is>
          <t>aceito_payload</t>
        </is>
      </c>
      <c r="L540" s="144" t="n">
        <v>1</v>
      </c>
      <c r="M540" s="75" t="inlineStr">
        <is>
          <t>data/industry_study/generated_revision/artifact_payload.json</t>
        </is>
      </c>
      <c r="N540" s="75" t="inlineStr">
        <is>
          <t>N/D</t>
        </is>
      </c>
      <c r="O540" s="75" t="inlineStr">
        <is>
          <t>Coluna adicional da foto: Duplicatas. Denominação cortada.</t>
        </is>
      </c>
    </row>
    <row r="541" ht="43.5" customHeight="1">
      <c r="A541" s="142" t="n">
        <v>58152340000118</v>
      </c>
      <c r="B541" s="75" t="inlineStr">
        <is>
          <t>58.152.340/0001-18</t>
        </is>
      </c>
      <c r="C541" s="75" t="inlineStr">
        <is>
          <t>cedente</t>
        </is>
      </c>
      <c r="D541" s="75" t="inlineStr">
        <is>
          <t>SHPP IP</t>
        </is>
      </c>
      <c r="E541" s="75" t="inlineStr">
        <is>
          <t>N/D</t>
        </is>
      </c>
      <c r="F541" s="75" t="inlineStr">
        <is>
          <t>planilha_manual</t>
        </is>
      </c>
      <c r="G541" s="75" t="inlineStr">
        <is>
          <t>IMG_8707.jpg</t>
        </is>
      </c>
      <c r="H541" s="75" t="inlineStr">
        <is>
          <t>payload</t>
        </is>
      </c>
      <c r="I541" s="75" t="inlineStr">
        <is>
          <t>2026-05-14</t>
        </is>
      </c>
      <c r="J541" s="75" t="inlineStr">
        <is>
          <t>105</t>
        </is>
      </c>
      <c r="K541" s="75" t="inlineStr">
        <is>
          <t>aceito_payload</t>
        </is>
      </c>
      <c r="L541" s="144" t="n">
        <v>1</v>
      </c>
      <c r="M541" s="75" t="inlineStr">
        <is>
          <t>data/industry_study/generated_revision/artifact_payload.json</t>
        </is>
      </c>
      <c r="N541" s="75" t="inlineStr">
        <is>
          <t>N/D</t>
        </is>
      </c>
      <c r="O541" s="75" t="inlineStr">
        <is>
          <t>Denominação cortada pela largura da coluna na foto.</t>
        </is>
      </c>
    </row>
    <row r="542" ht="43.5" customHeight="1">
      <c r="A542" s="142" t="n">
        <v>58152340000118</v>
      </c>
      <c r="B542" s="75" t="inlineStr">
        <is>
          <t>58.152.340/0001-18</t>
        </is>
      </c>
      <c r="C542" s="75" t="inlineStr">
        <is>
          <t>minimo_estrutural_total</t>
        </is>
      </c>
      <c r="D542" s="75" t="inlineStr">
        <is>
          <t>30%</t>
        </is>
      </c>
      <c r="E542" s="75" t="inlineStr">
        <is>
          <t>suporte_total_pl</t>
        </is>
      </c>
      <c r="F542" s="75" t="inlineStr">
        <is>
          <t>payload_documental</t>
        </is>
      </c>
      <c r="G542" s="75" t="inlineStr">
        <is>
          <t>1191019</t>
        </is>
      </c>
      <c r="H542" s="75" t="inlineStr">
        <is>
          <t>documento_curado</t>
        </is>
      </c>
      <c r="I542" s="75" t="inlineStr">
        <is>
          <t>2026-05-14</t>
        </is>
      </c>
      <c r="J542" s="75" t="inlineStr">
        <is>
          <t>105</t>
        </is>
      </c>
      <c r="K542" s="75" t="inlineStr">
        <is>
          <t>aceito_payload</t>
        </is>
      </c>
      <c r="L542" s="144" t="n">
        <v>1</v>
      </c>
      <c r="M542" s="75" t="inlineStr">
        <is>
          <t>data/industry_study/generated_revision/artifact_payload.json</t>
        </is>
      </c>
      <c r="N542" s="75" t="inlineStr">
        <is>
          <t>https://fnet.bmfbovespa.com.br/fnet/publico/downloadDocumento?id=1191019</t>
        </is>
      </c>
      <c r="O542" s="75" t="inlineStr">
        <is>
          <t>Cotas subordinadas / PL, mínimo de 30,0%; estrutura com uma única classe residual.</t>
        </is>
      </c>
    </row>
    <row r="543" ht="43.5" customHeight="1">
      <c r="A543" s="142" t="n">
        <v>58152340000118</v>
      </c>
      <c r="B543" s="75" t="inlineStr">
        <is>
          <t>58.152.340/0001-18</t>
        </is>
      </c>
      <c r="C543" s="75" t="inlineStr">
        <is>
          <t>minimo_junior</t>
        </is>
      </c>
      <c r="D543" s="75" t="inlineStr">
        <is>
          <t>30%</t>
        </is>
      </c>
      <c r="E543" s="75" t="inlineStr">
        <is>
          <t>junior_pl</t>
        </is>
      </c>
      <c r="F543" s="75" t="inlineStr">
        <is>
          <t>payload_documental</t>
        </is>
      </c>
      <c r="G543" s="75" t="inlineStr">
        <is>
          <t>1191019</t>
        </is>
      </c>
      <c r="H543" s="75" t="inlineStr">
        <is>
          <t>documento_curado</t>
        </is>
      </c>
      <c r="I543" s="75" t="inlineStr">
        <is>
          <t>2026-05-14</t>
        </is>
      </c>
      <c r="J543" s="75" t="inlineStr">
        <is>
          <t>105</t>
        </is>
      </c>
      <c r="K543" s="75" t="inlineStr">
        <is>
          <t>aceito_payload</t>
        </is>
      </c>
      <c r="L543" s="144" t="n">
        <v>1</v>
      </c>
      <c r="M543" s="75" t="inlineStr">
        <is>
          <t>data/industry_study/generated_revision/artifact_payload.json</t>
        </is>
      </c>
      <c r="N543" s="75" t="inlineStr">
        <is>
          <t>https://fnet.bmfbovespa.com.br/fnet/publico/downloadDocumento?id=1191019</t>
        </is>
      </c>
      <c r="O543" s="75" t="inlineStr">
        <is>
          <t>Cotas subordinadas / PL, mínimo de 30,0%; estrutura com uma única classe residual.</t>
        </is>
      </c>
    </row>
    <row r="544" ht="43.5" customHeight="1">
      <c r="A544" s="142" t="n">
        <v>58152340000118</v>
      </c>
      <c r="B544" s="75" t="inlineStr">
        <is>
          <t>58.152.340/0001-18</t>
        </is>
      </c>
      <c r="C544" s="75" t="inlineStr">
        <is>
          <t>natureza_indice</t>
        </is>
      </c>
      <c r="D544" s="75" t="inlineStr">
        <is>
          <t>junior_pl</t>
        </is>
      </c>
      <c r="E544" s="75" t="inlineStr">
        <is>
          <t>junior_pl</t>
        </is>
      </c>
      <c r="F544" s="75" t="inlineStr">
        <is>
          <t>payload_documental</t>
        </is>
      </c>
      <c r="G544" s="75" t="inlineStr">
        <is>
          <t>1191019</t>
        </is>
      </c>
      <c r="H544" s="75" t="inlineStr">
        <is>
          <t>documento_curado</t>
        </is>
      </c>
      <c r="I544" s="75" t="inlineStr">
        <is>
          <t>2026-05-14</t>
        </is>
      </c>
      <c r="J544" s="75" t="inlineStr">
        <is>
          <t>105</t>
        </is>
      </c>
      <c r="K544" s="75" t="inlineStr">
        <is>
          <t>aceito_payload</t>
        </is>
      </c>
      <c r="L544" s="144" t="n">
        <v>1</v>
      </c>
      <c r="M544" s="75" t="inlineStr">
        <is>
          <t>data/industry_study/generated_revision/artifact_payload.json</t>
        </is>
      </c>
      <c r="N544" s="75" t="inlineStr">
        <is>
          <t>https://fnet.bmfbovespa.com.br/fnet/publico/downloadDocumento?id=1191019</t>
        </is>
      </c>
      <c r="O544" s="75" t="inlineStr">
        <is>
          <t>Cotas subordinadas / PL, mínimo de 30,0%; estrutura com uma única classe residual.</t>
        </is>
      </c>
    </row>
    <row r="545" ht="43.5" customHeight="1">
      <c r="A545" s="142" t="n">
        <v>58171340000165</v>
      </c>
      <c r="B545" s="75" t="inlineStr">
        <is>
          <t>58.171.340/0001-65</t>
        </is>
      </c>
      <c r="C545" s="75" t="inlineStr">
        <is>
          <t>cedente</t>
        </is>
      </c>
      <c r="D545" s="75" t="inlineStr">
        <is>
          <t>a FRIMESA COOPERATIVA CENTRAL, com sede na cidade de Medianeira, Estado do Paraná, na Rua Bahia, nº 159, CEP 85723-006, inscrita no CNPJ sob o nº 77.595.395/0001-47, inclusive por meio de suas filiais</t>
        </is>
      </c>
      <c r="E545" s="75" t="inlineStr">
        <is>
          <t>N/D</t>
        </is>
      </c>
      <c r="F545" s="75" t="inlineStr">
        <is>
          <t>regulamento</t>
        </is>
      </c>
      <c r="G545" s="75" t="inlineStr">
        <is>
          <t>846712</t>
        </is>
      </c>
      <c r="H545" s="75" t="inlineStr">
        <is>
          <t>Regulamento</t>
        </is>
      </c>
      <c r="I545" s="75" t="inlineStr">
        <is>
          <t>19/02/2025</t>
        </is>
      </c>
      <c r="J545" s="75" t="inlineStr">
        <is>
          <t>42</t>
        </is>
      </c>
      <c r="K545" s="75" t="inlineStr">
        <is>
          <t>encontrado_explicito</t>
        </is>
      </c>
      <c r="L545" s="144" t="n">
        <v>0.95</v>
      </c>
      <c r="M545" s="75" t="inlineStr">
        <is>
          <t>.cache/carteira_101_document_scan/58171340000165/846712.json.gz</t>
        </is>
      </c>
      <c r="N545" s="75" t="inlineStr">
        <is>
          <t>https://fnet.bmfbovespa.com.br/fnet/publico/downloadDocumento?id=846712</t>
        </is>
      </c>
      <c r="O545" s="75" t="inlineStr">
        <is>
          <t>ta) dias da data do referido rebaixamento por outra instituição com classificação, no mínimo, igual a “AAA(bra)”. “Cedente” Significa a FRIMESA COOPERATIVA CENTRAL, com sede na cidade de Medianeira, Estado do Paraná, na Rua Bahia, nº 159, CEP 85723-006, inscrita no CNPJ sob o nº 77.595.395/0001-47, inclusive por meio de suas filiais. “Classe” ou “Classe Única” Significa, quando utilizado neste Anexo Descritivo, a presente classe de Cotas do Fun</t>
        </is>
      </c>
    </row>
    <row r="546" ht="43.5" customHeight="1">
      <c r="A546" s="142" t="n">
        <v>58171340000165</v>
      </c>
      <c r="B546" s="75" t="inlineStr">
        <is>
          <t>58.171.340/0001-65</t>
        </is>
      </c>
      <c r="C546" s="75" t="inlineStr">
        <is>
          <t>cedente</t>
        </is>
      </c>
      <c r="D546" s="75" t="inlineStr">
        <is>
          <t>a FRIMESA COOPERATIVA CENTRAL, com sede na cidade de Medianeira, Estado do Paraná, na Rua Bahia, nº 159, CEP 85723-006, inscrita no CNPJ sob o nº 77.595.395/0001-47, inclusive por meio de suas filiais</t>
        </is>
      </c>
      <c r="E546" s="75" t="inlineStr">
        <is>
          <t>N/D</t>
        </is>
      </c>
      <c r="F546" s="75" t="inlineStr">
        <is>
          <t>regulamento</t>
        </is>
      </c>
      <c r="G546" s="75" t="inlineStr">
        <is>
          <t>861191</t>
        </is>
      </c>
      <c r="H546" s="75" t="inlineStr">
        <is>
          <t>regulamento</t>
        </is>
      </c>
      <c r="I546" s="75" t="inlineStr">
        <is>
          <t>2025-03-13</t>
        </is>
      </c>
      <c r="J546" s="75" t="inlineStr">
        <is>
          <t>42</t>
        </is>
      </c>
      <c r="K546" s="75" t="inlineStr">
        <is>
          <t>encontrado_explicito</t>
        </is>
      </c>
      <c r="L546" s="144" t="n">
        <v>0.95</v>
      </c>
      <c r="M546" s="75" t="inlineStr">
        <is>
          <t>data/raw/58171340000165/861191_regulamento_regulamento_861191_2025-03-13_2025-03-13.pdf</t>
        </is>
      </c>
      <c r="N546" s="75" t="inlineStr">
        <is>
          <t>https://fnet.bmfbovespa.com.br/fnet/publico/downloadDocumento?id=861191</t>
        </is>
      </c>
      <c r="O546" s="75" t="inlineStr">
        <is>
          <t>ta) dias da data do referido rebaixamento por outra instituição com classificação, no mínimo, igual a “AAA(bra)”. “Cedente” Significa a FRIMESA COOPERATIVA CENTRAL, com sede na cidade de Medianeira, Estado do Paraná, na Rua Bahia, nº 159, CEP 85723-006, inscrita no CNPJ sob o nº 77.595.395/0001-47, inclusive por meio de suas filiais. “Classe” ou “Classe Única” Significa, quando utilizado neste Anexo Descritivo, a presente classe de Cotas do Fun</t>
        </is>
      </c>
    </row>
    <row r="547" ht="43.5" customHeight="1">
      <c r="A547" s="142" t="n">
        <v>58171340000165</v>
      </c>
      <c r="B547" s="75" t="inlineStr">
        <is>
          <t>58.171.340/0001-65</t>
        </is>
      </c>
      <c r="C547" s="75" t="inlineStr">
        <is>
          <t>cedente</t>
        </is>
      </c>
      <c r="D547" s="75" t="inlineStr">
        <is>
          <t>Frimesa</t>
        </is>
      </c>
      <c r="E547" s="75" t="inlineStr">
        <is>
          <t>N/D</t>
        </is>
      </c>
      <c r="F547" s="75" t="inlineStr">
        <is>
          <t>planilha_manual</t>
        </is>
      </c>
      <c r="G547" s="75" t="inlineStr">
        <is>
          <t>IMG_8706.JPG</t>
        </is>
      </c>
      <c r="H547" s="75" t="inlineStr">
        <is>
          <t>payload</t>
        </is>
      </c>
      <c r="I547" s="75" t="inlineStr">
        <is>
          <t>2025-03-13</t>
        </is>
      </c>
      <c r="J547" s="75" t="inlineStr">
        <is>
          <t>51</t>
        </is>
      </c>
      <c r="K547" s="75" t="inlineStr">
        <is>
          <t>aceito_payload</t>
        </is>
      </c>
      <c r="L547" s="144" t="n">
        <v>1</v>
      </c>
      <c r="M547" s="75" t="inlineStr">
        <is>
          <t>data/industry_study/generated_revision/artifact_payload.json</t>
        </is>
      </c>
      <c r="N547" s="75" t="inlineStr">
        <is>
          <t>N/D</t>
        </is>
      </c>
      <c r="O547" s="75" t="inlineStr">
        <is>
          <t>Denominação cortada pela largura da coluna na foto.</t>
        </is>
      </c>
    </row>
    <row r="548" ht="43.5" customHeight="1">
      <c r="A548" s="142" t="n">
        <v>58171340000165</v>
      </c>
      <c r="B548" s="75" t="inlineStr">
        <is>
          <t>58.171.340/0001-65</t>
        </is>
      </c>
      <c r="C548" s="75" t="inlineStr">
        <is>
          <t>minimo_junior</t>
        </is>
      </c>
      <c r="D548" s="75" t="inlineStr">
        <is>
          <t>1%</t>
        </is>
      </c>
      <c r="E548" s="75" t="inlineStr">
        <is>
          <t>junior_pl</t>
        </is>
      </c>
      <c r="F548" s="75" t="inlineStr">
        <is>
          <t>payload_documental</t>
        </is>
      </c>
      <c r="G548" s="75" t="inlineStr">
        <is>
          <t>861191</t>
        </is>
      </c>
      <c r="H548" s="75" t="inlineStr">
        <is>
          <t>documento_curado</t>
        </is>
      </c>
      <c r="I548" s="75" t="inlineStr">
        <is>
          <t>2025-03-13</t>
        </is>
      </c>
      <c r="J548" s="75" t="inlineStr">
        <is>
          <t>51</t>
        </is>
      </c>
      <c r="K548" s="75" t="inlineStr">
        <is>
          <t>aceito_payload</t>
        </is>
      </c>
      <c r="L548" s="144" t="n">
        <v>1</v>
      </c>
      <c r="M548" s="75" t="inlineStr">
        <is>
          <t>data/industry_study/generated_revision/artifact_payload.json</t>
        </is>
      </c>
      <c r="N548" s="75" t="inlineStr">
        <is>
          <t>https://fnet.bmfbovespa.com.br/fnet/publico/downloadDocumento?id=861191</t>
        </is>
      </c>
      <c r="O548" s="75" t="inlineStr">
        <is>
          <t>Índice de Subordinação Mezanino: cotas júnior / PL, mínimo de 1,0%.</t>
        </is>
      </c>
    </row>
    <row r="549" ht="43.5" customHeight="1">
      <c r="A549" s="142" t="n">
        <v>58171340000165</v>
      </c>
      <c r="B549" s="75" t="inlineStr">
        <is>
          <t>58.171.340/0001-65</t>
        </is>
      </c>
      <c r="C549" s="75" t="inlineStr">
        <is>
          <t>natureza_indice</t>
        </is>
      </c>
      <c r="D549" s="75" t="inlineStr">
        <is>
          <t>junior_pl</t>
        </is>
      </c>
      <c r="E549" s="75" t="inlineStr">
        <is>
          <t>junior_pl</t>
        </is>
      </c>
      <c r="F549" s="75" t="inlineStr">
        <is>
          <t>payload_documental</t>
        </is>
      </c>
      <c r="G549" s="75" t="inlineStr">
        <is>
          <t>861191</t>
        </is>
      </c>
      <c r="H549" s="75" t="inlineStr">
        <is>
          <t>documento_curado</t>
        </is>
      </c>
      <c r="I549" s="75" t="inlineStr">
        <is>
          <t>2025-03-13</t>
        </is>
      </c>
      <c r="J549" s="75" t="inlineStr">
        <is>
          <t>51</t>
        </is>
      </c>
      <c r="K549" s="75" t="inlineStr">
        <is>
          <t>aceito_payload</t>
        </is>
      </c>
      <c r="L549" s="144" t="n">
        <v>1</v>
      </c>
      <c r="M549" s="75" t="inlineStr">
        <is>
          <t>data/industry_study/generated_revision/artifact_payload.json</t>
        </is>
      </c>
      <c r="N549" s="75" t="inlineStr">
        <is>
          <t>https://fnet.bmfbovespa.com.br/fnet/publico/downloadDocumento?id=861191</t>
        </is>
      </c>
      <c r="O549" s="75" t="inlineStr">
        <is>
          <t>Índice de Subordinação Mezanino: cotas júnior / PL, mínimo de 1,0%.</t>
        </is>
      </c>
    </row>
    <row r="550" ht="43.5" customHeight="1">
      <c r="A550" s="142" t="n">
        <v>58171340000165</v>
      </c>
      <c r="B550" s="75" t="inlineStr">
        <is>
          <t>58.171.340/0001-65</t>
        </is>
      </c>
      <c r="C550" s="75" t="inlineStr">
        <is>
          <t>tipo_recebivel</t>
        </is>
      </c>
      <c r="D550" s="75" t="inlineStr">
        <is>
          <t>recebíveis supermercados</t>
        </is>
      </c>
      <c r="E550" s="75" t="inlineStr">
        <is>
          <t>N/D</t>
        </is>
      </c>
      <c r="F550" s="75" t="inlineStr">
        <is>
          <t>planilha_manual</t>
        </is>
      </c>
      <c r="G550" s="75" t="inlineStr">
        <is>
          <t>IMG_8706.JPG</t>
        </is>
      </c>
      <c r="H550" s="75" t="inlineStr">
        <is>
          <t>payload</t>
        </is>
      </c>
      <c r="I550" s="75" t="inlineStr">
        <is>
          <t>2025-03-13</t>
        </is>
      </c>
      <c r="J550" s="75" t="inlineStr">
        <is>
          <t>51</t>
        </is>
      </c>
      <c r="K550" s="75" t="inlineStr">
        <is>
          <t>aceito_payload</t>
        </is>
      </c>
      <c r="L550" s="144" t="n">
        <v>1</v>
      </c>
      <c r="M550" s="75" t="inlineStr">
        <is>
          <t>data/industry_study/generated_revision/artifact_payload.json</t>
        </is>
      </c>
      <c r="N550" s="75" t="inlineStr">
        <is>
          <t>N/D</t>
        </is>
      </c>
      <c r="O550" s="75" t="inlineStr">
        <is>
          <t>Denominação cortada pela largura da coluna na foto.</t>
        </is>
      </c>
    </row>
    <row r="551" ht="43.5" customHeight="1">
      <c r="A551" s="142" t="n">
        <v>58288437000152</v>
      </c>
      <c r="B551" s="75" t="inlineStr">
        <is>
          <t>58.288.437/0001-52</t>
        </is>
      </c>
      <c r="C551" s="75" t="inlineStr">
        <is>
          <t>cedente</t>
        </is>
      </c>
      <c r="D551" s="75" t="inlineStr">
        <is>
          <t>a ALTOMAX COMÉRCIO DE MEIAS E COBERTORES, IMPORTA ÇÃO E EXPORTAÇÃO LTDA , sociedade limitada, com sede na cidade de Foz do Iguaçu, estado do Paraná, na Av</t>
        </is>
      </c>
      <c r="E551" s="75" t="inlineStr">
        <is>
          <t>N/D</t>
        </is>
      </c>
      <c r="F551" s="75" t="inlineStr">
        <is>
          <t>regulamento</t>
        </is>
      </c>
      <c r="G551" s="75" t="inlineStr">
        <is>
          <t>935844</t>
        </is>
      </c>
      <c r="H551" s="75" t="inlineStr">
        <is>
          <t>regulamento</t>
        </is>
      </c>
      <c r="I551" s="75" t="inlineStr">
        <is>
          <t>2025-06-17</t>
        </is>
      </c>
      <c r="J551" s="75" t="inlineStr">
        <is>
          <t>71</t>
        </is>
      </c>
      <c r="K551" s="75" t="inlineStr">
        <is>
          <t>encontrado_explicito</t>
        </is>
      </c>
      <c r="L551" s="144" t="n">
        <v>0.95</v>
      </c>
      <c r="M551" s="75" t="inlineStr">
        <is>
          <t>data/raw/58288437000152/935844_regulamento_regulamento_935844_2025-06-17.pdf</t>
        </is>
      </c>
      <c r="N551" s="75" t="inlineStr">
        <is>
          <t>https://fnet.bmfbovespa.com.br/fnet/publico/downloadDocumento?id=935844</t>
        </is>
      </c>
      <c r="O551" s="75" t="inlineStr">
        <is>
          <t>e cada Série ou Subclasse . “Capital Autorizado ” tem o significado do item (ii) do Artigo 13.6 deste Regulamento. “Cedente Altomax ” significa a ALTOMAX COMÉRCIO DE MEIAS E COBERTORES, IMPORTA ÇÃO E EXPORTAÇÃO LTDA , sociedade limitada, com sede na cidade de Foz do Iguaçu, estado do Paraná, na Av. Perimetral Leste, nº 8.119, Distrito Industrial de Foz do Iguaçu – Morumbi, CEP 85858- 760 , inscrita no CNPJ/MF sob</t>
        </is>
      </c>
    </row>
    <row r="552" ht="43.5" customHeight="1">
      <c r="A552" s="142" t="n">
        <v>58288437000152</v>
      </c>
      <c r="B552" s="75" t="inlineStr">
        <is>
          <t>58.288.437/0001-52</t>
        </is>
      </c>
      <c r="C552" s="75" t="inlineStr">
        <is>
          <t>cedente</t>
        </is>
      </c>
      <c r="D552" s="75" t="inlineStr">
        <is>
          <t>a ALTOMAX COMÉRCIO DE MEIAS E COBERTORES, IMPORTAÇÃO E EXPORTAÇÃO LTDA, sociedade limitada, com sede na cidade de Foz do Iguaçu, estado do Paraná, na Av</t>
        </is>
      </c>
      <c r="E552" s="75" t="inlineStr">
        <is>
          <t>N/D</t>
        </is>
      </c>
      <c r="F552" s="75" t="inlineStr">
        <is>
          <t>regulamento</t>
        </is>
      </c>
      <c r="G552" s="75" t="inlineStr">
        <is>
          <t>1090132</t>
        </is>
      </c>
      <c r="H552" s="75" t="inlineStr">
        <is>
          <t>regulamento</t>
        </is>
      </c>
      <c r="I552" s="75" t="inlineStr">
        <is>
          <t>2026-01-15</t>
        </is>
      </c>
      <c r="J552" s="75" t="inlineStr">
        <is>
          <t>83</t>
        </is>
      </c>
      <c r="K552" s="75" t="inlineStr">
        <is>
          <t>encontrado_explicito</t>
        </is>
      </c>
      <c r="L552" s="144" t="n">
        <v>0.95</v>
      </c>
      <c r="M552" s="75" t="inlineStr">
        <is>
          <t>data/raw/58288437000152/1090132_regulamento_regulamento_1090132_2026-01-15.pdf</t>
        </is>
      </c>
      <c r="N552" s="75" t="inlineStr">
        <is>
          <t>https://fnet.bmfbovespa.com.br/fnet/publico/downloadDocumento?id=1090132</t>
        </is>
      </c>
      <c r="O552" s="75" t="inlineStr">
        <is>
          <t>o do item (ii) do Artigo 13.6 deste Regulamento. Docusign Envelope ID: FD488738-CE3C-461D-83A4-80CD5FC68CF9 83 / 108 “Cedente Altomax” significa a ALTOMAX COMÉRCIO DE MEIAS E COBERTORES, IMPORTAÇÃO E EXPORTAÇÃO LTDA, sociedade limitada, com sede na cidade de Foz do Iguaçu, estado do Paraná, na Av. Perimetral Leste, nº 8.119, Distrito Industrial de Foz do Iguaçu – Morumbi, CEP 85858 - 760, inscrita no CNPJ/MF sob</t>
        </is>
      </c>
    </row>
    <row r="553" ht="43.5" customHeight="1">
      <c r="A553" s="142" t="n">
        <v>58288437000152</v>
      </c>
      <c r="B553" s="75" t="inlineStr">
        <is>
          <t>58.288.437/0001-52</t>
        </is>
      </c>
      <c r="C553" s="75" t="inlineStr">
        <is>
          <t>cedente</t>
        </is>
      </c>
      <c r="D553" s="75" t="inlineStr">
        <is>
          <t>a AMEIZIN COMÉRCIO, IMPORTADORA E EXPORTADORA LTDA., sociedade limitada, com sede na cidade de Foz do Igaçu, no estado do Paraná, na Av Perimetral Leste, nº 8.119, Distrito Industrial de Foz do Iguaçu – Morumbi, CEP 85858 - 760, inscrita no CNPJ/MF 42.144.433/0001-60</t>
        </is>
      </c>
      <c r="E553" s="75" t="inlineStr">
        <is>
          <t>N/D</t>
        </is>
      </c>
      <c r="F553" s="75" t="inlineStr">
        <is>
          <t>regulamento</t>
        </is>
      </c>
      <c r="G553" s="75" t="inlineStr">
        <is>
          <t>1090132</t>
        </is>
      </c>
      <c r="H553" s="75" t="inlineStr">
        <is>
          <t>regulamento</t>
        </is>
      </c>
      <c r="I553" s="75" t="inlineStr">
        <is>
          <t>2026-01-15</t>
        </is>
      </c>
      <c r="J553" s="75" t="inlineStr">
        <is>
          <t>83</t>
        </is>
      </c>
      <c r="K553" s="75" t="inlineStr">
        <is>
          <t>encontrado_explicito</t>
        </is>
      </c>
      <c r="L553" s="144" t="n">
        <v>0.95</v>
      </c>
      <c r="M553" s="75" t="inlineStr">
        <is>
          <t>data/raw/58288437000152/1090132_regulamento_regulamento_1090132_2026-01-15.pdf</t>
        </is>
      </c>
      <c r="N553" s="75" t="inlineStr">
        <is>
          <t>https://fnet.bmfbovespa.com.br/fnet/publico/downloadDocumento?id=1090132</t>
        </is>
      </c>
      <c r="O553" s="75" t="inlineStr">
        <is>
          <t>uaçu – Morumbi, CEP 85858 - 760, inscrita no CNPJ/MF sob o nº 08.307.549/0001-35, bem como suas respectivas filiais. “Cedente Ameizin” significa a AMEIZIN COMÉRCIO, IMPORTADORA E EXPORTADORA LTDA., sociedade limitada, com sede na cidade de Foz do Igaçu, no estado do Paraná, na Av Perimetral Leste, nº 8.119, Distrito Industrial de Foz do Iguaçu – Morumbi, CEP 85858 - 760, inscrita no CNPJ/MF 42.144.433/0001-60; “Cedentes” significa, em conjunto, os Cedentes Duplicatas, os Cedentes Recebíveis Cartão e os Cedentes Adicionais.</t>
        </is>
      </c>
    </row>
    <row r="554" ht="43.5" customHeight="1">
      <c r="A554" s="142" t="n">
        <v>58288437000152</v>
      </c>
      <c r="B554" s="75" t="inlineStr">
        <is>
          <t>58.288.437/0001-52</t>
        </is>
      </c>
      <c r="C554" s="75" t="inlineStr">
        <is>
          <t>cedente</t>
        </is>
      </c>
      <c r="D554" s="75" t="inlineStr">
        <is>
          <t>os titulares dos Direitos Creditórios – Adicionais, conforme aplicável, os quais serão (i) pessoas físicas e jurídicas integrantes do Grupo Econômico da Cedente Altomax</t>
        </is>
      </c>
      <c r="E554" s="75" t="inlineStr">
        <is>
          <t>N/D</t>
        </is>
      </c>
      <c r="F554" s="75" t="inlineStr">
        <is>
          <t>regulamento</t>
        </is>
      </c>
      <c r="G554" s="75" t="inlineStr">
        <is>
          <t>1090132</t>
        </is>
      </c>
      <c r="H554" s="75" t="inlineStr">
        <is>
          <t>regulamento</t>
        </is>
      </c>
      <c r="I554" s="75" t="inlineStr">
        <is>
          <t>2026-01-15</t>
        </is>
      </c>
      <c r="J554" s="75" t="inlineStr">
        <is>
          <t>83</t>
        </is>
      </c>
      <c r="K554" s="75" t="inlineStr">
        <is>
          <t>encontrado_explicito</t>
        </is>
      </c>
      <c r="L554" s="144" t="n">
        <v>0.95</v>
      </c>
      <c r="M554" s="75" t="inlineStr">
        <is>
          <t>data/raw/58288437000152/1090132_regulamento_regulamento_1090132_2026-01-15.pdf</t>
        </is>
      </c>
      <c r="N554" s="75" t="inlineStr">
        <is>
          <t>https://fnet.bmfbovespa.com.br/fnet/publico/downloadDocumento?id=1090132</t>
        </is>
      </c>
      <c r="O554" s="75" t="inlineStr">
        <is>
          <t>; “Cedentes” significa, em conjunto, os Cedentes Duplicatas, os Cedentes Recebíveis Cartão e os Cedentes Adicionais. “Cedentes Adicionais” significam os titulares dos Direitos Creditórios – Adicionais, conforme aplicável, os quais serão (i) pessoas físicas e jurídicas integrantes do Grupo Econômico da Cedente Altomax; e (ii) o ARAGUAIA FUNDO DE INVESTIMENTO EM DIREITOS CREDITÓRIOS RESPONSABILIDADE LIMITADA , inscrito no CNPJ</t>
        </is>
      </c>
    </row>
    <row r="555" ht="43.5" customHeight="1">
      <c r="A555" s="142" t="n">
        <v>58288437000152</v>
      </c>
      <c r="B555" s="75" t="inlineStr">
        <is>
          <t>58.288.437/0001-52</t>
        </is>
      </c>
      <c r="C555" s="75" t="inlineStr">
        <is>
          <t>cedente</t>
        </is>
      </c>
      <c r="D555" s="75" t="inlineStr">
        <is>
          <t>a ALTOMAX COMÉRCIO DE MEIAS E COBERTORES, IMPORTAÇÃO E EXPORTAÇÃO LTDA, sociedade limitada, com sede na cidade de Foz do Iguaçu, estado do Paraná, na Av</t>
        </is>
      </c>
      <c r="E555" s="75" t="inlineStr">
        <is>
          <t>N/D</t>
        </is>
      </c>
      <c r="F555" s="75" t="inlineStr">
        <is>
          <t>regulamento</t>
        </is>
      </c>
      <c r="G555" s="75" t="inlineStr">
        <is>
          <t>1240668</t>
        </is>
      </c>
      <c r="H555" s="75" t="inlineStr">
        <is>
          <t>Regulamento</t>
        </is>
      </c>
      <c r="I555" s="75" t="inlineStr">
        <is>
          <t>24/02/2026</t>
        </is>
      </c>
      <c r="J555" s="75" t="inlineStr">
        <is>
          <t>83</t>
        </is>
      </c>
      <c r="K555" s="75" t="inlineStr">
        <is>
          <t>encontrado_explicito</t>
        </is>
      </c>
      <c r="L555" s="144" t="n">
        <v>0.95</v>
      </c>
      <c r="M555" s="75" t="inlineStr">
        <is>
          <t>.cache/carteira_101_document_scan/58288437000152/1240668.json.gz</t>
        </is>
      </c>
      <c r="N555" s="75" t="inlineStr">
        <is>
          <t>https://fnet.bmfbovespa.com.br/fnet/publico/downloadDocumento?id=1240668</t>
        </is>
      </c>
      <c r="O555" s="75" t="inlineStr">
        <is>
          <t>Subclasse. “Capital Autorizado” tem o significado do item (ii) do Artigo 13.6 deste Regulamento. 83 / 108 “Cedente Altomax” significa a ALTOMAX COMÉRCIO DE MEIAS E COBERTORES, IMPORTAÇÃO E EXPORTAÇÃO LTDA, sociedade limitada, com sede na cidade de Foz do Iguaçu, estado do Paraná, na Av. Perimetral Leste, nº 8.119, Distrito Industrial de Foz do Iguaçu – Morumbi, CEP 85858- 760, inscrita no CNPJ/MF sob o</t>
        </is>
      </c>
    </row>
    <row r="556" ht="43.5" customHeight="1">
      <c r="A556" s="142" t="n">
        <v>58288437000152</v>
      </c>
      <c r="B556" s="75" t="inlineStr">
        <is>
          <t>58.288.437/0001-52</t>
        </is>
      </c>
      <c r="C556" s="75" t="inlineStr">
        <is>
          <t>cedente</t>
        </is>
      </c>
      <c r="D556" s="75" t="inlineStr">
        <is>
          <t>a AMEIZIN COMÉRCIO, IMPORTADORA E EXPORTADORA LTDA., sociedade limitada, com sede na cidade de Foz do Igaçu, no estado do Paraná, na Av Perimetral Leste, nº 8.119, Distrito Industrial de Foz do Iguaçu – Morumbi, CEP 85858- 760, inscrita no CNPJ/MF 42.144.433/0001-60</t>
        </is>
      </c>
      <c r="E556" s="75" t="inlineStr">
        <is>
          <t>N/D</t>
        </is>
      </c>
      <c r="F556" s="75" t="inlineStr">
        <is>
          <t>regulamento</t>
        </is>
      </c>
      <c r="G556" s="75" t="inlineStr">
        <is>
          <t>1240668</t>
        </is>
      </c>
      <c r="H556" s="75" t="inlineStr">
        <is>
          <t>Regulamento</t>
        </is>
      </c>
      <c r="I556" s="75" t="inlineStr">
        <is>
          <t>24/02/2026</t>
        </is>
      </c>
      <c r="J556" s="75" t="inlineStr">
        <is>
          <t>83</t>
        </is>
      </c>
      <c r="K556" s="75" t="inlineStr">
        <is>
          <t>encontrado_explicito</t>
        </is>
      </c>
      <c r="L556" s="144" t="n">
        <v>0.95</v>
      </c>
      <c r="M556" s="75" t="inlineStr">
        <is>
          <t>.cache/carteira_101_document_scan/58288437000152/1240668.json.gz</t>
        </is>
      </c>
      <c r="N556" s="75" t="inlineStr">
        <is>
          <t>https://fnet.bmfbovespa.com.br/fnet/publico/downloadDocumento?id=1240668</t>
        </is>
      </c>
      <c r="O556" s="75" t="inlineStr">
        <is>
          <t>açu – Morumbi, CEP 85858- 760, inscrita no CNPJ/MF sob o nº 08.307.549/0001-35, bem como suas respectivas filiais. “Cedente Ameizin” significa a AMEIZIN COMÉRCIO, IMPORTADORA E EXPORTADORA LTDA., sociedade limitada, com sede na cidade de Foz do Igaçu, no estado do Paraná, na Av Perimetral Leste, nº 8.119, Distrito Industrial de Foz do Iguaçu – Morumbi, CEP 85858- 760, inscrita no CNPJ/MF 42.144.433/0001-60; “Cedentes” significa, em conjunto, os Cedentes Duplicatas , os Cedentes Recebíveis Cartão e os Cedentes Adicion</t>
        </is>
      </c>
    </row>
    <row r="557" ht="43.5" customHeight="1">
      <c r="A557" s="142" t="n">
        <v>58288437000152</v>
      </c>
      <c r="B557" s="75" t="inlineStr">
        <is>
          <t>58.288.437/0001-52</t>
        </is>
      </c>
      <c r="C557" s="75" t="inlineStr">
        <is>
          <t>cedente</t>
        </is>
      </c>
      <c r="D557" s="75" t="inlineStr">
        <is>
          <t>os titulares dos Direitos Creditórios – Adicionais, conforme aplicável, os quais serão (i) pessoas físicas e jurídicas integrantes do Grupo Econômico da Cedente Altomax</t>
        </is>
      </c>
      <c r="E557" s="75" t="inlineStr">
        <is>
          <t>N/D</t>
        </is>
      </c>
      <c r="F557" s="75" t="inlineStr">
        <is>
          <t>regulamento</t>
        </is>
      </c>
      <c r="G557" s="75" t="inlineStr">
        <is>
          <t>1240668</t>
        </is>
      </c>
      <c r="H557" s="75" t="inlineStr">
        <is>
          <t>Regulamento</t>
        </is>
      </c>
      <c r="I557" s="75" t="inlineStr">
        <is>
          <t>24/02/2026</t>
        </is>
      </c>
      <c r="J557" s="75" t="inlineStr">
        <is>
          <t>83</t>
        </is>
      </c>
      <c r="K557" s="75" t="inlineStr">
        <is>
          <t>encontrado_explicito</t>
        </is>
      </c>
      <c r="L557" s="144" t="n">
        <v>0.95</v>
      </c>
      <c r="M557" s="75" t="inlineStr">
        <is>
          <t>.cache/carteira_101_document_scan/58288437000152/1240668.json.gz</t>
        </is>
      </c>
      <c r="N557" s="75" t="inlineStr">
        <is>
          <t>https://fnet.bmfbovespa.com.br/fnet/publico/downloadDocumento?id=1240668</t>
        </is>
      </c>
      <c r="O557" s="75" t="inlineStr">
        <is>
          <t>dentes” significa, em conjunto, os Cedentes Duplicatas , os Cedentes Recebíveis Cartão e os Cedentes Adicionais. “Cedentes Adicionais” significam os titulares dos Direitos Creditórios – Adicionais, conforme aplicável, os quais serão (i) pessoas físicas e jurídicas integrantes do Grupo Econômico da Cedente Altomax ; e (ii) o ARAGUAIA FUNDO DE INVESTIMENTO EM DIREITOS CREDITÓRIOS RESPONSABILIDADE LIMITADA , inscrito no CNPJ sob o n</t>
        </is>
      </c>
    </row>
    <row r="558" ht="43.5" customHeight="1">
      <c r="A558" s="142" t="n">
        <v>58288437000152</v>
      </c>
      <c r="B558" s="75" t="inlineStr">
        <is>
          <t>58.288.437/0001-52</t>
        </is>
      </c>
      <c r="C558" s="75" t="inlineStr">
        <is>
          <t>cedente</t>
        </is>
      </c>
      <c r="D558" s="75" t="inlineStr">
        <is>
          <t>o Conselho Monetário Nacional</t>
        </is>
      </c>
      <c r="E558" s="75" t="inlineStr">
        <is>
          <t>N/D</t>
        </is>
      </c>
      <c r="F558" s="75" t="inlineStr">
        <is>
          <t>assembleia</t>
        </is>
      </c>
      <c r="G558" s="75" t="inlineStr">
        <is>
          <t>1090126</t>
        </is>
      </c>
      <c r="H558" s="75" t="inlineStr">
        <is>
          <t>Assembleia AGE Ata da Assembleia</t>
        </is>
      </c>
      <c r="I558" s="75" t="inlineStr">
        <is>
          <t>15/01/2026 15:00</t>
        </is>
      </c>
      <c r="J558" s="75" t="inlineStr">
        <is>
          <t>3</t>
        </is>
      </c>
      <c r="K558" s="75" t="inlineStr">
        <is>
          <t>encontrado_explicito</t>
        </is>
      </c>
      <c r="L558" s="144" t="n">
        <v>0.95</v>
      </c>
      <c r="M558" s="75" t="inlineStr">
        <is>
          <t>.cache/carteira_101_document_scan/58288437000152/1090126.json.gz</t>
        </is>
      </c>
      <c r="N558" s="75" t="inlineStr">
        <is>
          <t>https://fnet.bmfbovespa.com.br/fnet/publico/downloadDocumento?id=1090126</t>
        </is>
      </c>
      <c r="O558" s="75" t="inlineStr">
        <is>
          <t>em valor limitado ao valor do Excesso de Cobertura, nos termos do Artigo 3.1.1; “COMPLEMENTO I – DEFINIÇÕES [...] “Cedentes Adicionais” significa o Conselho Monetário Nacional. “Cedente Ameizin” significam os titulares dos Direitos Creditórios – Adicionais, conforme aplicável, os quais serão</t>
        </is>
      </c>
    </row>
    <row r="559" ht="43.5" customHeight="1">
      <c r="A559" s="142" t="n">
        <v>58288437000152</v>
      </c>
      <c r="B559" s="75" t="inlineStr">
        <is>
          <t>58.288.437/0001-52</t>
        </is>
      </c>
      <c r="C559" s="75" t="inlineStr">
        <is>
          <t>cedente</t>
        </is>
      </c>
      <c r="D559" s="75" t="inlineStr">
        <is>
          <t>os titulares dos Direitos Creditórios – Adicionais, conforme aplicável, os quais serão (i) pessoas físicas e jurídicas integrantes do Grupo Econômico da Cedente Altomax</t>
        </is>
      </c>
      <c r="E559" s="75" t="inlineStr">
        <is>
          <t>N/D</t>
        </is>
      </c>
      <c r="F559" s="75" t="inlineStr">
        <is>
          <t>assembleia</t>
        </is>
      </c>
      <c r="G559" s="75" t="inlineStr">
        <is>
          <t>1090126</t>
        </is>
      </c>
      <c r="H559" s="75" t="inlineStr">
        <is>
          <t>Assembleia AGE Ata da Assembleia</t>
        </is>
      </c>
      <c r="I559" s="75" t="inlineStr">
        <is>
          <t>15/01/2026 15:00</t>
        </is>
      </c>
      <c r="J559" s="75" t="inlineStr">
        <is>
          <t>3</t>
        </is>
      </c>
      <c r="K559" s="75" t="inlineStr">
        <is>
          <t>encontrado_explicito</t>
        </is>
      </c>
      <c r="L559" s="144" t="n">
        <v>0.95</v>
      </c>
      <c r="M559" s="75" t="inlineStr">
        <is>
          <t>.cache/carteira_101_document_scan/58288437000152/1090126.json.gz</t>
        </is>
      </c>
      <c r="N559" s="75" t="inlineStr">
        <is>
          <t>https://fnet.bmfbovespa.com.br/fnet/publico/downloadDocumento?id=1090126</t>
        </is>
      </c>
      <c r="O559" s="75" t="inlineStr">
        <is>
          <t>do Artigo 3.1.1; “COMPLEMENTO I – DEFINIÇÕES [...] “Cedentes Adicionais” significa o Conselho Monetário Nacional. “Cedente Ameizin” significam os titulares dos Direitos Creditórios – Adicionais, conforme aplicável, os quais serão (i) pessoas físicas e jurídicas integrantes do Grupo Econômico da Cedente Altomax; e (ii) o ARAGUAIA FUNDO DE INVESTIMENTO EM DIREITOS CREDITÓRIOS RESPONSABILIDADE LIMITADA, inscrito no CNPJ sob o n</t>
        </is>
      </c>
    </row>
    <row r="560" ht="43.5" customHeight="1">
      <c r="A560" s="142" t="n">
        <v>58288437000152</v>
      </c>
      <c r="B560" s="75" t="inlineStr">
        <is>
          <t>58.288.437/0001-52</t>
        </is>
      </c>
      <c r="C560" s="75" t="inlineStr">
        <is>
          <t>cedente</t>
        </is>
      </c>
      <c r="D560" s="75" t="inlineStr">
        <is>
          <t>a AMEIZIN COMÉRCIO, IMPORTADORA E EXPORTADORA LTDA., sociedade limitada, com sede na cidade de Foz do Igaçu, no estado do Paraná, na Av Perimetral Leste, nº 8.119, Distrito Industrial de Foz do Iguaçu – Morumbi, CEP 85858 - 760, inscrita no CNPJ/MF 42.144.433/0001-60</t>
        </is>
      </c>
      <c r="E560" s="75" t="inlineStr">
        <is>
          <t>N/D</t>
        </is>
      </c>
      <c r="F560" s="75" t="inlineStr">
        <is>
          <t>assembleia</t>
        </is>
      </c>
      <c r="G560" s="75" t="inlineStr">
        <is>
          <t>1090126</t>
        </is>
      </c>
      <c r="H560" s="75" t="inlineStr">
        <is>
          <t>Assembleia AGE Ata da Assembleia</t>
        </is>
      </c>
      <c r="I560" s="75" t="inlineStr">
        <is>
          <t>15/01/2026 15:00</t>
        </is>
      </c>
      <c r="J560" s="75" t="inlineStr">
        <is>
          <t>4</t>
        </is>
      </c>
      <c r="K560" s="75" t="inlineStr">
        <is>
          <t>encontrado_explicito</t>
        </is>
      </c>
      <c r="L560" s="144" t="n">
        <v>0.95</v>
      </c>
      <c r="M560" s="75" t="inlineStr">
        <is>
          <t>.cache/carteira_101_document_scan/58288437000152/1090126.json.gz</t>
        </is>
      </c>
      <c r="N560" s="75" t="inlineStr">
        <is>
          <t>https://fnet.bmfbovespa.com.br/fnet/publico/downloadDocumento?id=1090126</t>
        </is>
      </c>
      <c r="O560" s="75" t="inlineStr">
        <is>
          <t>o. Sendo assim, será incluída a definição de “Cedente Ameizin” no Regulamento, que vigorará com a seguinte redação: “Cedente Ameizin” significa a AMEIZIN COMÉRCIO, IMPORTADORA E EXPORTADORA LTDA., sociedade limitada, com sede na cidade de Foz do Igaçu, no estado do Paraná, na Av Perimetral Leste, nº 8.119, Distrito Industrial de Foz do Iguaçu – Morumbi, CEP 85858 - 760, inscrita no CNPJ/MF 42.144.433/0001-60. III. A alteração do Regulamento do Fundo, para prever nova postergação, pelo prazo de 90 (noventa) dias, contados</t>
        </is>
      </c>
    </row>
    <row r="561" ht="43.5" customHeight="1">
      <c r="A561" s="142" t="n">
        <v>58288437000152</v>
      </c>
      <c r="B561" s="75" t="inlineStr">
        <is>
          <t>58.288.437/0001-52</t>
        </is>
      </c>
      <c r="C561" s="75" t="inlineStr">
        <is>
          <t>cedente</t>
        </is>
      </c>
      <c r="D561" s="75" t="inlineStr">
        <is>
          <t>08.307.549/0001-35</t>
        </is>
      </c>
      <c r="E561" s="75" t="inlineStr">
        <is>
          <t>N/D</t>
        </is>
      </c>
      <c r="F561" s="75" t="inlineStr">
        <is>
          <t>candidate_extraction</t>
        </is>
      </c>
      <c r="G561" s="75" t="inlineStr">
        <is>
          <t>58288437000152</t>
        </is>
      </c>
      <c r="H561" s="75" t="inlineStr">
        <is>
          <t>extração heurística</t>
        </is>
      </c>
      <c r="I561" s="75" t="inlineStr">
        <is>
          <t>N/D</t>
        </is>
      </c>
      <c r="J561" s="75" t="inlineStr">
        <is>
          <t>N/D</t>
        </is>
      </c>
      <c r="K561" s="75" t="inlineStr">
        <is>
          <t>candidato_revisao</t>
        </is>
      </c>
      <c r="L561" s="144" t="n">
        <v>0.95</v>
      </c>
      <c r="M561" s="75" t="inlineStr">
        <is>
          <t>outputs/fidc_director_deep_diagnostic_20260609/pdf_text_cache/58288437000152_1090132_regulamento_regulamento_1090132_2026-01-15.txt</t>
        </is>
      </c>
      <c r="N561" s="75" t="inlineStr">
        <is>
          <t>https://fnet.bmfbovespa.com.br/fnet/publico/downloadDocumento?id=58288437000152</t>
        </is>
      </c>
      <c r="O561" s="75" t="inlineStr">
        <is>
          <t>rial de Foz do Iguaçu – Morumbi, CEP 85858 - 760, inscrita no CNPJ/MF sob o nº 08.307.549/0001-35, bem como suas respectivas filiais. “Cedente Ameizin” significa a AMEIZIN COMÉRCIO, IMPORTADORA E EXPORTADORA LTDA., sociedade limitada, com sede na cidade de Foz do Igaçu, no estado do Paraná, na Av Perimetral Leste, nº 8.119, Distrito Industrial de</t>
        </is>
      </c>
    </row>
    <row r="562" ht="43.5" customHeight="1">
      <c r="A562" s="142" t="n">
        <v>58288437000152</v>
      </c>
      <c r="B562" s="75" t="inlineStr">
        <is>
          <t>58.288.437/0001-52</t>
        </is>
      </c>
      <c r="C562" s="75" t="inlineStr">
        <is>
          <t>cedente</t>
        </is>
      </c>
      <c r="D562" s="75" t="inlineStr">
        <is>
          <t>42.144.433/0001-60</t>
        </is>
      </c>
      <c r="E562" s="75" t="inlineStr">
        <is>
          <t>N/D</t>
        </is>
      </c>
      <c r="F562" s="75" t="inlineStr">
        <is>
          <t>candidate_extraction</t>
        </is>
      </c>
      <c r="G562" s="75" t="inlineStr">
        <is>
          <t>58288437000152</t>
        </is>
      </c>
      <c r="H562" s="75" t="inlineStr">
        <is>
          <t>extração heurística</t>
        </is>
      </c>
      <c r="I562" s="75" t="inlineStr">
        <is>
          <t>N/D</t>
        </is>
      </c>
      <c r="J562" s="75" t="inlineStr">
        <is>
          <t>N/D</t>
        </is>
      </c>
      <c r="K562" s="75" t="inlineStr">
        <is>
          <t>candidato_revisao</t>
        </is>
      </c>
      <c r="L562" s="144" t="n">
        <v>0.95</v>
      </c>
      <c r="M562" s="75" t="inlineStr">
        <is>
          <t>outputs/fidc_director_deep_diagnostic_20260609/pdf_text_cache/58288437000152_1090132_regulamento_regulamento_1090132_2026-01-15.txt</t>
        </is>
      </c>
      <c r="N562" s="75" t="inlineStr">
        <is>
          <t>https://fnet.bmfbovespa.com.br/fnet/publico/downloadDocumento?id=58288437000152</t>
        </is>
      </c>
      <c r="O562" s="75" t="inlineStr">
        <is>
          <t>Foz do Iguaçu – Morumbi, CEP 85858 - 760, inscrita no CNPJ/MF 42.144.433/0001-60; “Cedentes” significa, em conjunto, os Cedentes Duplicatas, os Cedentes Recebíveis Cartão e os Cedentes Adicionais. “Cedentes Adicionais” significam os titulares dos Direitos Creditórios – Adicionais, conforme aplicável, os quais serão (i) pessoas físicas e jurídicas integrantes do Grupo Econômico da Cedente Altomax; e (ii) o ARAGUAIA FUN</t>
        </is>
      </c>
    </row>
    <row r="563" ht="43.5" customHeight="1">
      <c r="A563" s="142" t="n">
        <v>58288437000152</v>
      </c>
      <c r="B563" s="75" t="inlineStr">
        <is>
          <t>58.288.437/0001-52</t>
        </is>
      </c>
      <c r="C563" s="75" t="inlineStr">
        <is>
          <t>cedente</t>
        </is>
      </c>
      <c r="D563" s="75" t="inlineStr">
        <is>
          <t>32.321.306/0001-36</t>
        </is>
      </c>
      <c r="E563" s="75" t="inlineStr">
        <is>
          <t>N/D</t>
        </is>
      </c>
      <c r="F563" s="75" t="inlineStr">
        <is>
          <t>candidate_extraction</t>
        </is>
      </c>
      <c r="G563" s="75" t="inlineStr">
        <is>
          <t>58288437000152</t>
        </is>
      </c>
      <c r="H563" s="75" t="inlineStr">
        <is>
          <t>extração heurística</t>
        </is>
      </c>
      <c r="I563" s="75" t="inlineStr">
        <is>
          <t>N/D</t>
        </is>
      </c>
      <c r="J563" s="75" t="inlineStr">
        <is>
          <t>N/D</t>
        </is>
      </c>
      <c r="K563" s="75" t="inlineStr">
        <is>
          <t>candidato_revisao</t>
        </is>
      </c>
      <c r="L563" s="144" t="n">
        <v>0.95</v>
      </c>
      <c r="M563" s="75" t="inlineStr">
        <is>
          <t>outputs/fidc_director_deep_diagnostic_20260609/pdf_text_cache/58288437000152_1090132_regulamento_regulamento_1090132_2026-01-15.txt</t>
        </is>
      </c>
      <c r="N563" s="75" t="inlineStr">
        <is>
          <t>https://fnet.bmfbovespa.com.br/fnet/publico/downloadDocumento?id=58288437000152</t>
        </is>
      </c>
      <c r="O563" s="75" t="inlineStr">
        <is>
          <t>DO DE INVESTIMENTO EM DIREITOS CREDITÓRIOS RESPONSABILIDADE LIMITADA , inscrito no CNPJ sob o nº 32.321.306/0001-36. “Cedentes Duplicatas” significa, em conjunto: (i) a Cedente Altomax; (ii) a Hoahi Importação e Exportação Têxtil Ltda., inscrita no CNPJ sob o nº 20.097.745/0001- 28; (iii) a Cedente Amezin; e (iv) a Guarany Administradora de Bens Próprios Ltda., inscrito no CNPJ sob o nº 54.</t>
        </is>
      </c>
    </row>
    <row r="564" ht="43.5" customHeight="1">
      <c r="A564" s="142" t="n">
        <v>58288437000152</v>
      </c>
      <c r="B564" s="75" t="inlineStr">
        <is>
          <t>58.288.437/0001-52</t>
        </is>
      </c>
      <c r="C564" s="75" t="inlineStr">
        <is>
          <t>minimo_junior</t>
        </is>
      </c>
      <c r="D564" s="75" t="inlineStr">
        <is>
          <t>20%</t>
        </is>
      </c>
      <c r="E564" s="75" t="inlineStr">
        <is>
          <t>junior_pl</t>
        </is>
      </c>
      <c r="F564" s="75" t="inlineStr">
        <is>
          <t>payload_documental</t>
        </is>
      </c>
      <c r="G564" s="75" t="inlineStr">
        <is>
          <t>1240668</t>
        </is>
      </c>
      <c r="H564" s="75" t="inlineStr">
        <is>
          <t>documento_curado</t>
        </is>
      </c>
      <c r="I564" s="75" t="inlineStr">
        <is>
          <t>2026-02-24</t>
        </is>
      </c>
      <c r="J564" s="75" t="inlineStr">
        <is>
          <t>94</t>
        </is>
      </c>
      <c r="K564" s="75" t="inlineStr">
        <is>
          <t>aceito_payload</t>
        </is>
      </c>
      <c r="L564" s="144" t="n">
        <v>1</v>
      </c>
      <c r="M564" s="75" t="inlineStr">
        <is>
          <t>data/industry_study/generated_revision/artifact_payload.json</t>
        </is>
      </c>
      <c r="N564" s="75" t="inlineStr">
        <is>
          <t>https://fnet.bmfbovespa.com.br/fnet/publico/downloadDocumento?id=1240668</t>
        </is>
      </c>
      <c r="O564" s="75" t="inlineStr">
        <is>
          <t>Índice de Subordinação Mezanino: cotas júnior / PL, mínimo de 20,0%.</t>
        </is>
      </c>
    </row>
    <row r="565" ht="43.5" customHeight="1">
      <c r="A565" s="142" t="n">
        <v>58288437000152</v>
      </c>
      <c r="B565" s="75" t="inlineStr">
        <is>
          <t>58.288.437/0001-52</t>
        </is>
      </c>
      <c r="C565" s="75" t="inlineStr">
        <is>
          <t>natureza_indice</t>
        </is>
      </c>
      <c r="D565" s="75" t="inlineStr">
        <is>
          <t>junior_pl</t>
        </is>
      </c>
      <c r="E565" s="75" t="inlineStr">
        <is>
          <t>junior_pl</t>
        </is>
      </c>
      <c r="F565" s="75" t="inlineStr">
        <is>
          <t>payload_documental</t>
        </is>
      </c>
      <c r="G565" s="75" t="inlineStr">
        <is>
          <t>1240668</t>
        </is>
      </c>
      <c r="H565" s="75" t="inlineStr">
        <is>
          <t>documento_curado</t>
        </is>
      </c>
      <c r="I565" s="75" t="inlineStr">
        <is>
          <t>2026-02-24</t>
        </is>
      </c>
      <c r="J565" s="75" t="inlineStr">
        <is>
          <t>94</t>
        </is>
      </c>
      <c r="K565" s="75" t="inlineStr">
        <is>
          <t>aceito_payload</t>
        </is>
      </c>
      <c r="L565" s="144" t="n">
        <v>1</v>
      </c>
      <c r="M565" s="75" t="inlineStr">
        <is>
          <t>data/industry_study/generated_revision/artifact_payload.json</t>
        </is>
      </c>
      <c r="N565" s="75" t="inlineStr">
        <is>
          <t>https://fnet.bmfbovespa.com.br/fnet/publico/downloadDocumento?id=1240668</t>
        </is>
      </c>
      <c r="O565" s="75" t="inlineStr">
        <is>
          <t>Índice de Subordinação Mezanino: cotas júnior / PL, mínimo de 20,0%.</t>
        </is>
      </c>
    </row>
    <row r="566" ht="43.5" customHeight="1">
      <c r="A566" s="142" t="n">
        <v>58288437000152</v>
      </c>
      <c r="B566" s="75" t="inlineStr">
        <is>
          <t>58.288.437/0001-52</t>
        </is>
      </c>
      <c r="C566" s="75" t="inlineStr">
        <is>
          <t>sacado_devedor</t>
        </is>
      </c>
      <c r="D566" s="75" t="inlineStr">
        <is>
          <t>os seguintes Devedores - Duplicatas: · EBAZAR.COM.BR</t>
        </is>
      </c>
      <c r="E566" s="75" t="inlineStr">
        <is>
          <t>N/D</t>
        </is>
      </c>
      <c r="F566" s="75" t="inlineStr">
        <is>
          <t>regulamento</t>
        </is>
      </c>
      <c r="G566" s="75" t="inlineStr">
        <is>
          <t>935844</t>
        </is>
      </c>
      <c r="H566" s="75" t="inlineStr">
        <is>
          <t>regulamento</t>
        </is>
      </c>
      <c r="I566" s="75" t="inlineStr">
        <is>
          <t>2025-06-17</t>
        </is>
      </c>
      <c r="J566" s="75" t="inlineStr">
        <is>
          <t>75</t>
        </is>
      </c>
      <c r="K566" s="75" t="inlineStr">
        <is>
          <t>encontrado_explicito</t>
        </is>
      </c>
      <c r="L566" s="144" t="n">
        <v>0.95</v>
      </c>
      <c r="M566" s="75" t="inlineStr">
        <is>
          <t>data/raw/58288437000152/935844_regulamento_regulamento_935844_2025-06-17.pdf</t>
        </is>
      </c>
      <c r="N566" s="75" t="inlineStr">
        <is>
          <t>https://fnet.bmfbovespa.com.br/fnet/publico/downloadDocumento?id=935844</t>
        </is>
      </c>
      <c r="O566" s="75" t="inlineStr">
        <is>
          <t>Duplicatas, cedidos ao Fundo pelos Cedentes Duplicatas, em razão da realização de operações de compra mercantil. “Devedores Especiais ” significam os seguintes Devedores - Duplicatas: · EBAZAR.COM.BR. LTDA, inscrito no CNPJ sob o nº 03.007.331/0008 -18; · LOJAS RENNER S.A., inscrito no CNPJ sob o nº 92.754.738/0001</t>
        </is>
      </c>
    </row>
    <row r="567" ht="43.5" customHeight="1">
      <c r="A567" s="142" t="n">
        <v>58288437000152</v>
      </c>
      <c r="B567" s="75" t="inlineStr">
        <is>
          <t>58.288.437/0001-52</t>
        </is>
      </c>
      <c r="C567" s="75" t="inlineStr">
        <is>
          <t>sacado_devedor</t>
        </is>
      </c>
      <c r="D567" s="75" t="inlineStr">
        <is>
          <t>os devedores dos Direitos Creditórios – Adicionais, cedidos ao Fundo pelos Cedentes Adicionais ou emitidos diretamente em face do Fundo, conforme aplicável, os quais serão pessoas físicas e jurídicas integrantes do Grupo Econômico da Cedente Altomax</t>
        </is>
      </c>
      <c r="E567" s="75" t="inlineStr">
        <is>
          <t>N/D</t>
        </is>
      </c>
      <c r="F567" s="75" t="inlineStr">
        <is>
          <t>regulamento</t>
        </is>
      </c>
      <c r="G567" s="75" t="inlineStr">
        <is>
          <t>1090132</t>
        </is>
      </c>
      <c r="H567" s="75" t="inlineStr">
        <is>
          <t>regulamento</t>
        </is>
      </c>
      <c r="I567" s="75" t="inlineStr">
        <is>
          <t>2026-01-15</t>
        </is>
      </c>
      <c r="J567" s="75" t="inlineStr">
        <is>
          <t>87</t>
        </is>
      </c>
      <c r="K567" s="75" t="inlineStr">
        <is>
          <t>encontrado_explicito</t>
        </is>
      </c>
      <c r="L567" s="144" t="n">
        <v>0.95</v>
      </c>
      <c r="M567" s="75" t="inlineStr">
        <is>
          <t>data/raw/58288437000152/1090132_regulamento_regulamento_1090132_2026-01-15.pdf</t>
        </is>
      </c>
      <c r="N567" s="75" t="inlineStr">
        <is>
          <t>https://fnet.bmfbovespa.com.br/fnet/publico/downloadDocumento?id=1090132</t>
        </is>
      </c>
      <c r="O567" s="75" t="inlineStr">
        <is>
          <t>s como um único Devedor para fins dos limites de concentração da carteira e validação dos Critérios de Elegibilidade. “Devedores Adicionais” significam os devedores dos Direitos Creditórios – Adicionais, cedidos ao Fundo pelos Cedentes Adicionais ou emitidos diretamente em face do Fundo, conforme aplicável, os quais serão pessoas físicas e jurídicas integrantes do Grupo Econômico da Cedente Altomax. Docusign Envelope ID: FD488738-CE3C-461D-83A4-80CD5FC68CF9 88 / 108 “Devedores – Duplicatas” significam os dev</t>
        </is>
      </c>
    </row>
    <row r="568" ht="43.5" customHeight="1">
      <c r="A568" s="142" t="n">
        <v>58288437000152</v>
      </c>
      <c r="B568" s="75" t="inlineStr">
        <is>
          <t>58.288.437/0001-52</t>
        </is>
      </c>
      <c r="C568" s="75" t="inlineStr">
        <is>
          <t>sacado_devedor</t>
        </is>
      </c>
      <c r="D568" s="75" t="inlineStr">
        <is>
          <t>os seguintes Devedores - Duplicatas:</t>
        </is>
      </c>
      <c r="E568" s="75" t="inlineStr">
        <is>
          <t>N/D</t>
        </is>
      </c>
      <c r="F568" s="75" t="inlineStr">
        <is>
          <t>regulamento</t>
        </is>
      </c>
      <c r="G568" s="75" t="inlineStr">
        <is>
          <t>1090132</t>
        </is>
      </c>
      <c r="H568" s="75" t="inlineStr">
        <is>
          <t>regulamento</t>
        </is>
      </c>
      <c r="I568" s="75" t="inlineStr">
        <is>
          <t>2026-01-15</t>
        </is>
      </c>
      <c r="J568" s="75" t="inlineStr">
        <is>
          <t>88</t>
        </is>
      </c>
      <c r="K568" s="75" t="inlineStr">
        <is>
          <t>encontrado_explicito</t>
        </is>
      </c>
      <c r="L568" s="144" t="n">
        <v>0.95</v>
      </c>
      <c r="M568" s="75" t="inlineStr">
        <is>
          <t>data/raw/58288437000152/1090132_regulamento_regulamento_1090132_2026-01-15.pdf</t>
        </is>
      </c>
      <c r="N568" s="75" t="inlineStr">
        <is>
          <t>https://fnet.bmfbovespa.com.br/fnet/publico/downloadDocumento?id=1090132</t>
        </is>
      </c>
      <c r="O568" s="75" t="inlineStr">
        <is>
          <t>s – Duplicatas, cedidos ao Fundo pelos Cedentes Duplicatas, em razão da realização de operações de compra mercantil. “Devedores Especiais” significam os seguintes Devedores - Duplicatas: • EBAZAR.COM.BR. LTDA, inscrito no CNPJ sob o nº 03.007.331/0008-18; • LOJAS RENNER S.A., inscrito no CNPJ sob o nº</t>
        </is>
      </c>
    </row>
    <row r="569" ht="43.5" customHeight="1">
      <c r="A569" s="142" t="n">
        <v>58288437000152</v>
      </c>
      <c r="B569" s="75" t="inlineStr">
        <is>
          <t>58.288.437/0001-52</t>
        </is>
      </c>
      <c r="C569" s="75" t="inlineStr">
        <is>
          <t>sacado_devedor</t>
        </is>
      </c>
      <c r="D569" s="75" t="inlineStr">
        <is>
          <t>os devedores dos Direitos Creditórios – Adicionais, cedidos ao Fundo pelos Cedentes Adicionais ou emitidos diretamente em face do Fundo, conforme aplicável, os quais serão pessoas fí sicas e jurídicas integrantes do Grupo Econômico da Cedente Altomax.</t>
        </is>
      </c>
      <c r="E569" s="75" t="inlineStr">
        <is>
          <t>N/D</t>
        </is>
      </c>
      <c r="F569" s="75" t="inlineStr">
        <is>
          <t>regulamento</t>
        </is>
      </c>
      <c r="G569" s="75" t="inlineStr">
        <is>
          <t>1240668</t>
        </is>
      </c>
      <c r="H569" s="75" t="inlineStr">
        <is>
          <t>Regulamento</t>
        </is>
      </c>
      <c r="I569" s="75" t="inlineStr">
        <is>
          <t>24/02/2026</t>
        </is>
      </c>
      <c r="J569" s="75" t="inlineStr">
        <is>
          <t>87</t>
        </is>
      </c>
      <c r="K569" s="75" t="inlineStr">
        <is>
          <t>encontrado_explicito</t>
        </is>
      </c>
      <c r="L569" s="144" t="n">
        <v>0.95</v>
      </c>
      <c r="M569" s="75" t="inlineStr">
        <is>
          <t>.cache/carteira_101_document_scan/58288437000152/1240668.json.gz</t>
        </is>
      </c>
      <c r="N569" s="75" t="inlineStr">
        <is>
          <t>https://fnet.bmfbovespa.com.br/fnet/publico/downloadDocumento?id=1240668</t>
        </is>
      </c>
      <c r="O569" s="75" t="inlineStr">
        <is>
          <t>como um único Devedor para fins dos limites de concentração da carteira e validação dos Critérios de Elegibilidade. “Devedores Adicionais” significam os devedores dos Direitos Creditórios – Adicionais, cedidos ao Fundo pelos Cedentes Adicionais ou emitidos diretamente em face do Fundo, conforme aplicável, os quais serão pessoas fí sicas e jurídicas integrantes do Grupo Econômico da Cedente Altomax. 88 / 108 “Devedores – Duplicatas” significam os devedores dos Direitos Creditórios – Duplicatas, cedidos ao</t>
        </is>
      </c>
    </row>
    <row r="570" ht="43.5" customHeight="1">
      <c r="A570" s="142" t="n">
        <v>58288437000152</v>
      </c>
      <c r="B570" s="75" t="inlineStr">
        <is>
          <t>58.288.437/0001-52</t>
        </is>
      </c>
      <c r="C570" s="75" t="inlineStr">
        <is>
          <t>sacado_devedor</t>
        </is>
      </c>
      <c r="D570" s="75" t="inlineStr">
        <is>
          <t>os seguintes Devedores - Duplicatas:</t>
        </is>
      </c>
      <c r="E570" s="75" t="inlineStr">
        <is>
          <t>N/D</t>
        </is>
      </c>
      <c r="F570" s="75" t="inlineStr">
        <is>
          <t>regulamento</t>
        </is>
      </c>
      <c r="G570" s="75" t="inlineStr">
        <is>
          <t>1240668</t>
        </is>
      </c>
      <c r="H570" s="75" t="inlineStr">
        <is>
          <t>Regulamento</t>
        </is>
      </c>
      <c r="I570" s="75" t="inlineStr">
        <is>
          <t>24/02/2026</t>
        </is>
      </c>
      <c r="J570" s="75" t="inlineStr">
        <is>
          <t>88</t>
        </is>
      </c>
      <c r="K570" s="75" t="inlineStr">
        <is>
          <t>encontrado_explicito</t>
        </is>
      </c>
      <c r="L570" s="144" t="n">
        <v>0.95</v>
      </c>
      <c r="M570" s="75" t="inlineStr">
        <is>
          <t>.cache/carteira_101_document_scan/58288437000152/1240668.json.gz</t>
        </is>
      </c>
      <c r="N570" s="75" t="inlineStr">
        <is>
          <t>https://fnet.bmfbovespa.com.br/fnet/publico/downloadDocumento?id=1240668</t>
        </is>
      </c>
      <c r="O570" s="75" t="inlineStr">
        <is>
          <t>– Duplicatas, cedidos ao Fundo pelos Cedentes Duplicatas, em razão da realização de operações de compra mercantil. “Devedores Especiais” significam os seguintes Devedores - Duplicatas: • EBAZAR.COM.BR. LTDA, inscrito no CNPJ sob o nº 03.007.331/0008-18; • LOJAS RENNER S.A., inscrito no CNPJ sob o nº</t>
        </is>
      </c>
    </row>
    <row r="571" ht="43.5" customHeight="1">
      <c r="A571" s="142" t="n">
        <v>58288437000152</v>
      </c>
      <c r="B571" s="75" t="inlineStr">
        <is>
          <t>58.288.437/0001-52</t>
        </is>
      </c>
      <c r="C571" s="75" t="inlineStr">
        <is>
          <t>sacado_devedor</t>
        </is>
      </c>
      <c r="D571" s="75" t="inlineStr">
        <is>
          <t>os seguintes Devedores - Duplicatas cedidos ao Fundo: · EBAZAR.COM.BR</t>
        </is>
      </c>
      <c r="E571" s="75" t="inlineStr">
        <is>
          <t>N/D</t>
        </is>
      </c>
      <c r="F571" s="75" t="inlineStr">
        <is>
          <t>assembleia</t>
        </is>
      </c>
      <c r="G571" s="75" t="inlineStr">
        <is>
          <t>845768</t>
        </is>
      </c>
      <c r="H571" s="75" t="inlineStr">
        <is>
          <t>assembleia</t>
        </is>
      </c>
      <c r="I571" s="75" t="inlineStr">
        <is>
          <t>2025-02-18</t>
        </is>
      </c>
      <c r="J571" s="75" t="inlineStr">
        <is>
          <t>8</t>
        </is>
      </c>
      <c r="K571" s="75" t="inlineStr">
        <is>
          <t>encontrado_explicito</t>
        </is>
      </c>
      <c r="L571" s="144" t="n">
        <v>0.95</v>
      </c>
      <c r="M571" s="75" t="inlineStr">
        <is>
          <t>data/raw/58288437000152/845768_assembleia_assembleia_845768_2025-02-18.pdf</t>
        </is>
      </c>
      <c r="N571" s="75" t="inlineStr">
        <is>
          <t>https://fnet.bmfbovespa.com.br/fnet/publico/downloadDocumento?id=845768</t>
        </is>
      </c>
      <c r="O571" s="75" t="inlineStr">
        <is>
          <t>ssará a vigorar com a seguinte nova redação, conforme a versão do Regulamento constante do Anexo A à presente Ata: “Devedores Especiais” significam os seguintes Devedores - Duplicatas cedidos ao Fundo: · EBAZAR.COM.BR. LTDA, inscrito no CNPJ sob o nº 03.007.331/0008-18; · LOJAS RENNER S.A., inscrito no CNPJ sob o nº 92.754.738/000</t>
        </is>
      </c>
    </row>
    <row r="572" ht="43.5" customHeight="1">
      <c r="A572" s="142" t="n">
        <v>58288437000152</v>
      </c>
      <c r="B572" s="75" t="inlineStr">
        <is>
          <t>58.288.437/0001-52</t>
        </is>
      </c>
      <c r="C572" s="75" t="inlineStr">
        <is>
          <t>sacado_devedor</t>
        </is>
      </c>
      <c r="D572" s="75" t="inlineStr">
        <is>
          <t>E PARA O DEVEDOR ESPECIAL EBAZAR.COM.BR. LTDA</t>
        </is>
      </c>
      <c r="E572" s="75" t="inlineStr">
        <is>
          <t>N/D</t>
        </is>
      </c>
      <c r="F572" s="75" t="inlineStr">
        <is>
          <t>candidate_extraction</t>
        </is>
      </c>
      <c r="G572" s="75" t="inlineStr">
        <is>
          <t>58288437000152</t>
        </is>
      </c>
      <c r="H572" s="75" t="inlineStr">
        <is>
          <t>extração heurística</t>
        </is>
      </c>
      <c r="I572" s="75" t="inlineStr">
        <is>
          <t>N/D</t>
        </is>
      </c>
      <c r="J572" s="75" t="inlineStr">
        <is>
          <t>N/D</t>
        </is>
      </c>
      <c r="K572" s="75" t="inlineStr">
        <is>
          <t>candidato_revisao</t>
        </is>
      </c>
      <c r="L572" s="144" t="n">
        <v>0.95</v>
      </c>
      <c r="M572" s="75" t="inlineStr">
        <is>
          <t>outputs/fidc_director_deep_diagnostic_20260609/pdf_text_cache/58288437000152_1090132_regulamento_regulamento_1090132_2026-01-15.txt</t>
        </is>
      </c>
      <c r="N572" s="75" t="inlineStr">
        <is>
          <t>https://fnet.bmfbovespa.com.br/fnet/publico/downloadDocumento?id=58288437000152</t>
        </is>
      </c>
      <c r="O572" s="75" t="inlineStr">
        <is>
          <t>s será limitado a 3,5% (três inteiros e cinco décimos por cento) do patrimônio líquido do Fundo, exceto para Devedores Especiais, cujo limite de concentração poderá ser de até 5% (cinco por cento) e para o Devedor Especial EBAZAR.COM.BR. LTDA, inscrito no CNPJ sob o nº 03.007.331/0008-18, cujo limite será de até 10% (dez por cento), a ser verificado considerando-se pro forma cada cessão de Direitos Creditórios – Duplicatas ao F</t>
        </is>
      </c>
    </row>
    <row r="573" ht="43.5" customHeight="1">
      <c r="A573" s="142" t="n">
        <v>58288437000152</v>
      </c>
      <c r="B573" s="75" t="inlineStr">
        <is>
          <t>58.288.437/0001-52</t>
        </is>
      </c>
      <c r="C573" s="75" t="inlineStr">
        <is>
          <t>sacado_devedor</t>
        </is>
      </c>
      <c r="D573" s="75" t="inlineStr">
        <is>
          <t>EBAZAR.COM.BR. LTDA</t>
        </is>
      </c>
      <c r="E573" s="75" t="inlineStr">
        <is>
          <t>N/D</t>
        </is>
      </c>
      <c r="F573" s="75" t="inlineStr">
        <is>
          <t>candidate_extraction</t>
        </is>
      </c>
      <c r="G573" s="75" t="inlineStr">
        <is>
          <t>58288437000152</t>
        </is>
      </c>
      <c r="H573" s="75" t="inlineStr">
        <is>
          <t>extração heurística</t>
        </is>
      </c>
      <c r="I573" s="75" t="inlineStr">
        <is>
          <t>N/D</t>
        </is>
      </c>
      <c r="J573" s="75" t="inlineStr">
        <is>
          <t>N/D</t>
        </is>
      </c>
      <c r="K573" s="75" t="inlineStr">
        <is>
          <t>candidato_revisao</t>
        </is>
      </c>
      <c r="L573" s="144" t="n">
        <v>0.95</v>
      </c>
      <c r="M573" s="75" t="inlineStr">
        <is>
          <t>outputs/fidc_director_deep_diagnostic_20260609/pdf_text_cache/58288437000152_1090132_regulamento_regulamento_1090132_2026-01-15.txt</t>
        </is>
      </c>
      <c r="N573" s="75" t="inlineStr">
        <is>
          <t>https://fnet.bmfbovespa.com.br/fnet/publico/downloadDocumento?id=58288437000152</t>
        </is>
      </c>
      <c r="O573" s="75" t="inlineStr">
        <is>
          <t>m razão da realização de operações de compra mercantil. “Devedores Especiais” significam os seguintes Devedores - Duplicatas: • EBAZAR.COM.BR. LTDA, inscrito no CNPJ sob o nº 03.007.331/0008-18; • LOJAS RENNER S.A., inscrito no CNPJ sob o nº 92.754.738/0001-62; • HAVAN S.A., inscrito no CNPJ sob o nº 79.379.491/0023-99;</t>
        </is>
      </c>
    </row>
    <row r="574" ht="43.5" customHeight="1">
      <c r="A574" s="142" t="n">
        <v>58288437000152</v>
      </c>
      <c r="B574" s="75" t="inlineStr">
        <is>
          <t>58.288.437/0001-52</t>
        </is>
      </c>
      <c r="C574" s="75" t="inlineStr">
        <is>
          <t>sacado_devedor</t>
        </is>
      </c>
      <c r="D574" s="75" t="inlineStr">
        <is>
          <t>E INDUSTRIA LTDA</t>
        </is>
      </c>
      <c r="E574" s="75" t="inlineStr">
        <is>
          <t>N/D</t>
        </is>
      </c>
      <c r="F574" s="75" t="inlineStr">
        <is>
          <t>candidate_extraction</t>
        </is>
      </c>
      <c r="G574" s="75" t="inlineStr">
        <is>
          <t>58288437000152</t>
        </is>
      </c>
      <c r="H574" s="75" t="inlineStr">
        <is>
          <t>extração heurística</t>
        </is>
      </c>
      <c r="I574" s="75" t="inlineStr">
        <is>
          <t>N/D</t>
        </is>
      </c>
      <c r="J574" s="75" t="inlineStr">
        <is>
          <t>N/D</t>
        </is>
      </c>
      <c r="K574" s="75" t="inlineStr">
        <is>
          <t>candidato_revisao</t>
        </is>
      </c>
      <c r="L574" s="144" t="n">
        <v>0.95</v>
      </c>
      <c r="M574" s="75" t="inlineStr">
        <is>
          <t>outputs/fidc_director_deep_diagnostic_20260609/pdf_text_cache/58288437000152_1090132_regulamento_regulamento_1090132_2026-01-15.txt</t>
        </is>
      </c>
      <c r="N574" s="75" t="inlineStr">
        <is>
          <t>https://fnet.bmfbovespa.com.br/fnet/publico/downloadDocumento?id=58288437000152</t>
        </is>
      </c>
      <c r="O574" s="75" t="inlineStr">
        <is>
          <t>E INDUSTRIA LTDA, inscrito no CNPJ sob o nº 45.543.915/0846-95; • OSURE COMERCIO ELETRONICO LTDA, inscrito no CNPJ sob o nº 32.931.535/0001-72; e • LOJAO DO BRAS LTDA, inscrito no CNPJ sob o nº 71.831.721/0001-91 “Devedores – Recebíveis Cartão” significam as seguintes credenciadoras que são devedoras dos Direitos Creditórios – Recebíveis Cartão, cedidos pela Cedente Altomax, em razão da realização de Transações de Pagamento pelos Usu</t>
        </is>
      </c>
    </row>
    <row r="575" ht="43.5" customHeight="1">
      <c r="A575" s="142" t="n">
        <v>58291962000127</v>
      </c>
      <c r="B575" s="75" t="inlineStr">
        <is>
          <t>58.291.962/0001-27</t>
        </is>
      </c>
      <c r="C575" s="75" t="inlineStr">
        <is>
          <t>cedente</t>
        </is>
      </c>
      <c r="D575" s="75" t="inlineStr">
        <is>
          <t>a HELM DO BRASIL MERCANTIL LTDA. , sociedade empresária de responsabilidade limitada, com sede na cidade de São Paulo, Estado de São Paulo, na Rua Verbo Divino, nº 2.001, 2º andar, conjunto 21, Chacara Santo Antonio, CEP 04719-002, inscrita no CNPJ sob o nº 47.176.755/0001-05. - 44 - “Chave de Acesso NF-e” Significa um conjunto de 44 (quarenta e quatro) dígitos que identifica univocamente uma Nota Fiscal Eletrônica e faculta a verificação da sua autorização e do seu conteúdo no ambiente nacional</t>
        </is>
      </c>
      <c r="E575" s="75" t="inlineStr">
        <is>
          <t>N/D</t>
        </is>
      </c>
      <c r="F575" s="75" t="inlineStr">
        <is>
          <t>regulamento</t>
        </is>
      </c>
      <c r="G575" s="75" t="inlineStr">
        <is>
          <t>949047</t>
        </is>
      </c>
      <c r="H575" s="75" t="inlineStr">
        <is>
          <t>Regulamento</t>
        </is>
      </c>
      <c r="I575" s="75" t="inlineStr">
        <is>
          <t>11/07/2025</t>
        </is>
      </c>
      <c r="J575" s="75" t="inlineStr">
        <is>
          <t>43</t>
        </is>
      </c>
      <c r="K575" s="75" t="inlineStr">
        <is>
          <t>encontrado_explicito</t>
        </is>
      </c>
      <c r="L575" s="144" t="n">
        <v>0.95</v>
      </c>
      <c r="M575" s="75" t="inlineStr">
        <is>
          <t>.cache/carteira_101_document_scan/58291962000127/949047.json.gz</t>
        </is>
      </c>
      <c r="N575" s="75" t="inlineStr">
        <is>
          <t>https://fnet.bmfbovespa.com.br/fnet/publico/downloadDocumento?id=949047</t>
        </is>
      </c>
      <c r="O575" s="75" t="inlineStr">
        <is>
          <t>00.000,000 (duzentos milhões de reais), já considerando o valor que venha a ser captado com a primeira oferta de Cotas. “Cedente” Significa a HELM DO BRASIL MERCANTIL LTDA. , sociedade empresária de responsabilidade limitada, com sede na cidade de São Paulo, Estado de São Paulo, na Rua Verbo Divino, nº 2.001, 2º andar, conjunto 21, Chacara Santo Antonio, CEP 04719-002, inscrita no CNPJ sob o nº 47.176.755/0001-05. - 44 - “Chave de Acesso NF-e” Significa um conjunto de 44 (quarenta e quatro) dígitos que identifica univocamente uma Nota Fiscal Eletrônica e faculta a verificação da sua autorização e do seu conteúdo no ambiente nacional (http://www.nfe.fazenda.gov.br) ou no site da Secretaria de Fazenda – SEFAZ da circunscrição da Cedente. “Classe” ou “Classe Única” Significa, quando utilizado neste Anexo Descritivo, a presente classe de Cotas do Fundo. “C</t>
        </is>
      </c>
    </row>
    <row r="576" ht="43.5" customHeight="1">
      <c r="A576" s="142" t="n">
        <v>58291962000127</v>
      </c>
      <c r="B576" s="75" t="inlineStr">
        <is>
          <t>58.291.962/0001-27</t>
        </is>
      </c>
      <c r="C576" s="75" t="inlineStr">
        <is>
          <t>cedente</t>
        </is>
      </c>
      <c r="D576" s="75" t="inlineStr">
        <is>
          <t>a HELM DO BRASIL MERCANTIL LTDA. , sociedade empresária de responsabilidade limitada, com sede na</t>
        </is>
      </c>
      <c r="E576" s="75" t="inlineStr">
        <is>
          <t>N/D</t>
        </is>
      </c>
      <c r="F576" s="75" t="inlineStr">
        <is>
          <t>regulamento</t>
        </is>
      </c>
      <c r="G576" s="75" t="inlineStr">
        <is>
          <t>957854</t>
        </is>
      </c>
      <c r="H576" s="75" t="inlineStr">
        <is>
          <t>regulamento</t>
        </is>
      </c>
      <c r="I576" s="75" t="inlineStr">
        <is>
          <t>2025-07-30</t>
        </is>
      </c>
      <c r="J576" s="75" t="inlineStr">
        <is>
          <t>45</t>
        </is>
      </c>
      <c r="K576" s="75" t="inlineStr">
        <is>
          <t>encontrado_explicito</t>
        </is>
      </c>
      <c r="L576" s="144" t="n">
        <v>0.95</v>
      </c>
      <c r="M576" s="75" t="inlineStr">
        <is>
          <t>data/raw/58291962000127/957854_regulamento_regulamento_957854_2025-07-30_2025-07-30.pdf</t>
        </is>
      </c>
      <c r="N576" s="75" t="inlineStr">
        <is>
          <t>https://fnet.bmfbovespa.com.br/fnet/publico/downloadDocumento?id=957854</t>
        </is>
      </c>
      <c r="O576" s="75" t="inlineStr">
        <is>
          <t>,000 (duzentos milhões de reais), já considerando o valor que venha a ser captado com a primeira oferta de Cotas. “Cedente” Significa a HELM DO BRASIL MERCANTIL LTDA. , sociedade empresária de responsabilidade limitada, com sede na - 46 - cidade de São Paulo, Estado de São Paulo, na Rua Verbo Divino, nº 2.001, 2º andar, conjunto 21, Chaca</t>
        </is>
      </c>
    </row>
    <row r="577" ht="43.5" customHeight="1">
      <c r="A577" s="142" t="n">
        <v>58291962000127</v>
      </c>
      <c r="B577" s="75" t="inlineStr">
        <is>
          <t>58.291.962/0001-27</t>
        </is>
      </c>
      <c r="C577" s="75" t="inlineStr">
        <is>
          <t>cedente</t>
        </is>
      </c>
      <c r="D577" s="75" t="inlineStr">
        <is>
          <t>a HELM DO BRASIL MERCANTIL LTDA. , sociedade empresária de responsabilidade limitada, com sede na cidade de São Paulo, Estado de São Paulo, na Rua Verbo Divino, nº 2.001, 2º andar, conjunto 21, Chacara Santo Antonio, CEP 04719-002, inscrita no CNPJ sob o nº 47.176.755/0001-05. - 44 - “Chave de Acesso NF-e” Significa um conjunto de 44 (quarenta e quatro) dígitos que identifica univocamente uma Nota Fiscal Eletrônica e faculta a verificação da sua autorização e do seu conteúdo no ambiente nacional</t>
        </is>
      </c>
      <c r="E577" s="75" t="inlineStr">
        <is>
          <t>N/D</t>
        </is>
      </c>
      <c r="F577" s="75" t="inlineStr">
        <is>
          <t>assembleia</t>
        </is>
      </c>
      <c r="G577" s="75" t="inlineStr">
        <is>
          <t>949045</t>
        </is>
      </c>
      <c r="H577" s="75" t="inlineStr">
        <is>
          <t>Assembleia AGE Ata da Assembleia</t>
        </is>
      </c>
      <c r="I577" s="75" t="inlineStr">
        <is>
          <t>11/07/2025 10:00</t>
        </is>
      </c>
      <c r="J577" s="75" t="inlineStr">
        <is>
          <t>50</t>
        </is>
      </c>
      <c r="K577" s="75" t="inlineStr">
        <is>
          <t>encontrado_explicito</t>
        </is>
      </c>
      <c r="L577" s="144" t="n">
        <v>0.95</v>
      </c>
      <c r="M577" s="75" t="inlineStr">
        <is>
          <t>.cache/carteira_101_document_scan/58291962000127/949045.json.gz</t>
        </is>
      </c>
      <c r="N577" s="75" t="inlineStr">
        <is>
          <t>https://fnet.bmfbovespa.com.br/fnet/publico/downloadDocumento?id=949045</t>
        </is>
      </c>
      <c r="O577" s="75" t="inlineStr">
        <is>
          <t>00.000,000 (duzentos milhões de reais), já considerando o valor que venha a ser captado com a primeira oferta de Cotas. “Cedente” Significa a HELM DO BRASIL MERCANTIL LTDA. , sociedade empresária de responsabilidade limitada, com sede na cidade de São Paulo, Estado de São Paulo, na Rua Verbo Divino, nº 2.001, 2º andar, conjunto 21, Chacara Santo Antonio, CEP 04719-002, inscrita no CNPJ sob o nº 47.176.755/0001-05. - 44 - “Chave de Acesso NF-e” Significa um conjunto de 44 (quarenta e quatro) dígitos que identifica univocamente uma Nota Fiscal Eletrônica e faculta a verificação da sua autorização e do seu conteúdo no ambiente nacional (http://www.nfe.fazenda.gov.br) ou no site da Secretaria de Fazenda – SEFAZ da circunscrição da Cedente. “Classe” ou “Classe Única” Significa, quando utilizado neste Anexo Descritivo, a presente classe de Cotas do Fundo. “C</t>
        </is>
      </c>
    </row>
    <row r="578" ht="43.5" customHeight="1">
      <c r="A578" s="142" t="n">
        <v>58291962000127</v>
      </c>
      <c r="B578" s="75" t="inlineStr">
        <is>
          <t>58.291.962/0001-27</t>
        </is>
      </c>
      <c r="C578" s="75" t="inlineStr">
        <is>
          <t>cedente</t>
        </is>
      </c>
      <c r="D578" s="75" t="inlineStr">
        <is>
          <t>a HELM DO BRASIL MERCANTIL LTDA. , sociedade empresária de responsabilidade limitada, com sede na - 46 - cidade de São Paulo, Estado de São Paulo, na Rua Verbo Divino, nº 2.001, 2º andar, conjunto 21, Chacara Santo Antonio, CEP 04719-002, inscrita no CNPJ sob o nº 47.176.755/0001-05</t>
        </is>
      </c>
      <c r="E578" s="75" t="inlineStr">
        <is>
          <t>N/D</t>
        </is>
      </c>
      <c r="F578" s="75" t="inlineStr">
        <is>
          <t>assembleia</t>
        </is>
      </c>
      <c r="G578" s="75" t="inlineStr">
        <is>
          <t>957853</t>
        </is>
      </c>
      <c r="H578" s="75" t="inlineStr">
        <is>
          <t>Assembleia AGE Ata da Assembleia</t>
        </is>
      </c>
      <c r="I578" s="75" t="inlineStr">
        <is>
          <t>30/07/2025 10:00</t>
        </is>
      </c>
      <c r="J578" s="75" t="inlineStr">
        <is>
          <t>51</t>
        </is>
      </c>
      <c r="K578" s="75" t="inlineStr">
        <is>
          <t>encontrado_explicito</t>
        </is>
      </c>
      <c r="L578" s="144" t="n">
        <v>0.95</v>
      </c>
      <c r="M578" s="75" t="inlineStr">
        <is>
          <t>.cache/carteira_101_document_scan/58291962000127/957853.json.gz</t>
        </is>
      </c>
      <c r="N578" s="75" t="inlineStr">
        <is>
          <t>https://fnet.bmfbovespa.com.br/fnet/publico/downloadDocumento?id=957853</t>
        </is>
      </c>
      <c r="O578" s="75" t="inlineStr">
        <is>
          <t>00.000,000 (duzentos milhões de reais), já considerando o valor que venha a ser captado com a primeira oferta de Cotas. “Cedente” Significa a HELM DO BRASIL MERCANTIL LTDA. , sociedade empresária de responsabilidade limitada, com sede na - 46 - cidade de São Paulo, Estado de São Paulo, na Rua Verbo Divino, nº 2.001, 2º andar, conjunto 21, Chacara Santo Antonio, CEP 04719-002, inscrita no CNPJ sob o nº 47.176.755/0001-05. “Chave de Acesso NF-e” Significa um conjunto de 44 (quarenta e quatro) dígitos que identifica univocamente uma Nota Fi</t>
        </is>
      </c>
    </row>
    <row r="579" ht="43.5" customHeight="1">
      <c r="A579" s="142" t="n">
        <v>58291962000127</v>
      </c>
      <c r="B579" s="75" t="inlineStr">
        <is>
          <t>58.291.962/0001-27</t>
        </is>
      </c>
      <c r="C579" s="75" t="inlineStr">
        <is>
          <t>cedente</t>
        </is>
      </c>
      <c r="D579" s="75" t="inlineStr">
        <is>
          <t>Helm</t>
        </is>
      </c>
      <c r="E579" s="75" t="inlineStr">
        <is>
          <t>N/D</t>
        </is>
      </c>
      <c r="F579" s="75" t="inlineStr">
        <is>
          <t>planilha_manual</t>
        </is>
      </c>
      <c r="G579" s="75" t="inlineStr">
        <is>
          <t>IMG_8706.JPG</t>
        </is>
      </c>
      <c r="H579" s="75" t="inlineStr">
        <is>
          <t>payload</t>
        </is>
      </c>
      <c r="I579" s="75" t="inlineStr">
        <is>
          <t>2025-07-30</t>
        </is>
      </c>
      <c r="J579" s="75" t="inlineStr">
        <is>
          <t>99–100</t>
        </is>
      </c>
      <c r="K579" s="75" t="inlineStr">
        <is>
          <t>aceito_payload</t>
        </is>
      </c>
      <c r="L579" s="144" t="n">
        <v>1</v>
      </c>
      <c r="M579" s="75" t="inlineStr">
        <is>
          <t>data/industry_study/generated_revision/artifact_payload.json</t>
        </is>
      </c>
      <c r="N579" s="75" t="inlineStr">
        <is>
          <t>N/D</t>
        </is>
      </c>
      <c r="O579" s="75" t="inlineStr">
        <is>
          <t>N/D</t>
        </is>
      </c>
    </row>
    <row r="580" ht="43.5" customHeight="1">
      <c r="A580" s="142" t="n">
        <v>58291962000127</v>
      </c>
      <c r="B580" s="75" t="inlineStr">
        <is>
          <t>58.291.962/0001-27</t>
        </is>
      </c>
      <c r="C580" s="75" t="inlineStr">
        <is>
          <t>minimo_estrutural_total</t>
        </is>
      </c>
      <c r="D580" s="75" t="inlineStr">
        <is>
          <t>20%</t>
        </is>
      </c>
      <c r="E580" s="75" t="inlineStr">
        <is>
          <t>suporte_total_pl</t>
        </is>
      </c>
      <c r="F580" s="75" t="inlineStr">
        <is>
          <t>payload_documental</t>
        </is>
      </c>
      <c r="G580" s="75" t="inlineStr">
        <is>
          <t>957854</t>
        </is>
      </c>
      <c r="H580" s="75" t="inlineStr">
        <is>
          <t>documento_curado</t>
        </is>
      </c>
      <c r="I580" s="75" t="inlineStr">
        <is>
          <t>2025-07-30</t>
        </is>
      </c>
      <c r="J580" s="75" t="inlineStr">
        <is>
          <t>99–100</t>
        </is>
      </c>
      <c r="K580" s="75" t="inlineStr">
        <is>
          <t>aceito_payload</t>
        </is>
      </c>
      <c r="L580" s="144" t="n">
        <v>1</v>
      </c>
      <c r="M580" s="75" t="inlineStr">
        <is>
          <t>data/industry_study/generated_revision/artifact_payload.json</t>
        </is>
      </c>
      <c r="N580" s="75" t="inlineStr">
        <is>
          <t>https://fnet.bmfbovespa.com.br/fnet/publico/downloadDocumento?id=957854</t>
        </is>
      </c>
      <c r="O580" s="75" t="inlineStr">
        <is>
          <t>N/D</t>
        </is>
      </c>
    </row>
    <row r="581" ht="43.5" customHeight="1">
      <c r="A581" s="142" t="n">
        <v>58291962000127</v>
      </c>
      <c r="B581" s="75" t="inlineStr">
        <is>
          <t>58.291.962/0001-27</t>
        </is>
      </c>
      <c r="C581" s="75" t="inlineStr">
        <is>
          <t>natureza_indice</t>
        </is>
      </c>
      <c r="D581" s="75" t="inlineStr">
        <is>
          <t>suporte_total_pl</t>
        </is>
      </c>
      <c r="E581" s="75" t="inlineStr">
        <is>
          <t>suporte_total_pl</t>
        </is>
      </c>
      <c r="F581" s="75" t="inlineStr">
        <is>
          <t>payload_documental</t>
        </is>
      </c>
      <c r="G581" s="75" t="inlineStr">
        <is>
          <t>957854</t>
        </is>
      </c>
      <c r="H581" s="75" t="inlineStr">
        <is>
          <t>documento_curado</t>
        </is>
      </c>
      <c r="I581" s="75" t="inlineStr">
        <is>
          <t>2025-07-30</t>
        </is>
      </c>
      <c r="J581" s="75" t="inlineStr">
        <is>
          <t>99–100</t>
        </is>
      </c>
      <c r="K581" s="75" t="inlineStr">
        <is>
          <t>aceito_payload</t>
        </is>
      </c>
      <c r="L581" s="144" t="n">
        <v>1</v>
      </c>
      <c r="M581" s="75" t="inlineStr">
        <is>
          <t>data/industry_study/generated_revision/artifact_payload.json</t>
        </is>
      </c>
      <c r="N581" s="75" t="inlineStr">
        <is>
          <t>https://fnet.bmfbovespa.com.br/fnet/publico/downloadDocumento?id=957854</t>
        </is>
      </c>
      <c r="O581" s="75" t="inlineStr">
        <is>
          <t>N/D</t>
        </is>
      </c>
    </row>
    <row r="582" ht="43.5" customHeight="1">
      <c r="A582" s="142" t="n">
        <v>58291962000127</v>
      </c>
      <c r="B582" s="75" t="inlineStr">
        <is>
          <t>58.291.962/0001-27</t>
        </is>
      </c>
      <c r="C582" s="75" t="inlineStr">
        <is>
          <t>sacado_devedor</t>
        </is>
      </c>
      <c r="D582" s="75" t="inlineStr">
        <is>
          <t>qualquer cliente da Cedente cujos Direitos Creditórios venham a ser cedidos ao Fundo, observadas as características e condições descritas neste Anexo Descritivo, e que estejam de acordo com a Política de Crédito e Originação</t>
        </is>
      </c>
      <c r="E582" s="75" t="inlineStr">
        <is>
          <t>N/D</t>
        </is>
      </c>
      <c r="F582" s="75" t="inlineStr">
        <is>
          <t>regulamento</t>
        </is>
      </c>
      <c r="G582" s="75" t="inlineStr">
        <is>
          <t>949047</t>
        </is>
      </c>
      <c r="H582" s="75" t="inlineStr">
        <is>
          <t>Regulamento</t>
        </is>
      </c>
      <c r="I582" s="75" t="inlineStr">
        <is>
          <t>11/07/2025</t>
        </is>
      </c>
      <c r="J582" s="75" t="inlineStr">
        <is>
          <t>48</t>
        </is>
      </c>
      <c r="K582" s="75" t="inlineStr">
        <is>
          <t>encontrado_explicito</t>
        </is>
      </c>
      <c r="L582" s="144" t="n">
        <v>0.95</v>
      </c>
      <c r="M582" s="75" t="inlineStr">
        <is>
          <t>.cache/carteira_101_document_scan/58291962000127/949047.json.gz</t>
        </is>
      </c>
      <c r="N582" s="75" t="inlineStr">
        <is>
          <t>https://fnet.bmfbovespa.com.br/fnet/publico/downloadDocumento?id=949047</t>
        </is>
      </c>
      <c r="O582" s="75" t="inlineStr">
        <is>
          <t>custos, encargos e despesas exclusivos da Classe Única estimados pelo Administrador a serem incorridos periodicamente. “Devedores” Significa qualquer cliente da Cedente cujos Direitos Creditórios venham a ser cedidos ao Fundo, observadas as características e condições descritas neste Anexo Descritivo, e que estejam de acordo com a Política de Crédito e Originação. “Devedores Especiais” Significa os Devedores cuja concentração poderá ser maior em relação ao Patrimônio Líquido, conf</t>
        </is>
      </c>
    </row>
    <row r="583" ht="43.5" customHeight="1">
      <c r="A583" s="142" t="n">
        <v>58291962000127</v>
      </c>
      <c r="B583" s="75" t="inlineStr">
        <is>
          <t>58.291.962/0001-27</t>
        </is>
      </c>
      <c r="C583" s="75" t="inlineStr">
        <is>
          <t>sacado_devedor</t>
        </is>
      </c>
      <c r="D583" s="75" t="inlineStr">
        <is>
          <t>os Devedores cuja concentração poderá ser maior em relação ao Patrimônio Líquido, conforme listados no Acordo Operacional</t>
        </is>
      </c>
      <c r="E583" s="75" t="inlineStr">
        <is>
          <t>N/D</t>
        </is>
      </c>
      <c r="F583" s="75" t="inlineStr">
        <is>
          <t>regulamento</t>
        </is>
      </c>
      <c r="G583" s="75" t="inlineStr">
        <is>
          <t>949047</t>
        </is>
      </c>
      <c r="H583" s="75" t="inlineStr">
        <is>
          <t>Regulamento</t>
        </is>
      </c>
      <c r="I583" s="75" t="inlineStr">
        <is>
          <t>11/07/2025</t>
        </is>
      </c>
      <c r="J583" s="75" t="inlineStr">
        <is>
          <t>48</t>
        </is>
      </c>
      <c r="K583" s="75" t="inlineStr">
        <is>
          <t>encontrado_explicito</t>
        </is>
      </c>
      <c r="L583" s="144" t="n">
        <v>0.95</v>
      </c>
      <c r="M583" s="75" t="inlineStr">
        <is>
          <t>.cache/carteira_101_document_scan/58291962000127/949047.json.gz</t>
        </is>
      </c>
      <c r="N583" s="75" t="inlineStr">
        <is>
          <t>https://fnet.bmfbovespa.com.br/fnet/publico/downloadDocumento?id=949047</t>
        </is>
      </c>
      <c r="O583" s="75" t="inlineStr">
        <is>
          <t>erísticas e condições descritas neste Anexo Descritivo, e que estejam de acordo com a Política de Crédito e Originação. “Devedores Especiais” Significa os Devedores cuja concentração poderá ser maior em relação ao Patrimônio Líquido, conforme listados no Acordo Operacional. “Direitos Creditórios” Significam os direitos creditórios cedidos pela Cedente, representados pelos Documentos Comprob</t>
        </is>
      </c>
    </row>
    <row r="584" ht="43.5" customHeight="1">
      <c r="A584" s="142" t="n">
        <v>58291962000127</v>
      </c>
      <c r="B584" s="75" t="inlineStr">
        <is>
          <t>58.291.962/0001-27</t>
        </is>
      </c>
      <c r="C584" s="75" t="inlineStr">
        <is>
          <t>sacado_devedor</t>
        </is>
      </c>
      <c r="D584" s="75" t="inlineStr">
        <is>
          <t>qualquer cliente da Cedente cujos Direitos Creditórios venham a ser cedidos ao Fundo, observadas as características e condições descritas neste Anexo Descritivo , e que estejam de acordo com a Política de Crédito e Originação</t>
        </is>
      </c>
      <c r="E584" s="75" t="inlineStr">
        <is>
          <t>N/D</t>
        </is>
      </c>
      <c r="F584" s="75" t="inlineStr">
        <is>
          <t>regulamento</t>
        </is>
      </c>
      <c r="G584" s="75" t="inlineStr">
        <is>
          <t>957854</t>
        </is>
      </c>
      <c r="H584" s="75" t="inlineStr">
        <is>
          <t>regulamento</t>
        </is>
      </c>
      <c r="I584" s="75" t="inlineStr">
        <is>
          <t>2025-07-30</t>
        </is>
      </c>
      <c r="J584" s="75" t="inlineStr">
        <is>
          <t>50</t>
        </is>
      </c>
      <c r="K584" s="75" t="inlineStr">
        <is>
          <t>encontrado_explicito</t>
        </is>
      </c>
      <c r="L584" s="144" t="n">
        <v>0.95</v>
      </c>
      <c r="M584" s="75" t="inlineStr">
        <is>
          <t>data/raw/58291962000127/957854_regulamento_regulamento_957854_2025-07-30_2025-07-30.pdf</t>
        </is>
      </c>
      <c r="N584" s="75" t="inlineStr">
        <is>
          <t>https://fnet.bmfbovespa.com.br/fnet/publico/downloadDocumento?id=957854</t>
        </is>
      </c>
      <c r="O584" s="75" t="inlineStr">
        <is>
          <t>, encargos e despesas exclusivos da Classe Única estimados pelo Administrador a serem incorridos periodicamente. “Devedores” Significa qualquer cliente da Cedente cujos Direitos Creditórios venham a ser cedidos ao Fundo, observadas as características e condições descritas neste Anexo Descritivo , e que estejam de acordo com a Política de Crédito e Originação. “Devedores Especiais” Significa os Devedores cuja concentração poderá ser maior em relação ao Patrimônio Líquid</t>
        </is>
      </c>
    </row>
    <row r="585" ht="43.5" customHeight="1">
      <c r="A585" s="142" t="n">
        <v>58291962000127</v>
      </c>
      <c r="B585" s="75" t="inlineStr">
        <is>
          <t>58.291.962/0001-27</t>
        </is>
      </c>
      <c r="C585" s="75" t="inlineStr">
        <is>
          <t>sacado_devedor</t>
        </is>
      </c>
      <c r="D585" s="75" t="inlineStr">
        <is>
          <t>os Devedores cuja concentração poderá ser maior em relação ao Patrimônio Líquido, conforme listados no Acordo Operacional.</t>
        </is>
      </c>
      <c r="E585" s="75" t="inlineStr">
        <is>
          <t>N/D</t>
        </is>
      </c>
      <c r="F585" s="75" t="inlineStr">
        <is>
          <t>regulamento</t>
        </is>
      </c>
      <c r="G585" s="75" t="inlineStr">
        <is>
          <t>957854</t>
        </is>
      </c>
      <c r="H585" s="75" t="inlineStr">
        <is>
          <t>regulamento</t>
        </is>
      </c>
      <c r="I585" s="75" t="inlineStr">
        <is>
          <t>2025-07-30</t>
        </is>
      </c>
      <c r="J585" s="75" t="inlineStr">
        <is>
          <t>50</t>
        </is>
      </c>
      <c r="K585" s="75" t="inlineStr">
        <is>
          <t>encontrado_explicito</t>
        </is>
      </c>
      <c r="L585" s="144" t="n">
        <v>0.95</v>
      </c>
      <c r="M585" s="75" t="inlineStr">
        <is>
          <t>data/raw/58291962000127/957854_regulamento_regulamento_957854_2025-07-30_2025-07-30.pdf</t>
        </is>
      </c>
      <c r="N585" s="75" t="inlineStr">
        <is>
          <t>https://fnet.bmfbovespa.com.br/fnet/publico/downloadDocumento?id=957854</t>
        </is>
      </c>
      <c r="O585" s="75" t="inlineStr">
        <is>
          <t>cas e condições descritas neste Anexo Descritivo , e que estejam de acordo com a Política de Crédito e Originação. “Devedores Especiais” Significa os Devedores cuja concentração poderá ser maior em relação ao Patrimônio Líquido, conforme listados no Acordo Operacional. - 51 - “Direitos Creditórios” Significam os direitos creditórios cedidos pela Cedente , representados pel</t>
        </is>
      </c>
    </row>
    <row r="586" ht="43.5" customHeight="1">
      <c r="A586" s="142" t="n">
        <v>58291962000127</v>
      </c>
      <c r="B586" s="75" t="inlineStr">
        <is>
          <t>58.291.962/0001-27</t>
        </is>
      </c>
      <c r="C586" s="75" t="inlineStr">
        <is>
          <t>sacado_devedor</t>
        </is>
      </c>
      <c r="D586" s="75" t="inlineStr">
        <is>
          <t>qualquer cliente da Cedente cujos Direitos Creditórios venham a ser cedidos ao Fundo, observadas as características e condições descritas neste Anexo Descritivo, e que estejam de acordo com a Política de Crédito e Originação</t>
        </is>
      </c>
      <c r="E586" s="75" t="inlineStr">
        <is>
          <t>N/D</t>
        </is>
      </c>
      <c r="F586" s="75" t="inlineStr">
        <is>
          <t>assembleia</t>
        </is>
      </c>
      <c r="G586" s="75" t="inlineStr">
        <is>
          <t>949045</t>
        </is>
      </c>
      <c r="H586" s="75" t="inlineStr">
        <is>
          <t>Assembleia AGE Ata da Assembleia</t>
        </is>
      </c>
      <c r="I586" s="75" t="inlineStr">
        <is>
          <t>11/07/2025 10:00</t>
        </is>
      </c>
      <c r="J586" s="75" t="inlineStr">
        <is>
          <t>55</t>
        </is>
      </c>
      <c r="K586" s="75" t="inlineStr">
        <is>
          <t>encontrado_explicito</t>
        </is>
      </c>
      <c r="L586" s="144" t="n">
        <v>0.95</v>
      </c>
      <c r="M586" s="75" t="inlineStr">
        <is>
          <t>.cache/carteira_101_document_scan/58291962000127/949045.json.gz</t>
        </is>
      </c>
      <c r="N586" s="75" t="inlineStr">
        <is>
          <t>https://fnet.bmfbovespa.com.br/fnet/publico/downloadDocumento?id=949045</t>
        </is>
      </c>
      <c r="O586" s="75" t="inlineStr">
        <is>
          <t>custos, encargos e despesas exclusivos da Classe Única estimados pelo Administrador a serem incorridos periodicamente. “Devedores” Significa qualquer cliente da Cedente cujos Direitos Creditórios venham a ser cedidos ao Fundo, observadas as características e condições descritas neste Anexo Descritivo, e que estejam de acordo com a Política de Crédito e Originação. “Devedores Especiais” Significa os Devedores cuja concentração poderá ser maior em relação ao Patrimônio Líquido, conf</t>
        </is>
      </c>
    </row>
    <row r="587" ht="43.5" customHeight="1">
      <c r="A587" s="142" t="n">
        <v>58291962000127</v>
      </c>
      <c r="B587" s="75" t="inlineStr">
        <is>
          <t>58.291.962/0001-27</t>
        </is>
      </c>
      <c r="C587" s="75" t="inlineStr">
        <is>
          <t>sacado_devedor</t>
        </is>
      </c>
      <c r="D587" s="75" t="inlineStr">
        <is>
          <t>os Devedores cuja concentração poderá ser maior em relação ao Patrimônio Líquido, conforme listados no Acordo Operacional</t>
        </is>
      </c>
      <c r="E587" s="75" t="inlineStr">
        <is>
          <t>N/D</t>
        </is>
      </c>
      <c r="F587" s="75" t="inlineStr">
        <is>
          <t>assembleia</t>
        </is>
      </c>
      <c r="G587" s="75" t="inlineStr">
        <is>
          <t>949045</t>
        </is>
      </c>
      <c r="H587" s="75" t="inlineStr">
        <is>
          <t>Assembleia AGE Ata da Assembleia</t>
        </is>
      </c>
      <c r="I587" s="75" t="inlineStr">
        <is>
          <t>11/07/2025 10:00</t>
        </is>
      </c>
      <c r="J587" s="75" t="inlineStr">
        <is>
          <t>55</t>
        </is>
      </c>
      <c r="K587" s="75" t="inlineStr">
        <is>
          <t>encontrado_explicito</t>
        </is>
      </c>
      <c r="L587" s="144" t="n">
        <v>0.95</v>
      </c>
      <c r="M587" s="75" t="inlineStr">
        <is>
          <t>.cache/carteira_101_document_scan/58291962000127/949045.json.gz</t>
        </is>
      </c>
      <c r="N587" s="75" t="inlineStr">
        <is>
          <t>https://fnet.bmfbovespa.com.br/fnet/publico/downloadDocumento?id=949045</t>
        </is>
      </c>
      <c r="O587" s="75" t="inlineStr">
        <is>
          <t>erísticas e condições descritas neste Anexo Descritivo, e que estejam de acordo com a Política de Crédito e Originação. “Devedores Especiais” Significa os Devedores cuja concentração poderá ser maior em relação ao Patrimônio Líquido, conforme listados no Acordo Operacional. “Direitos Creditórios” Significam os direitos creditórios cedidos pela Cedente, representados pelos Documentos Comprob</t>
        </is>
      </c>
    </row>
    <row r="588" ht="43.5" customHeight="1">
      <c r="A588" s="142" t="n">
        <v>58291962000127</v>
      </c>
      <c r="B588" s="75" t="inlineStr">
        <is>
          <t>58.291.962/0001-27</t>
        </is>
      </c>
      <c r="C588" s="75" t="inlineStr">
        <is>
          <t>sacado_devedor</t>
        </is>
      </c>
      <c r="D588" s="75" t="inlineStr">
        <is>
          <t>qualquer cliente da Cedente cujos Direitos Creditórios venham a ser cedidos ao Fundo, observadas as características e condições descritas neste Anexo Descritivo, e que estejam de acordo com a Política de Crédito e Originação</t>
        </is>
      </c>
      <c r="E588" s="75" t="inlineStr">
        <is>
          <t>N/D</t>
        </is>
      </c>
      <c r="F588" s="75" t="inlineStr">
        <is>
          <t>assembleia</t>
        </is>
      </c>
      <c r="G588" s="75" t="inlineStr">
        <is>
          <t>957853</t>
        </is>
      </c>
      <c r="H588" s="75" t="inlineStr">
        <is>
          <t>Assembleia AGE Ata da Assembleia</t>
        </is>
      </c>
      <c r="I588" s="75" t="inlineStr">
        <is>
          <t>30/07/2025 10:00</t>
        </is>
      </c>
      <c r="J588" s="75" t="inlineStr">
        <is>
          <t>56</t>
        </is>
      </c>
      <c r="K588" s="75" t="inlineStr">
        <is>
          <t>encontrado_explicito</t>
        </is>
      </c>
      <c r="L588" s="144" t="n">
        <v>0.95</v>
      </c>
      <c r="M588" s="75" t="inlineStr">
        <is>
          <t>.cache/carteira_101_document_scan/58291962000127/957853.json.gz</t>
        </is>
      </c>
      <c r="N588" s="75" t="inlineStr">
        <is>
          <t>https://fnet.bmfbovespa.com.br/fnet/publico/downloadDocumento?id=957853</t>
        </is>
      </c>
      <c r="O588" s="75" t="inlineStr">
        <is>
          <t>custos, encargos e despesas exclusivos da Classe Única estimados pelo Administrador a serem incorridos periodicamente. “Devedores” Significa qualquer cliente da Cedente cujos Direitos Creditórios venham a ser cedidos ao Fundo, observadas as características e condições descritas neste Anexo Descritivo, e que estejam de acordo com a Política de Crédito e Originação. “Devedores Especiais” Significa os Devedores cuja concentração poderá ser maior em relação ao Patrimônio Líquido, conf</t>
        </is>
      </c>
    </row>
    <row r="589" ht="43.5" customHeight="1">
      <c r="A589" s="142" t="n">
        <v>58291962000127</v>
      </c>
      <c r="B589" s="75" t="inlineStr">
        <is>
          <t>58.291.962/0001-27</t>
        </is>
      </c>
      <c r="C589" s="75" t="inlineStr">
        <is>
          <t>sacado_devedor</t>
        </is>
      </c>
      <c r="D589" s="75" t="inlineStr">
        <is>
          <t>os Devedores cuja concentração poderá ser maior em relação ao Patrimônio Líquido, conforme listados no Acordo Operacional</t>
        </is>
      </c>
      <c r="E589" s="75" t="inlineStr">
        <is>
          <t>N/D</t>
        </is>
      </c>
      <c r="F589" s="75" t="inlineStr">
        <is>
          <t>assembleia</t>
        </is>
      </c>
      <c r="G589" s="75" t="inlineStr">
        <is>
          <t>957853</t>
        </is>
      </c>
      <c r="H589" s="75" t="inlineStr">
        <is>
          <t>Assembleia AGE Ata da Assembleia</t>
        </is>
      </c>
      <c r="I589" s="75" t="inlineStr">
        <is>
          <t>30/07/2025 10:00</t>
        </is>
      </c>
      <c r="J589" s="75" t="inlineStr">
        <is>
          <t>56</t>
        </is>
      </c>
      <c r="K589" s="75" t="inlineStr">
        <is>
          <t>encontrado_explicito</t>
        </is>
      </c>
      <c r="L589" s="144" t="n">
        <v>0.95</v>
      </c>
      <c r="M589" s="75" t="inlineStr">
        <is>
          <t>.cache/carteira_101_document_scan/58291962000127/957853.json.gz</t>
        </is>
      </c>
      <c r="N589" s="75" t="inlineStr">
        <is>
          <t>https://fnet.bmfbovespa.com.br/fnet/publico/downloadDocumento?id=957853</t>
        </is>
      </c>
      <c r="O589" s="75" t="inlineStr">
        <is>
          <t>erísticas e condições descritas neste Anexo Descritivo, e que estejam de acordo com a Política de Crédito e Originação. “Devedores Especiais” Significa os Devedores cuja concentração poderá ser maior em relação ao Patrimônio Líquido, conforme listados no Acordo Operacional. “Direitos Creditórios” Significam os direitos creditórios cedidos pela Cedente, representados pelos Documentos Comprob</t>
        </is>
      </c>
    </row>
    <row r="590" ht="43.5" customHeight="1">
      <c r="A590" s="142" t="n">
        <v>58291962000127</v>
      </c>
      <c r="B590" s="75" t="inlineStr">
        <is>
          <t>58.291.962/0001-27</t>
        </is>
      </c>
      <c r="C590" s="75" t="inlineStr">
        <is>
          <t>tipo_recebivel</t>
        </is>
      </c>
      <c r="D590" s="75" t="inlineStr">
        <is>
          <t>os direitos creditórios cedidos pela Cedente, representados pelos Documentos Comprobatórios, detidos pela Cedente contra os Devedores</t>
        </is>
      </c>
      <c r="E590" s="75" t="inlineStr">
        <is>
          <t>N/D</t>
        </is>
      </c>
      <c r="F590" s="75" t="inlineStr">
        <is>
          <t>regulamento</t>
        </is>
      </c>
      <c r="G590" s="75" t="inlineStr">
        <is>
          <t>949047</t>
        </is>
      </c>
      <c r="H590" s="75" t="inlineStr">
        <is>
          <t>Regulamento</t>
        </is>
      </c>
      <c r="I590" s="75" t="inlineStr">
        <is>
          <t>11/07/2025</t>
        </is>
      </c>
      <c r="J590" s="75" t="inlineStr">
        <is>
          <t>48</t>
        </is>
      </c>
      <c r="K590" s="75" t="inlineStr">
        <is>
          <t>encontrado_explicito</t>
        </is>
      </c>
      <c r="L590" s="144" t="n">
        <v>0.92</v>
      </c>
      <c r="M590" s="75" t="inlineStr">
        <is>
          <t>.cache/carteira_101_document_scan/58291962000127/949047.json.gz</t>
        </is>
      </c>
      <c r="N590" s="75" t="inlineStr">
        <is>
          <t>https://fnet.bmfbovespa.com.br/fnet/publico/downloadDocumento?id=949047</t>
        </is>
      </c>
      <c r="O590" s="75" t="inlineStr">
        <is>
          <t>ntração poderá ser maior em relação ao Patrimônio Líquido, conforme listados no Acordo Operacional. “Direitos Creditórios” Significam os direitos creditórios cedidos pela Cedente, representados pelos Documentos Comprobatórios, detidos pela Cedente contra os Devedores. “Direitos Creditórios Cedidos” Significam os Direitos Creditórios Elegíveis adquiridos pela Classe</t>
        </is>
      </c>
    </row>
    <row r="591" ht="43.5" customHeight="1">
      <c r="A591" s="142" t="n">
        <v>58291962000127</v>
      </c>
      <c r="B591" s="75" t="inlineStr">
        <is>
          <t>58.291.962/0001-27</t>
        </is>
      </c>
      <c r="C591" s="75" t="inlineStr">
        <is>
          <t>tipo_recebivel</t>
        </is>
      </c>
      <c r="D591" s="75" t="inlineStr">
        <is>
          <t>os direitos creditórios cedidos pela Cedente , representados pelos Documentos Comprobatórios, detidos pela Cedente contra os Devedores</t>
        </is>
      </c>
      <c r="E591" s="75" t="inlineStr">
        <is>
          <t>N/D</t>
        </is>
      </c>
      <c r="F591" s="75" t="inlineStr">
        <is>
          <t>regulamento</t>
        </is>
      </c>
      <c r="G591" s="75" t="inlineStr">
        <is>
          <t>957854</t>
        </is>
      </c>
      <c r="H591" s="75" t="inlineStr">
        <is>
          <t>regulamento</t>
        </is>
      </c>
      <c r="I591" s="75" t="inlineStr">
        <is>
          <t>2025-07-30</t>
        </is>
      </c>
      <c r="J591" s="75" t="inlineStr">
        <is>
          <t>51</t>
        </is>
      </c>
      <c r="K591" s="75" t="inlineStr">
        <is>
          <t>encontrado_explicito</t>
        </is>
      </c>
      <c r="L591" s="144" t="n">
        <v>0.92</v>
      </c>
      <c r="M591" s="75" t="inlineStr">
        <is>
          <t>data/raw/58291962000127/957854_regulamento_regulamento_957854_2025-07-30_2025-07-30.pdf</t>
        </is>
      </c>
      <c r="N591" s="75" t="inlineStr">
        <is>
          <t>https://fnet.bmfbovespa.com.br/fnet/publico/downloadDocumento?id=957854</t>
        </is>
      </c>
      <c r="O591" s="75" t="inlineStr">
        <is>
          <t>r em relação ao Patrimônio Líquido, conforme listados no Acordo Operacional. - 51 - “Direitos Creditórios” Significam os direitos creditórios cedidos pela Cedente , representados pelos Documentos Comprobatórios, detidos pela Cedente contra os Devedores. “Direitos Creditórios Cedidos” Significam os Direitos Creditórios Elegíveis adquiridos pel</t>
        </is>
      </c>
    </row>
    <row r="592" ht="43.5" customHeight="1">
      <c r="A592" s="142" t="n">
        <v>58291962000127</v>
      </c>
      <c r="B592" s="75" t="inlineStr">
        <is>
          <t>58.291.962/0001-27</t>
        </is>
      </c>
      <c r="C592" s="75" t="inlineStr">
        <is>
          <t>tipo_recebivel</t>
        </is>
      </c>
      <c r="D592" s="75" t="inlineStr">
        <is>
          <t>os direitos creditórios cedidos pela Cedente, representados pelos Documentos Comprobatórios, detidos pela Cedente contra os Devedores</t>
        </is>
      </c>
      <c r="E592" s="75" t="inlineStr">
        <is>
          <t>N/D</t>
        </is>
      </c>
      <c r="F592" s="75" t="inlineStr">
        <is>
          <t>assembleia</t>
        </is>
      </c>
      <c r="G592" s="75" t="inlineStr">
        <is>
          <t>949045</t>
        </is>
      </c>
      <c r="H592" s="75" t="inlineStr">
        <is>
          <t>Assembleia AGE Ata da Assembleia</t>
        </is>
      </c>
      <c r="I592" s="75" t="inlineStr">
        <is>
          <t>11/07/2025 10:00</t>
        </is>
      </c>
      <c r="J592" s="75" t="inlineStr">
        <is>
          <t>55</t>
        </is>
      </c>
      <c r="K592" s="75" t="inlineStr">
        <is>
          <t>encontrado_explicito</t>
        </is>
      </c>
      <c r="L592" s="144" t="n">
        <v>0.92</v>
      </c>
      <c r="M592" s="75" t="inlineStr">
        <is>
          <t>.cache/carteira_101_document_scan/58291962000127/949045.json.gz</t>
        </is>
      </c>
      <c r="N592" s="75" t="inlineStr">
        <is>
          <t>https://fnet.bmfbovespa.com.br/fnet/publico/downloadDocumento?id=949045</t>
        </is>
      </c>
      <c r="O592" s="75" t="inlineStr">
        <is>
          <t>ntração poderá ser maior em relação ao Patrimônio Líquido, conforme listados no Acordo Operacional. “Direitos Creditórios” Significam os direitos creditórios cedidos pela Cedente, representados pelos Documentos Comprobatórios, detidos pela Cedente contra os Devedores. “Direitos Creditórios Cedidos” Significam os Direitos Creditórios Elegíveis adquiridos pela Classe</t>
        </is>
      </c>
    </row>
    <row r="593" ht="43.5" customHeight="1">
      <c r="A593" s="142" t="n">
        <v>58291962000127</v>
      </c>
      <c r="B593" s="75" t="inlineStr">
        <is>
          <t>58.291.962/0001-27</t>
        </is>
      </c>
      <c r="C593" s="75" t="inlineStr">
        <is>
          <t>tipo_recebivel</t>
        </is>
      </c>
      <c r="D593" s="75" t="inlineStr">
        <is>
          <t>os direitos creditórios cedidos pela Cedente, representados pelos Documentos Comprobatórios, detidos pela Cedente contra os Devedores</t>
        </is>
      </c>
      <c r="E593" s="75" t="inlineStr">
        <is>
          <t>N/D</t>
        </is>
      </c>
      <c r="F593" s="75" t="inlineStr">
        <is>
          <t>assembleia</t>
        </is>
      </c>
      <c r="G593" s="75" t="inlineStr">
        <is>
          <t>957853</t>
        </is>
      </c>
      <c r="H593" s="75" t="inlineStr">
        <is>
          <t>Assembleia AGE Ata da Assembleia</t>
        </is>
      </c>
      <c r="I593" s="75" t="inlineStr">
        <is>
          <t>30/07/2025 10:00</t>
        </is>
      </c>
      <c r="J593" s="75" t="inlineStr">
        <is>
          <t>56</t>
        </is>
      </c>
      <c r="K593" s="75" t="inlineStr">
        <is>
          <t>encontrado_explicito</t>
        </is>
      </c>
      <c r="L593" s="144" t="n">
        <v>0.92</v>
      </c>
      <c r="M593" s="75" t="inlineStr">
        <is>
          <t>.cache/carteira_101_document_scan/58291962000127/957853.json.gz</t>
        </is>
      </c>
      <c r="N593" s="75" t="inlineStr">
        <is>
          <t>https://fnet.bmfbovespa.com.br/fnet/publico/downloadDocumento?id=957853</t>
        </is>
      </c>
      <c r="O593" s="75" t="inlineStr">
        <is>
          <t>ntração poderá ser maior em relação ao Patrimônio Líquido, conforme listados no Acordo Operacional. “Direitos Creditórios” Significam os direitos creditórios cedidos pela Cedente, representados pelos Documentos Comprobatórios, detidos pela Cedente contra os Devedores. “Direitos Creditórios Significam os Direitos Creditórios Elegíveis adquiridos pela - 51 - Cedidos”</t>
        </is>
      </c>
    </row>
    <row r="594" ht="43.5" customHeight="1">
      <c r="A594" s="142" t="n">
        <v>58291962000127</v>
      </c>
      <c r="B594" s="75" t="inlineStr">
        <is>
          <t>58.291.962/0001-27</t>
        </is>
      </c>
      <c r="C594" s="75" t="inlineStr">
        <is>
          <t>tipo_recebivel</t>
        </is>
      </c>
      <c r="D594" s="75" t="inlineStr">
        <is>
          <t>Insumos Agrícolas - prazo Safra</t>
        </is>
      </c>
      <c r="E594" s="75" t="inlineStr">
        <is>
          <t>N/D</t>
        </is>
      </c>
      <c r="F594" s="75" t="inlineStr">
        <is>
          <t>planilha_manual</t>
        </is>
      </c>
      <c r="G594" s="75" t="inlineStr">
        <is>
          <t>IMG_8706.JPG</t>
        </is>
      </c>
      <c r="H594" s="75" t="inlineStr">
        <is>
          <t>payload</t>
        </is>
      </c>
      <c r="I594" s="75" t="inlineStr">
        <is>
          <t>2025-07-30</t>
        </is>
      </c>
      <c r="J594" s="75" t="inlineStr">
        <is>
          <t>99–100</t>
        </is>
      </c>
      <c r="K594" s="75" t="inlineStr">
        <is>
          <t>aceito_payload</t>
        </is>
      </c>
      <c r="L594" s="144" t="n">
        <v>1</v>
      </c>
      <c r="M594" s="75" t="inlineStr">
        <is>
          <t>data/industry_study/generated_revision/artifact_payload.json</t>
        </is>
      </c>
      <c r="N594" s="75" t="inlineStr">
        <is>
          <t>N/D</t>
        </is>
      </c>
      <c r="O594" s="75" t="inlineStr">
        <is>
          <t>N/D</t>
        </is>
      </c>
    </row>
    <row r="595" ht="43.5" customHeight="1">
      <c r="A595" s="142" t="n">
        <v>58349979000198</v>
      </c>
      <c r="B595" s="75" t="inlineStr">
        <is>
          <t>58.349.979/0001-98</t>
        </is>
      </c>
      <c r="C595" s="75" t="inlineStr">
        <is>
          <t>cedente</t>
        </is>
      </c>
      <c r="D595" s="75" t="inlineStr">
        <is>
          <t>a VOLKSWAGEN DO BRASIL INDÚSTRIA DE VEÍCULOS AUTOMOTORES LTDA., sociedade empresária, com sede na cidade de São Bernardo do Campo, Estado de São Paulo, na Estrada Marginal da Via Anchieta, s/n, Km 23,5, CEP 09823-901, inscrita no CNPJ sob</t>
        </is>
      </c>
      <c r="E595" s="75" t="inlineStr">
        <is>
          <t>N/D</t>
        </is>
      </c>
      <c r="F595" s="75" t="inlineStr">
        <is>
          <t>regulamento</t>
        </is>
      </c>
      <c r="G595" s="75" t="inlineStr">
        <is>
          <t>826212</t>
        </is>
      </c>
      <c r="H595" s="75" t="inlineStr">
        <is>
          <t>Atos de Deliberação do Administrador Instrumento Particular de Alteração do Regulamento</t>
        </is>
      </c>
      <c r="I595" s="75" t="inlineStr">
        <is>
          <t>28/01/2025</t>
        </is>
      </c>
      <c r="J595" s="75" t="inlineStr">
        <is>
          <t>88</t>
        </is>
      </c>
      <c r="K595" s="75" t="inlineStr">
        <is>
          <t>encontrado_explicito</t>
        </is>
      </c>
      <c r="L595" s="144" t="n">
        <v>0.95</v>
      </c>
      <c r="M595" s="75" t="inlineStr">
        <is>
          <t>.cache/carteira_101_document_scan/58349979000198/826212.json.gz</t>
        </is>
      </c>
      <c r="N595" s="75" t="inlineStr">
        <is>
          <t>https://fnet.bmfbovespa.com.br/fnet/publico/downloadDocumento?id=826212</t>
        </is>
      </c>
      <c r="O595" s="75" t="inlineStr">
        <is>
          <t>dentes S.S. "B3" significa a B3 S.A. – Brasil, Bolsa, Balcão. "BACEN" significa o Banco Central do Brasil. "Cedente" significa a VOLKSWAGEN DO BRASIL INDÚSTRIA DE VEÍCULOS AUTOMOTORES LTDA., sociedade empresária, com sede na cidade de São Bernardo do Campo, Estado de São Paulo, na Estrada Marginal da Via Anchieta, s/n, Km 23,5, CEP 09823-901, inscrita no CNPJ sob 86 INTERNAL o nº 59.104.422/0001-50 (incluindo através de suas filiais com CNPJ nº 59.104.422/0018 -06, CNPJ nº</t>
        </is>
      </c>
    </row>
    <row r="596" ht="43.5" customHeight="1">
      <c r="A596" s="142" t="n">
        <v>58349979000198</v>
      </c>
      <c r="B596" s="75" t="inlineStr">
        <is>
          <t>58.349.979/0001-98</t>
        </is>
      </c>
      <c r="C596" s="75" t="inlineStr">
        <is>
          <t>cedente</t>
        </is>
      </c>
      <c r="D596" s="75" t="inlineStr">
        <is>
          <t>a VOLKSWAGEN DO BRASIL INDÚSTRIA DE VEÍCULOS AUTOMOTORES LTDA., sociedade empresária, com sede na cidade de São Bernardo do Campo, Estado de São Paulo, na Estrada Marginal da Via Anchieta, s/n, Km 23,5, CEP 09823-901, inscrita no CNPJ sob</t>
        </is>
      </c>
      <c r="E596" s="75" t="inlineStr">
        <is>
          <t>N/D</t>
        </is>
      </c>
      <c r="F596" s="75" t="inlineStr">
        <is>
          <t>regulamento</t>
        </is>
      </c>
      <c r="G596" s="75" t="inlineStr">
        <is>
          <t>826213</t>
        </is>
      </c>
      <c r="H596" s="75" t="inlineStr">
        <is>
          <t>Regulamento</t>
        </is>
      </c>
      <c r="I596" s="75" t="inlineStr">
        <is>
          <t>28/01/2025</t>
        </is>
      </c>
      <c r="J596" s="75" t="inlineStr">
        <is>
          <t>85</t>
        </is>
      </c>
      <c r="K596" s="75" t="inlineStr">
        <is>
          <t>encontrado_explicito</t>
        </is>
      </c>
      <c r="L596" s="144" t="n">
        <v>0.95</v>
      </c>
      <c r="M596" s="75" t="inlineStr">
        <is>
          <t>.cache/carteira_101_document_scan/58349979000198/826213.json.gz</t>
        </is>
      </c>
      <c r="N596" s="75" t="inlineStr">
        <is>
          <t>https://fnet.bmfbovespa.com.br/fnet/publico/downloadDocumento?id=826213</t>
        </is>
      </c>
      <c r="O596" s="75" t="inlineStr">
        <is>
          <t>dentes S.S. "B3" significa a B3 S.A. – Brasil, Bolsa, Balcão. "BACEN" significa o Banco Central do Brasil. "Cedente" significa a VOLKSWAGEN DO BRASIL INDÚSTRIA DE VEÍCULOS AUTOMOTORES LTDA., sociedade empresária, com sede na cidade de São Bernardo do Campo, Estado de São Paulo, na Estrada Marginal da Via Anchieta, s/n, Km 23,5, CEP 09823-901, inscrita no CNPJ sob 86 INTERNAL o nº 59.104.422/0001-50 (incluindo através de suas filiais com CNPJ nº 59.104. 422/0018-06, CNPJ nº</t>
        </is>
      </c>
    </row>
    <row r="597" ht="43.5" customHeight="1">
      <c r="A597" s="142" t="n">
        <v>58349979000198</v>
      </c>
      <c r="B597" s="75" t="inlineStr">
        <is>
          <t>58.349.979/0001-98</t>
        </is>
      </c>
      <c r="C597" s="75" t="inlineStr">
        <is>
          <t>cedente</t>
        </is>
      </c>
      <c r="D597" s="75" t="inlineStr">
        <is>
          <t>Volkswagen do Brasil S.A.</t>
        </is>
      </c>
      <c r="E597" s="75" t="inlineStr">
        <is>
          <t>N/D</t>
        </is>
      </c>
      <c r="F597" s="75" t="inlineStr">
        <is>
          <t>planilha_manual</t>
        </is>
      </c>
      <c r="G597" s="75" t="inlineStr">
        <is>
          <t>IMG_8706.JPG</t>
        </is>
      </c>
      <c r="H597" s="75" t="inlineStr">
        <is>
          <t>payload</t>
        </is>
      </c>
      <c r="I597" s="75" t="inlineStr">
        <is>
          <t>2025-01-28</t>
        </is>
      </c>
      <c r="J597" s="75" t="inlineStr">
        <is>
          <t>94</t>
        </is>
      </c>
      <c r="K597" s="75" t="inlineStr">
        <is>
          <t>aceito_payload</t>
        </is>
      </c>
      <c r="L597" s="144" t="n">
        <v>1</v>
      </c>
      <c r="M597" s="75" t="inlineStr">
        <is>
          <t>data/industry_study/generated_revision/artifact_payload.json</t>
        </is>
      </c>
      <c r="N597" s="75" t="inlineStr">
        <is>
          <t>N/D</t>
        </is>
      </c>
      <c r="O597" s="75" t="inlineStr">
        <is>
          <t>OBS da foto: concentração grande com LM e Unidas, ambas com tendência de rating estável. Denominação cortada.</t>
        </is>
      </c>
    </row>
    <row r="598" ht="43.5" customHeight="1">
      <c r="A598" s="142" t="n">
        <v>58349979000198</v>
      </c>
      <c r="B598" s="75" t="inlineStr">
        <is>
          <t>58.349.979/0001-98</t>
        </is>
      </c>
      <c r="C598" s="75" t="inlineStr">
        <is>
          <t>minimo_estrutural_total</t>
        </is>
      </c>
      <c r="D598" s="75" t="inlineStr">
        <is>
          <t>25%</t>
        </is>
      </c>
      <c r="E598" s="75" t="inlineStr">
        <is>
          <t>suporte_total_pl</t>
        </is>
      </c>
      <c r="F598" s="75" t="inlineStr">
        <is>
          <t>payload_documental</t>
        </is>
      </c>
      <c r="G598" s="75" t="inlineStr">
        <is>
          <t>826213</t>
        </is>
      </c>
      <c r="H598" s="75" t="inlineStr">
        <is>
          <t>documento_curado</t>
        </is>
      </c>
      <c r="I598" s="75" t="inlineStr">
        <is>
          <t>2025-01-28</t>
        </is>
      </c>
      <c r="J598" s="75" t="inlineStr">
        <is>
          <t>94</t>
        </is>
      </c>
      <c r="K598" s="75" t="inlineStr">
        <is>
          <t>aceito_payload</t>
        </is>
      </c>
      <c r="L598" s="144" t="n">
        <v>1</v>
      </c>
      <c r="M598" s="75" t="inlineStr">
        <is>
          <t>data/industry_study/generated_revision/artifact_payload.json</t>
        </is>
      </c>
      <c r="N598" s="75" t="inlineStr">
        <is>
          <t>https://fnet.bmfbovespa.com.br/fnet/publico/downloadDocumento?id=826213</t>
        </is>
      </c>
      <c r="O598" s="75" t="inlineStr">
        <is>
          <t>Cotas subordinadas / PL, mínimo de 25,0%; estrutura com uma única classe residual.</t>
        </is>
      </c>
    </row>
    <row r="599" ht="43.5" customHeight="1">
      <c r="A599" s="142" t="n">
        <v>58349979000198</v>
      </c>
      <c r="B599" s="75" t="inlineStr">
        <is>
          <t>58.349.979/0001-98</t>
        </is>
      </c>
      <c r="C599" s="75" t="inlineStr">
        <is>
          <t>minimo_junior</t>
        </is>
      </c>
      <c r="D599" s="75" t="inlineStr">
        <is>
          <t>25%</t>
        </is>
      </c>
      <c r="E599" s="75" t="inlineStr">
        <is>
          <t>junior_pl</t>
        </is>
      </c>
      <c r="F599" s="75" t="inlineStr">
        <is>
          <t>payload_documental</t>
        </is>
      </c>
      <c r="G599" s="75" t="inlineStr">
        <is>
          <t>826213</t>
        </is>
      </c>
      <c r="H599" s="75" t="inlineStr">
        <is>
          <t>documento_curado</t>
        </is>
      </c>
      <c r="I599" s="75" t="inlineStr">
        <is>
          <t>2025-01-28</t>
        </is>
      </c>
      <c r="J599" s="75" t="inlineStr">
        <is>
          <t>94</t>
        </is>
      </c>
      <c r="K599" s="75" t="inlineStr">
        <is>
          <t>aceito_payload</t>
        </is>
      </c>
      <c r="L599" s="144" t="n">
        <v>1</v>
      </c>
      <c r="M599" s="75" t="inlineStr">
        <is>
          <t>data/industry_study/generated_revision/artifact_payload.json</t>
        </is>
      </c>
      <c r="N599" s="75" t="inlineStr">
        <is>
          <t>https://fnet.bmfbovespa.com.br/fnet/publico/downloadDocumento?id=826213</t>
        </is>
      </c>
      <c r="O599" s="75" t="inlineStr">
        <is>
          <t>Cotas subordinadas / PL, mínimo de 25,0%; estrutura com uma única classe residual.</t>
        </is>
      </c>
    </row>
    <row r="600" ht="43.5" customHeight="1">
      <c r="A600" s="142" t="n">
        <v>58349979000198</v>
      </c>
      <c r="B600" s="75" t="inlineStr">
        <is>
          <t>58.349.979/0001-98</t>
        </is>
      </c>
      <c r="C600" s="75" t="inlineStr">
        <is>
          <t>natureza_indice</t>
        </is>
      </c>
      <c r="D600" s="75" t="inlineStr">
        <is>
          <t>junior_pl</t>
        </is>
      </c>
      <c r="E600" s="75" t="inlineStr">
        <is>
          <t>junior_pl</t>
        </is>
      </c>
      <c r="F600" s="75" t="inlineStr">
        <is>
          <t>payload_documental</t>
        </is>
      </c>
      <c r="G600" s="75" t="inlineStr">
        <is>
          <t>826213</t>
        </is>
      </c>
      <c r="H600" s="75" t="inlineStr">
        <is>
          <t>documento_curado</t>
        </is>
      </c>
      <c r="I600" s="75" t="inlineStr">
        <is>
          <t>2025-01-28</t>
        </is>
      </c>
      <c r="J600" s="75" t="inlineStr">
        <is>
          <t>94</t>
        </is>
      </c>
      <c r="K600" s="75" t="inlineStr">
        <is>
          <t>aceito_payload</t>
        </is>
      </c>
      <c r="L600" s="144" t="n">
        <v>1</v>
      </c>
      <c r="M600" s="75" t="inlineStr">
        <is>
          <t>data/industry_study/generated_revision/artifact_payload.json</t>
        </is>
      </c>
      <c r="N600" s="75" t="inlineStr">
        <is>
          <t>https://fnet.bmfbovespa.com.br/fnet/publico/downloadDocumento?id=826213</t>
        </is>
      </c>
      <c r="O600" s="75" t="inlineStr">
        <is>
          <t>Cotas subordinadas / PL, mínimo de 25,0%; estrutura com uma única classe residual.</t>
        </is>
      </c>
    </row>
    <row r="601" ht="43.5" customHeight="1">
      <c r="A601" s="142" t="n">
        <v>58349979000198</v>
      </c>
      <c r="B601" s="75" t="inlineStr">
        <is>
          <t>58.349.979/0001-98</t>
        </is>
      </c>
      <c r="C601" s="75" t="inlineStr">
        <is>
          <t>sacado_devedor</t>
        </is>
      </c>
      <c r="D601" s="75" t="inlineStr">
        <is>
          <t>os clientes da Cedente que tenham adquirido Produtos e sejam devedores dos Direitos Creditórios , compostos por Devedores Concentrados e Devedores Pulverizados</t>
        </is>
      </c>
      <c r="E601" s="75" t="inlineStr">
        <is>
          <t>N/D</t>
        </is>
      </c>
      <c r="F601" s="75" t="inlineStr">
        <is>
          <t>regulamento</t>
        </is>
      </c>
      <c r="G601" s="75" t="inlineStr">
        <is>
          <t>826212</t>
        </is>
      </c>
      <c r="H601" s="75" t="inlineStr">
        <is>
          <t>Atos de Deliberação do Administrador Instrumento Particular de Alteração do Regulamento</t>
        </is>
      </c>
      <c r="I601" s="75" t="inlineStr">
        <is>
          <t>28/01/2025</t>
        </is>
      </c>
      <c r="J601" s="75" t="inlineStr">
        <is>
          <t>91</t>
        </is>
      </c>
      <c r="K601" s="75" t="inlineStr">
        <is>
          <t>encontrado_explicito</t>
        </is>
      </c>
      <c r="L601" s="144" t="n">
        <v>0.95</v>
      </c>
      <c r="M601" s="75" t="inlineStr">
        <is>
          <t>.cache/carteira_101_document_scan/58349979000198/826212.json.gz</t>
        </is>
      </c>
      <c r="N601" s="75" t="inlineStr">
        <is>
          <t>https://fnet.bmfbovespa.com.br/fnet/publico/downloadDocumento?id=826212</t>
        </is>
      </c>
      <c r="O601" s="75" t="inlineStr">
        <is>
          <t>"Data de Verificação Trimestral" significa o 5º (quinto) Dia Útil dos meses de março, junho, setembro e dezembro. "Devedores" significam os clientes da Cedente que tenham adquirido Produtos e sejam devedores dos Direitos Creditórios , compostos por Devedores Concentrados e Devedores Pulverizados. "Devedores Concentrados" significa a Movida, a Unidas e a LM, considerados em conjunto com as demais sociedades</t>
        </is>
      </c>
    </row>
    <row r="602" ht="43.5" customHeight="1">
      <c r="A602" s="142" t="n">
        <v>58349979000198</v>
      </c>
      <c r="B602" s="75" t="inlineStr">
        <is>
          <t>58.349.979/0001-98</t>
        </is>
      </c>
      <c r="C602" s="75" t="inlineStr">
        <is>
          <t>sacado_devedor</t>
        </is>
      </c>
      <c r="D602" s="75" t="inlineStr">
        <is>
          <t>a Movida, a Unidas e a LM, considerados em conjunto com as demais sociedades dos seus respectivos Grupos Econômicos, conforme lista enviada pela Cedente, nos termos do Contrato de Cessão</t>
        </is>
      </c>
      <c r="E602" s="75" t="inlineStr">
        <is>
          <t>N/D</t>
        </is>
      </c>
      <c r="F602" s="75" t="inlineStr">
        <is>
          <t>regulamento</t>
        </is>
      </c>
      <c r="G602" s="75" t="inlineStr">
        <is>
          <t>826212</t>
        </is>
      </c>
      <c r="H602" s="75" t="inlineStr">
        <is>
          <t>Atos de Deliberação do Administrador Instrumento Particular de Alteração do Regulamento</t>
        </is>
      </c>
      <c r="I602" s="75" t="inlineStr">
        <is>
          <t>28/01/2025</t>
        </is>
      </c>
      <c r="J602" s="75" t="inlineStr">
        <is>
          <t>91</t>
        </is>
      </c>
      <c r="K602" s="75" t="inlineStr">
        <is>
          <t>encontrado_explicito</t>
        </is>
      </c>
      <c r="L602" s="144" t="n">
        <v>0.95</v>
      </c>
      <c r="M602" s="75" t="inlineStr">
        <is>
          <t>.cache/carteira_101_document_scan/58349979000198/826212.json.gz</t>
        </is>
      </c>
      <c r="N602" s="75" t="inlineStr">
        <is>
          <t>https://fnet.bmfbovespa.com.br/fnet/publico/downloadDocumento?id=826212</t>
        </is>
      </c>
      <c r="O602" s="75" t="inlineStr">
        <is>
          <t>utos e sejam devedores dos Direitos Creditórios , compostos por Devedores Concentrados e Devedores Pulverizados. "Devedores Concentrados" significa a Movida, a Unidas e a LM, considerados em conjunto com as demais sociedades dos seus respectivos Grupos Econômicos, conforme lista enviada pela Cedente, nos termos do Contrato de Cessão. "Devedores Pulverizados" significa (i) os clientes da Cedente que tenham adquirido Produtos e sejam devedores dos</t>
        </is>
      </c>
    </row>
    <row r="603" ht="43.5" customHeight="1">
      <c r="A603" s="142" t="n">
        <v>58349979000198</v>
      </c>
      <c r="B603" s="75" t="inlineStr">
        <is>
          <t>58.349.979/0001-98</t>
        </is>
      </c>
      <c r="C603" s="75" t="inlineStr">
        <is>
          <t>sacado_devedor</t>
        </is>
      </c>
      <c r="D603" s="75" t="inlineStr">
        <is>
          <t>(i) os clientes da Cedente que tenham adquirido Produtos e sejam devedores dos Direitos Creditórios e que não sejam originalmente Devedores Concentrados, sendo certo que, nos termos do Contrato de Cessão e dos Documentos Complementares, a entrega dos Produtos a esses clientes só ocorrerá após o pagamento dos Direitos Creditórios</t>
        </is>
      </c>
      <c r="E603" s="75" t="inlineStr">
        <is>
          <t>N/D</t>
        </is>
      </c>
      <c r="F603" s="75" t="inlineStr">
        <is>
          <t>regulamento</t>
        </is>
      </c>
      <c r="G603" s="75" t="inlineStr">
        <is>
          <t>826212</t>
        </is>
      </c>
      <c r="H603" s="75" t="inlineStr">
        <is>
          <t>Atos de Deliberação do Administrador Instrumento Particular de Alteração do Regulamento</t>
        </is>
      </c>
      <c r="I603" s="75" t="inlineStr">
        <is>
          <t>28/01/2025</t>
        </is>
      </c>
      <c r="J603" s="75" t="inlineStr">
        <is>
          <t>91</t>
        </is>
      </c>
      <c r="K603" s="75" t="inlineStr">
        <is>
          <t>encontrado_explicito</t>
        </is>
      </c>
      <c r="L603" s="144" t="n">
        <v>0.95</v>
      </c>
      <c r="M603" s="75" t="inlineStr">
        <is>
          <t>.cache/carteira_101_document_scan/58349979000198/826212.json.gz</t>
        </is>
      </c>
      <c r="N603" s="75" t="inlineStr">
        <is>
          <t>https://fnet.bmfbovespa.com.br/fnet/publico/downloadDocumento?id=826212</t>
        </is>
      </c>
      <c r="O603" s="75" t="inlineStr">
        <is>
          <t>des dos seus respectivos Grupos Econômicos, conforme lista enviada pela Cedente, nos termos do Contrato de Cessão. "Devedores Pulverizados" significa (i) os clientes da Cedente que tenham adquirido Produtos e sejam devedores dos Direitos Creditórios e que não sejam originalmente Devedores Concentrados, sendo certo que, nos termos do Contrato de Cessão e dos Documentos Complementares, a entrega dos Produtos a esses clientes só ocorrerá após o pagamento dos Direitos Creditórios; e 89 INTERNAL (ii) os Devedores Concentrados caso tenha ocorrido um Evento de Alteração de Nível de Concentra</t>
        </is>
      </c>
    </row>
    <row r="604" ht="43.5" customHeight="1">
      <c r="A604" s="142" t="n">
        <v>58349979000198</v>
      </c>
      <c r="B604" s="75" t="inlineStr">
        <is>
          <t>58.349.979/0001-98</t>
        </is>
      </c>
      <c r="C604" s="75" t="inlineStr">
        <is>
          <t>sacado_devedor</t>
        </is>
      </c>
      <c r="D604" s="75" t="inlineStr">
        <is>
          <t>os clientes da Cedente que tenham adquirido Produtos e sejam devedores dos Direitos Creditórios , compostos por Devedores Concentrados e Devedores Pulverizados</t>
        </is>
      </c>
      <c r="E604" s="75" t="inlineStr">
        <is>
          <t>N/D</t>
        </is>
      </c>
      <c r="F604" s="75" t="inlineStr">
        <is>
          <t>regulamento</t>
        </is>
      </c>
      <c r="G604" s="75" t="inlineStr">
        <is>
          <t>826213</t>
        </is>
      </c>
      <c r="H604" s="75" t="inlineStr">
        <is>
          <t>Regulamento</t>
        </is>
      </c>
      <c r="I604" s="75" t="inlineStr">
        <is>
          <t>28/01/2025</t>
        </is>
      </c>
      <c r="J604" s="75" t="inlineStr">
        <is>
          <t>88</t>
        </is>
      </c>
      <c r="K604" s="75" t="inlineStr">
        <is>
          <t>encontrado_explicito</t>
        </is>
      </c>
      <c r="L604" s="144" t="n">
        <v>0.95</v>
      </c>
      <c r="M604" s="75" t="inlineStr">
        <is>
          <t>.cache/carteira_101_document_scan/58349979000198/826213.json.gz</t>
        </is>
      </c>
      <c r="N604" s="75" t="inlineStr">
        <is>
          <t>https://fnet.bmfbovespa.com.br/fnet/publico/downloadDocumento?id=826213</t>
        </is>
      </c>
      <c r="O604" s="75" t="inlineStr">
        <is>
          <t>"Data de Verificação Trimestral" significa o 5º (quinto) Dia Útil dos meses de março, junho, setembro e dezembro. "Devedores" significam os clientes da Cedente que tenham adquirido Produtos e sejam devedores dos Direitos Creditórios , compostos por Devedores Concentrados e Devedores Pulverizados. "Devedores Concentrados" significa a Movida, a Unidas e a LM, considerados em conjunto com as demais sociedades</t>
        </is>
      </c>
    </row>
    <row r="605" ht="43.5" customHeight="1">
      <c r="A605" s="142" t="n">
        <v>58349979000198</v>
      </c>
      <c r="B605" s="75" t="inlineStr">
        <is>
          <t>58.349.979/0001-98</t>
        </is>
      </c>
      <c r="C605" s="75" t="inlineStr">
        <is>
          <t>sacado_devedor</t>
        </is>
      </c>
      <c r="D605" s="75" t="inlineStr">
        <is>
          <t>a Movida, a Unidas e a LM, considerados em conjunto com as demais sociedades dos seus respectivos Grupos Econômicos, conforme lista enviada pela Cedente, nos termos do Contrato de Cessão</t>
        </is>
      </c>
      <c r="E605" s="75" t="inlineStr">
        <is>
          <t>N/D</t>
        </is>
      </c>
      <c r="F605" s="75" t="inlineStr">
        <is>
          <t>regulamento</t>
        </is>
      </c>
      <c r="G605" s="75" t="inlineStr">
        <is>
          <t>826213</t>
        </is>
      </c>
      <c r="H605" s="75" t="inlineStr">
        <is>
          <t>Regulamento</t>
        </is>
      </c>
      <c r="I605" s="75" t="inlineStr">
        <is>
          <t>28/01/2025</t>
        </is>
      </c>
      <c r="J605" s="75" t="inlineStr">
        <is>
          <t>88</t>
        </is>
      </c>
      <c r="K605" s="75" t="inlineStr">
        <is>
          <t>encontrado_explicito</t>
        </is>
      </c>
      <c r="L605" s="144" t="n">
        <v>0.95</v>
      </c>
      <c r="M605" s="75" t="inlineStr">
        <is>
          <t>.cache/carteira_101_document_scan/58349979000198/826213.json.gz</t>
        </is>
      </c>
      <c r="N605" s="75" t="inlineStr">
        <is>
          <t>https://fnet.bmfbovespa.com.br/fnet/publico/downloadDocumento?id=826213</t>
        </is>
      </c>
      <c r="O605" s="75" t="inlineStr">
        <is>
          <t>utos e sejam devedores dos Direitos Creditórios , compostos por Devedores Concentrados e Devedores Pulverizados. "Devedores Concentrados" significa a Movida, a Unidas e a LM, considerados em conjunto com as demais sociedades dos seus respectivos Grupos Econômicos, conforme lista enviada pela Cedente, nos termos do Contrato de Cessão. "Devedores Pulverizados" significa (i) os clientes da Cedente que tenham adquirido Produtos e sejam devedores dos</t>
        </is>
      </c>
    </row>
    <row r="606" ht="43.5" customHeight="1">
      <c r="A606" s="142" t="n">
        <v>58349979000198</v>
      </c>
      <c r="B606" s="75" t="inlineStr">
        <is>
          <t>58.349.979/0001-98</t>
        </is>
      </c>
      <c r="C606" s="75" t="inlineStr">
        <is>
          <t>sacado_devedor</t>
        </is>
      </c>
      <c r="D606" s="75" t="inlineStr">
        <is>
          <t>(i) os clientes da Cedente que tenham adquirido Produtos e sejam devedores dos Direitos Creditórios e que não sejam originalmente Devedores Concentrados, sendo certo que, nos termos do Contrato de Cessão e dos Documentos Complementares, a entrega dos Produtos a esses clientes só ocorrerá após o pagamento dos Direitos Creditórios</t>
        </is>
      </c>
      <c r="E606" s="75" t="inlineStr">
        <is>
          <t>N/D</t>
        </is>
      </c>
      <c r="F606" s="75" t="inlineStr">
        <is>
          <t>regulamento</t>
        </is>
      </c>
      <c r="G606" s="75" t="inlineStr">
        <is>
          <t>826213</t>
        </is>
      </c>
      <c r="H606" s="75" t="inlineStr">
        <is>
          <t>Regulamento</t>
        </is>
      </c>
      <c r="I606" s="75" t="inlineStr">
        <is>
          <t>28/01/2025</t>
        </is>
      </c>
      <c r="J606" s="75" t="inlineStr">
        <is>
          <t>88</t>
        </is>
      </c>
      <c r="K606" s="75" t="inlineStr">
        <is>
          <t>encontrado_explicito</t>
        </is>
      </c>
      <c r="L606" s="144" t="n">
        <v>0.95</v>
      </c>
      <c r="M606" s="75" t="inlineStr">
        <is>
          <t>.cache/carteira_101_document_scan/58349979000198/826213.json.gz</t>
        </is>
      </c>
      <c r="N606" s="75" t="inlineStr">
        <is>
          <t>https://fnet.bmfbovespa.com.br/fnet/publico/downloadDocumento?id=826213</t>
        </is>
      </c>
      <c r="O606" s="75" t="inlineStr">
        <is>
          <t>des dos seus respectivos Grupos Econômicos, conforme lista enviada pela Cedente, nos termos do Contrato de Cessão. "Devedores Pulverizados" significa (i) os clientes da Cedente que tenham adquirido Produtos e sejam devedores dos Direitos Creditórios e que não sejam originalmente Devedores Concentrados, sendo certo que, nos termos do Contrato de Cessão e dos Documentos Complementares, a entrega dos Produtos a esses clientes só ocorrerá após o pagamento dos Direitos Creditórios; e 89 INTERNAL (ii) os Devedores Concentrados caso tenha ocorrido um Evento de Alteração de Nível de Concentra</t>
        </is>
      </c>
    </row>
    <row r="607" ht="43.5" customHeight="1">
      <c r="A607" s="142" t="n">
        <v>58349979000198</v>
      </c>
      <c r="B607" s="75" t="inlineStr">
        <is>
          <t>58.349.979/0001-98</t>
        </is>
      </c>
      <c r="C607" s="75" t="inlineStr">
        <is>
          <t>tipo_recebivel</t>
        </is>
      </c>
      <c r="D607" s="75" t="inlineStr">
        <is>
          <t>Direitos creditórios</t>
        </is>
      </c>
      <c r="E607" s="75" t="inlineStr">
        <is>
          <t>N/D</t>
        </is>
      </c>
      <c r="F607" s="75" t="inlineStr">
        <is>
          <t>planilha_manual</t>
        </is>
      </c>
      <c r="G607" s="75" t="inlineStr">
        <is>
          <t>IMG_8706.JPG</t>
        </is>
      </c>
      <c r="H607" s="75" t="inlineStr">
        <is>
          <t>payload</t>
        </is>
      </c>
      <c r="I607" s="75" t="inlineStr">
        <is>
          <t>2025-01-28</t>
        </is>
      </c>
      <c r="J607" s="75" t="inlineStr">
        <is>
          <t>94</t>
        </is>
      </c>
      <c r="K607" s="75" t="inlineStr">
        <is>
          <t>aceito_payload</t>
        </is>
      </c>
      <c r="L607" s="144" t="n">
        <v>1</v>
      </c>
      <c r="M607" s="75" t="inlineStr">
        <is>
          <t>data/industry_study/generated_revision/artifact_payload.json</t>
        </is>
      </c>
      <c r="N607" s="75" t="inlineStr">
        <is>
          <t>N/D</t>
        </is>
      </c>
      <c r="O607" s="75" t="inlineStr">
        <is>
          <t>OBS da foto: concentração grande com LM e Unidas, ambas com tendência de rating estável. Denominação cortada.</t>
        </is>
      </c>
    </row>
    <row r="608" ht="43.5" customHeight="1">
      <c r="A608" s="142" t="n">
        <v>58476088000100</v>
      </c>
      <c r="B608" s="75" t="inlineStr">
        <is>
          <t>58.476.088/0001-00</t>
        </is>
      </c>
      <c r="C608" s="75" t="inlineStr">
        <is>
          <t>cedente</t>
        </is>
      </c>
      <c r="D608" s="75" t="inlineStr">
        <is>
          <t>Saga Brasil</t>
        </is>
      </c>
      <c r="E608" s="75" t="inlineStr">
        <is>
          <t>N/D</t>
        </is>
      </c>
      <c r="F608" s="75" t="inlineStr">
        <is>
          <t>planilha_manual</t>
        </is>
      </c>
      <c r="G608" s="75" t="inlineStr">
        <is>
          <t>IMG_8706.JPG</t>
        </is>
      </c>
      <c r="H608" s="75" t="inlineStr">
        <is>
          <t>payload</t>
        </is>
      </c>
      <c r="I608" s="75" t="inlineStr">
        <is>
          <t>2025-02-25</t>
        </is>
      </c>
      <c r="J608" s="75" t="inlineStr">
        <is>
          <t>18</t>
        </is>
      </c>
      <c r="K608" s="75" t="inlineStr">
        <is>
          <t>aceito_payload</t>
        </is>
      </c>
      <c r="L608" s="144" t="n">
        <v>1</v>
      </c>
      <c r="M608" s="75" t="inlineStr">
        <is>
          <t>data/industry_study/generated_revision/artifact_payload.json</t>
        </is>
      </c>
      <c r="N608" s="75" t="inlineStr">
        <is>
          <t>N/D</t>
        </is>
      </c>
      <c r="O608" s="75" t="inlineStr">
        <is>
          <t>OBS continua fora da foto após a descrição legível.</t>
        </is>
      </c>
    </row>
    <row r="609" ht="43.5" customHeight="1">
      <c r="A609" s="142" t="n">
        <v>58476088000100</v>
      </c>
      <c r="B609" s="75" t="inlineStr">
        <is>
          <t>58.476.088/0001-00</t>
        </is>
      </c>
      <c r="C609" s="75" t="inlineStr">
        <is>
          <t>minimo_estrutural_total</t>
        </is>
      </c>
      <c r="D609" s="75" t="inlineStr">
        <is>
          <t>33.33%</t>
        </is>
      </c>
      <c r="E609" s="75" t="inlineStr">
        <is>
          <t>suporte_total_pl</t>
        </is>
      </c>
      <c r="F609" s="75" t="inlineStr">
        <is>
          <t>payload_documental</t>
        </is>
      </c>
      <c r="G609" s="75" t="inlineStr">
        <is>
          <t>852325</t>
        </is>
      </c>
      <c r="H609" s="75" t="inlineStr">
        <is>
          <t>documento_curado</t>
        </is>
      </c>
      <c r="I609" s="75" t="inlineStr">
        <is>
          <t>2025-02-25</t>
        </is>
      </c>
      <c r="J609" s="75" t="inlineStr">
        <is>
          <t>18</t>
        </is>
      </c>
      <c r="K609" s="75" t="inlineStr">
        <is>
          <t>aceito_payload</t>
        </is>
      </c>
      <c r="L609" s="144" t="n">
        <v>1</v>
      </c>
      <c r="M609" s="75" t="inlineStr">
        <is>
          <t>data/industry_study/generated_revision/artifact_payload.json</t>
        </is>
      </c>
      <c r="N609" s="75" t="inlineStr">
        <is>
          <t>https://fnet.bmfbovespa.com.br/fnet/publico/downloadDocumento?id=852325</t>
        </is>
      </c>
      <c r="O609" s="75" t="inlineStr">
        <is>
          <t>Cotas subordinadas / PL, mínimo de 33,33%; estrutura com uma única classe residual.</t>
        </is>
      </c>
    </row>
    <row r="610" ht="43.5" customHeight="1">
      <c r="A610" s="142" t="n">
        <v>58476088000100</v>
      </c>
      <c r="B610" s="75" t="inlineStr">
        <is>
          <t>58.476.088/0001-00</t>
        </is>
      </c>
      <c r="C610" s="75" t="inlineStr">
        <is>
          <t>minimo_junior</t>
        </is>
      </c>
      <c r="D610" s="75" t="inlineStr">
        <is>
          <t>33.33%</t>
        </is>
      </c>
      <c r="E610" s="75" t="inlineStr">
        <is>
          <t>junior_pl</t>
        </is>
      </c>
      <c r="F610" s="75" t="inlineStr">
        <is>
          <t>payload_documental</t>
        </is>
      </c>
      <c r="G610" s="75" t="inlineStr">
        <is>
          <t>852325</t>
        </is>
      </c>
      <c r="H610" s="75" t="inlineStr">
        <is>
          <t>documento_curado</t>
        </is>
      </c>
      <c r="I610" s="75" t="inlineStr">
        <is>
          <t>2025-02-25</t>
        </is>
      </c>
      <c r="J610" s="75" t="inlineStr">
        <is>
          <t>18</t>
        </is>
      </c>
      <c r="K610" s="75" t="inlineStr">
        <is>
          <t>aceito_payload</t>
        </is>
      </c>
      <c r="L610" s="144" t="n">
        <v>1</v>
      </c>
      <c r="M610" s="75" t="inlineStr">
        <is>
          <t>data/industry_study/generated_revision/artifact_payload.json</t>
        </is>
      </c>
      <c r="N610" s="75" t="inlineStr">
        <is>
          <t>https://fnet.bmfbovespa.com.br/fnet/publico/downloadDocumento?id=852325</t>
        </is>
      </c>
      <c r="O610" s="75" t="inlineStr">
        <is>
          <t>Cotas subordinadas / PL, mínimo de 33,33%; estrutura com uma única classe residual.</t>
        </is>
      </c>
    </row>
    <row r="611" ht="43.5" customHeight="1">
      <c r="A611" s="142" t="n">
        <v>58476088000100</v>
      </c>
      <c r="B611" s="75" t="inlineStr">
        <is>
          <t>58.476.088/0001-00</t>
        </is>
      </c>
      <c r="C611" s="75" t="inlineStr">
        <is>
          <t>natureza_indice</t>
        </is>
      </c>
      <c r="D611" s="75" t="inlineStr">
        <is>
          <t>junior_pl</t>
        </is>
      </c>
      <c r="E611" s="75" t="inlineStr">
        <is>
          <t>junior_pl</t>
        </is>
      </c>
      <c r="F611" s="75" t="inlineStr">
        <is>
          <t>payload_documental</t>
        </is>
      </c>
      <c r="G611" s="75" t="inlineStr">
        <is>
          <t>852325</t>
        </is>
      </c>
      <c r="H611" s="75" t="inlineStr">
        <is>
          <t>documento_curado</t>
        </is>
      </c>
      <c r="I611" s="75" t="inlineStr">
        <is>
          <t>2025-02-25</t>
        </is>
      </c>
      <c r="J611" s="75" t="inlineStr">
        <is>
          <t>18</t>
        </is>
      </c>
      <c r="K611" s="75" t="inlineStr">
        <is>
          <t>aceito_payload</t>
        </is>
      </c>
      <c r="L611" s="144" t="n">
        <v>1</v>
      </c>
      <c r="M611" s="75" t="inlineStr">
        <is>
          <t>data/industry_study/generated_revision/artifact_payload.json</t>
        </is>
      </c>
      <c r="N611" s="75" t="inlineStr">
        <is>
          <t>https://fnet.bmfbovespa.com.br/fnet/publico/downloadDocumento?id=852325</t>
        </is>
      </c>
      <c r="O611" s="75" t="inlineStr">
        <is>
          <t>Cotas subordinadas / PL, mínimo de 33,33%; estrutura com uma única classe residual.</t>
        </is>
      </c>
    </row>
    <row r="612" ht="43.5" customHeight="1">
      <c r="A612" s="142" t="n">
        <v>58476088000100</v>
      </c>
      <c r="B612" s="75" t="inlineStr">
        <is>
          <t>58.476.088/0001-00</t>
        </is>
      </c>
      <c r="C612" s="75" t="inlineStr">
        <is>
          <t>tipo_recebivel</t>
        </is>
      </c>
      <c r="D612" s="75" t="inlineStr">
        <is>
          <t>os direitos creditórios originados das Notas Comerciais emitidas pelos Devedores, representados pelos Documentos Comprobatórios, conforme o caso, detidas pela Fundo contra os Devedores</t>
        </is>
      </c>
      <c r="E612" s="75" t="inlineStr">
        <is>
          <t>N/D</t>
        </is>
      </c>
      <c r="F612" s="75" t="inlineStr">
        <is>
          <t>regulamento</t>
        </is>
      </c>
      <c r="G612" s="75" t="inlineStr">
        <is>
          <t>830536</t>
        </is>
      </c>
      <c r="H612" s="75" t="inlineStr">
        <is>
          <t>Regulamento</t>
        </is>
      </c>
      <c r="I612" s="75" t="inlineStr">
        <is>
          <t>03/02/2025</t>
        </is>
      </c>
      <c r="J612" s="75" t="inlineStr">
        <is>
          <t>15</t>
        </is>
      </c>
      <c r="K612" s="75" t="inlineStr">
        <is>
          <t>encontrado_explicito</t>
        </is>
      </c>
      <c r="L612" s="144" t="n">
        <v>0.92</v>
      </c>
      <c r="M612" s="75" t="inlineStr">
        <is>
          <t>.cache/carteira_101_document_scan/58476088000100/830536.json.gz</t>
        </is>
      </c>
      <c r="N612" s="75" t="inlineStr">
        <is>
          <t>https://fnet.bmfbovespa.com.br/fnet/publico/downloadDocumento?id=830536</t>
        </is>
      </c>
      <c r="O612" s="75" t="inlineStr">
        <is>
          <t>considerado Dia Útil qualquer dia que não seja sábado, domingo ou feriado declarado nacional. “Direitos Creditórios” Significam os direitos creditórios originados das Notas Comerciais emitidas pelos Devedores, representados pelos Documentos Comprobatórios, conforme o caso, detidas pela Fundo contra os Devedores. “Direitos Creditórios Elegíveis” Significam os Direitos Creditórios que atendam aos respect</t>
        </is>
      </c>
    </row>
    <row r="613" ht="43.5" customHeight="1">
      <c r="A613" s="142" t="n">
        <v>58476088000100</v>
      </c>
      <c r="B613" s="75" t="inlineStr">
        <is>
          <t>58.476.088/0001-00</t>
        </is>
      </c>
      <c r="C613" s="75" t="inlineStr">
        <is>
          <t>tipo_recebivel</t>
        </is>
      </c>
      <c r="D613" s="75" t="inlineStr">
        <is>
          <t>os direitos creditórios originados das Notas Comerciais emitidas pelos Devedores, representados pelos Documentos Comprobatórios, conforme o caso, detidas pela Fundo contra os Devedores</t>
        </is>
      </c>
      <c r="E613" s="75" t="inlineStr">
        <is>
          <t>N/D</t>
        </is>
      </c>
      <c r="F613" s="75" t="inlineStr">
        <is>
          <t>regulamento</t>
        </is>
      </c>
      <c r="G613" s="75" t="inlineStr">
        <is>
          <t>852325</t>
        </is>
      </c>
      <c r="H613" s="75" t="inlineStr">
        <is>
          <t>Regulamento</t>
        </is>
      </c>
      <c r="I613" s="75" t="inlineStr">
        <is>
          <t>25/02/2025</t>
        </is>
      </c>
      <c r="J613" s="75" t="inlineStr">
        <is>
          <t>15</t>
        </is>
      </c>
      <c r="K613" s="75" t="inlineStr">
        <is>
          <t>encontrado_explicito</t>
        </is>
      </c>
      <c r="L613" s="144" t="n">
        <v>0.92</v>
      </c>
      <c r="M613" s="75" t="inlineStr">
        <is>
          <t>.cache/carteira_101_document_scan/58476088000100/852325.json.gz</t>
        </is>
      </c>
      <c r="N613" s="75" t="inlineStr">
        <is>
          <t>https://fnet.bmfbovespa.com.br/fnet/publico/downloadDocumento?id=852325</t>
        </is>
      </c>
      <c r="O613" s="75" t="inlineStr">
        <is>
          <t>considerado Dia Útil qualquer dia que não seja sábado, domingo ou feriado declarado nacional. “Direitos Creditórios” Significam os direitos creditórios originados das Notas Comerciais emitidas pelos Devedores, representados pelos Documentos Comprobatórios, conforme o caso, detidas pela Fundo contra os Devedores. “Direitos Creditórios Elegíveis” Significam os Direitos Creditórios que atendam aos respect</t>
        </is>
      </c>
    </row>
    <row r="614" ht="43.5" customHeight="1">
      <c r="A614" s="142" t="n">
        <v>58476088000100</v>
      </c>
      <c r="B614" s="75" t="inlineStr">
        <is>
          <t>58.476.088/0001-00</t>
        </is>
      </c>
      <c r="C614" s="75" t="inlineStr">
        <is>
          <t>tipo_recebivel</t>
        </is>
      </c>
      <c r="D614" s="75" t="inlineStr">
        <is>
          <t>notas comerciais para substituição parcial de Floor Plan</t>
        </is>
      </c>
      <c r="E614" s="75" t="inlineStr">
        <is>
          <t>N/D</t>
        </is>
      </c>
      <c r="F614" s="75" t="inlineStr">
        <is>
          <t>planilha_manual</t>
        </is>
      </c>
      <c r="G614" s="75" t="inlineStr">
        <is>
          <t>IMG_8706.JPG</t>
        </is>
      </c>
      <c r="H614" s="75" t="inlineStr">
        <is>
          <t>payload</t>
        </is>
      </c>
      <c r="I614" s="75" t="inlineStr">
        <is>
          <t>2025-02-25</t>
        </is>
      </c>
      <c r="J614" s="75" t="inlineStr">
        <is>
          <t>18</t>
        </is>
      </c>
      <c r="K614" s="75" t="inlineStr">
        <is>
          <t>aceito_payload</t>
        </is>
      </c>
      <c r="L614" s="144" t="n">
        <v>1</v>
      </c>
      <c r="M614" s="75" t="inlineStr">
        <is>
          <t>data/industry_study/generated_revision/artifact_payload.json</t>
        </is>
      </c>
      <c r="N614" s="75" t="inlineStr">
        <is>
          <t>N/D</t>
        </is>
      </c>
      <c r="O614" s="75" t="inlineStr">
        <is>
          <t>OBS continua fora da foto após a descrição legível.</t>
        </is>
      </c>
    </row>
    <row r="615" ht="43.5" customHeight="1">
      <c r="A615" s="142" t="n">
        <v>61288838000117</v>
      </c>
      <c r="B615" s="75" t="inlineStr">
        <is>
          <t>61.288.838/0001-17</t>
        </is>
      </c>
      <c r="C615" s="75" t="inlineStr">
        <is>
          <t>cedente</t>
        </is>
      </c>
      <c r="D615" s="75" t="inlineStr">
        <is>
          <t>a Subcredenciadora</t>
        </is>
      </c>
      <c r="E615" s="75" t="inlineStr">
        <is>
          <t>N/D</t>
        </is>
      </c>
      <c r="F615" s="75" t="inlineStr">
        <is>
          <t>regulamento</t>
        </is>
      </c>
      <c r="G615" s="75" t="inlineStr">
        <is>
          <t>1240846</t>
        </is>
      </c>
      <c r="H615" s="75" t="inlineStr">
        <is>
          <t>Regulamento</t>
        </is>
      </c>
      <c r="I615" s="75" t="inlineStr">
        <is>
          <t>03/07/2026</t>
        </is>
      </c>
      <c r="J615" s="75" t="inlineStr">
        <is>
          <t>100</t>
        </is>
      </c>
      <c r="K615" s="75" t="inlineStr">
        <is>
          <t>encontrado_explicito</t>
        </is>
      </c>
      <c r="L615" s="144" t="n">
        <v>0.95</v>
      </c>
      <c r="M615" s="75" t="inlineStr">
        <is>
          <t>.cache/carteira_101_document_scan/61288838000117/1240846.json.gz</t>
        </is>
      </c>
      <c r="N615" s="75" t="inlineStr">
        <is>
          <t>https://fnet.bmfbovespa.com.br/fnet/publico/downloadDocumento?id=1240846</t>
        </is>
      </c>
      <c r="O615" s="75" t="inlineStr">
        <is>
          <t>Instituição Financeira Parceira, nos termos da Lei nº 10.931, com o objetivo de realizar uma operação de crédito. “Cedente” significa a Subcredenciadora. “Chargeback” significa a contestação de Transação(ões) de Pagamento, seja no todo ou em parte, por parte de clien</t>
        </is>
      </c>
    </row>
    <row r="616" ht="43.5" customHeight="1">
      <c r="A616" s="142" t="n">
        <v>61288838000117</v>
      </c>
      <c r="B616" s="75" t="inlineStr">
        <is>
          <t>61.288.838/0001-17</t>
        </is>
      </c>
      <c r="C616" s="75" t="inlineStr">
        <is>
          <t>cedente</t>
        </is>
      </c>
      <c r="D616" s="75" t="inlineStr">
        <is>
          <t>a Subcredenciadora</t>
        </is>
      </c>
      <c r="E616" s="75" t="inlineStr">
        <is>
          <t>N/D</t>
        </is>
      </c>
      <c r="F616" s="75" t="inlineStr">
        <is>
          <t>regulamento</t>
        </is>
      </c>
      <c r="G616" s="75" t="inlineStr">
        <is>
          <t>1072389</t>
        </is>
      </c>
      <c r="H616" s="75" t="inlineStr">
        <is>
          <t>regulamento</t>
        </is>
      </c>
      <c r="I616" s="75" t="inlineStr">
        <is>
          <t>2025-12-29</t>
        </is>
      </c>
      <c r="J616" s="75" t="inlineStr">
        <is>
          <t>177</t>
        </is>
      </c>
      <c r="K616" s="75" t="inlineStr">
        <is>
          <t>encontrado_explicito</t>
        </is>
      </c>
      <c r="L616" s="144" t="n">
        <v>0.95</v>
      </c>
      <c r="M616" s="75" t="inlineStr">
        <is>
          <t>data/raw/61288838000117/1072389_regulamento_regulamento_1072389_2025-12-29_2025-12-29.pdf</t>
        </is>
      </c>
      <c r="N616" s="75" t="inlineStr">
        <is>
          <t>https://fnet.bmfbovespa.com.br/fnet/publico/downloadDocumento?id=1072389</t>
        </is>
      </c>
      <c r="O616" s="75" t="inlineStr">
        <is>
          <t>da Instituição Financeira Parceira, nos termos da Lei nº 10.931, com o objetivo de realizar uma operação de crédito. “Cedente” significa a Subcredenciadora. “Chargeback” significa a contestação de Transação(ões) de Pagamento, seja no todo ou em parte, por parte de cliente</t>
        </is>
      </c>
    </row>
    <row r="617" ht="43.5" customHeight="1">
      <c r="A617" s="142" t="n">
        <v>61288838000117</v>
      </c>
      <c r="B617" s="75" t="inlineStr">
        <is>
          <t>61.288.838/0001-17</t>
        </is>
      </c>
      <c r="C617" s="75" t="inlineStr">
        <is>
          <t>cedente</t>
        </is>
      </c>
      <c r="D617" s="75" t="inlineStr">
        <is>
          <t>a Subcredenciadora</t>
        </is>
      </c>
      <c r="E617" s="75" t="inlineStr">
        <is>
          <t>N/D</t>
        </is>
      </c>
      <c r="F617" s="75" t="inlineStr">
        <is>
          <t>regulamento</t>
        </is>
      </c>
      <c r="G617" s="75" t="inlineStr">
        <is>
          <t>1073756</t>
        </is>
      </c>
      <c r="H617" s="75" t="inlineStr">
        <is>
          <t>Regulamento</t>
        </is>
      </c>
      <c r="I617" s="75" t="inlineStr">
        <is>
          <t>29/12/2025</t>
        </is>
      </c>
      <c r="J617" s="75" t="inlineStr">
        <is>
          <t>107</t>
        </is>
      </c>
      <c r="K617" s="75" t="inlineStr">
        <is>
          <t>encontrado_explicito</t>
        </is>
      </c>
      <c r="L617" s="144" t="n">
        <v>0.95</v>
      </c>
      <c r="M617" s="75" t="inlineStr">
        <is>
          <t>.cache/carteira_101_document_scan/61288838000117/1073756.json.gz</t>
        </is>
      </c>
      <c r="N617" s="75" t="inlineStr">
        <is>
          <t>https://fnet.bmfbovespa.com.br/fnet/publico/downloadDocumento?id=1073756</t>
        </is>
      </c>
      <c r="O617" s="75" t="inlineStr">
        <is>
          <t>da Instituição Financeira Parceira, nos termos da Lei nº 10.931, com o objetivo de realizar uma operação de crédito. “Cedente” significa a Subcredenciadora. “Chargeback” significa a contestação de Transação(ões) de Pagamento, seja no todo ou em parte, por parte de cliente</t>
        </is>
      </c>
    </row>
    <row r="618" ht="43.5" customHeight="1">
      <c r="A618" s="142" t="n">
        <v>61288838000117</v>
      </c>
      <c r="B618" s="75" t="inlineStr">
        <is>
          <t>61.288.838/0001-17</t>
        </is>
      </c>
      <c r="C618" s="75" t="inlineStr">
        <is>
          <t>cedente</t>
        </is>
      </c>
      <c r="D618" s="75" t="inlineStr">
        <is>
          <t>MovilePay / iFood</t>
        </is>
      </c>
      <c r="E618" s="75" t="inlineStr">
        <is>
          <t>N/D</t>
        </is>
      </c>
      <c r="F618" s="75" t="inlineStr">
        <is>
          <t>planilha_manual</t>
        </is>
      </c>
      <c r="G618" s="75" t="inlineStr">
        <is>
          <t>IMG_8707.jpg</t>
        </is>
      </c>
      <c r="H618" s="75" t="inlineStr">
        <is>
          <t>payload</t>
        </is>
      </c>
      <c r="I618" s="75" t="inlineStr">
        <is>
          <t>2026-07-03</t>
        </is>
      </c>
      <c r="J618" s="75" t="inlineStr">
        <is>
          <t>114</t>
        </is>
      </c>
      <c r="K618" s="75" t="inlineStr">
        <is>
          <t>aceito_payload</t>
        </is>
      </c>
      <c r="L618" s="144" t="n">
        <v>1</v>
      </c>
      <c r="M618" s="75" t="inlineStr">
        <is>
          <t>data/industry_study/generated_revision/artifact_payload.json</t>
        </is>
      </c>
      <c r="N618" s="75" t="inlineStr">
        <is>
          <t>N/D</t>
        </is>
      </c>
      <c r="O618" s="75" t="inlineStr">
        <is>
          <t>N/D</t>
        </is>
      </c>
    </row>
    <row r="619" ht="43.5" customHeight="1">
      <c r="A619" s="142" t="n">
        <v>61288838000117</v>
      </c>
      <c r="B619" s="75" t="inlineStr">
        <is>
          <t>61.288.838/0001-17</t>
        </is>
      </c>
      <c r="C619" s="75" t="inlineStr">
        <is>
          <t>minimo_estrutural_total</t>
        </is>
      </c>
      <c r="D619" s="75" t="inlineStr">
        <is>
          <t>25%</t>
        </is>
      </c>
      <c r="E619" s="75" t="inlineStr">
        <is>
          <t>suporte_total_pl</t>
        </is>
      </c>
      <c r="F619" s="75" t="inlineStr">
        <is>
          <t>regulamento</t>
        </is>
      </c>
      <c r="G619" s="75" t="inlineStr">
        <is>
          <t>1240846</t>
        </is>
      </c>
      <c r="H619" s="75" t="inlineStr">
        <is>
          <t>Regulamento</t>
        </is>
      </c>
      <c r="I619" s="75" t="inlineStr">
        <is>
          <t>03/07/2026</t>
        </is>
      </c>
      <c r="J619" s="75" t="inlineStr">
        <is>
          <t>66</t>
        </is>
      </c>
      <c r="K619" s="75" t="inlineStr">
        <is>
          <t>encontrado_explicito</t>
        </is>
      </c>
      <c r="L619" s="144" t="n">
        <v>0.95</v>
      </c>
      <c r="M619" s="75" t="inlineStr">
        <is>
          <t>.cache/carteira_101_document_scan/61288838000117/1240846.json.gz</t>
        </is>
      </c>
      <c r="N619" s="75" t="inlineStr">
        <is>
          <t>https://fnet.bmfbovespa.com.br/fnet/publico/downloadDocumento?id=1240846</t>
        </is>
      </c>
      <c r="O619" s="75" t="inlineStr">
        <is>
          <t>que, uma vez atingido tal patamar, a Amortização Extraordinária ser á admitida apenas até o limite em que, considerada pro forma a Amortização Extraordinária a ser realizada, o Índice de Subordinação Sênior permaneça enquadrado, isto é, em no mínimo 25% (vinte e cinco por cento) do Patrimônio Líquido do Fundo; ou (b) caso não existam Cotas Seniores e Cotas Subordinadas Mezanino em circulação; Docusign Envelope ID: C5686DA9-ACCA-82C9-836A-8EEEA2CD6AEE (ii) o L</t>
        </is>
      </c>
    </row>
    <row r="620" ht="43.5" customHeight="1">
      <c r="A620" s="142" t="n">
        <v>61288838000117</v>
      </c>
      <c r="B620" s="75" t="inlineStr">
        <is>
          <t>61.288.838/0001-17</t>
        </is>
      </c>
      <c r="C620" s="75" t="inlineStr">
        <is>
          <t>minimo_estrutural_total</t>
        </is>
      </c>
      <c r="D620" s="75" t="inlineStr">
        <is>
          <t>25%</t>
        </is>
      </c>
      <c r="E620" s="75" t="inlineStr">
        <is>
          <t>suporte_total_pl</t>
        </is>
      </c>
      <c r="F620" s="75" t="inlineStr">
        <is>
          <t>assembleia</t>
        </is>
      </c>
      <c r="G620" s="75" t="inlineStr">
        <is>
          <t>1240845</t>
        </is>
      </c>
      <c r="H620" s="75" t="inlineStr">
        <is>
          <t>Assembleia AGE Ata da Assembleia</t>
        </is>
      </c>
      <c r="I620" s="75" t="inlineStr">
        <is>
          <t>03/07/2026 10:00</t>
        </is>
      </c>
      <c r="J620" s="75" t="inlineStr">
        <is>
          <t>2</t>
        </is>
      </c>
      <c r="K620" s="75" t="inlineStr">
        <is>
          <t>encontrado_explicito</t>
        </is>
      </c>
      <c r="L620" s="144" t="n">
        <v>0.95</v>
      </c>
      <c r="M620" s="75" t="inlineStr">
        <is>
          <t>.cache/carteira_101_document_scan/61288838000117/1240845.json.gz</t>
        </is>
      </c>
      <c r="N620" s="75" t="inlineStr">
        <is>
          <t>https://fnet.bmfbovespa.com.br/fnet/publico/downloadDocumento?id=1240845</t>
        </is>
      </c>
      <c r="O620" s="75" t="inlineStr">
        <is>
          <t>do que, uma vez atingido tal patamar, a Amortização Extraordinária será admitida apenas até o limite em que, considerada pro forma a Amortização Extraordinária a ser realizada, o Índice de Subordinação Sênior permaneça enquadrado, isto é, em no mínimo 25% (vinte e cinco por cento) do Patrimônio Líquido do Fundo; ou (b) caso não existam Cotas Seniores e Cotas Subordinadas Mezanino em circulação.” e) aprovar a realização de oferta pública de distribuição das cotas da</t>
        </is>
      </c>
    </row>
    <row r="621" ht="43.5" customHeight="1">
      <c r="A621" s="142" t="n">
        <v>61288838000117</v>
      </c>
      <c r="B621" s="75" t="inlineStr">
        <is>
          <t>61.288.838/0001-17</t>
        </is>
      </c>
      <c r="C621" s="75" t="inlineStr">
        <is>
          <t>minimo_junior</t>
        </is>
      </c>
      <c r="D621" s="75" t="inlineStr">
        <is>
          <t>15%</t>
        </is>
      </c>
      <c r="E621" s="75" t="inlineStr">
        <is>
          <t>junior_pl</t>
        </is>
      </c>
      <c r="F621" s="75" t="inlineStr">
        <is>
          <t>payload_documental</t>
        </is>
      </c>
      <c r="G621" s="75" t="inlineStr">
        <is>
          <t>1240846</t>
        </is>
      </c>
      <c r="H621" s="75" t="inlineStr">
        <is>
          <t>documento_curado</t>
        </is>
      </c>
      <c r="I621" s="75" t="inlineStr">
        <is>
          <t>2026-07-03</t>
        </is>
      </c>
      <c r="J621" s="75" t="inlineStr">
        <is>
          <t>114</t>
        </is>
      </c>
      <c r="K621" s="75" t="inlineStr">
        <is>
          <t>aceito_payload</t>
        </is>
      </c>
      <c r="L621" s="144" t="n">
        <v>1</v>
      </c>
      <c r="M621" s="75" t="inlineStr">
        <is>
          <t>data/industry_study/generated_revision/artifact_payload.json</t>
        </is>
      </c>
      <c r="N621" s="75" t="inlineStr">
        <is>
          <t>https://fnet.bmfbovespa.com.br/fnet/publico/downloadDocumento?id=1240846</t>
        </is>
      </c>
      <c r="O621" s="75" t="inlineStr">
        <is>
          <t>Índice de Subordinação Mezanino: cotas júnior / PL, mínimo de 15,0%.</t>
        </is>
      </c>
    </row>
    <row r="622" ht="43.5" customHeight="1">
      <c r="A622" s="142" t="n">
        <v>61288838000117</v>
      </c>
      <c r="B622" s="75" t="inlineStr">
        <is>
          <t>61.288.838/0001-17</t>
        </is>
      </c>
      <c r="C622" s="75" t="inlineStr">
        <is>
          <t>natureza_indice</t>
        </is>
      </c>
      <c r="D622" s="75" t="inlineStr">
        <is>
          <t>junior_pl</t>
        </is>
      </c>
      <c r="E622" s="75" t="inlineStr">
        <is>
          <t>junior_pl</t>
        </is>
      </c>
      <c r="F622" s="75" t="inlineStr">
        <is>
          <t>payload_documental</t>
        </is>
      </c>
      <c r="G622" s="75" t="inlineStr">
        <is>
          <t>1240846</t>
        </is>
      </c>
      <c r="H622" s="75" t="inlineStr">
        <is>
          <t>documento_curado</t>
        </is>
      </c>
      <c r="I622" s="75" t="inlineStr">
        <is>
          <t>2026-07-03</t>
        </is>
      </c>
      <c r="J622" s="75" t="inlineStr">
        <is>
          <t>114</t>
        </is>
      </c>
      <c r="K622" s="75" t="inlineStr">
        <is>
          <t>aceito_payload</t>
        </is>
      </c>
      <c r="L622" s="144" t="n">
        <v>1</v>
      </c>
      <c r="M622" s="75" t="inlineStr">
        <is>
          <t>data/industry_study/generated_revision/artifact_payload.json</t>
        </is>
      </c>
      <c r="N622" s="75" t="inlineStr">
        <is>
          <t>https://fnet.bmfbovespa.com.br/fnet/publico/downloadDocumento?id=1240846</t>
        </is>
      </c>
      <c r="O622" s="75" t="inlineStr">
        <is>
          <t>Índice de Subordinação Mezanino: cotas júnior / PL, mínimo de 15,0%.</t>
        </is>
      </c>
    </row>
    <row r="623" ht="43.5" customHeight="1">
      <c r="A623" s="142" t="n">
        <v>61288838000117</v>
      </c>
      <c r="B623" s="75" t="inlineStr">
        <is>
          <t>61.288.838/0001-17</t>
        </is>
      </c>
      <c r="C623" s="75" t="inlineStr">
        <is>
          <t>sacado_devedor</t>
        </is>
      </c>
      <c r="D623" s="75" t="inlineStr">
        <is>
          <t>pessoas físicas ou jurídicas que possuam uma Conta Digital do Devedor CCB e que emitam uma CCB em favor da Instituição Financeira Parceira, conforme aplicável, com o objetivo de realizar uma operação de crédito</t>
        </is>
      </c>
      <c r="E623" s="75" t="inlineStr">
        <is>
          <t>N/D</t>
        </is>
      </c>
      <c r="F623" s="75" t="inlineStr">
        <is>
          <t>regulamento</t>
        </is>
      </c>
      <c r="G623" s="75" t="inlineStr">
        <is>
          <t>1240846</t>
        </is>
      </c>
      <c r="H623" s="75" t="inlineStr">
        <is>
          <t>Regulamento</t>
        </is>
      </c>
      <c r="I623" s="75" t="inlineStr">
        <is>
          <t>03/07/2026</t>
        </is>
      </c>
      <c r="J623" s="75" t="inlineStr">
        <is>
          <t>105</t>
        </is>
      </c>
      <c r="K623" s="75" t="inlineStr">
        <is>
          <t>encontrado_explicito</t>
        </is>
      </c>
      <c r="L623" s="144" t="n">
        <v>0.95</v>
      </c>
      <c r="M623" s="75" t="inlineStr">
        <is>
          <t>.cache/carteira_101_document_scan/61288838000117/1240846.json.gz</t>
        </is>
      </c>
      <c r="N623" s="75" t="inlineStr">
        <is>
          <t>https://fnet.bmfbovespa.com.br/fnet/publico/downloadDocumento?id=1240846</t>
        </is>
      </c>
      <c r="O623" s="75" t="inlineStr">
        <is>
          <t>evedores” significamos Devedores CCB e o Devedor Credenciadora, quando referidos em conjunto ou indistintamente. “Devedores CCB” significam pessoas físicas ou jurídicas que possuam uma Conta Digital do Devedor CCB e que emitam uma CCB em favor da Instituição Financeira Parceira, conforme aplicável, com o objetivo de realizar uma operação de crédito. “Devedor Credenciadora” significa a Credenciadora, na qualidade de devedora dos Direitos Creditórios Credenciador</t>
        </is>
      </c>
    </row>
    <row r="624" ht="43.5" customHeight="1">
      <c r="A624" s="142" t="n">
        <v>61288838000117</v>
      </c>
      <c r="B624" s="75" t="inlineStr">
        <is>
          <t>61.288.838/0001-17</t>
        </is>
      </c>
      <c r="C624" s="75" t="inlineStr">
        <is>
          <t>sacado_devedor</t>
        </is>
      </c>
      <c r="D624" s="75" t="inlineStr">
        <is>
          <t>a Credenciadora, na qualidade de devedora dos Direitos Creditórios Credenciadora</t>
        </is>
      </c>
      <c r="E624" s="75" t="inlineStr">
        <is>
          <t>N/D</t>
        </is>
      </c>
      <c r="F624" s="75" t="inlineStr">
        <is>
          <t>regulamento</t>
        </is>
      </c>
      <c r="G624" s="75" t="inlineStr">
        <is>
          <t>1240846</t>
        </is>
      </c>
      <c r="H624" s="75" t="inlineStr">
        <is>
          <t>Regulamento</t>
        </is>
      </c>
      <c r="I624" s="75" t="inlineStr">
        <is>
          <t>03/07/2026</t>
        </is>
      </c>
      <c r="J624" s="75" t="inlineStr">
        <is>
          <t>105</t>
        </is>
      </c>
      <c r="K624" s="75" t="inlineStr">
        <is>
          <t>encontrado_explicito</t>
        </is>
      </c>
      <c r="L624" s="144" t="n">
        <v>0.95</v>
      </c>
      <c r="M624" s="75" t="inlineStr">
        <is>
          <t>.cache/carteira_101_document_scan/61288838000117/1240846.json.gz</t>
        </is>
      </c>
      <c r="N624" s="75" t="inlineStr">
        <is>
          <t>https://fnet.bmfbovespa.com.br/fnet/publico/downloadDocumento?id=1240846</t>
        </is>
      </c>
      <c r="O624" s="75" t="inlineStr">
        <is>
          <t>favor da Instituição Financeira Parceira, conforme aplicável, com o objetivo de realizar uma operação de crédito. “Devedor Credenciadora” significa a Credenciadora, na qualidade de devedora dos Direitos Creditórios Credenciadora. “Devedores Elegíveis CCB” significam Devedores CCB que atendam aos seguintes critérios mínimos , observado o di</t>
        </is>
      </c>
    </row>
    <row r="625" ht="43.5" customHeight="1">
      <c r="A625" s="142" t="n">
        <v>61288838000117</v>
      </c>
      <c r="B625" s="75" t="inlineStr">
        <is>
          <t>61.288.838/0001-17</t>
        </is>
      </c>
      <c r="C625" s="75" t="inlineStr">
        <is>
          <t>sacado_devedor</t>
        </is>
      </c>
      <c r="D625" s="75" t="inlineStr">
        <is>
          <t>a pessoa que assume a responsabilidade solidária pelo cumprimento de quaisquer das obrigações principais, acessórias e/ou moratórias, presentes e/ou futuras, no seu vencimento original ou antecipado, assumidas ou que venham a ser assumidas pelo Devedor CCB no âmbito de uma CCB cujo valor de principal seja inferior a R$100.000,00 (cem mil reais)</t>
        </is>
      </c>
      <c r="E625" s="75" t="inlineStr">
        <is>
          <t>N/D</t>
        </is>
      </c>
      <c r="F625" s="75" t="inlineStr">
        <is>
          <t>regulamento</t>
        </is>
      </c>
      <c r="G625" s="75" t="inlineStr">
        <is>
          <t>1240846</t>
        </is>
      </c>
      <c r="H625" s="75" t="inlineStr">
        <is>
          <t>Regulamento</t>
        </is>
      </c>
      <c r="I625" s="75" t="inlineStr">
        <is>
          <t>03/07/2026</t>
        </is>
      </c>
      <c r="J625" s="75" t="inlineStr">
        <is>
          <t>105</t>
        </is>
      </c>
      <c r="K625" s="75" t="inlineStr">
        <is>
          <t>encontrado_explicito</t>
        </is>
      </c>
      <c r="L625" s="144" t="n">
        <v>0.95</v>
      </c>
      <c r="M625" s="75" t="inlineStr">
        <is>
          <t>.cache/carteira_101_document_scan/61288838000117/1240846.json.gz</t>
        </is>
      </c>
      <c r="N625" s="75" t="inlineStr">
        <is>
          <t>https://fnet.bmfbovespa.com.br/fnet/publico/downloadDocumento?id=1240846</t>
        </is>
      </c>
      <c r="O625" s="75" t="inlineStr">
        <is>
          <t>anos de recuperação extrajudicial ou outro procedimento de natureza similar, ou terem tido sua falência decretada. “Devedor Solidário CCB” significa a pessoa que assume a responsabilidade solidária pelo cumprimento de quaisquer das obrigações principais, acessórias e/ou moratórias, presentes e/ou futuras, no seu vencimento original ou antecipado, assumidas ou que venham a ser assumidas pelo Devedor CCB no âmbito de uma CCB cujo valor de principal seja inferior a R$100.000,00 (cem mil reais). “Dia Útil” significa (i) com relação a qualquer obrigação do Fundo realizada por meio ou perante a B3, qualquer di</t>
        </is>
      </c>
    </row>
    <row r="626" ht="43.5" customHeight="1">
      <c r="A626" s="142" t="n">
        <v>61288838000117</v>
      </c>
      <c r="B626" s="75" t="inlineStr">
        <is>
          <t>61.288.838/0001-17</t>
        </is>
      </c>
      <c r="C626" s="75" t="inlineStr">
        <is>
          <t>sacado_devedor</t>
        </is>
      </c>
      <c r="D626" s="75" t="inlineStr">
        <is>
          <t>pessoas físicas ou jurídicas que possuam uma Conta Digital do Devedor CCB e que emitam uma CCB em favor da Instituição Financeira Parceira, conforme aplicável, com o objetivo de realizar uma operação de crédito</t>
        </is>
      </c>
      <c r="E626" s="75" t="inlineStr">
        <is>
          <t>N/D</t>
        </is>
      </c>
      <c r="F626" s="75" t="inlineStr">
        <is>
          <t>regulamento</t>
        </is>
      </c>
      <c r="G626" s="75" t="inlineStr">
        <is>
          <t>1072389</t>
        </is>
      </c>
      <c r="H626" s="75" t="inlineStr">
        <is>
          <t>regulamento</t>
        </is>
      </c>
      <c r="I626" s="75" t="inlineStr">
        <is>
          <t>2025-12-29</t>
        </is>
      </c>
      <c r="J626" s="75" t="inlineStr">
        <is>
          <t>182</t>
        </is>
      </c>
      <c r="K626" s="75" t="inlineStr">
        <is>
          <t>encontrado_explicito</t>
        </is>
      </c>
      <c r="L626" s="144" t="n">
        <v>0.95</v>
      </c>
      <c r="M626" s="75" t="inlineStr">
        <is>
          <t>data/raw/61288838000117/1072389_regulamento_regulamento_1072389_2025-12-29_2025-12-29.pdf</t>
        </is>
      </c>
      <c r="N626" s="75" t="inlineStr">
        <is>
          <t>https://fnet.bmfbovespa.com.br/fnet/publico/downloadDocumento?id=1072389</t>
        </is>
      </c>
      <c r="O626" s="75" t="inlineStr">
        <is>
          <t>. “Devedores” significamos Devedores CCB e o Devedor Credenciadora, quando referidos em conjunto ou indistintamente. “Devedores CCB” significam pessoas físicas ou jurídicas que possuam uma Conta Digital do Devedor CCB e que emitam uma CCB em favor da Instituição Financeira Parceira, conforme aplicável, com o objetivo de realizar uma operação de crédito. “Devedor Credenciadora” significa a Credenciadora, na qualidade de devedora dos Direitos Creditórios Credenciadora.</t>
        </is>
      </c>
    </row>
    <row r="627" ht="43.5" customHeight="1">
      <c r="A627" s="142" t="n">
        <v>61288838000117</v>
      </c>
      <c r="B627" s="75" t="inlineStr">
        <is>
          <t>61.288.838/0001-17</t>
        </is>
      </c>
      <c r="C627" s="75" t="inlineStr">
        <is>
          <t>sacado_devedor</t>
        </is>
      </c>
      <c r="D627" s="75" t="inlineStr">
        <is>
          <t>a Credenciadora, na qualidade de devedora dos Direitos Creditórios Credenciadora</t>
        </is>
      </c>
      <c r="E627" s="75" t="inlineStr">
        <is>
          <t>N/D</t>
        </is>
      </c>
      <c r="F627" s="75" t="inlineStr">
        <is>
          <t>regulamento</t>
        </is>
      </c>
      <c r="G627" s="75" t="inlineStr">
        <is>
          <t>1072389</t>
        </is>
      </c>
      <c r="H627" s="75" t="inlineStr">
        <is>
          <t>regulamento</t>
        </is>
      </c>
      <c r="I627" s="75" t="inlineStr">
        <is>
          <t>2025-12-29</t>
        </is>
      </c>
      <c r="J627" s="75" t="inlineStr">
        <is>
          <t>182</t>
        </is>
      </c>
      <c r="K627" s="75" t="inlineStr">
        <is>
          <t>encontrado_explicito</t>
        </is>
      </c>
      <c r="L627" s="144" t="n">
        <v>0.95</v>
      </c>
      <c r="M627" s="75" t="inlineStr">
        <is>
          <t>data/raw/61288838000117/1072389_regulamento_regulamento_1072389_2025-12-29_2025-12-29.pdf</t>
        </is>
      </c>
      <c r="N627" s="75" t="inlineStr">
        <is>
          <t>https://fnet.bmfbovespa.com.br/fnet/publico/downloadDocumento?id=1072389</t>
        </is>
      </c>
      <c r="O627" s="75" t="inlineStr">
        <is>
          <t>em favor da Instituição Financeira Parceira, conforme aplicável, com o objetivo de realizar uma operação de crédito. “Devedor Credenciadora” significa a Credenciadora, na qualidade de devedora dos Direitos Creditórios Credenciadora. “Devedores Elegíveis CCB” significam Devedores CCB que atendam aos seguintes critérios mínimos, observado o disposto</t>
        </is>
      </c>
    </row>
    <row r="628" ht="43.5" customHeight="1">
      <c r="A628" s="142" t="n">
        <v>61288838000117</v>
      </c>
      <c r="B628" s="75" t="inlineStr">
        <is>
          <t>61.288.838/0001-17</t>
        </is>
      </c>
      <c r="C628" s="75" t="inlineStr">
        <is>
          <t>sacado_devedor</t>
        </is>
      </c>
      <c r="D628" s="75" t="inlineStr">
        <is>
          <t>Devedores CCB que atendam aos seguintes critérios mínimos, observado o disposto na Política de Crédito:</t>
        </is>
      </c>
      <c r="E628" s="75" t="inlineStr">
        <is>
          <t>N/D</t>
        </is>
      </c>
      <c r="F628" s="75" t="inlineStr">
        <is>
          <t>regulamento</t>
        </is>
      </c>
      <c r="G628" s="75" t="inlineStr">
        <is>
          <t>1072389</t>
        </is>
      </c>
      <c r="H628" s="75" t="inlineStr">
        <is>
          <t>regulamento</t>
        </is>
      </c>
      <c r="I628" s="75" t="inlineStr">
        <is>
          <t>2025-12-29</t>
        </is>
      </c>
      <c r="J628" s="75" t="inlineStr">
        <is>
          <t>182</t>
        </is>
      </c>
      <c r="K628" s="75" t="inlineStr">
        <is>
          <t>encontrado_explicito</t>
        </is>
      </c>
      <c r="L628" s="144" t="n">
        <v>0.95</v>
      </c>
      <c r="M628" s="75" t="inlineStr">
        <is>
          <t>data/raw/61288838000117/1072389_regulamento_regulamento_1072389_2025-12-29_2025-12-29.pdf</t>
        </is>
      </c>
      <c r="N628" s="75" t="inlineStr">
        <is>
          <t>https://fnet.bmfbovespa.com.br/fnet/publico/downloadDocumento?id=1072389</t>
        </is>
      </c>
      <c r="O628" s="75" t="inlineStr">
        <is>
          <t>. “Devedor Credenciadora” significa a Credenciadora, na qualidade de devedora dos Direitos Creditórios Credenciadora. “Devedores Elegíveis CCB” significam Devedores CCB que atendam aos seguintes critérios mínimos, observado o disposto na Política de Crédito: (i) tenham aberto sua Conta Digital do Devedor CCB após um processo de know your client (KYC) e coleta de informaçõe</t>
        </is>
      </c>
    </row>
    <row r="629" ht="43.5" customHeight="1">
      <c r="A629" s="142" t="n">
        <v>61288838000117</v>
      </c>
      <c r="B629" s="75" t="inlineStr">
        <is>
          <t>61.288.838/0001-17</t>
        </is>
      </c>
      <c r="C629" s="75" t="inlineStr">
        <is>
          <t>sacado_devedor</t>
        </is>
      </c>
      <c r="D629" s="75" t="inlineStr">
        <is>
          <t>a pessoa que assume a responsabilidade solidária pelo cumprimento de quaisquer das obrigações principais, acessórias e/ou moratórias, presentes e/ou futuras, no seu vencimento original ou antecipado, assumidas ou que venham a ser assumidas pelo Devedor CCB no âmbito de uma CCB cujo valor de principal seja inferior a R$100.000,00 (cem mil reais)</t>
        </is>
      </c>
      <c r="E629" s="75" t="inlineStr">
        <is>
          <t>N/D</t>
        </is>
      </c>
      <c r="F629" s="75" t="inlineStr">
        <is>
          <t>regulamento</t>
        </is>
      </c>
      <c r="G629" s="75" t="inlineStr">
        <is>
          <t>1072389</t>
        </is>
      </c>
      <c r="H629" s="75" t="inlineStr">
        <is>
          <t>regulamento</t>
        </is>
      </c>
      <c r="I629" s="75" t="inlineStr">
        <is>
          <t>2025-12-29</t>
        </is>
      </c>
      <c r="J629" s="75" t="inlineStr">
        <is>
          <t>182</t>
        </is>
      </c>
      <c r="K629" s="75" t="inlineStr">
        <is>
          <t>encontrado_explicito</t>
        </is>
      </c>
      <c r="L629" s="144" t="n">
        <v>0.95</v>
      </c>
      <c r="M629" s="75" t="inlineStr">
        <is>
          <t>data/raw/61288838000117/1072389_regulamento_regulamento_1072389_2025-12-29_2025-12-29.pdf</t>
        </is>
      </c>
      <c r="N629" s="75" t="inlineStr">
        <is>
          <t>https://fnet.bmfbovespa.com.br/fnet/publico/downloadDocumento?id=1072389</t>
        </is>
      </c>
      <c r="O629" s="75" t="inlineStr">
        <is>
          <t>planos de recuperação extrajudicial ou outro procedimento de natureza similar, ou terem tido sua falência decretada. “Devedor Solidário CCB” significa a pessoa que assume a responsabilidade solidária pelo cumprimento de quaisquer das obrigações principais, acessórias e/ou moratórias, presentes e/ou futuras, no seu vencimento original ou antecipado, assumidas ou que venham a ser assumidas pelo Devedor CCB no âmbito de uma CCB cujo valor de principal seja inferior a R$100.000,00 (cem mil reais). “Dia Útil” significa (i) com relação a qualquer obrigação do Fundo realizada por meio ou perante a B3, qualquer dia</t>
        </is>
      </c>
    </row>
    <row r="630" ht="43.5" customHeight="1">
      <c r="A630" s="142" t="n">
        <v>61288838000117</v>
      </c>
      <c r="B630" s="75" t="inlineStr">
        <is>
          <t>61.288.838/0001-17</t>
        </is>
      </c>
      <c r="C630" s="75" t="inlineStr">
        <is>
          <t>sacado_devedor</t>
        </is>
      </c>
      <c r="D630" s="75" t="inlineStr">
        <is>
          <t>pessoas físicas ou jurídicas que possuam uma Conta Digital do Devedor CCB e que emitam uma CCB em favor da Instituição Financeira Parceira, conforme aplicável, com o objetivo de realizar uma operação de crédito</t>
        </is>
      </c>
      <c r="E630" s="75" t="inlineStr">
        <is>
          <t>N/D</t>
        </is>
      </c>
      <c r="F630" s="75" t="inlineStr">
        <is>
          <t>regulamento</t>
        </is>
      </c>
      <c r="G630" s="75" t="inlineStr">
        <is>
          <t>1073756</t>
        </is>
      </c>
      <c r="H630" s="75" t="inlineStr">
        <is>
          <t>Regulamento</t>
        </is>
      </c>
      <c r="I630" s="75" t="inlineStr">
        <is>
          <t>29/12/2025</t>
        </is>
      </c>
      <c r="J630" s="75" t="inlineStr">
        <is>
          <t>112</t>
        </is>
      </c>
      <c r="K630" s="75" t="inlineStr">
        <is>
          <t>encontrado_explicito</t>
        </is>
      </c>
      <c r="L630" s="144" t="n">
        <v>0.95</v>
      </c>
      <c r="M630" s="75" t="inlineStr">
        <is>
          <t>.cache/carteira_101_document_scan/61288838000117/1073756.json.gz</t>
        </is>
      </c>
      <c r="N630" s="75" t="inlineStr">
        <is>
          <t>https://fnet.bmfbovespa.com.br/fnet/publico/downloadDocumento?id=1073756</t>
        </is>
      </c>
      <c r="O630" s="75" t="inlineStr">
        <is>
          <t>. “Devedores” significamos Devedores CCB e o Devedor Credenciadora, quando referidos em conjunto ou indistintamente. “Devedores CCB” significam pessoas físicas ou jurídicas que possuam uma Conta Digital do Devedor CCB e que emitam uma CCB em favor da Instituição Financeira Parceira, conforme aplicável, com o objetivo de realizar uma operação de crédito. “Devedor Credenciadora” significa a Credenciadora, na qualidade de devedora dos Direitos Creditórios Credenciadora.</t>
        </is>
      </c>
    </row>
    <row r="631" ht="43.5" customHeight="1">
      <c r="A631" s="142" t="n">
        <v>61288838000117</v>
      </c>
      <c r="B631" s="75" t="inlineStr">
        <is>
          <t>61.288.838/0001-17</t>
        </is>
      </c>
      <c r="C631" s="75" t="inlineStr">
        <is>
          <t>sacado_devedor</t>
        </is>
      </c>
      <c r="D631" s="75" t="inlineStr">
        <is>
          <t>a Credenciadora, na qualidade de devedora dos Direitos Creditórios Credenciadora</t>
        </is>
      </c>
      <c r="E631" s="75" t="inlineStr">
        <is>
          <t>N/D</t>
        </is>
      </c>
      <c r="F631" s="75" t="inlineStr">
        <is>
          <t>regulamento</t>
        </is>
      </c>
      <c r="G631" s="75" t="inlineStr">
        <is>
          <t>1073756</t>
        </is>
      </c>
      <c r="H631" s="75" t="inlineStr">
        <is>
          <t>Regulamento</t>
        </is>
      </c>
      <c r="I631" s="75" t="inlineStr">
        <is>
          <t>29/12/2025</t>
        </is>
      </c>
      <c r="J631" s="75" t="inlineStr">
        <is>
          <t>112</t>
        </is>
      </c>
      <c r="K631" s="75" t="inlineStr">
        <is>
          <t>encontrado_explicito</t>
        </is>
      </c>
      <c r="L631" s="144" t="n">
        <v>0.95</v>
      </c>
      <c r="M631" s="75" t="inlineStr">
        <is>
          <t>.cache/carteira_101_document_scan/61288838000117/1073756.json.gz</t>
        </is>
      </c>
      <c r="N631" s="75" t="inlineStr">
        <is>
          <t>https://fnet.bmfbovespa.com.br/fnet/publico/downloadDocumento?id=1073756</t>
        </is>
      </c>
      <c r="O631" s="75" t="inlineStr">
        <is>
          <t>em favor da Instituição Financeira Parceira, conforme aplicável, com o objetivo de realizar uma operação de crédito. “Devedor Credenciadora” significa a Credenciadora, na qualidade de devedora dos Direitos Creditórios Credenciadora. “Devedores Elegíveis CCB” significam Devedores CCB que atendam aos seguintes critérios mínimos, observado o dispos</t>
        </is>
      </c>
    </row>
    <row r="632" ht="43.5" customHeight="1">
      <c r="A632" s="142" t="n">
        <v>61288838000117</v>
      </c>
      <c r="B632" s="75" t="inlineStr">
        <is>
          <t>61.288.838/0001-17</t>
        </is>
      </c>
      <c r="C632" s="75" t="inlineStr">
        <is>
          <t>sacado_devedor</t>
        </is>
      </c>
      <c r="D632" s="75" t="inlineStr">
        <is>
          <t>a pessoa que assume a responsabilidade solidária pelo cumprimento de quaisquer das obrigações principais, acessórias e/ou moratórias, presentes e/ou futuras, no seu vencimento original ou antecipado, assumidas ou que venham a ser assumidas pelo D evedor CCB no âmbito de uma CCB cujo valor de principal seja inferior a R$100.000,00 (cem mil reais)</t>
        </is>
      </c>
      <c r="E632" s="75" t="inlineStr">
        <is>
          <t>N/D</t>
        </is>
      </c>
      <c r="F632" s="75" t="inlineStr">
        <is>
          <t>regulamento</t>
        </is>
      </c>
      <c r="G632" s="75" t="inlineStr">
        <is>
          <t>1073756</t>
        </is>
      </c>
      <c r="H632" s="75" t="inlineStr">
        <is>
          <t>Regulamento</t>
        </is>
      </c>
      <c r="I632" s="75" t="inlineStr">
        <is>
          <t>29/12/2025</t>
        </is>
      </c>
      <c r="J632" s="75" t="inlineStr">
        <is>
          <t>112</t>
        </is>
      </c>
      <c r="K632" s="75" t="inlineStr">
        <is>
          <t>encontrado_explicito</t>
        </is>
      </c>
      <c r="L632" s="144" t="n">
        <v>0.95</v>
      </c>
      <c r="M632" s="75" t="inlineStr">
        <is>
          <t>.cache/carteira_101_document_scan/61288838000117/1073756.json.gz</t>
        </is>
      </c>
      <c r="N632" s="75" t="inlineStr">
        <is>
          <t>https://fnet.bmfbovespa.com.br/fnet/publico/downloadDocumento?id=1073756</t>
        </is>
      </c>
      <c r="O632" s="75" t="inlineStr">
        <is>
          <t>planos de recuperação extrajudicial ou outro procedimento de natureza similar, ou terem tido sua falência decretada. “Devedor Solidário CCB” significa a pessoa que assume a responsabilidade solidária pelo cumprimento de quaisquer das obrigações principais, acessórias e/ou moratórias, presentes e/ou futuras, no seu vencimento original ou antecipado, assumidas ou que venham a ser assumidas pelo D evedor CCB no âmbito de uma CCB cujo valor de principal seja inferior a R$100.000,00 (cem mil reais). “Dia Útil” significa (i) com relação a qualquer obrigação do Fundo realizada por meio ou perante a B3, qualquer dia</t>
        </is>
      </c>
    </row>
    <row r="633" ht="43.5" customHeight="1">
      <c r="A633" s="142" t="n">
        <v>61288838000117</v>
      </c>
      <c r="B633" s="75" t="inlineStr">
        <is>
          <t>61.288.838/0001-17</t>
        </is>
      </c>
      <c r="C633" s="75" t="inlineStr">
        <is>
          <t>tipo_recebivel</t>
        </is>
      </c>
      <c r="D633" s="75" t="inlineStr">
        <is>
          <t>os Direitos Creditórios CCB e os Direitos Creditórios Credenciadora, quando referidos em conjunto ou indistintamente</t>
        </is>
      </c>
      <c r="E633" s="75" t="inlineStr">
        <is>
          <t>N/D</t>
        </is>
      </c>
      <c r="F633" s="75" t="inlineStr">
        <is>
          <t>regulamento</t>
        </is>
      </c>
      <c r="G633" s="75" t="inlineStr">
        <is>
          <t>1240846</t>
        </is>
      </c>
      <c r="H633" s="75" t="inlineStr">
        <is>
          <t>Regulamento</t>
        </is>
      </c>
      <c r="I633" s="75" t="inlineStr">
        <is>
          <t>03/07/2026</t>
        </is>
      </c>
      <c r="J633" s="75" t="inlineStr">
        <is>
          <t>106</t>
        </is>
      </c>
      <c r="K633" s="75" t="inlineStr">
        <is>
          <t>encontrado_explicito</t>
        </is>
      </c>
      <c r="L633" s="144" t="n">
        <v>0.92</v>
      </c>
      <c r="M633" s="75" t="inlineStr">
        <is>
          <t>.cache/carteira_101_document_scan/61288838000117/1240846.json.gz</t>
        </is>
      </c>
      <c r="N633" s="75" t="inlineStr">
        <is>
          <t>https://fnet.bmfbovespa.com.br/fnet/publico/downloadDocumento?id=1240846</t>
        </is>
      </c>
      <c r="O633" s="75" t="inlineStr">
        <is>
          <t>, considerar -se-á como a data devida para o referido evento o Dia Útil imediatamente seguinte. “Direitos Creditórios” significam os Direitos Creditórios CCB e os Direitos Creditórios Credenciadora, quando referidos em conjunto ou indistintamente. “Direitos Creditórios Adquiridos” significam os Direitos Creditórios adquiridos pelo Fundo d</t>
        </is>
      </c>
    </row>
    <row r="634" ht="43.5" customHeight="1">
      <c r="A634" s="142" t="n">
        <v>61288838000117</v>
      </c>
      <c r="B634" s="75" t="inlineStr">
        <is>
          <t>61.288.838/0001-17</t>
        </is>
      </c>
      <c r="C634" s="75" t="inlineStr">
        <is>
          <t>tipo_recebivel</t>
        </is>
      </c>
      <c r="D634" s="75" t="inlineStr">
        <is>
          <t>os Direitos Creditórios CCB e os Direitos Creditórios Credenciadoras, quando referidos em conjunto ou indistintamente</t>
        </is>
      </c>
      <c r="E634" s="75" t="inlineStr">
        <is>
          <t>N/D</t>
        </is>
      </c>
      <c r="F634" s="75" t="inlineStr">
        <is>
          <t>regulamento</t>
        </is>
      </c>
      <c r="G634" s="75" t="inlineStr">
        <is>
          <t>1072389</t>
        </is>
      </c>
      <c r="H634" s="75" t="inlineStr">
        <is>
          <t>regulamento</t>
        </is>
      </c>
      <c r="I634" s="75" t="inlineStr">
        <is>
          <t>2025-12-29</t>
        </is>
      </c>
      <c r="J634" s="75" t="inlineStr">
        <is>
          <t>183</t>
        </is>
      </c>
      <c r="K634" s="75" t="inlineStr">
        <is>
          <t>encontrado_explicito</t>
        </is>
      </c>
      <c r="L634" s="144" t="n">
        <v>0.92</v>
      </c>
      <c r="M634" s="75" t="inlineStr">
        <is>
          <t>data/raw/61288838000117/1072389_regulamento_regulamento_1072389_2025-12-29_2025-12-29.pdf</t>
        </is>
      </c>
      <c r="N634" s="75" t="inlineStr">
        <is>
          <t>https://fnet.bmfbovespa.com.br/fnet/publico/downloadDocumento?id=1072389</t>
        </is>
      </c>
      <c r="O634" s="75" t="inlineStr">
        <is>
          <t>em, considerar -se-á como a data devida para o referido evento o Dia Útil imediatamente seguinte. “Direitos Creditórios” significam os Direitos Creditórios CCB e os Direitos Creditórios Credenciadoras, quando referidos em conjunto ou indistintamente. “Direitos Creditórios Adquiridos” significam os Direitos Creditórios adquiridos pelo Fundo do E</t>
        </is>
      </c>
    </row>
    <row r="635" ht="43.5" customHeight="1">
      <c r="A635" s="142" t="n">
        <v>61288838000117</v>
      </c>
      <c r="B635" s="75" t="inlineStr">
        <is>
          <t>61.288.838/0001-17</t>
        </is>
      </c>
      <c r="C635" s="75" t="inlineStr">
        <is>
          <t>tipo_recebivel</t>
        </is>
      </c>
      <c r="D635" s="75" t="inlineStr">
        <is>
          <t>os Direitos Creditórios CCB e os Direitos Creditórios Credenciadoras, quando referidos em conjunto ou indistintamente</t>
        </is>
      </c>
      <c r="E635" s="75" t="inlineStr">
        <is>
          <t>N/D</t>
        </is>
      </c>
      <c r="F635" s="75" t="inlineStr">
        <is>
          <t>regulamento</t>
        </is>
      </c>
      <c r="G635" s="75" t="inlineStr">
        <is>
          <t>1073756</t>
        </is>
      </c>
      <c r="H635" s="75" t="inlineStr">
        <is>
          <t>Regulamento</t>
        </is>
      </c>
      <c r="I635" s="75" t="inlineStr">
        <is>
          <t>29/12/2025</t>
        </is>
      </c>
      <c r="J635" s="75" t="inlineStr">
        <is>
          <t>113</t>
        </is>
      </c>
      <c r="K635" s="75" t="inlineStr">
        <is>
          <t>encontrado_explicito</t>
        </is>
      </c>
      <c r="L635" s="144" t="n">
        <v>0.92</v>
      </c>
      <c r="M635" s="75" t="inlineStr">
        <is>
          <t>.cache/carteira_101_document_scan/61288838000117/1073756.json.gz</t>
        </is>
      </c>
      <c r="N635" s="75" t="inlineStr">
        <is>
          <t>https://fnet.bmfbovespa.com.br/fnet/publico/downloadDocumento?id=1073756</t>
        </is>
      </c>
      <c r="O635" s="75" t="inlineStr">
        <is>
          <t>em, considerar -se-á como a data devida para o referido evento o Dia Útil imediatamente seguinte. “Direitos Creditórios” significam os Direitos Creditórios CCB e os Direitos Creditórios Credenciadoras, quando referidos em conjunto ou indistintamente. “Direitos Creditórios Adquiridos” significam os Direitos Creditórios adquiridos pelo Fundo do E</t>
        </is>
      </c>
    </row>
    <row r="636" ht="43.5" customHeight="1">
      <c r="A636" s="142" t="n">
        <v>61288838000117</v>
      </c>
      <c r="B636" s="75" t="inlineStr">
        <is>
          <t>61.288.838/0001-17</t>
        </is>
      </c>
      <c r="C636" s="75" t="inlineStr">
        <is>
          <t>tipo_recebivel</t>
        </is>
      </c>
      <c r="D636" s="75" t="inlineStr">
        <is>
          <t>CCB PJ - ecossistema iFood; Crédito PME</t>
        </is>
      </c>
      <c r="E636" s="75" t="inlineStr">
        <is>
          <t>N/D</t>
        </is>
      </c>
      <c r="F636" s="75" t="inlineStr">
        <is>
          <t>planilha_manual</t>
        </is>
      </c>
      <c r="G636" s="75" t="inlineStr">
        <is>
          <t>IMG_8707.jpg</t>
        </is>
      </c>
      <c r="H636" s="75" t="inlineStr">
        <is>
          <t>payload</t>
        </is>
      </c>
      <c r="I636" s="75" t="inlineStr">
        <is>
          <t>2026-07-03</t>
        </is>
      </c>
      <c r="J636" s="75" t="inlineStr">
        <is>
          <t>114</t>
        </is>
      </c>
      <c r="K636" s="75" t="inlineStr">
        <is>
          <t>aceito_payload</t>
        </is>
      </c>
      <c r="L636" s="144" t="n">
        <v>1</v>
      </c>
      <c r="M636" s="75" t="inlineStr">
        <is>
          <t>data/industry_study/generated_revision/artifact_payload.json</t>
        </is>
      </c>
      <c r="N636" s="75" t="inlineStr">
        <is>
          <t>N/D</t>
        </is>
      </c>
      <c r="O636" s="75" t="inlineStr">
        <is>
          <t>N/D</t>
        </is>
      </c>
    </row>
    <row r="637" ht="43.5" customHeight="1">
      <c r="A637" s="142" t="n">
        <v>62393829000159</v>
      </c>
      <c r="B637" s="75" t="inlineStr">
        <is>
          <t>62.393.829/0001-59</t>
        </is>
      </c>
      <c r="C637" s="75" t="inlineStr">
        <is>
          <t>cedente</t>
        </is>
      </c>
      <c r="D637" s="75" t="inlineStr">
        <is>
          <t>Multicedente</t>
        </is>
      </c>
      <c r="E637" s="75" t="inlineStr">
        <is>
          <t>N/D</t>
        </is>
      </c>
      <c r="F637" s="75" t="inlineStr">
        <is>
          <t>planilha_manual</t>
        </is>
      </c>
      <c r="G637" s="75" t="inlineStr">
        <is>
          <t>IMG_8706.JPG</t>
        </is>
      </c>
      <c r="H637" s="75" t="inlineStr">
        <is>
          <t>payload</t>
        </is>
      </c>
      <c r="I637" s="75" t="inlineStr">
        <is>
          <t>2026-07-08</t>
        </is>
      </c>
      <c r="J637" s="75" t="inlineStr">
        <is>
          <t>40–41</t>
        </is>
      </c>
      <c r="K637" s="75" t="inlineStr">
        <is>
          <t>aceito_payload</t>
        </is>
      </c>
      <c r="L637" s="144" t="n">
        <v>1</v>
      </c>
      <c r="M637" s="75" t="inlineStr">
        <is>
          <t>data/industry_study/generated_revision/artifact_payload.json</t>
        </is>
      </c>
      <c r="N637" s="75" t="inlineStr">
        <is>
          <t>N/D</t>
        </is>
      </c>
      <c r="O637" s="75" t="inlineStr">
        <is>
          <t>BRF foi desmembrado somente porque a fonte escreve literalmente Risco Sacado BRF.</t>
        </is>
      </c>
    </row>
    <row r="638" ht="43.5" customHeight="1">
      <c r="A638" s="142" t="n">
        <v>62393829000159</v>
      </c>
      <c r="B638" s="75" t="inlineStr">
        <is>
          <t>62.393.829/0001-59</t>
        </is>
      </c>
      <c r="C638" s="75" t="inlineStr">
        <is>
          <t>minimo_estrutural_total</t>
        </is>
      </c>
      <c r="D638" s="75" t="inlineStr">
        <is>
          <t>5%</t>
        </is>
      </c>
      <c r="E638" s="75" t="inlineStr">
        <is>
          <t>suporte_total_pl</t>
        </is>
      </c>
      <c r="F638" s="75" t="inlineStr">
        <is>
          <t>payload_documental</t>
        </is>
      </c>
      <c r="G638" s="75" t="inlineStr">
        <is>
          <t>1242436</t>
        </is>
      </c>
      <c r="H638" s="75" t="inlineStr">
        <is>
          <t>documento_curado</t>
        </is>
      </c>
      <c r="I638" s="75" t="inlineStr">
        <is>
          <t>2026-07-08</t>
        </is>
      </c>
      <c r="J638" s="75" t="inlineStr">
        <is>
          <t>40–41</t>
        </is>
      </c>
      <c r="K638" s="75" t="inlineStr">
        <is>
          <t>aceito_payload</t>
        </is>
      </c>
      <c r="L638" s="144" t="n">
        <v>1</v>
      </c>
      <c r="M638" s="75" t="inlineStr">
        <is>
          <t>data/industry_study/generated_revision/artifact_payload.json</t>
        </is>
      </c>
      <c r="N638" s="75" t="inlineStr">
        <is>
          <t>https://fnet.bmfbovespa.com.br/fnet/publico/downloadDocumento?id=1242436</t>
        </is>
      </c>
      <c r="O638" s="75" t="inlineStr">
        <is>
          <t>Cotas subordinadas júnior / PL, mínimo regular de 5,0%; transição temporária de 3,0% encerrada.</t>
        </is>
      </c>
    </row>
    <row r="639" ht="43.5" customHeight="1">
      <c r="A639" s="142" t="n">
        <v>62393829000159</v>
      </c>
      <c r="B639" s="75" t="inlineStr">
        <is>
          <t>62.393.829/0001-59</t>
        </is>
      </c>
      <c r="C639" s="75" t="inlineStr">
        <is>
          <t>minimo_junior</t>
        </is>
      </c>
      <c r="D639" s="75" t="inlineStr">
        <is>
          <t>5%</t>
        </is>
      </c>
      <c r="E639" s="75" t="inlineStr">
        <is>
          <t>junior_pl</t>
        </is>
      </c>
      <c r="F639" s="75" t="inlineStr">
        <is>
          <t>payload_documental</t>
        </is>
      </c>
      <c r="G639" s="75" t="inlineStr">
        <is>
          <t>1242436</t>
        </is>
      </c>
      <c r="H639" s="75" t="inlineStr">
        <is>
          <t>documento_curado</t>
        </is>
      </c>
      <c r="I639" s="75" t="inlineStr">
        <is>
          <t>2026-07-08</t>
        </is>
      </c>
      <c r="J639" s="75" t="inlineStr">
        <is>
          <t>40–41</t>
        </is>
      </c>
      <c r="K639" s="75" t="inlineStr">
        <is>
          <t>aceito_payload</t>
        </is>
      </c>
      <c r="L639" s="144" t="n">
        <v>1</v>
      </c>
      <c r="M639" s="75" t="inlineStr">
        <is>
          <t>data/industry_study/generated_revision/artifact_payload.json</t>
        </is>
      </c>
      <c r="N639" s="75" t="inlineStr">
        <is>
          <t>https://fnet.bmfbovespa.com.br/fnet/publico/downloadDocumento?id=1242436</t>
        </is>
      </c>
      <c r="O639" s="75" t="inlineStr">
        <is>
          <t>Cotas subordinadas júnior / PL, mínimo regular de 5,0%; transição temporária de 3,0% encerrada.</t>
        </is>
      </c>
    </row>
    <row r="640" ht="43.5" customHeight="1">
      <c r="A640" s="142" t="n">
        <v>62393829000159</v>
      </c>
      <c r="B640" s="75" t="inlineStr">
        <is>
          <t>62.393.829/0001-59</t>
        </is>
      </c>
      <c r="C640" s="75" t="inlineStr">
        <is>
          <t>natureza_indice</t>
        </is>
      </c>
      <c r="D640" s="75" t="inlineStr">
        <is>
          <t>junior_pl</t>
        </is>
      </c>
      <c r="E640" s="75" t="inlineStr">
        <is>
          <t>junior_pl</t>
        </is>
      </c>
      <c r="F640" s="75" t="inlineStr">
        <is>
          <t>payload_documental</t>
        </is>
      </c>
      <c r="G640" s="75" t="inlineStr">
        <is>
          <t>1242436</t>
        </is>
      </c>
      <c r="H640" s="75" t="inlineStr">
        <is>
          <t>documento_curado</t>
        </is>
      </c>
      <c r="I640" s="75" t="inlineStr">
        <is>
          <t>2026-07-08</t>
        </is>
      </c>
      <c r="J640" s="75" t="inlineStr">
        <is>
          <t>40–41</t>
        </is>
      </c>
      <c r="K640" s="75" t="inlineStr">
        <is>
          <t>aceito_payload</t>
        </is>
      </c>
      <c r="L640" s="144" t="n">
        <v>1</v>
      </c>
      <c r="M640" s="75" t="inlineStr">
        <is>
          <t>data/industry_study/generated_revision/artifact_payload.json</t>
        </is>
      </c>
      <c r="N640" s="75" t="inlineStr">
        <is>
          <t>https://fnet.bmfbovespa.com.br/fnet/publico/downloadDocumento?id=1242436</t>
        </is>
      </c>
      <c r="O640" s="75" t="inlineStr">
        <is>
          <t>Cotas subordinadas júnior / PL, mínimo regular de 5,0%; transição temporária de 3,0% encerrada.</t>
        </is>
      </c>
    </row>
    <row r="641" ht="43.5" customHeight="1">
      <c r="A641" s="142" t="n">
        <v>62393829000159</v>
      </c>
      <c r="B641" s="75" t="inlineStr">
        <is>
          <t>62.393.829/0001-59</t>
        </is>
      </c>
      <c r="C641" s="75" t="inlineStr">
        <is>
          <t>sacado_devedor</t>
        </is>
      </c>
      <c r="D641" s="75" t="inlineStr">
        <is>
          <t>BRF</t>
        </is>
      </c>
      <c r="E641" s="75" t="inlineStr">
        <is>
          <t>N/D</t>
        </is>
      </c>
      <c r="F641" s="75" t="inlineStr">
        <is>
          <t>planilha_manual</t>
        </is>
      </c>
      <c r="G641" s="75" t="inlineStr">
        <is>
          <t>IMG_8706.JPG</t>
        </is>
      </c>
      <c r="H641" s="75" t="inlineStr">
        <is>
          <t>payload</t>
        </is>
      </c>
      <c r="I641" s="75" t="inlineStr">
        <is>
          <t>2026-07-08</t>
        </is>
      </c>
      <c r="J641" s="75" t="inlineStr">
        <is>
          <t>40–41</t>
        </is>
      </c>
      <c r="K641" s="75" t="inlineStr">
        <is>
          <t>aceito_payload</t>
        </is>
      </c>
      <c r="L641" s="144" t="n">
        <v>1</v>
      </c>
      <c r="M641" s="75" t="inlineStr">
        <is>
          <t>data/industry_study/generated_revision/artifact_payload.json</t>
        </is>
      </c>
      <c r="N641" s="75" t="inlineStr">
        <is>
          <t>N/D</t>
        </is>
      </c>
      <c r="O641" s="75" t="inlineStr">
        <is>
          <t>BRF foi desmembrado somente porque a fonte escreve literalmente Risco Sacado BRF.</t>
        </is>
      </c>
    </row>
    <row r="642" ht="43.5" customHeight="1">
      <c r="A642" s="142" t="n">
        <v>62393829000159</v>
      </c>
      <c r="B642" s="75" t="inlineStr">
        <is>
          <t>62.393.829/0001-59</t>
        </is>
      </c>
      <c r="C642" s="75" t="inlineStr">
        <is>
          <t>tipo_recebivel</t>
        </is>
      </c>
      <c r="D642" s="75" t="inlineStr">
        <is>
          <t>Risco Sacado BRF</t>
        </is>
      </c>
      <c r="E642" s="75" t="inlineStr">
        <is>
          <t>N/D</t>
        </is>
      </c>
      <c r="F642" s="75" t="inlineStr">
        <is>
          <t>planilha_manual</t>
        </is>
      </c>
      <c r="G642" s="75" t="inlineStr">
        <is>
          <t>IMG_8706.JPG</t>
        </is>
      </c>
      <c r="H642" s="75" t="inlineStr">
        <is>
          <t>payload</t>
        </is>
      </c>
      <c r="I642" s="75" t="inlineStr">
        <is>
          <t>2026-07-08</t>
        </is>
      </c>
      <c r="J642" s="75" t="inlineStr">
        <is>
          <t>40–41</t>
        </is>
      </c>
      <c r="K642" s="75" t="inlineStr">
        <is>
          <t>aceito_payload</t>
        </is>
      </c>
      <c r="L642" s="144" t="n">
        <v>1</v>
      </c>
      <c r="M642" s="75" t="inlineStr">
        <is>
          <t>data/industry_study/generated_revision/artifact_payload.json</t>
        </is>
      </c>
      <c r="N642" s="75" t="inlineStr">
        <is>
          <t>N/D</t>
        </is>
      </c>
      <c r="O642" s="75" t="inlineStr">
        <is>
          <t>BRF foi desmembrado somente porque a fonte escreve literalmente Risco Sacado BRF.</t>
        </is>
      </c>
    </row>
    <row r="643" ht="43.5" customHeight="1">
      <c r="A643" s="142" t="n">
        <v>62588266000154</v>
      </c>
      <c r="B643" s="75" t="inlineStr">
        <is>
          <t>62.588.266/0001-54</t>
        </is>
      </c>
      <c r="C643" s="75" t="inlineStr">
        <is>
          <t>cedente</t>
        </is>
      </c>
      <c r="D643" s="75" t="inlineStr">
        <is>
          <t>Facta</t>
        </is>
      </c>
      <c r="E643" s="75" t="inlineStr">
        <is>
          <t>N/D</t>
        </is>
      </c>
      <c r="F643" s="75" t="inlineStr">
        <is>
          <t>planilha_manual</t>
        </is>
      </c>
      <c r="G643" s="75" t="inlineStr">
        <is>
          <t>IMG_8706.JPG</t>
        </is>
      </c>
      <c r="H643" s="75" t="inlineStr">
        <is>
          <t>payload</t>
        </is>
      </c>
      <c r="I643" s="75" t="inlineStr">
        <is>
          <t>2025-09-29</t>
        </is>
      </c>
      <c r="J643" s="75" t="inlineStr">
        <is>
          <t>35</t>
        </is>
      </c>
      <c r="K643" s="75" t="inlineStr">
        <is>
          <t>aceito_payload</t>
        </is>
      </c>
      <c r="L643" s="144" t="n">
        <v>1</v>
      </c>
      <c r="M643" s="75" t="inlineStr">
        <is>
          <t>data/industry_study/generated_revision/artifact_payload.json</t>
        </is>
      </c>
      <c r="N643" s="75" t="inlineStr">
        <is>
          <t>N/D</t>
        </is>
      </c>
      <c r="O643" s="75" t="inlineStr">
        <is>
          <t>N/D</t>
        </is>
      </c>
    </row>
    <row r="644" ht="43.5" customHeight="1">
      <c r="A644" s="142" t="n">
        <v>62588266000154</v>
      </c>
      <c r="B644" s="75" t="inlineStr">
        <is>
          <t>62.588.266/0001-54</t>
        </is>
      </c>
      <c r="C644" s="75" t="inlineStr">
        <is>
          <t>minimo_estrutural_total</t>
        </is>
      </c>
      <c r="D644" s="75" t="inlineStr">
        <is>
          <t>15%</t>
        </is>
      </c>
      <c r="E644" s="75" t="inlineStr">
        <is>
          <t>suporte_total_pl</t>
        </is>
      </c>
      <c r="F644" s="75" t="inlineStr">
        <is>
          <t>regulamento</t>
        </is>
      </c>
      <c r="G644" s="75" t="inlineStr">
        <is>
          <t>995150</t>
        </is>
      </c>
      <c r="H644" s="75" t="inlineStr">
        <is>
          <t>regulamento</t>
        </is>
      </c>
      <c r="I644" s="75" t="inlineStr">
        <is>
          <t>2025-09-18</t>
        </is>
      </c>
      <c r="J644" s="75" t="inlineStr">
        <is>
          <t>28</t>
        </is>
      </c>
      <c r="K644" s="75" t="inlineStr">
        <is>
          <t>encontrado_explicito</t>
        </is>
      </c>
      <c r="L644" s="144" t="n">
        <v>0.95</v>
      </c>
      <c r="M644" s="75" t="inlineStr">
        <is>
          <t>data/raw/62588266000154/995150_regulamento_regulamento_995150_2025-09-18.pdf</t>
        </is>
      </c>
      <c r="N644" s="75" t="inlineStr">
        <is>
          <t>https://fnet.bmfbovespa.com.br/fnet/publico/downloadDocumento?id=995150</t>
        </is>
      </c>
      <c r="O644" s="75" t="inlineStr">
        <is>
          <t>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Subordinação Mezanino Ajustado mínimo 5% (c</t>
        </is>
      </c>
    </row>
    <row r="645" ht="43.5" customHeight="1">
      <c r="A645" s="142" t="n">
        <v>62588266000154</v>
      </c>
      <c r="B645" s="75" t="inlineStr">
        <is>
          <t>62.588.266/0001-54</t>
        </is>
      </c>
      <c r="C645" s="75" t="inlineStr">
        <is>
          <t>minimo_estrutural_total</t>
        </is>
      </c>
      <c r="D645" s="75" t="inlineStr">
        <is>
          <t>15%</t>
        </is>
      </c>
      <c r="E645" s="75" t="inlineStr">
        <is>
          <t>suporte_total_pl</t>
        </is>
      </c>
      <c r="F645" s="75" t="inlineStr">
        <is>
          <t>regulamento</t>
        </is>
      </c>
      <c r="G645" s="75" t="inlineStr">
        <is>
          <t>1002580</t>
        </is>
      </c>
      <c r="H645" s="75" t="inlineStr">
        <is>
          <t>regulamento</t>
        </is>
      </c>
      <c r="I645" s="75" t="inlineStr">
        <is>
          <t>2025-09-29</t>
        </is>
      </c>
      <c r="J645" s="75" t="inlineStr">
        <is>
          <t>26</t>
        </is>
      </c>
      <c r="K645" s="75" t="inlineStr">
        <is>
          <t>encontrado_explicito</t>
        </is>
      </c>
      <c r="L645" s="144" t="n">
        <v>0.95</v>
      </c>
      <c r="M645" s="75" t="inlineStr">
        <is>
          <t>data/raw/62588266000154/1002580_regulamento_regulamento_1002580_2025-09-29.pdf</t>
        </is>
      </c>
      <c r="N645" s="75" t="inlineStr">
        <is>
          <t>https://fnet.bmfbovespa.com.br/fnet/publico/downloadDocumento?id=1002580</t>
        </is>
      </c>
      <c r="O645" s="75" t="inlineStr">
        <is>
          <t>metros abaixo sejam observados, sem prejuízo da realização do cálculo dos demais índices e parâmetros previstos no Relatório de Monitoramento: Índice de Monitoramento Valor Índice de Subordinação Sênior mínimo 15% (quinze por cento), conforme previsto no item 8.3.4 abaixo Índice de Subordinação Mezanino mínimo 5% (cinco por cento), conforme previsto no item 8.4.3 abaixo Índice de Subordinação Mezanino Ajustado mínimo 5% (c</t>
        </is>
      </c>
    </row>
    <row r="646" ht="43.5" customHeight="1">
      <c r="A646" s="142" t="n">
        <v>62588266000154</v>
      </c>
      <c r="B646" s="75" t="inlineStr">
        <is>
          <t>62.588.266/0001-54</t>
        </is>
      </c>
      <c r="C646" s="75" t="inlineStr">
        <is>
          <t>minimo_junior</t>
        </is>
      </c>
      <c r="D646" s="75" t="inlineStr">
        <is>
          <t>5%</t>
        </is>
      </c>
      <c r="E646" s="75" t="inlineStr">
        <is>
          <t>junior_pl</t>
        </is>
      </c>
      <c r="F646" s="75" t="inlineStr">
        <is>
          <t>payload_documental</t>
        </is>
      </c>
      <c r="G646" s="75" t="inlineStr">
        <is>
          <t>1002580</t>
        </is>
      </c>
      <c r="H646" s="75" t="inlineStr">
        <is>
          <t>documento_curado</t>
        </is>
      </c>
      <c r="I646" s="75" t="inlineStr">
        <is>
          <t>2025-09-29</t>
        </is>
      </c>
      <c r="J646" s="75" t="inlineStr">
        <is>
          <t>35</t>
        </is>
      </c>
      <c r="K646" s="75" t="inlineStr">
        <is>
          <t>aceito_payload</t>
        </is>
      </c>
      <c r="L646" s="144" t="n">
        <v>1</v>
      </c>
      <c r="M646" s="75" t="inlineStr">
        <is>
          <t>data/industry_study/generated_revision/artifact_payload.json</t>
        </is>
      </c>
      <c r="N646" s="75" t="inlineStr">
        <is>
          <t>https://fnet.bmfbovespa.com.br/fnet/publico/downloadDocumento?id=1002580</t>
        </is>
      </c>
      <c r="O646" s="75" t="inlineStr">
        <is>
          <t>Índice de Subordinação Mezanino: cotas júnior / PL, mínimo de 5,0%.</t>
        </is>
      </c>
    </row>
    <row r="647" ht="43.5" customHeight="1">
      <c r="A647" s="142" t="n">
        <v>62588266000154</v>
      </c>
      <c r="B647" s="75" t="inlineStr">
        <is>
          <t>62.588.266/0001-54</t>
        </is>
      </c>
      <c r="C647" s="75" t="inlineStr">
        <is>
          <t>natureza_indice</t>
        </is>
      </c>
      <c r="D647" s="75" t="inlineStr">
        <is>
          <t>junior_pl</t>
        </is>
      </c>
      <c r="E647" s="75" t="inlineStr">
        <is>
          <t>junior_pl</t>
        </is>
      </c>
      <c r="F647" s="75" t="inlineStr">
        <is>
          <t>payload_documental</t>
        </is>
      </c>
      <c r="G647" s="75" t="inlineStr">
        <is>
          <t>1002580</t>
        </is>
      </c>
      <c r="H647" s="75" t="inlineStr">
        <is>
          <t>documento_curado</t>
        </is>
      </c>
      <c r="I647" s="75" t="inlineStr">
        <is>
          <t>2025-09-29</t>
        </is>
      </c>
      <c r="J647" s="75" t="inlineStr">
        <is>
          <t>35</t>
        </is>
      </c>
      <c r="K647" s="75" t="inlineStr">
        <is>
          <t>aceito_payload</t>
        </is>
      </c>
      <c r="L647" s="144" t="n">
        <v>1</v>
      </c>
      <c r="M647" s="75" t="inlineStr">
        <is>
          <t>data/industry_study/generated_revision/artifact_payload.json</t>
        </is>
      </c>
      <c r="N647" s="75" t="inlineStr">
        <is>
          <t>https://fnet.bmfbovespa.com.br/fnet/publico/downloadDocumento?id=1002580</t>
        </is>
      </c>
      <c r="O647" s="75" t="inlineStr">
        <is>
          <t>Índice de Subordinação Mezanino: cotas júnior / PL, mínimo de 5,0%.</t>
        </is>
      </c>
    </row>
    <row r="648" ht="43.5" customHeight="1">
      <c r="A648" s="142" t="n">
        <v>62588266000154</v>
      </c>
      <c r="B648" s="75" t="inlineStr">
        <is>
          <t>62.588.266/0001-54</t>
        </is>
      </c>
      <c r="C648" s="75" t="inlineStr">
        <is>
          <t>sacado_devedor</t>
        </is>
      </c>
      <c r="D648" s="75" t="inlineStr">
        <is>
          <t>29.513.541/0001-03</t>
        </is>
      </c>
      <c r="E648" s="75" t="inlineStr">
        <is>
          <t>N/D</t>
        </is>
      </c>
      <c r="F648" s="75" t="inlineStr">
        <is>
          <t>candidate_extraction</t>
        </is>
      </c>
      <c r="G648" s="75" t="inlineStr">
        <is>
          <t>62588266000154</t>
        </is>
      </c>
      <c r="H648" s="75" t="inlineStr">
        <is>
          <t>extração heurística</t>
        </is>
      </c>
      <c r="I648" s="75" t="inlineStr">
        <is>
          <t>N/D</t>
        </is>
      </c>
      <c r="J648" s="75" t="inlineStr">
        <is>
          <t>N/D</t>
        </is>
      </c>
      <c r="K648" s="75" t="inlineStr">
        <is>
          <t>candidato_revisao</t>
        </is>
      </c>
      <c r="L648" s="144" t="n">
        <v>0.95</v>
      </c>
      <c r="M648" s="75" t="inlineStr">
        <is>
          <t>outputs/fidc_director_deep_diagnostic_20260609/pdf_text_cache/62588266000154_1002580_regulamento_regulamento_1002580_2025-09-29.txt</t>
        </is>
      </c>
      <c r="N648" s="75" t="inlineStr">
        <is>
          <t>https://fnet.bmfbovespa.com.br/fnet/publico/downloadDocumento?id=62588266000154</t>
        </is>
      </c>
      <c r="O648" s="75" t="inlineStr">
        <is>
          <t>ulo, na Rua João Mendes Júnior, nº 63, CEP 07910 -210, inscrita no CNPJ sob o nº 29.513.541/0001-03. Docusign Envelope ID: 58AA139E-7296-46DE-97B7-ADC2E6D91C5B "Seguro Prestamista" Significa o seguro contratado pelo Devedor que cobre e assegura o pagamento integral da CCB em caso de morte ou invalidez total ou temporária por acidente. "Sobretaxa" Com relação às séries de Cotas Seniores ou Cotas Subordinadas Mezanino, cujas Metas de</t>
        </is>
      </c>
    </row>
    <row r="649" ht="43.5" customHeight="1">
      <c r="A649" s="142" t="n">
        <v>62588266000154</v>
      </c>
      <c r="B649" s="75" t="inlineStr">
        <is>
          <t>62.588.266/0001-54</t>
        </is>
      </c>
      <c r="C649" s="75" t="inlineStr">
        <is>
          <t>tipo_recebivel</t>
        </is>
      </c>
      <c r="D649" s="75" t="inlineStr">
        <is>
          <t>Crédito INSS</t>
        </is>
      </c>
      <c r="E649" s="75" t="inlineStr">
        <is>
          <t>N/D</t>
        </is>
      </c>
      <c r="F649" s="75" t="inlineStr">
        <is>
          <t>planilha_manual</t>
        </is>
      </c>
      <c r="G649" s="75" t="inlineStr">
        <is>
          <t>IMG_8706.JPG</t>
        </is>
      </c>
      <c r="H649" s="75" t="inlineStr">
        <is>
          <t>payload</t>
        </is>
      </c>
      <c r="I649" s="75" t="inlineStr">
        <is>
          <t>2025-09-29</t>
        </is>
      </c>
      <c r="J649" s="75" t="inlineStr">
        <is>
          <t>35</t>
        </is>
      </c>
      <c r="K649" s="75" t="inlineStr">
        <is>
          <t>aceito_payload</t>
        </is>
      </c>
      <c r="L649" s="144" t="n">
        <v>1</v>
      </c>
      <c r="M649" s="75" t="inlineStr">
        <is>
          <t>data/industry_study/generated_revision/artifact_payload.json</t>
        </is>
      </c>
      <c r="N649" s="75" t="inlineStr">
        <is>
          <t>N/D</t>
        </is>
      </c>
      <c r="O649" s="75" t="inlineStr">
        <is>
          <t>N/D</t>
        </is>
      </c>
    </row>
    <row r="650" ht="43.5" customHeight="1">
      <c r="A650" s="142" t="n">
        <v>62626887000185</v>
      </c>
      <c r="B650" s="75" t="inlineStr">
        <is>
          <t>62.626.887/0001-85</t>
        </is>
      </c>
      <c r="C650" s="75" t="inlineStr">
        <is>
          <t>cedente</t>
        </is>
      </c>
      <c r="D650" s="75" t="inlineStr">
        <is>
          <t>a SUMUP INSTITUIÇÃO DE PAGAMENTO BRASIL LTDA., sociedade limitada com sede na Cidade e Estado de São Paulo, na Rua Gilberto Sabino, nº 215, 10º andar, Pinheiros, CEP: 05425-020, inscrita no CNPJ/MF sob o nº 16.668.076/0001-20</t>
        </is>
      </c>
      <c r="E650" s="75" t="inlineStr">
        <is>
          <t>N/D</t>
        </is>
      </c>
      <c r="F650" s="75" t="inlineStr">
        <is>
          <t>regulamento</t>
        </is>
      </c>
      <c r="G650" s="75" t="inlineStr">
        <is>
          <t>1104099</t>
        </is>
      </c>
      <c r="H650" s="75" t="inlineStr">
        <is>
          <t>Regulamento</t>
        </is>
      </c>
      <c r="I650" s="75" t="inlineStr">
        <is>
          <t>06/02/2026</t>
        </is>
      </c>
      <c r="J650" s="75" t="inlineStr">
        <is>
          <t>83</t>
        </is>
      </c>
      <c r="K650" s="75" t="inlineStr">
        <is>
          <t>encontrado_explicito</t>
        </is>
      </c>
      <c r="L650" s="144" t="n">
        <v>0.95</v>
      </c>
      <c r="M650" s="75" t="inlineStr">
        <is>
          <t>.cache/carteira_101_document_scan/62626887000185/1104099.json.gz</t>
        </is>
      </c>
      <c r="N650" s="75" t="inlineStr">
        <is>
          <t>https://fnet.bmfbovespa.com.br/fnet/publico/downloadDocumento?id=1104099</t>
        </is>
      </c>
      <c r="O650" s="75" t="inlineStr">
        <is>
          <t>rio ou na obrigação de devolução do valor anteriormente pago pelos Devedores (inclusive por meio de compensação). “Cedente” significa a SUMUP INSTITUIÇÃO DE PAGAMENTO BRASIL LTDA., sociedade limitada com sede na Cidade e Estado de São Paulo, na Rua Gilberto Sabino, nº 215, 10º andar, Pinheiros, CEP: 05425-020, inscrita no CNPJ/MF sob o nº 16.668.076/0001-20. “Chargeback” significa a contestação de uma Transação de Pagamento, no todo ou em parte, pelo respectivo Usuário</t>
        </is>
      </c>
    </row>
    <row r="651" ht="43.5" customHeight="1">
      <c r="A651" s="142" t="n">
        <v>62626887000185</v>
      </c>
      <c r="B651" s="75" t="inlineStr">
        <is>
          <t>62.626.887/0001-85</t>
        </is>
      </c>
      <c r="C651" s="75" t="inlineStr">
        <is>
          <t>cedente</t>
        </is>
      </c>
      <c r="D651" s="75" t="inlineStr">
        <is>
          <t>a SUMUP INSTITUIÇÃO DE PAGAMENTO BRASIL LTDA., sociedade limitada com sede na Cidade e Estado de São Paulo, na Rua Gilberto Sabino, nº 215, 10º andar, Pinheiros, CEP: 05425-020, inscrita no CNPJ/MF sob o nº 16.668.076/0001-20</t>
        </is>
      </c>
      <c r="E651" s="75" t="inlineStr">
        <is>
          <t>N/D</t>
        </is>
      </c>
      <c r="F651" s="75" t="inlineStr">
        <is>
          <t>regulamento</t>
        </is>
      </c>
      <c r="G651" s="75" t="inlineStr">
        <is>
          <t>1037253</t>
        </is>
      </c>
      <c r="H651" s="75" t="inlineStr">
        <is>
          <t>regulamento</t>
        </is>
      </c>
      <c r="I651" s="75" t="inlineStr">
        <is>
          <t>2025-11-13</t>
        </is>
      </c>
      <c r="J651" s="75" t="inlineStr">
        <is>
          <t>83</t>
        </is>
      </c>
      <c r="K651" s="75" t="inlineStr">
        <is>
          <t>encontrado_explicito</t>
        </is>
      </c>
      <c r="L651" s="144" t="n">
        <v>0.95</v>
      </c>
      <c r="M651" s="75" t="inlineStr">
        <is>
          <t>data/raw/62626887000185/1037253_regulamento_regulamento_1037253_2025-11-13.pdf</t>
        </is>
      </c>
      <c r="N651" s="75" t="inlineStr">
        <is>
          <t>https://fnet.bmfbovespa.com.br/fnet/publico/downloadDocumento?id=1037253</t>
        </is>
      </c>
      <c r="O651" s="75" t="inlineStr">
        <is>
          <t>rio ou na obrigação de devolução do valor anteriormente pago pelos Devedores (inclusive por meio de compensação). “Cedente” significa a SUMUP INSTITUIÇÃO DE PAGAMENTO BRASIL LTDA., sociedade limitada com sede na Cidade e Estado de São Paulo, na Rua Gilberto Sabino, nº 215, 10º andar, Pinheiros, CEP: 05425-020, inscrita no CNPJ/MF sob o nº 16.668.076/0001-20. “Chargeback” significa a contestação de uma Transação de Pagamento, no todo ou em parte, pelo respectivo Usuário</t>
        </is>
      </c>
    </row>
    <row r="652" ht="43.5" customHeight="1">
      <c r="A652" s="142" t="n">
        <v>62626887000185</v>
      </c>
      <c r="B652" s="75" t="inlineStr">
        <is>
          <t>62.626.887/0001-85</t>
        </is>
      </c>
      <c r="C652" s="75" t="inlineStr">
        <is>
          <t>cedente</t>
        </is>
      </c>
      <c r="D652" s="75" t="inlineStr">
        <is>
          <t>a SUMUP INSTITUIÇÃO DE PAGAMENTO BRASIL LTDA., sociedade limitada com sede na Cidade e Estado de São Paulo, na Rua Gilberto Sabino, nº 215, 10º andar, Pinheiros, CEP: 05425-020, inscrita no CNPJ/MF sob o nº 16.668.076/0001-20</t>
        </is>
      </c>
      <c r="E652" s="75" t="inlineStr">
        <is>
          <t>N/D</t>
        </is>
      </c>
      <c r="F652" s="75" t="inlineStr">
        <is>
          <t>regulamento</t>
        </is>
      </c>
      <c r="G652" s="75" t="inlineStr">
        <is>
          <t>1152823</t>
        </is>
      </c>
      <c r="H652" s="75" t="inlineStr">
        <is>
          <t>regulamento</t>
        </is>
      </c>
      <c r="I652" s="75" t="inlineStr">
        <is>
          <t>2026-03-31</t>
        </is>
      </c>
      <c r="J652" s="75" t="inlineStr">
        <is>
          <t>89</t>
        </is>
      </c>
      <c r="K652" s="75" t="inlineStr">
        <is>
          <t>encontrado_explicito</t>
        </is>
      </c>
      <c r="L652" s="144" t="n">
        <v>0.95</v>
      </c>
      <c r="M652" s="75" t="inlineStr">
        <is>
          <t>data/raw/62626887000185/1152823_regulamento_regulamento_1152823_2026-03-31.pdf</t>
        </is>
      </c>
      <c r="N652" s="75" t="inlineStr">
        <is>
          <t>https://fnet.bmfbovespa.com.br/fnet/publico/downloadDocumento?id=1152823</t>
        </is>
      </c>
      <c r="O652" s="75" t="inlineStr">
        <is>
          <t>MEIOS DE PAGAMENTO DE RESPONSABILIDADE LIMITADA, CNPJ/MF 62.626.887/0001-85- DATADO DE 31 DE MARÇO DE 2026 5 “Cedente” significa a SUMUP INSTITUIÇÃO DE PAGAMENTO BRASIL LTDA., sociedade limitada com sede na Cidade e Estado de São Paulo, na Rua Gilberto Sabino, nº 215, 10º andar, Pinheiros, CEP: 05425-020, inscrita no CNPJ/MF sob o nº 16.668.076/0001-20. “Chargeback” significa a contestação de uma Transação de Pagamento, no todo ou em parte, pelo respectivo Usuário</t>
        </is>
      </c>
    </row>
    <row r="653" ht="43.5" customHeight="1">
      <c r="A653" s="142" t="n">
        <v>62626887000185</v>
      </c>
      <c r="B653" s="75" t="inlineStr">
        <is>
          <t>62.626.887/0001-85</t>
        </is>
      </c>
      <c r="C653" s="75" t="inlineStr">
        <is>
          <t>cedente</t>
        </is>
      </c>
      <c r="D653" s="75" t="inlineStr">
        <is>
          <t>a SUMUP INSTITUIÇÃO DE PAGAMENTO BRASIL LTDA., sociedade limitada com sede na Cidade e Estado de São Paulo, na Rua Gilberto Sabino, nº 215, 10º andar, Pinheiros, CEP: 05425-020, inscrita no CNPJ/MF sob o nº 16.668.076/0001-20</t>
        </is>
      </c>
      <c r="E653" s="75" t="inlineStr">
        <is>
          <t>N/D</t>
        </is>
      </c>
      <c r="F653" s="75" t="inlineStr">
        <is>
          <t>assembleia</t>
        </is>
      </c>
      <c r="G653" s="75" t="inlineStr">
        <is>
          <t>1140788</t>
        </is>
      </c>
      <c r="H653" s="75" t="inlineStr">
        <is>
          <t>assembleia</t>
        </is>
      </c>
      <c r="I653" s="75" t="inlineStr">
        <is>
          <t>2026-03-30</t>
        </is>
      </c>
      <c r="J653" s="75" t="inlineStr">
        <is>
          <t>94</t>
        </is>
      </c>
      <c r="K653" s="75" t="inlineStr">
        <is>
          <t>encontrado_explicito</t>
        </is>
      </c>
      <c r="L653" s="144" t="n">
        <v>0.95</v>
      </c>
      <c r="M653" s="75" t="inlineStr">
        <is>
          <t>data/raw/62626887000185/1140788_assembleia_assembleia_1140788_2026-03-30.pdf</t>
        </is>
      </c>
      <c r="N653" s="75" t="inlineStr">
        <is>
          <t>https://fnet.bmfbovespa.com.br/fnet/publico/downloadDocumento?id=1140788</t>
        </is>
      </c>
      <c r="O653" s="75" t="inlineStr">
        <is>
          <t>O MEIOS DE PAGAMENTO DE RESPONSABILIDADE LIMITADA, CNPJ/MF 62.626.887/0001-85- DATADO DE XX DE XX DE 2026 94 “Cedente” significa a SUMUP INSTITUIÇÃO DE PAGAMENTO BRASIL LTDA., sociedade limitada com sede na Cidade e Estado de São Paulo, na Rua Gilberto Sabino, nº 215, 10º andar, Pinheiros, CEP: 05425-020, inscrita no CNPJ/MF sob o nº 16.668.076/0001-20. “Chargeback” significa a contestação de uma Transação de Pagamento, no todo ou em parte, pelo respectivo Usuário</t>
        </is>
      </c>
    </row>
    <row r="654" ht="43.5" customHeight="1">
      <c r="A654" s="142" t="n">
        <v>62626887000185</v>
      </c>
      <c r="B654" s="75" t="inlineStr">
        <is>
          <t>62.626.887/0001-85</t>
        </is>
      </c>
      <c r="C654" s="75" t="inlineStr">
        <is>
          <t>cedente</t>
        </is>
      </c>
      <c r="D654" s="75" t="inlineStr">
        <is>
          <t>Sumup IP</t>
        </is>
      </c>
      <c r="E654" s="75" t="inlineStr">
        <is>
          <t>N/D</t>
        </is>
      </c>
      <c r="F654" s="75" t="inlineStr">
        <is>
          <t>planilha_manual</t>
        </is>
      </c>
      <c r="G654" s="75" t="inlineStr">
        <is>
          <t>IMG_8704.JPG</t>
        </is>
      </c>
      <c r="H654" s="75" t="inlineStr">
        <is>
          <t>payload</t>
        </is>
      </c>
      <c r="I654" s="75" t="inlineStr">
        <is>
          <t>2026-03-31</t>
        </is>
      </c>
      <c r="J654" s="75" t="inlineStr">
        <is>
          <t>96</t>
        </is>
      </c>
      <c r="K654" s="75" t="inlineStr">
        <is>
          <t>aceito_payload</t>
        </is>
      </c>
      <c r="L654" s="144" t="n">
        <v>1</v>
      </c>
      <c r="M654" s="75" t="inlineStr">
        <is>
          <t>data/industry_study/generated_revision/artifact_payload.json</t>
        </is>
      </c>
      <c r="N654" s="75" t="inlineStr">
        <is>
          <t>N/D</t>
        </is>
      </c>
      <c r="O654" s="75" t="inlineStr">
        <is>
          <t>OBS da foto: Risco Banco Emissor Itaú.</t>
        </is>
      </c>
    </row>
    <row r="655" ht="43.5" customHeight="1">
      <c r="A655" s="142" t="n">
        <v>62626887000185</v>
      </c>
      <c r="B655" s="75" t="inlineStr">
        <is>
          <t>62.626.887/0001-85</t>
        </is>
      </c>
      <c r="C655" s="75" t="inlineStr">
        <is>
          <t>cedente</t>
        </is>
      </c>
      <c r="D655" s="75" t="inlineStr">
        <is>
          <t>62.626.887/0001-85</t>
        </is>
      </c>
      <c r="E655" s="75" t="inlineStr">
        <is>
          <t>N/D</t>
        </is>
      </c>
      <c r="F655" s="75" t="inlineStr">
        <is>
          <t>candidate_extraction</t>
        </is>
      </c>
      <c r="G655" s="75" t="inlineStr">
        <is>
          <t>62626887000185</t>
        </is>
      </c>
      <c r="H655" s="75" t="inlineStr">
        <is>
          <t>extração heurística</t>
        </is>
      </c>
      <c r="I655" s="75" t="inlineStr">
        <is>
          <t>N/D</t>
        </is>
      </c>
      <c r="J655" s="75" t="inlineStr">
        <is>
          <t>N/D</t>
        </is>
      </c>
      <c r="K655" s="75" t="inlineStr">
        <is>
          <t>candidato_revisao</t>
        </is>
      </c>
      <c r="L655" s="144" t="n">
        <v>0.95</v>
      </c>
      <c r="M655" s="75" t="inlineStr">
        <is>
          <t>outputs/fidc_director_deep_diagnostic_20260609/pdf_text_cache/62626887000185_1152823_regulamento_regulamento_1152823_2026-03-31.txt</t>
        </is>
      </c>
      <c r="N655" s="75" t="inlineStr">
        <is>
          <t>https://fnet.bmfbovespa.com.br/fnet/publico/downloadDocumento?id=62626887000185</t>
        </is>
      </c>
      <c r="O655" s="75" t="inlineStr">
        <is>
          <t>O DO SUMUP SMART IV FIDC SEGMENTO MEIOS DE PAGAMENTO DE RESPONSABILIDADE LIMITADA, CNPJ/MF 62.626.887/0001-85- DATADO DE 31 DE MARÇO DE 2026 22 Cotas afetadas negativamente, sendo certo que nem o Fundo, nem o Cedente, nem a Administradora, nem o Gestor, nem o Custodiante, nem o Agente de Cobrança Extraordinária prometem ou asseguram rentabilidade aos Cotistas. (iii) Precificação dos Ativos Financeiros. Os Ativos Financeiros int</t>
        </is>
      </c>
    </row>
    <row r="656" ht="43.5" customHeight="1">
      <c r="A656" s="142" t="n">
        <v>62626887000185</v>
      </c>
      <c r="B656" s="75" t="inlineStr">
        <is>
          <t>62.626.887/0001-85</t>
        </is>
      </c>
      <c r="C656" s="75" t="inlineStr">
        <is>
          <t>minimo_junior</t>
        </is>
      </c>
      <c r="D656" s="75" t="inlineStr">
        <is>
          <t>2.9%</t>
        </is>
      </c>
      <c r="E656" s="75" t="inlineStr">
        <is>
          <t>junior_pl</t>
        </is>
      </c>
      <c r="F656" s="75" t="inlineStr">
        <is>
          <t>payload_documental</t>
        </is>
      </c>
      <c r="G656" s="75" t="inlineStr">
        <is>
          <t>1152823</t>
        </is>
      </c>
      <c r="H656" s="75" t="inlineStr">
        <is>
          <t>documento_curado</t>
        </is>
      </c>
      <c r="I656" s="75" t="inlineStr">
        <is>
          <t>2026-03-31</t>
        </is>
      </c>
      <c r="J656" s="75" t="inlineStr">
        <is>
          <t>96</t>
        </is>
      </c>
      <c r="K656" s="75" t="inlineStr">
        <is>
          <t>aceito_payload</t>
        </is>
      </c>
      <c r="L656" s="144" t="n">
        <v>1</v>
      </c>
      <c r="M656" s="75" t="inlineStr">
        <is>
          <t>data/industry_study/generated_revision/artifact_payload.json</t>
        </is>
      </c>
      <c r="N656" s="75" t="inlineStr">
        <is>
          <t>https://fnet.bmfbovespa.com.br/fnet/publico/downloadDocumento?id=1152823</t>
        </is>
      </c>
      <c r="O656" s="75" t="inlineStr">
        <is>
          <t>Cotas subordinadas júnior / PL, mínimo de 2,90%.</t>
        </is>
      </c>
    </row>
    <row r="657" ht="43.5" customHeight="1">
      <c r="A657" s="142" t="n">
        <v>62626887000185</v>
      </c>
      <c r="B657" s="75" t="inlineStr">
        <is>
          <t>62.626.887/0001-85</t>
        </is>
      </c>
      <c r="C657" s="75" t="inlineStr">
        <is>
          <t>natureza_indice</t>
        </is>
      </c>
      <c r="D657" s="75" t="inlineStr">
        <is>
          <t>junior_pl</t>
        </is>
      </c>
      <c r="E657" s="75" t="inlineStr">
        <is>
          <t>junior_pl</t>
        </is>
      </c>
      <c r="F657" s="75" t="inlineStr">
        <is>
          <t>payload_documental</t>
        </is>
      </c>
      <c r="G657" s="75" t="inlineStr">
        <is>
          <t>1152823</t>
        </is>
      </c>
      <c r="H657" s="75" t="inlineStr">
        <is>
          <t>documento_curado</t>
        </is>
      </c>
      <c r="I657" s="75" t="inlineStr">
        <is>
          <t>2026-03-31</t>
        </is>
      </c>
      <c r="J657" s="75" t="inlineStr">
        <is>
          <t>96</t>
        </is>
      </c>
      <c r="K657" s="75" t="inlineStr">
        <is>
          <t>aceito_payload</t>
        </is>
      </c>
      <c r="L657" s="144" t="n">
        <v>1</v>
      </c>
      <c r="M657" s="75" t="inlineStr">
        <is>
          <t>data/industry_study/generated_revision/artifact_payload.json</t>
        </is>
      </c>
      <c r="N657" s="75" t="inlineStr">
        <is>
          <t>https://fnet.bmfbovespa.com.br/fnet/publico/downloadDocumento?id=1152823</t>
        </is>
      </c>
      <c r="O657" s="75" t="inlineStr">
        <is>
          <t>Cotas subordinadas júnior / PL, mínimo de 2,90%.</t>
        </is>
      </c>
    </row>
    <row r="658" ht="43.5" customHeight="1">
      <c r="A658" s="142" t="n">
        <v>62626887000185</v>
      </c>
      <c r="B658" s="75" t="inlineStr">
        <is>
          <t>62.626.887/0001-85</t>
        </is>
      </c>
      <c r="C658" s="75" t="inlineStr">
        <is>
          <t>sacado_devedor</t>
        </is>
      </c>
      <c r="D658" s="75" t="inlineStr">
        <is>
          <t>os Emissores</t>
        </is>
      </c>
      <c r="E658" s="75" t="inlineStr">
        <is>
          <t>N/D</t>
        </is>
      </c>
      <c r="F658" s="75" t="inlineStr">
        <is>
          <t>regulamento</t>
        </is>
      </c>
      <c r="G658" s="75" t="inlineStr">
        <is>
          <t>1104099</t>
        </is>
      </c>
      <c r="H658" s="75" t="inlineStr">
        <is>
          <t>Regulamento</t>
        </is>
      </c>
      <c r="I658" s="75" t="inlineStr">
        <is>
          <t>06/02/2026</t>
        </is>
      </c>
      <c r="J658" s="75" t="inlineStr">
        <is>
          <t>87</t>
        </is>
      </c>
      <c r="K658" s="75" t="inlineStr">
        <is>
          <t>encontrado_explicito</t>
        </is>
      </c>
      <c r="L658" s="144" t="n">
        <v>0.95</v>
      </c>
      <c r="M658" s="75" t="inlineStr">
        <is>
          <t>.cache/carteira_101_document_scan/62626887000185/1104099.json.gz</t>
        </is>
      </c>
      <c r="N658" s="75" t="inlineStr">
        <is>
          <t>https://fnet.bmfbovespa.com.br/fnet/publico/downloadDocumento?id=1104099</t>
        </is>
      </c>
      <c r="O658" s="75" t="inlineStr">
        <is>
          <t>Banco Depositário, o Fundo receba os Direitos Creditórios sem a dedução de quaisquer Cancelamentos e Chargebacks. “Devedores” significam os Emissores. “Dia Útil” ou “Dias Úteis” significam qualquer dia em que haja expediente comercial ou bancário na cidade de São P</t>
        </is>
      </c>
    </row>
    <row r="659" ht="43.5" customHeight="1">
      <c r="A659" s="142" t="n">
        <v>62626887000185</v>
      </c>
      <c r="B659" s="75" t="inlineStr">
        <is>
          <t>62.626.887/0001-85</t>
        </is>
      </c>
      <c r="C659" s="75" t="inlineStr">
        <is>
          <t>sacado_devedor</t>
        </is>
      </c>
      <c r="D659" s="75" t="inlineStr">
        <is>
          <t>os Emissores</t>
        </is>
      </c>
      <c r="E659" s="75" t="inlineStr">
        <is>
          <t>N/D</t>
        </is>
      </c>
      <c r="F659" s="75" t="inlineStr">
        <is>
          <t>regulamento</t>
        </is>
      </c>
      <c r="G659" s="75" t="inlineStr">
        <is>
          <t>1037253</t>
        </is>
      </c>
      <c r="H659" s="75" t="inlineStr">
        <is>
          <t>regulamento</t>
        </is>
      </c>
      <c r="I659" s="75" t="inlineStr">
        <is>
          <t>2025-11-13</t>
        </is>
      </c>
      <c r="J659" s="75" t="inlineStr">
        <is>
          <t>87</t>
        </is>
      </c>
      <c r="K659" s="75" t="inlineStr">
        <is>
          <t>encontrado_explicito</t>
        </is>
      </c>
      <c r="L659" s="144" t="n">
        <v>0.95</v>
      </c>
      <c r="M659" s="75" t="inlineStr">
        <is>
          <t>data/raw/62626887000185/1037253_regulamento_regulamento_1037253_2025-11-13.pdf</t>
        </is>
      </c>
      <c r="N659" s="75" t="inlineStr">
        <is>
          <t>https://fnet.bmfbovespa.com.br/fnet/publico/downloadDocumento?id=1037253</t>
        </is>
      </c>
      <c r="O659" s="75" t="inlineStr">
        <is>
          <t>Banco Depositário, o Fundo receba os Direitos Creditórios sem a dedução de quaisquer Cancelamentos e Chargebacks. “Devedores” significam os Emissores. “Dia Útil” ou “Dias Úteis” significam qualquer dia em que haja expediente comercial ou bancário na cidade de São P</t>
        </is>
      </c>
    </row>
    <row r="660" ht="43.5" customHeight="1">
      <c r="A660" s="142" t="n">
        <v>62626887000185</v>
      </c>
      <c r="B660" s="75" t="inlineStr">
        <is>
          <t>62.626.887/0001-85</t>
        </is>
      </c>
      <c r="C660" s="75" t="inlineStr">
        <is>
          <t>sacado_devedor</t>
        </is>
      </c>
      <c r="D660" s="75" t="inlineStr">
        <is>
          <t>os Emissores</t>
        </is>
      </c>
      <c r="E660" s="75" t="inlineStr">
        <is>
          <t>N/D</t>
        </is>
      </c>
      <c r="F660" s="75" t="inlineStr">
        <is>
          <t>regulamento</t>
        </is>
      </c>
      <c r="G660" s="75" t="inlineStr">
        <is>
          <t>1152823</t>
        </is>
      </c>
      <c r="H660" s="75" t="inlineStr">
        <is>
          <t>regulamento</t>
        </is>
      </c>
      <c r="I660" s="75" t="inlineStr">
        <is>
          <t>2026-03-31</t>
        </is>
      </c>
      <c r="J660" s="75" t="inlineStr">
        <is>
          <t>92</t>
        </is>
      </c>
      <c r="K660" s="75" t="inlineStr">
        <is>
          <t>encontrado_explicito</t>
        </is>
      </c>
      <c r="L660" s="144" t="n">
        <v>0.95</v>
      </c>
      <c r="M660" s="75" t="inlineStr">
        <is>
          <t>data/raw/62626887000185/1152823_regulamento_regulamento_1152823_2026-03-31.pdf</t>
        </is>
      </c>
      <c r="N660" s="75" t="inlineStr">
        <is>
          <t>https://fnet.bmfbovespa.com.br/fnet/publico/downloadDocumento?id=1152823</t>
        </is>
      </c>
      <c r="O660" s="75" t="inlineStr">
        <is>
          <t>Banco Depositário, o Fundo receba os Direitos Creditórios sem a dedução de quaisquer Cancelamentos e Chargebacks. “Devedores” significam os Emissores. COMPLEMENTO I DO REGULAMENTO DO SUMUP SMART IV FIDC SEGMENTO MEIOS DE PAGAMENTO DE RESPONSABILIDADE LIMITADA, CNP</t>
        </is>
      </c>
    </row>
    <row r="661" ht="43.5" customHeight="1">
      <c r="A661" s="142" t="n">
        <v>62626887000185</v>
      </c>
      <c r="B661" s="75" t="inlineStr">
        <is>
          <t>62.626.887/0001-85</t>
        </is>
      </c>
      <c r="C661" s="75" t="inlineStr">
        <is>
          <t>sacado_devedor</t>
        </is>
      </c>
      <c r="D661" s="75" t="inlineStr">
        <is>
          <t>os Emissores</t>
        </is>
      </c>
      <c r="E661" s="75" t="inlineStr">
        <is>
          <t>N/D</t>
        </is>
      </c>
      <c r="F661" s="75" t="inlineStr">
        <is>
          <t>assembleia</t>
        </is>
      </c>
      <c r="G661" s="75" t="inlineStr">
        <is>
          <t>1140788</t>
        </is>
      </c>
      <c r="H661" s="75" t="inlineStr">
        <is>
          <t>assembleia</t>
        </is>
      </c>
      <c r="I661" s="75" t="inlineStr">
        <is>
          <t>2026-03-30</t>
        </is>
      </c>
      <c r="J661" s="75" t="inlineStr">
        <is>
          <t>98</t>
        </is>
      </c>
      <c r="K661" s="75" t="inlineStr">
        <is>
          <t>encontrado_explicito</t>
        </is>
      </c>
      <c r="L661" s="144" t="n">
        <v>0.95</v>
      </c>
      <c r="M661" s="75" t="inlineStr">
        <is>
          <t>data/raw/62626887000185/1140788_assembleia_assembleia_1140788_2026-03-30.pdf</t>
        </is>
      </c>
      <c r="N661" s="75" t="inlineStr">
        <is>
          <t>https://fnet.bmfbovespa.com.br/fnet/publico/downloadDocumento?id=1140788</t>
        </is>
      </c>
      <c r="O661" s="75" t="inlineStr">
        <is>
          <t>MEIOS DE PAGAMENTO DE RESPONSABILIDADE LIMITADA, CNPJ/MF 62.626.887/0001-85- DATADO DE XX DE XX DE 2026 98 “Devedores” significam os Emissores. “Dia Útil” ou “Dias Úteis” significam qualquer dia em que haja expediente comercial ou bancário na cidade de São P</t>
        </is>
      </c>
    </row>
    <row r="662" ht="43.5" customHeight="1">
      <c r="A662" s="142" t="n">
        <v>62626887000185</v>
      </c>
      <c r="B662" s="75" t="inlineStr">
        <is>
          <t>62.626.887/0001-85</t>
        </is>
      </c>
      <c r="C662" s="75" t="inlineStr">
        <is>
          <t>sacado_devedor</t>
        </is>
      </c>
      <c r="D662" s="75" t="inlineStr">
        <is>
          <t>62.626.887/0001-85</t>
        </is>
      </c>
      <c r="E662" s="75" t="inlineStr">
        <is>
          <t>N/D</t>
        </is>
      </c>
      <c r="F662" s="75" t="inlineStr">
        <is>
          <t>candidate_extraction</t>
        </is>
      </c>
      <c r="G662" s="75" t="inlineStr">
        <is>
          <t>62626887000185</t>
        </is>
      </c>
      <c r="H662" s="75" t="inlineStr">
        <is>
          <t>extração heurística</t>
        </is>
      </c>
      <c r="I662" s="75" t="inlineStr">
        <is>
          <t>N/D</t>
        </is>
      </c>
      <c r="J662" s="75" t="inlineStr">
        <is>
          <t>N/D</t>
        </is>
      </c>
      <c r="K662" s="75" t="inlineStr">
        <is>
          <t>candidato_revisao</t>
        </is>
      </c>
      <c r="L662" s="144" t="n">
        <v>0.95</v>
      </c>
      <c r="M662" s="75" t="inlineStr">
        <is>
          <t>outputs/fidc_director_deep_diagnostic_20260609/pdf_text_cache/62626887000185_1152823_regulamento_regulamento_1152823_2026-03-31.txt</t>
        </is>
      </c>
      <c r="N662" s="75" t="inlineStr">
        <is>
          <t>https://fnet.bmfbovespa.com.br/fnet/publico/downloadDocumento?id=62626887000185</t>
        </is>
      </c>
      <c r="O662" s="75" t="inlineStr">
        <is>
          <t>egulamentação brasileira não faz clara distinção entre bancos comerciais e de investimento, nacionais ou estrangeiros, e seguradoras, podendo, assim, ocorrer impacto adverso relevante na capacidade de pagamento, pelos Devedores, dos Direitos Creditórios. 10.3.2. Riscos de Média Materialidade REGULAMENTO DO SUMUP SMART IV FIDC SEGMENTO MEIOS DE PAGAMENTO DE RESPONSABILIDADE LIMITADA, CNPJ/MF 62.626.887/0001-85- DATADO DE 31 DE MARÇO</t>
        </is>
      </c>
    </row>
    <row r="663" ht="43.5" customHeight="1">
      <c r="A663" s="142" t="n">
        <v>62626887000185</v>
      </c>
      <c r="B663" s="75" t="inlineStr">
        <is>
          <t>62.626.887/0001-85</t>
        </is>
      </c>
      <c r="C663" s="75" t="inlineStr">
        <is>
          <t>tipo_recebivel</t>
        </is>
      </c>
      <c r="D663" s="75"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E663" s="75" t="inlineStr">
        <is>
          <t>N/D</t>
        </is>
      </c>
      <c r="F663" s="75" t="inlineStr">
        <is>
          <t>regulamento</t>
        </is>
      </c>
      <c r="G663" s="75" t="inlineStr">
        <is>
          <t>1104099</t>
        </is>
      </c>
      <c r="H663" s="75" t="inlineStr">
        <is>
          <t>Regulamento</t>
        </is>
      </c>
      <c r="I663" s="75" t="inlineStr">
        <is>
          <t>06/02/2026</t>
        </is>
      </c>
      <c r="J663" s="75" t="inlineStr">
        <is>
          <t>87</t>
        </is>
      </c>
      <c r="K663" s="75" t="inlineStr">
        <is>
          <t>encontrado_explicito</t>
        </is>
      </c>
      <c r="L663" s="144" t="n">
        <v>0.92</v>
      </c>
      <c r="M663" s="75" t="inlineStr">
        <is>
          <t>.cache/carteira_101_document_scan/62626887000185/1104099.json.gz</t>
        </is>
      </c>
      <c r="N663" s="75" t="inlineStr">
        <is>
          <t>https://fnet.bmfbovespa.com.br/fnet/publico/downloadDocumento?id=1104099</t>
        </is>
      </c>
      <c r="O663" s="75" t="inlineStr">
        <is>
          <t>será considerado como Dia Útil qualquer dia que não seja sábado, domingo ou feriado nacional. “Direitos Creditórios” significam 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 “Direitos Creditórios Cedidos” significam todos os Direitos Creditórios que tenham sido cedido</t>
        </is>
      </c>
    </row>
    <row r="664" ht="43.5" customHeight="1">
      <c r="A664" s="142" t="n">
        <v>62626887000185</v>
      </c>
      <c r="B664" s="75" t="inlineStr">
        <is>
          <t>62.626.887/0001-85</t>
        </is>
      </c>
      <c r="C664" s="75" t="inlineStr">
        <is>
          <t>tipo_recebivel</t>
        </is>
      </c>
      <c r="D664" s="75"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E664" s="75" t="inlineStr">
        <is>
          <t>N/D</t>
        </is>
      </c>
      <c r="F664" s="75" t="inlineStr">
        <is>
          <t>regulamento</t>
        </is>
      </c>
      <c r="G664" s="75" t="inlineStr">
        <is>
          <t>1037253</t>
        </is>
      </c>
      <c r="H664" s="75" t="inlineStr">
        <is>
          <t>regulamento</t>
        </is>
      </c>
      <c r="I664" s="75" t="inlineStr">
        <is>
          <t>2025-11-13</t>
        </is>
      </c>
      <c r="J664" s="75" t="inlineStr">
        <is>
          <t>87</t>
        </is>
      </c>
      <c r="K664" s="75" t="inlineStr">
        <is>
          <t>encontrado_explicito</t>
        </is>
      </c>
      <c r="L664" s="144" t="n">
        <v>0.92</v>
      </c>
      <c r="M664" s="75" t="inlineStr">
        <is>
          <t>data/raw/62626887000185/1037253_regulamento_regulamento_1037253_2025-11-13.pdf</t>
        </is>
      </c>
      <c r="N664" s="75" t="inlineStr">
        <is>
          <t>https://fnet.bmfbovespa.com.br/fnet/publico/downloadDocumento?id=1037253</t>
        </is>
      </c>
      <c r="O664" s="75" t="inlineStr">
        <is>
          <t>será considerado como Dia Útil qualquer dia que não seja sábado, domingo ou feriado nacional. “Direitos Creditórios” significam 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 “Direitos Creditórios Cedidos” significam todos os Direitos Creditórios que tenham sido cedido</t>
        </is>
      </c>
    </row>
    <row r="665" ht="43.5" customHeight="1">
      <c r="A665" s="142" t="n">
        <v>62626887000185</v>
      </c>
      <c r="B665" s="75" t="inlineStr">
        <is>
          <t>62.626.887/0001-85</t>
        </is>
      </c>
      <c r="C665" s="75" t="inlineStr">
        <is>
          <t>tipo_recebivel</t>
        </is>
      </c>
      <c r="D665" s="75"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E665" s="75" t="inlineStr">
        <is>
          <t>N/D</t>
        </is>
      </c>
      <c r="F665" s="75" t="inlineStr">
        <is>
          <t>regulamento</t>
        </is>
      </c>
      <c r="G665" s="75" t="inlineStr">
        <is>
          <t>1152823</t>
        </is>
      </c>
      <c r="H665" s="75" t="inlineStr">
        <is>
          <t>regulamento</t>
        </is>
      </c>
      <c r="I665" s="75" t="inlineStr">
        <is>
          <t>2026-03-31</t>
        </is>
      </c>
      <c r="J665" s="75" t="inlineStr">
        <is>
          <t>93</t>
        </is>
      </c>
      <c r="K665" s="75" t="inlineStr">
        <is>
          <t>encontrado_explicito</t>
        </is>
      </c>
      <c r="L665" s="144" t="n">
        <v>0.92</v>
      </c>
      <c r="M665" s="75" t="inlineStr">
        <is>
          <t>data/raw/62626887000185/1152823_regulamento_regulamento_1152823_2026-03-31.pdf</t>
        </is>
      </c>
      <c r="N665" s="75" t="inlineStr">
        <is>
          <t>https://fnet.bmfbovespa.com.br/fnet/publico/downloadDocumento?id=1152823</t>
        </is>
      </c>
      <c r="O665" s="75" t="inlineStr">
        <is>
          <t>será considerado como Dia Útil qualquer dia que não seja sábado, domingo ou feriado nacional. “Direitos Creditórios” significam 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 “Direitos Creditórios Cedidos” significam todos os Direitos Creditórios que tenham sido cedido</t>
        </is>
      </c>
    </row>
    <row r="666" ht="43.5" customHeight="1">
      <c r="A666" s="142" t="n">
        <v>62626887000185</v>
      </c>
      <c r="B666" s="75" t="inlineStr">
        <is>
          <t>62.626.887/0001-85</t>
        </is>
      </c>
      <c r="C666" s="75" t="inlineStr">
        <is>
          <t>tipo_recebivel</t>
        </is>
      </c>
      <c r="D666" s="75" t="inlineStr">
        <is>
          <t>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t>
        </is>
      </c>
      <c r="E666" s="75" t="inlineStr">
        <is>
          <t>N/D</t>
        </is>
      </c>
      <c r="F666" s="75" t="inlineStr">
        <is>
          <t>assembleia</t>
        </is>
      </c>
      <c r="G666" s="75" t="inlineStr">
        <is>
          <t>1140788</t>
        </is>
      </c>
      <c r="H666" s="75" t="inlineStr">
        <is>
          <t>assembleia</t>
        </is>
      </c>
      <c r="I666" s="75" t="inlineStr">
        <is>
          <t>2026-03-30</t>
        </is>
      </c>
      <c r="J666" s="75" t="inlineStr">
        <is>
          <t>98</t>
        </is>
      </c>
      <c r="K666" s="75" t="inlineStr">
        <is>
          <t>encontrado_explicito</t>
        </is>
      </c>
      <c r="L666" s="144" t="n">
        <v>0.92</v>
      </c>
      <c r="M666" s="75" t="inlineStr">
        <is>
          <t>data/raw/62626887000185/1140788_assembleia_assembleia_1140788_2026-03-30.pdf</t>
        </is>
      </c>
      <c r="N666" s="75" t="inlineStr">
        <is>
          <t>https://fnet.bmfbovespa.com.br/fnet/publico/downloadDocumento?id=1140788</t>
        </is>
      </c>
      <c r="O666" s="75" t="inlineStr">
        <is>
          <t>será considerado como Dia Útil qualquer dia que não seja sábado, domingo ou feriado nacional. “Direitos Creditórios” significam os direitos creditórios de tempos em tempos detidos pelo Cedente em face dos Devedores, conforme as regras dos Arranjos de Pagamentos, decorrentes de Transações de Pagamento realizadas por Usuários-Finais com a utilização de Instrumentos de Pagamento das Bandeiras, operacionalizadas pelo Sistema SumUp, para a aquisição de bens ou serviços nos Estabelecimentos Comerciais. “Direitos Creditórios Cedidos” significam todos os Direitos Creditórios que tenham sido cedido</t>
        </is>
      </c>
    </row>
    <row r="667" ht="43.5" customHeight="1">
      <c r="A667" s="142" t="n">
        <v>62838025000116</v>
      </c>
      <c r="B667" s="75" t="inlineStr">
        <is>
          <t>62.838.025/0001-16</t>
        </is>
      </c>
      <c r="C667" s="75" t="inlineStr">
        <is>
          <t>cedente</t>
        </is>
      </c>
      <c r="D667" s="75" t="inlineStr">
        <is>
          <t>Pague Veloz / Serasa</t>
        </is>
      </c>
      <c r="E667" s="75" t="inlineStr">
        <is>
          <t>N/D</t>
        </is>
      </c>
      <c r="F667" s="75" t="inlineStr">
        <is>
          <t>planilha_manual</t>
        </is>
      </c>
      <c r="G667" s="75" t="inlineStr">
        <is>
          <t>IMG_8705.JPG</t>
        </is>
      </c>
      <c r="H667" s="75" t="inlineStr">
        <is>
          <t>payload</t>
        </is>
      </c>
      <c r="I667" s="75" t="inlineStr">
        <is>
          <t>2025-12-10</t>
        </is>
      </c>
      <c r="J667" s="75" t="inlineStr">
        <is>
          <t>39</t>
        </is>
      </c>
      <c r="K667" s="75" t="inlineStr">
        <is>
          <t>aceito_payload</t>
        </is>
      </c>
      <c r="L667" s="144" t="n">
        <v>1</v>
      </c>
      <c r="M667" s="75" t="inlineStr">
        <is>
          <t>data/industry_study/generated_revision/artifact_payload.json</t>
        </is>
      </c>
      <c r="N667" s="75" t="inlineStr">
        <is>
          <t>N/D</t>
        </is>
      </c>
      <c r="O667" s="75" t="inlineStr">
        <is>
          <t>N/D</t>
        </is>
      </c>
    </row>
    <row r="668" ht="43.5" customHeight="1">
      <c r="A668" s="142" t="n">
        <v>62838025000116</v>
      </c>
      <c r="B668" s="75" t="inlineStr">
        <is>
          <t>62.838.025/0001-16</t>
        </is>
      </c>
      <c r="C668" s="75" t="inlineStr">
        <is>
          <t>cedente</t>
        </is>
      </c>
      <c r="D668" s="75" t="inlineStr">
        <is>
          <t>PAGUEVELOZ INSTITUIÇÃO DE PAGAMENTO LTDA</t>
        </is>
      </c>
      <c r="E668" s="75" t="inlineStr">
        <is>
          <t>N/D</t>
        </is>
      </c>
      <c r="F668" s="75" t="inlineStr">
        <is>
          <t>candidate_extraction</t>
        </is>
      </c>
      <c r="G668" s="75" t="inlineStr">
        <is>
          <t>62838025000116</t>
        </is>
      </c>
      <c r="H668" s="75" t="inlineStr">
        <is>
          <t>extração heurística</t>
        </is>
      </c>
      <c r="I668" s="75" t="inlineStr">
        <is>
          <t>N/D</t>
        </is>
      </c>
      <c r="J668" s="75" t="inlineStr">
        <is>
          <t>N/D</t>
        </is>
      </c>
      <c r="K668" s="75" t="inlineStr">
        <is>
          <t>candidato_revisao</t>
        </is>
      </c>
      <c r="L668" s="144" t="n">
        <v>0.95</v>
      </c>
      <c r="M668" s="75" t="inlineStr">
        <is>
          <t>outputs/fidc_director_deep_diagnostic_20260609/pdf_text_cache/62838025000116_1058234_regulamento_regulamento_1058234_2025-12-10.txt</t>
        </is>
      </c>
      <c r="N668" s="75" t="inlineStr">
        <is>
          <t>https://fnet.bmfbovespa.com.br/fnet/publico/downloadDocumento?id=62838025000116</t>
        </is>
      </c>
      <c r="O668" s="75" t="inlineStr">
        <is>
          <t>prazo de validade e logomarca das Bandeiras, marcas, nomes ou logomarcas, sendo o instrumento utilizado em transações de pagamento. “CDI”: Certificado de Depósito Interbancário, conforme cálculo realizado pela B3. “Cedentes” significam, exclusivamente, as seguintes Subcredenciadoras: (i) PagueVeloz Instituição de Pagamento Ltda., inscrita no CNPJ sob o nº 03.816.413/0001-37 (“PagueVeloz”); e (ii) Serasa S.A., inscrita no CNPJ sob o nº</t>
        </is>
      </c>
    </row>
    <row r="669" ht="43.5" customHeight="1">
      <c r="A669" s="142" t="n">
        <v>62838025000116</v>
      </c>
      <c r="B669" s="75" t="inlineStr">
        <is>
          <t>62.838.025/0001-16</t>
        </is>
      </c>
      <c r="C669" s="75" t="inlineStr">
        <is>
          <t>minimo_junior</t>
        </is>
      </c>
      <c r="D669" s="75" t="inlineStr">
        <is>
          <t>10%</t>
        </is>
      </c>
      <c r="E669" s="75" t="inlineStr">
        <is>
          <t>junior_pl</t>
        </is>
      </c>
      <c r="F669" s="75" t="inlineStr">
        <is>
          <t>payload_documental</t>
        </is>
      </c>
      <c r="G669" s="75" t="inlineStr">
        <is>
          <t>1058234</t>
        </is>
      </c>
      <c r="H669" s="75" t="inlineStr">
        <is>
          <t>documento_curado</t>
        </is>
      </c>
      <c r="I669" s="75" t="inlineStr">
        <is>
          <t>2025-12-10</t>
        </is>
      </c>
      <c r="J669" s="75" t="inlineStr">
        <is>
          <t>39</t>
        </is>
      </c>
      <c r="K669" s="75" t="inlineStr">
        <is>
          <t>aceito_payload</t>
        </is>
      </c>
      <c r="L669" s="144" t="n">
        <v>1</v>
      </c>
      <c r="M669" s="75" t="inlineStr">
        <is>
          <t>data/industry_study/generated_revision/artifact_payload.json</t>
        </is>
      </c>
      <c r="N669" s="75" t="inlineStr">
        <is>
          <t>https://fnet.bmfbovespa.com.br/fnet/publico/downloadDocumento?id=1058234</t>
        </is>
      </c>
      <c r="O669" s="75" t="inlineStr">
        <is>
          <t>Cotas júnior / PL: 9,0% nos primeiros 30 dias; 10,0% como patamar regular.</t>
        </is>
      </c>
    </row>
    <row r="670" ht="43.5" customHeight="1">
      <c r="A670" s="142" t="n">
        <v>62838025000116</v>
      </c>
      <c r="B670" s="75" t="inlineStr">
        <is>
          <t>62.838.025/0001-16</t>
        </is>
      </c>
      <c r="C670" s="75" t="inlineStr">
        <is>
          <t>natureza_indice</t>
        </is>
      </c>
      <c r="D670" s="75" t="inlineStr">
        <is>
          <t>junior_pl</t>
        </is>
      </c>
      <c r="E670" s="75" t="inlineStr">
        <is>
          <t>junior_pl</t>
        </is>
      </c>
      <c r="F670" s="75" t="inlineStr">
        <is>
          <t>payload_documental</t>
        </is>
      </c>
      <c r="G670" s="75" t="inlineStr">
        <is>
          <t>1058234</t>
        </is>
      </c>
      <c r="H670" s="75" t="inlineStr">
        <is>
          <t>documento_curado</t>
        </is>
      </c>
      <c r="I670" s="75" t="inlineStr">
        <is>
          <t>2025-12-10</t>
        </is>
      </c>
      <c r="J670" s="75" t="inlineStr">
        <is>
          <t>39</t>
        </is>
      </c>
      <c r="K670" s="75" t="inlineStr">
        <is>
          <t>aceito_payload</t>
        </is>
      </c>
      <c r="L670" s="144" t="n">
        <v>1</v>
      </c>
      <c r="M670" s="75" t="inlineStr">
        <is>
          <t>data/industry_study/generated_revision/artifact_payload.json</t>
        </is>
      </c>
      <c r="N670" s="75" t="inlineStr">
        <is>
          <t>https://fnet.bmfbovespa.com.br/fnet/publico/downloadDocumento?id=1058234</t>
        </is>
      </c>
      <c r="O670" s="75" t="inlineStr">
        <is>
          <t>Cotas júnior / PL: 9,0% nos primeiros 30 dias; 10,0% como patamar regular.</t>
        </is>
      </c>
    </row>
    <row r="671" ht="43.5" customHeight="1">
      <c r="A671" s="142" t="n">
        <v>62838025000116</v>
      </c>
      <c r="B671" s="75" t="inlineStr">
        <is>
          <t>62.838.025/0001-16</t>
        </is>
      </c>
      <c r="C671" s="75" t="inlineStr">
        <is>
          <t>sacado_devedor</t>
        </is>
      </c>
      <c r="D671" s="75" t="inlineStr">
        <is>
          <t>os emissores, devedores e/ou garantidores dos Direitos Creditórios, conforme o caso</t>
        </is>
      </c>
      <c r="E671" s="75" t="inlineStr">
        <is>
          <t>N/D</t>
        </is>
      </c>
      <c r="F671" s="75" t="inlineStr">
        <is>
          <t>regulamento</t>
        </is>
      </c>
      <c r="G671" s="75" t="inlineStr">
        <is>
          <t>1058234</t>
        </is>
      </c>
      <c r="H671" s="75" t="inlineStr">
        <is>
          <t>regulamento</t>
        </is>
      </c>
      <c r="I671" s="75" t="inlineStr">
        <is>
          <t>2025-12-10</t>
        </is>
      </c>
      <c r="J671" s="75" t="inlineStr">
        <is>
          <t>5</t>
        </is>
      </c>
      <c r="K671" s="75" t="inlineStr">
        <is>
          <t>encontrado_explicito</t>
        </is>
      </c>
      <c r="L671" s="144" t="n">
        <v>0.95</v>
      </c>
      <c r="M671" s="75" t="inlineStr">
        <is>
          <t>data/raw/62838025000116/1058234_regulamento_regulamento_1058234_2025-12-10.pdf</t>
        </is>
      </c>
      <c r="N671" s="75" t="inlineStr">
        <is>
          <t>https://fnet.bmfbovespa.com.br/fnet/publico/downloadDocumento?id=1058234</t>
        </is>
      </c>
      <c r="O671" s="75" t="inlineStr">
        <is>
          <t>sição, mas nunca em momento anterior a ela. “Data de Verificação” significa todo o 5º (quinto) Dia Útil de cada mês. “Devedores” significam os emissores, devedores e/ou garantidores dos Direitos Creditórios, conforme o caso. Para fins da Classe, serão , exclusivamente, as seguintes Credenciadoras: (i) Cielo S.A. - Instituição de Pagamento,</t>
        </is>
      </c>
    </row>
    <row r="672" ht="43.5" customHeight="1">
      <c r="A672" s="142" t="n">
        <v>62838025000116</v>
      </c>
      <c r="B672" s="75" t="inlineStr">
        <is>
          <t>62.838.025/0001-16</t>
        </is>
      </c>
      <c r="C672" s="75" t="inlineStr">
        <is>
          <t>sacado_devedor</t>
        </is>
      </c>
      <c r="D672" s="75" t="inlineStr">
        <is>
          <t>NSTITUIÇÃO DE PAGAMENTO S.A</t>
        </is>
      </c>
      <c r="E672" s="75" t="inlineStr">
        <is>
          <t>N/D</t>
        </is>
      </c>
      <c r="F672" s="75" t="inlineStr">
        <is>
          <t>candidate_extraction</t>
        </is>
      </c>
      <c r="G672" s="75" t="inlineStr">
        <is>
          <t>62838025000116</t>
        </is>
      </c>
      <c r="H672" s="75" t="inlineStr">
        <is>
          <t>extração heurística</t>
        </is>
      </c>
      <c r="I672" s="75" t="inlineStr">
        <is>
          <t>N/D</t>
        </is>
      </c>
      <c r="J672" s="75" t="inlineStr">
        <is>
          <t>N/D</t>
        </is>
      </c>
      <c r="K672" s="75" t="inlineStr">
        <is>
          <t>candidato_revisao</t>
        </is>
      </c>
      <c r="L672" s="144" t="n">
        <v>0.95</v>
      </c>
      <c r="M672" s="75" t="inlineStr">
        <is>
          <t>outputs/fidc_director_deep_diagnostic_20260609/pdf_text_cache/62838025000116_1058234_regulamento_regulamento_1058234_2025-12-10.txt</t>
        </is>
      </c>
      <c r="N672" s="75" t="inlineStr">
        <is>
          <t>https://fnet.bmfbovespa.com.br/fnet/publico/downloadDocumento?id=62838025000116</t>
        </is>
      </c>
      <c r="O672" s="75" t="inlineStr">
        <is>
          <t>nstituição de Pagamento S.A., inscrita no CNPJ sob o nº 08.561.701/0001-01; e (iv) Getnet Adquirência e Serviços para Meios de Pagamento S.A. – Instituição de Pagamento, inscrita no CNPJ sob o nº 10.440.482/0001-54. “Devedor Inadimplente – Cedentes” significa, em determinada Data de Aquisição, o Devedor que se encontre em mora no cumprimento de obrigações pecuniárias e/ou não pecuniárias perante o Cedente, por período superior a 05 (cinco</t>
        </is>
      </c>
    </row>
    <row r="673" ht="43.5" customHeight="1">
      <c r="A673" s="142" t="n">
        <v>62838025000116</v>
      </c>
      <c r="B673" s="75" t="inlineStr">
        <is>
          <t>62.838.025/0001-16</t>
        </is>
      </c>
      <c r="C673" s="75" t="inlineStr">
        <is>
          <t>tipo_recebivel</t>
        </is>
      </c>
      <c r="D673" s="75" t="inlineStr">
        <is>
          <t>recebíveis de Rede, GetNet, Cielo e Pag</t>
        </is>
      </c>
      <c r="E673" s="75" t="inlineStr">
        <is>
          <t>N/D</t>
        </is>
      </c>
      <c r="F673" s="75" t="inlineStr">
        <is>
          <t>planilha_manual</t>
        </is>
      </c>
      <c r="G673" s="75" t="inlineStr">
        <is>
          <t>IMG_8705.JPG</t>
        </is>
      </c>
      <c r="H673" s="75" t="inlineStr">
        <is>
          <t>payload</t>
        </is>
      </c>
      <c r="I673" s="75" t="inlineStr">
        <is>
          <t>2025-12-10</t>
        </is>
      </c>
      <c r="J673" s="75" t="inlineStr">
        <is>
          <t>39</t>
        </is>
      </c>
      <c r="K673" s="75" t="inlineStr">
        <is>
          <t>aceito_payload</t>
        </is>
      </c>
      <c r="L673" s="144" t="n">
        <v>1</v>
      </c>
      <c r="M673" s="75" t="inlineStr">
        <is>
          <t>data/industry_study/generated_revision/artifact_payload.json</t>
        </is>
      </c>
      <c r="N673" s="75" t="inlineStr">
        <is>
          <t>N/D</t>
        </is>
      </c>
      <c r="O673" s="75" t="inlineStr">
        <is>
          <t>N/D</t>
        </is>
      </c>
    </row>
    <row r="674" ht="43.5" customHeight="1">
      <c r="A674" s="142" t="n">
        <v>63066147000102</v>
      </c>
      <c r="B674" s="75" t="inlineStr">
        <is>
          <t>63.066.147/0001-02</t>
        </is>
      </c>
      <c r="C674" s="75" t="inlineStr">
        <is>
          <t>cedente</t>
        </is>
      </c>
      <c r="D674" s="75" t="inlineStr">
        <is>
          <t>Supersim</t>
        </is>
      </c>
      <c r="E674" s="75" t="inlineStr">
        <is>
          <t>N/D</t>
        </is>
      </c>
      <c r="F674" s="75" t="inlineStr">
        <is>
          <t>planilha_manual</t>
        </is>
      </c>
      <c r="G674" s="75" t="inlineStr">
        <is>
          <t>IMG_8707.jpg</t>
        </is>
      </c>
      <c r="H674" s="75" t="inlineStr">
        <is>
          <t>payload</t>
        </is>
      </c>
      <c r="I674" s="75" t="inlineStr">
        <is>
          <t>2026-01-15</t>
        </is>
      </c>
      <c r="J674" s="75" t="inlineStr">
        <is>
          <t>12</t>
        </is>
      </c>
      <c r="K674" s="75" t="inlineStr">
        <is>
          <t>aceito_payload</t>
        </is>
      </c>
      <c r="L674" s="144" t="n">
        <v>1</v>
      </c>
      <c r="M674" s="75" t="inlineStr">
        <is>
          <t>data/industry_study/generated_revision/artifact_payload.json</t>
        </is>
      </c>
      <c r="N674" s="75" t="inlineStr">
        <is>
          <t>N/D</t>
        </is>
      </c>
      <c r="O674" s="75" t="inlineStr">
        <is>
          <t>Denominação cortada pela largura da coluna na foto.</t>
        </is>
      </c>
    </row>
    <row r="675" ht="43.5" customHeight="1">
      <c r="A675" s="142" t="n">
        <v>63066147000102</v>
      </c>
      <c r="B675" s="75" t="inlineStr">
        <is>
          <t>63.066.147/0001-02</t>
        </is>
      </c>
      <c r="C675" s="75" t="inlineStr">
        <is>
          <t>minimo_junior</t>
        </is>
      </c>
      <c r="D675" s="75" t="inlineStr">
        <is>
          <t>12.5%</t>
        </is>
      </c>
      <c r="E675" s="75" t="inlineStr">
        <is>
          <t>junior_pl</t>
        </is>
      </c>
      <c r="F675" s="75" t="inlineStr">
        <is>
          <t>payload_documental</t>
        </is>
      </c>
      <c r="G675" s="75" t="inlineStr">
        <is>
          <t>1085946</t>
        </is>
      </c>
      <c r="H675" s="75" t="inlineStr">
        <is>
          <t>documento_curado</t>
        </is>
      </c>
      <c r="I675" s="75" t="inlineStr">
        <is>
          <t>2026-01-15</t>
        </is>
      </c>
      <c r="J675" s="75" t="inlineStr">
        <is>
          <t>12</t>
        </is>
      </c>
      <c r="K675" s="75" t="inlineStr">
        <is>
          <t>aceito_payload</t>
        </is>
      </c>
      <c r="L675" s="144" t="n">
        <v>1</v>
      </c>
      <c r="M675" s="75" t="inlineStr">
        <is>
          <t>data/industry_study/generated_revision/artifact_payload.json</t>
        </is>
      </c>
      <c r="N675" s="75" t="inlineStr">
        <is>
          <t>https://fnet.bmfbovespa.com.br/fnet/publico/downloadDocumento?id=1085946</t>
        </is>
      </c>
      <c r="O675" s="75" t="inlineStr">
        <is>
          <t>Cotas júnior / PL, mínimo de 12,5%; 17,5% enquanto houver rebaixamento contratualmente definido.</t>
        </is>
      </c>
    </row>
    <row r="676" ht="43.5" customHeight="1">
      <c r="A676" s="142" t="n">
        <v>63066147000102</v>
      </c>
      <c r="B676" s="75" t="inlineStr">
        <is>
          <t>63.066.147/0001-02</t>
        </is>
      </c>
      <c r="C676" s="75" t="inlineStr">
        <is>
          <t>natureza_indice</t>
        </is>
      </c>
      <c r="D676" s="75" t="inlineStr">
        <is>
          <t>junior_pl</t>
        </is>
      </c>
      <c r="E676" s="75" t="inlineStr">
        <is>
          <t>junior_pl</t>
        </is>
      </c>
      <c r="F676" s="75" t="inlineStr">
        <is>
          <t>payload_documental</t>
        </is>
      </c>
      <c r="G676" s="75" t="inlineStr">
        <is>
          <t>1085946</t>
        </is>
      </c>
      <c r="H676" s="75" t="inlineStr">
        <is>
          <t>documento_curado</t>
        </is>
      </c>
      <c r="I676" s="75" t="inlineStr">
        <is>
          <t>2026-01-15</t>
        </is>
      </c>
      <c r="J676" s="75" t="inlineStr">
        <is>
          <t>12</t>
        </is>
      </c>
      <c r="K676" s="75" t="inlineStr">
        <is>
          <t>aceito_payload</t>
        </is>
      </c>
      <c r="L676" s="144" t="n">
        <v>1</v>
      </c>
      <c r="M676" s="75" t="inlineStr">
        <is>
          <t>data/industry_study/generated_revision/artifact_payload.json</t>
        </is>
      </c>
      <c r="N676" s="75" t="inlineStr">
        <is>
          <t>https://fnet.bmfbovespa.com.br/fnet/publico/downloadDocumento?id=1085946</t>
        </is>
      </c>
      <c r="O676" s="75" t="inlineStr">
        <is>
          <t>Cotas júnior / PL, mínimo de 12,5%; 17,5% enquanto houver rebaixamento contratualmente definido.</t>
        </is>
      </c>
    </row>
    <row r="677" ht="43.5" customHeight="1">
      <c r="A677" s="142" t="n">
        <v>63066147000102</v>
      </c>
      <c r="B677" s="75" t="inlineStr">
        <is>
          <t>63.066.147/0001-02</t>
        </is>
      </c>
      <c r="C677" s="75" t="inlineStr">
        <is>
          <t>tipo_recebivel</t>
        </is>
      </c>
      <c r="D677" s="75" t="inlineStr">
        <is>
          <t>todos os direitos de crédito vincendos adquiridos ou a serem adquiridos pela Classe Única, representados por CCBs decorrentes da concessão de Crédito [trecho ilegível na extração]</t>
        </is>
      </c>
      <c r="E677" s="75" t="inlineStr">
        <is>
          <t>N/D</t>
        </is>
      </c>
      <c r="F677" s="75" t="inlineStr">
        <is>
          <t>regulamento</t>
        </is>
      </c>
      <c r="G677" s="75" t="inlineStr">
        <is>
          <t>1085946</t>
        </is>
      </c>
      <c r="H677" s="75" t="inlineStr">
        <is>
          <t>Regulamento</t>
        </is>
      </c>
      <c r="I677" s="75" t="inlineStr">
        <is>
          <t>15/01/2026</t>
        </is>
      </c>
      <c r="J677" s="75" t="inlineStr">
        <is>
          <t>8</t>
        </is>
      </c>
      <c r="K677" s="75" t="inlineStr">
        <is>
          <t>encontrado_explicito</t>
        </is>
      </c>
      <c r="L677" s="144" t="n">
        <v>0.92</v>
      </c>
      <c r="M677" s="75" t="inlineStr">
        <is>
          <t>.cache/carteira_101_document_scan/63066147000102/1085946.json.gz</t>
        </is>
      </c>
      <c r="N677" s="75" t="inlineStr">
        <is>
          <t>https://fnet.bmfbovespa.com.br/fnet/publico/downloadDocumento?id=1085946</t>
        </is>
      </c>
      <c r="O677" s="75" t="inlineStr">
        <is>
          <t>eja (i) sábado, domingo ou feriado declarado como nacional ou (ii) aqueles sem expediente na B3. “Direitos Creditórios” São todos os direitos de crédito vincendos adquiridos ou a serem adquiridos pela Classe Única, representados por CCBs decorrentes da concessão de Crédito [trecho ilegível na extração] Corporativo | Interno Parcelado pelas Instituições Financeiras Parceiras aos Devedore</t>
        </is>
      </c>
    </row>
    <row r="678" ht="43.5" customHeight="1">
      <c r="A678" s="142" t="n">
        <v>63066147000102</v>
      </c>
      <c r="B678" s="75" t="inlineStr">
        <is>
          <t>63.066.147/0001-02</t>
        </is>
      </c>
      <c r="C678" s="75" t="inlineStr">
        <is>
          <t>tipo_recebivel</t>
        </is>
      </c>
      <c r="D678" s="75" t="inlineStr">
        <is>
          <t>todos os direitos de crédito vincendos adquiridos ou a serem adquiridos pela Classe Única, representados por CCBs decorrentes da concessão de Crédito Docusign Envelope ID: 9DE35450-3BDE-4638-A712-3F4C7F8F1EF5</t>
        </is>
      </c>
      <c r="E678" s="75" t="inlineStr">
        <is>
          <t>N/D</t>
        </is>
      </c>
      <c r="F678" s="75" t="inlineStr">
        <is>
          <t>regulamento</t>
        </is>
      </c>
      <c r="G678" s="75" t="inlineStr">
        <is>
          <t>1085943</t>
        </is>
      </c>
      <c r="H678" s="75" t="inlineStr">
        <is>
          <t>regulamento</t>
        </is>
      </c>
      <c r="I678" s="75" t="inlineStr">
        <is>
          <t>2026-01-15</t>
        </is>
      </c>
      <c r="J678" s="75" t="inlineStr">
        <is>
          <t>14</t>
        </is>
      </c>
      <c r="K678" s="75" t="inlineStr">
        <is>
          <t>encontrado_explicito</t>
        </is>
      </c>
      <c r="L678" s="144" t="n">
        <v>0.92</v>
      </c>
      <c r="M678" s="75" t="inlineStr">
        <is>
          <t>data/raw/63066147000102/1085943_regulamento_regulamento_1085943_2026-01-15_2026-01-15.pdf</t>
        </is>
      </c>
      <c r="N678" s="75" t="inlineStr">
        <is>
          <t>https://fnet.bmfbovespa.com.br/fnet/publico/downloadDocumento?id=1085943</t>
        </is>
      </c>
      <c r="O678" s="75" t="inlineStr">
        <is>
          <t>eja (i) sábado, domingo ou feriado declarado como nacional ou (ii) aqueles sem expediente na B3. “Direitos Creditórios” São todos os direitos de crédito vincendos adquiridos ou a serem adquiridos pela Classe Única, representados por CCBs decorrentes da concessão de Crédito Docusign Envelope ID: 9DE35450-3BDE-4638-A712-3F4C7F8F1EF5 Corporativo | Interno Parcelado pelas Instituições Financeiras Parceiras aos Devedore</t>
        </is>
      </c>
    </row>
    <row r="679" ht="43.5" customHeight="1">
      <c r="A679" s="142" t="n">
        <v>63066147000102</v>
      </c>
      <c r="B679" s="75" t="inlineStr">
        <is>
          <t>63.066.147/0001-02</t>
        </is>
      </c>
      <c r="C679" s="75" t="inlineStr">
        <is>
          <t>tipo_recebivel</t>
        </is>
      </c>
      <c r="D679" s="75" t="inlineStr">
        <is>
          <t>todos os direitos de crédito vincendos adquiridos ou a serem adquiridos pela Classe Única, representados por CCBs decorrentes da concessão de Crédito Docusign Envelope ID: 9DE35450-3BDE-4638-A712-3F4C7F8F1EF5</t>
        </is>
      </c>
      <c r="E679" s="75" t="inlineStr">
        <is>
          <t>N/D</t>
        </is>
      </c>
      <c r="F679" s="75" t="inlineStr">
        <is>
          <t>regulamento</t>
        </is>
      </c>
      <c r="G679" s="75" t="inlineStr">
        <is>
          <t>63066147000102</t>
        </is>
      </c>
      <c r="H679" s="75" t="inlineStr">
        <is>
          <t>regulamento</t>
        </is>
      </c>
      <c r="I679" s="75" t="inlineStr">
        <is>
          <t>N/D</t>
        </is>
      </c>
      <c r="J679" s="75" t="inlineStr">
        <is>
          <t>1</t>
        </is>
      </c>
      <c r="K679" s="75" t="inlineStr">
        <is>
          <t>encontrado_explicito</t>
        </is>
      </c>
      <c r="L679" s="144" t="n">
        <v>0.92</v>
      </c>
      <c r="M679" s="75" t="inlineStr">
        <is>
          <t>outputs/fidc_director_deep_diagnostic_20260609/pdf_text_cache/63066147000102_1085943_regulamento_regulamento_1085943_2026-01-15_2026-01-15.txt</t>
        </is>
      </c>
      <c r="N679" s="75" t="inlineStr">
        <is>
          <t>https://fnet.bmfbovespa.com.br/fnet/publico/downloadDocumento?id=63066147000102</t>
        </is>
      </c>
      <c r="O679" s="75" t="inlineStr">
        <is>
          <t>eja (i) sábado, domingo ou feriado declarado como nacional ou (ii) aqueles sem expediente na B3. “Direitos Creditórios” São todos os direitos de crédito vincendos adquiridos ou a serem adquiridos pela Classe Única, representados por CCBs decorrentes da concessão de Crédito Docusign Envelope ID: 9DE35450-3BDE-4638-A712-3F4C7F8F1EF5 Corporativo | Interno Parcelado pelas Instituições Financeiras Parceiras aos Devedore</t>
        </is>
      </c>
    </row>
    <row r="680" ht="43.5" customHeight="1">
      <c r="A680" s="142" t="n">
        <v>63066147000102</v>
      </c>
      <c r="B680" s="75" t="inlineStr">
        <is>
          <t>63.066.147/0001-02</t>
        </is>
      </c>
      <c r="C680" s="75" t="inlineStr">
        <is>
          <t>tipo_recebivel</t>
        </is>
      </c>
      <c r="D680" s="75" t="inlineStr">
        <is>
          <t>todos os direitos de crédito vincendos adquiridos ou a serem adquiridos pela Classe Única, representados por CCBs decorrentes da concessão de Crédito Parcelado pelas Instituições Financeiras Parceiras aos Devedores e com intermediação do Correspondente Bancário</t>
        </is>
      </c>
      <c r="E680" s="75" t="inlineStr">
        <is>
          <t>N/D</t>
        </is>
      </c>
      <c r="F680" s="75" t="inlineStr">
        <is>
          <t>assembleia</t>
        </is>
      </c>
      <c r="G680" s="75" t="inlineStr">
        <is>
          <t>1180702</t>
        </is>
      </c>
      <c r="H680" s="75" t="inlineStr">
        <is>
          <t>Assembleia AGE Carta Consulta</t>
        </is>
      </c>
      <c r="I680" s="75" t="inlineStr">
        <is>
          <t>05/05/2026 18:00</t>
        </is>
      </c>
      <c r="J680" s="75" t="inlineStr">
        <is>
          <t>25</t>
        </is>
      </c>
      <c r="K680" s="75" t="inlineStr">
        <is>
          <t>encontrado_explicito</t>
        </is>
      </c>
      <c r="L680" s="144" t="n">
        <v>0.92</v>
      </c>
      <c r="M680" s="75" t="inlineStr">
        <is>
          <t>.cache/carteira_101_document_scan/63066147000102/1180702.json.gz</t>
        </is>
      </c>
      <c r="N680" s="75" t="inlineStr">
        <is>
          <t>https://fnet.bmfbovespa.com.br/fnet/publico/downloadDocumento?id=1180702</t>
        </is>
      </c>
      <c r="O680" s="75" t="inlineStr">
        <is>
          <t>eja (i) sábado, domingo ou feriado declarado como nacional ou (ii) aqueles sem expediente na B3. “Direitos Creditórios” São todos os direitos de crédito vincendos adquiridos ou a serem adquiridos pela Classe Única, representados por CCBs decorrentes da concessão de Crédito Parcelado pelas Instituições Financeiras Parceiras aos Devedores e com intermediação do Correspondente Bancário. “Direitos Creditórios Adquiridos” Os Direitos Creditórios que atendam aos Critérios de Elegibi</t>
        </is>
      </c>
    </row>
    <row r="681" ht="43.5" customHeight="1">
      <c r="A681" s="142" t="n">
        <v>63066147000102</v>
      </c>
      <c r="B681" s="75" t="inlineStr">
        <is>
          <t>63.066.147/0001-02</t>
        </is>
      </c>
      <c r="C681" s="75" t="inlineStr">
        <is>
          <t>tipo_recebivel</t>
        </is>
      </c>
      <c r="D681" s="75" t="inlineStr">
        <is>
          <t>todos os direitos de crédito vincendos adquiridos ou a serem adquiridos pela Classe Única, representados por CCBs decorrentes da concessão de Crédito Parcelado pelas Instituições Financeiras Parceiras aos Devedores e com intermediação do Correspondente Bancário</t>
        </is>
      </c>
      <c r="E681" s="75" t="inlineStr">
        <is>
          <t>N/D</t>
        </is>
      </c>
      <c r="F681" s="75" t="inlineStr">
        <is>
          <t>assembleia</t>
        </is>
      </c>
      <c r="G681" s="75" t="inlineStr">
        <is>
          <t>1198394</t>
        </is>
      </c>
      <c r="H681" s="75" t="inlineStr">
        <is>
          <t>Assembleia AGE Ata da Assembleia</t>
        </is>
      </c>
      <c r="I681" s="75" t="inlineStr">
        <is>
          <t>18/05/2026 13:00</t>
        </is>
      </c>
      <c r="J681" s="75" t="inlineStr">
        <is>
          <t>18</t>
        </is>
      </c>
      <c r="K681" s="75" t="inlineStr">
        <is>
          <t>encontrado_explicito</t>
        </is>
      </c>
      <c r="L681" s="144" t="n">
        <v>0.92</v>
      </c>
      <c r="M681" s="75" t="inlineStr">
        <is>
          <t>.cache/carteira_101_document_scan/63066147000102/1198394.json.gz</t>
        </is>
      </c>
      <c r="N681" s="75" t="inlineStr">
        <is>
          <t>https://fnet.bmfbovespa.com.br/fnet/publico/downloadDocumento?id=1198394</t>
        </is>
      </c>
      <c r="O681" s="75" t="inlineStr">
        <is>
          <t>eja (i) sábado, domingo ou feriado declarado como nacional ou (ii) aqueles sem expediente na B3. “Direitos Creditórios” São todos os direitos de crédito vincendos adquiridos ou a serem adquiridos pela Classe Única, representados por CCBs decorrentes da concessão de Crédito Parcelado pelas Instituições Financeiras Parceiras aos Devedores e com intermediação do Correspondente Bancário. “Direitos Creditórios Adquiridos” Os Direitos Creditórios que atendam aos Critérios de Elegibi</t>
        </is>
      </c>
    </row>
    <row r="682" ht="43.5" customHeight="1">
      <c r="A682" s="142" t="n">
        <v>63546406000194</v>
      </c>
      <c r="B682" s="75" t="inlineStr">
        <is>
          <t>63.546.406/0001-94</t>
        </is>
      </c>
      <c r="C682" s="75" t="inlineStr">
        <is>
          <t>cedente</t>
        </is>
      </c>
      <c r="D682" s="75" t="inlineStr">
        <is>
          <t>o Banco Pine, conforme o caso;</t>
        </is>
      </c>
      <c r="E682" s="75" t="inlineStr">
        <is>
          <t>N/D</t>
        </is>
      </c>
      <c r="F682" s="75" t="inlineStr">
        <is>
          <t>regulamento</t>
        </is>
      </c>
      <c r="G682" s="75" t="inlineStr">
        <is>
          <t>1130481</t>
        </is>
      </c>
      <c r="H682" s="75" t="inlineStr">
        <is>
          <t>regulamento</t>
        </is>
      </c>
      <c r="I682" s="75" t="inlineStr">
        <is>
          <t>2026-03-05</t>
        </is>
      </c>
      <c r="J682" s="75" t="inlineStr">
        <is>
          <t>152</t>
        </is>
      </c>
      <c r="K682" s="75" t="inlineStr">
        <is>
          <t>encontrado_explicito</t>
        </is>
      </c>
      <c r="L682" s="144" t="n">
        <v>0.95</v>
      </c>
      <c r="M682" s="75" t="inlineStr">
        <is>
          <t>data/raw/63546406000194/1130481_regulamento_regulamento_1130481_2026-03-05.pdf</t>
        </is>
      </c>
      <c r="N682" s="75" t="inlineStr">
        <is>
          <t>https://fnet.bmfbovespa.com.br/fnet/publico/downloadDocumento?id=1130481</t>
        </is>
      </c>
      <c r="O682" s="75" t="inlineStr">
        <is>
          <t>C; (x) "BCP" significa o benefício de prestação continuada de que trata o art. 20 da Lei nº 8.742, de 1993; (xi) "Cedente" significa o Banco Pine, conforme o caso; (xii) "Códigos INSS Elegíveis" significam os códigos de benefícios do INSS indicados como elegíveis no Anexo X IIIXI</t>
        </is>
      </c>
    </row>
    <row r="683" ht="43.5" customHeight="1">
      <c r="A683" s="142" t="n">
        <v>63546406000194</v>
      </c>
      <c r="B683" s="75" t="inlineStr">
        <is>
          <t>63.546.406/0001-94</t>
        </is>
      </c>
      <c r="C683" s="75" t="inlineStr">
        <is>
          <t>cedente</t>
        </is>
      </c>
      <c r="D683" s="75" t="inlineStr">
        <is>
          <t>o Banco Pine S.A.</t>
        </is>
      </c>
      <c r="E683" s="75" t="inlineStr">
        <is>
          <t>N/D</t>
        </is>
      </c>
      <c r="F683" s="75" t="inlineStr">
        <is>
          <t>regulamento</t>
        </is>
      </c>
      <c r="G683" s="75" t="inlineStr">
        <is>
          <t>1130481</t>
        </is>
      </c>
      <c r="H683" s="75" t="inlineStr">
        <is>
          <t>regulamento</t>
        </is>
      </c>
      <c r="I683" s="75" t="inlineStr">
        <is>
          <t>2026-03-05</t>
        </is>
      </c>
      <c r="J683" s="75" t="inlineStr">
        <is>
          <t>153</t>
        </is>
      </c>
      <c r="K683" s="75" t="inlineStr">
        <is>
          <t>encontrado_explicito</t>
        </is>
      </c>
      <c r="L683" s="144" t="n">
        <v>0.95</v>
      </c>
      <c r="M683" s="75" t="inlineStr">
        <is>
          <t>data/raw/63546406000194/1130481_regulamento_regulamento_1130481_2026-03-05.pdf</t>
        </is>
      </c>
      <c r="N683" s="75" t="inlineStr">
        <is>
          <t>https://fnet.bmfbovespa.com.br/fnet/publico/downloadDocumento?id=1130481</t>
        </is>
      </c>
      <c r="O683" s="75" t="inlineStr">
        <is>
          <t>a Proponente" tem o significado que lhe é atribuído no item 9.5 deste Anexo Definições Específicas da Classe; (xxv) "Cedente" significa o Banco Pine S.A. (xxvi) "Critérios de Elegibilidade " significa, em conjunto, os Critérios de Elegibilidade – Debêntures e os Critéri</t>
        </is>
      </c>
    </row>
    <row r="684" ht="43.5" customHeight="1">
      <c r="A684" s="142" t="n">
        <v>63546406000194</v>
      </c>
      <c r="B684" s="75" t="inlineStr">
        <is>
          <t>63.546.406/0001-94</t>
        </is>
      </c>
      <c r="C684" s="75" t="inlineStr">
        <is>
          <t>minimo_junior</t>
        </is>
      </c>
      <c r="D684" s="75" t="inlineStr">
        <is>
          <t>1.5%</t>
        </is>
      </c>
      <c r="E684" s="75" t="inlineStr">
        <is>
          <t>junior_pl</t>
        </is>
      </c>
      <c r="F684" s="75" t="inlineStr">
        <is>
          <t>payload_documental</t>
        </is>
      </c>
      <c r="G684" s="75" t="inlineStr">
        <is>
          <t>1130481</t>
        </is>
      </c>
      <c r="H684" s="75" t="inlineStr">
        <is>
          <t>documento_curado</t>
        </is>
      </c>
      <c r="I684" s="75" t="inlineStr">
        <is>
          <t>2026-03-05</t>
        </is>
      </c>
      <c r="J684" s="75" t="inlineStr">
        <is>
          <t>142</t>
        </is>
      </c>
      <c r="K684" s="75" t="inlineStr">
        <is>
          <t>aceito_payload</t>
        </is>
      </c>
      <c r="L684" s="144" t="n">
        <v>1</v>
      </c>
      <c r="M684" s="75" t="inlineStr">
        <is>
          <t>data/industry_study/generated_revision/artifact_payload.json</t>
        </is>
      </c>
      <c r="N684" s="75" t="inlineStr">
        <is>
          <t>https://fnet.bmfbovespa.com.br/fnet/publico/downloadDocumento?id=1130481</t>
        </is>
      </c>
      <c r="O684" s="75" t="inlineStr">
        <is>
          <t>Cotas júnior / PL sem efeito de derivativos: mínimo inicial de 1,5%; meta de 2,5%.</t>
        </is>
      </c>
    </row>
    <row r="685" ht="43.5" customHeight="1">
      <c r="A685" s="142" t="n">
        <v>63546406000194</v>
      </c>
      <c r="B685" s="75" t="inlineStr">
        <is>
          <t>63.546.406/0001-94</t>
        </is>
      </c>
      <c r="C685" s="75" t="inlineStr">
        <is>
          <t>natureza_indice</t>
        </is>
      </c>
      <c r="D685" s="75" t="inlineStr">
        <is>
          <t>junior_pl</t>
        </is>
      </c>
      <c r="E685" s="75" t="inlineStr">
        <is>
          <t>junior_pl</t>
        </is>
      </c>
      <c r="F685" s="75" t="inlineStr">
        <is>
          <t>payload_documental</t>
        </is>
      </c>
      <c r="G685" s="75" t="inlineStr">
        <is>
          <t>1130481</t>
        </is>
      </c>
      <c r="H685" s="75" t="inlineStr">
        <is>
          <t>documento_curado</t>
        </is>
      </c>
      <c r="I685" s="75" t="inlineStr">
        <is>
          <t>2026-03-05</t>
        </is>
      </c>
      <c r="J685" s="75" t="inlineStr">
        <is>
          <t>142</t>
        </is>
      </c>
      <c r="K685" s="75" t="inlineStr">
        <is>
          <t>aceito_payload</t>
        </is>
      </c>
      <c r="L685" s="144" t="n">
        <v>1</v>
      </c>
      <c r="M685" s="75" t="inlineStr">
        <is>
          <t>data/industry_study/generated_revision/artifact_payload.json</t>
        </is>
      </c>
      <c r="N685" s="75" t="inlineStr">
        <is>
          <t>https://fnet.bmfbovespa.com.br/fnet/publico/downloadDocumento?id=1130481</t>
        </is>
      </c>
      <c r="O685" s="75" t="inlineStr">
        <is>
          <t>Cotas júnior / PL sem efeito de derivativos: mínimo inicial de 1,5%; meta de 2,5%.</t>
        </is>
      </c>
    </row>
    <row r="686" ht="43.5" customHeight="1">
      <c r="A686" s="142" t="n">
        <v>63546406000194</v>
      </c>
      <c r="B686" s="75" t="inlineStr">
        <is>
          <t>63.546.406/0001-94</t>
        </is>
      </c>
      <c r="C686" s="75" t="inlineStr">
        <is>
          <t>sacado_devedor</t>
        </is>
      </c>
      <c r="D686" s="75" t="inlineStr">
        <is>
          <t>os devedores das CCBs relativas aos Direitos Creditórios;</t>
        </is>
      </c>
      <c r="E686" s="75" t="inlineStr">
        <is>
          <t>N/D</t>
        </is>
      </c>
      <c r="F686" s="75" t="inlineStr">
        <is>
          <t>regulamento</t>
        </is>
      </c>
      <c r="G686" s="75" t="inlineStr">
        <is>
          <t>1130481</t>
        </is>
      </c>
      <c r="H686" s="75" t="inlineStr">
        <is>
          <t>regulamento</t>
        </is>
      </c>
      <c r="I686" s="75" t="inlineStr">
        <is>
          <t>2026-03-05</t>
        </is>
      </c>
      <c r="J686" s="75" t="inlineStr">
        <is>
          <t>154</t>
        </is>
      </c>
      <c r="K686" s="75" t="inlineStr">
        <is>
          <t>encontrado_explicito</t>
        </is>
      </c>
      <c r="L686" s="144" t="n">
        <v>0.95</v>
      </c>
      <c r="M686" s="75" t="inlineStr">
        <is>
          <t>data/raw/63546406000194/1130481_regulamento_regulamento_1130481_2026-03-05.pdf</t>
        </is>
      </c>
      <c r="N686" s="75" t="inlineStr">
        <is>
          <t>https://fnet.bmfbovespa.com.br/fnet/publico/downloadDocumento?id=1130481</t>
        </is>
      </c>
      <c r="O686" s="75" t="inlineStr">
        <is>
          <t>tegralização de Cotas referente à s Cotas Seniores, Cotas Mezanino A, Cotas Mezanino B e Cotas Mezanino C; (xxxii) "Devedores" significa os devedores das CCBs relativas aos Direitos Creditórios; (xxxiii) "Divergências" tem o significado que lhe é atribuído no item 5.4.5 deste Anexo Definições Específicas da Cl</t>
        </is>
      </c>
    </row>
    <row r="687" ht="43.5" customHeight="1">
      <c r="A687" s="142" t="n">
        <v>63622842000103</v>
      </c>
      <c r="B687" s="75" t="inlineStr">
        <is>
          <t>63.622.842/0001-03</t>
        </is>
      </c>
      <c r="C687" s="75" t="inlineStr">
        <is>
          <t>cedente</t>
        </is>
      </c>
      <c r="D687" s="75" t="inlineStr">
        <is>
          <t>Empresas grupo Dass</t>
        </is>
      </c>
      <c r="E687" s="75" t="inlineStr">
        <is>
          <t>N/D</t>
        </is>
      </c>
      <c r="F687" s="75" t="inlineStr">
        <is>
          <t>planilha_manual</t>
        </is>
      </c>
      <c r="G687" s="75" t="inlineStr">
        <is>
          <t>IMG_8705.JPG</t>
        </is>
      </c>
      <c r="H687" s="75" t="inlineStr">
        <is>
          <t>payload</t>
        </is>
      </c>
      <c r="I687" s="75" t="inlineStr">
        <is>
          <t>2025-12-01</t>
        </is>
      </c>
      <c r="J687" s="75" t="inlineStr">
        <is>
          <t>69</t>
        </is>
      </c>
      <c r="K687" s="75" t="inlineStr">
        <is>
          <t>aceito_payload</t>
        </is>
      </c>
      <c r="L687" s="144" t="n">
        <v>1</v>
      </c>
      <c r="M687" s="75" t="inlineStr">
        <is>
          <t>data/industry_study/generated_revision/artifact_payload.json</t>
        </is>
      </c>
      <c r="N687" s="75" t="inlineStr">
        <is>
          <t>N/D</t>
        </is>
      </c>
      <c r="O687" s="75" t="inlineStr">
        <is>
          <t>OBS da foto: FIDC 12431, risco Dass (não são recebíveis de clientes).</t>
        </is>
      </c>
    </row>
    <row r="688" ht="43.5" customHeight="1">
      <c r="A688" s="142" t="n">
        <v>63622842000103</v>
      </c>
      <c r="B688" s="75" t="inlineStr">
        <is>
          <t>63.622.842/0001-03</t>
        </is>
      </c>
      <c r="C688" s="75" t="inlineStr">
        <is>
          <t>minimo_estrutural_total</t>
        </is>
      </c>
      <c r="D688" s="75" t="inlineStr">
        <is>
          <t>50%</t>
        </is>
      </c>
      <c r="E688" s="75" t="inlineStr">
        <is>
          <t>suporte_total_pl</t>
        </is>
      </c>
      <c r="F688" s="75" t="inlineStr">
        <is>
          <t>payload_documental</t>
        </is>
      </c>
      <c r="G688" s="75" t="inlineStr">
        <is>
          <t>1051646</t>
        </is>
      </c>
      <c r="H688" s="75" t="inlineStr">
        <is>
          <t>documento_curado</t>
        </is>
      </c>
      <c r="I688" s="75" t="inlineStr">
        <is>
          <t>2025-12-01</t>
        </is>
      </c>
      <c r="J688" s="75" t="inlineStr">
        <is>
          <t>69</t>
        </is>
      </c>
      <c r="K688" s="75" t="inlineStr">
        <is>
          <t>aceito_payload</t>
        </is>
      </c>
      <c r="L688" s="144" t="n">
        <v>1</v>
      </c>
      <c r="M688" s="75" t="inlineStr">
        <is>
          <t>data/industry_study/generated_revision/artifact_payload.json</t>
        </is>
      </c>
      <c r="N688" s="75" t="inlineStr">
        <is>
          <t>https://fnet.bmfbovespa.com.br/fnet/publico/downloadDocumento?id=1051646</t>
        </is>
      </c>
      <c r="O688" s="75" t="inlineStr">
        <is>
          <t>Cotas subordinadas / PL, mínimo de 50,0%; estrutura com uma única classe residual.</t>
        </is>
      </c>
    </row>
    <row r="689" ht="43.5" customHeight="1">
      <c r="A689" s="142" t="n">
        <v>63622842000103</v>
      </c>
      <c r="B689" s="75" t="inlineStr">
        <is>
          <t>63.622.842/0001-03</t>
        </is>
      </c>
      <c r="C689" s="75" t="inlineStr">
        <is>
          <t>minimo_junior</t>
        </is>
      </c>
      <c r="D689" s="75" t="inlineStr">
        <is>
          <t>50%</t>
        </is>
      </c>
      <c r="E689" s="75" t="inlineStr">
        <is>
          <t>junior_pl</t>
        </is>
      </c>
      <c r="F689" s="75" t="inlineStr">
        <is>
          <t>payload_documental</t>
        </is>
      </c>
      <c r="G689" s="75" t="inlineStr">
        <is>
          <t>1051646</t>
        </is>
      </c>
      <c r="H689" s="75" t="inlineStr">
        <is>
          <t>documento_curado</t>
        </is>
      </c>
      <c r="I689" s="75" t="inlineStr">
        <is>
          <t>2025-12-01</t>
        </is>
      </c>
      <c r="J689" s="75" t="inlineStr">
        <is>
          <t>69</t>
        </is>
      </c>
      <c r="K689" s="75" t="inlineStr">
        <is>
          <t>aceito_payload</t>
        </is>
      </c>
      <c r="L689" s="144" t="n">
        <v>1</v>
      </c>
      <c r="M689" s="75" t="inlineStr">
        <is>
          <t>data/industry_study/generated_revision/artifact_payload.json</t>
        </is>
      </c>
      <c r="N689" s="75" t="inlineStr">
        <is>
          <t>https://fnet.bmfbovespa.com.br/fnet/publico/downloadDocumento?id=1051646</t>
        </is>
      </c>
      <c r="O689" s="75" t="inlineStr">
        <is>
          <t>Cotas subordinadas / PL, mínimo de 50,0%; estrutura com uma única classe residual.</t>
        </is>
      </c>
    </row>
    <row r="690" ht="43.5" customHeight="1">
      <c r="A690" s="142" t="n">
        <v>63622842000103</v>
      </c>
      <c r="B690" s="75" t="inlineStr">
        <is>
          <t>63.622.842/0001-03</t>
        </is>
      </c>
      <c r="C690" s="75" t="inlineStr">
        <is>
          <t>natureza_indice</t>
        </is>
      </c>
      <c r="D690" s="75" t="inlineStr">
        <is>
          <t>junior_pl</t>
        </is>
      </c>
      <c r="E690" s="75" t="inlineStr">
        <is>
          <t>junior_pl</t>
        </is>
      </c>
      <c r="F690" s="75" t="inlineStr">
        <is>
          <t>payload_documental</t>
        </is>
      </c>
      <c r="G690" s="75" t="inlineStr">
        <is>
          <t>1051646</t>
        </is>
      </c>
      <c r="H690" s="75" t="inlineStr">
        <is>
          <t>documento_curado</t>
        </is>
      </c>
      <c r="I690" s="75" t="inlineStr">
        <is>
          <t>2025-12-01</t>
        </is>
      </c>
      <c r="J690" s="75" t="inlineStr">
        <is>
          <t>69</t>
        </is>
      </c>
      <c r="K690" s="75" t="inlineStr">
        <is>
          <t>aceito_payload</t>
        </is>
      </c>
      <c r="L690" s="144" t="n">
        <v>1</v>
      </c>
      <c r="M690" s="75" t="inlineStr">
        <is>
          <t>data/industry_study/generated_revision/artifact_payload.json</t>
        </is>
      </c>
      <c r="N690" s="75" t="inlineStr">
        <is>
          <t>https://fnet.bmfbovespa.com.br/fnet/publico/downloadDocumento?id=1051646</t>
        </is>
      </c>
      <c r="O690" s="75" t="inlineStr">
        <is>
          <t>Cotas subordinadas / PL, mínimo de 50,0%; estrutura com uma única classe residual.</t>
        </is>
      </c>
    </row>
    <row r="691" ht="43.5" customHeight="1">
      <c r="A691" s="142" t="n">
        <v>63657457000193</v>
      </c>
      <c r="B691" s="75" t="inlineStr">
        <is>
          <t>63.657.457/0001-93</t>
        </is>
      </c>
      <c r="C691" s="75" t="inlineStr">
        <is>
          <t>cedente</t>
        </is>
      </c>
      <c r="D691" s="75" t="inlineStr">
        <is>
          <t>Originadores</t>
        </is>
      </c>
      <c r="E691" s="75" t="inlineStr">
        <is>
          <t>rótulo explícito de participante v2</t>
        </is>
      </c>
      <c r="F691" s="75" t="inlineStr">
        <is>
          <t>rating_report</t>
        </is>
      </c>
      <c r="G691" s="75" t="inlineStr">
        <is>
          <t>1118693</t>
        </is>
      </c>
      <c r="H691" s="75" t="inlineStr">
        <is>
          <t>Relatórios Relatório de Agência de Rating</t>
        </is>
      </c>
      <c r="I691" s="75" t="inlineStr">
        <is>
          <t>30/12/2025</t>
        </is>
      </c>
      <c r="J691" s="75" t="inlineStr">
        <is>
          <t>1</t>
        </is>
      </c>
      <c r="K691" s="75" t="inlineStr">
        <is>
          <t>encontrado_explicito</t>
        </is>
      </c>
      <c r="L691" s="144" t="n">
        <v>0.93</v>
      </c>
      <c r="M691" s="75" t="inlineStr">
        <is>
          <t>.cache/carteira_101_document_scan/63657457000193/1118693.json.gz</t>
        </is>
      </c>
      <c r="N691" s="75" t="inlineStr">
        <is>
          <t>https://fnet.bmfbovespa.com.br/fnet/publico/downloadDocumento?id=1118693</t>
        </is>
      </c>
      <c r="O691" s="75" t="inlineStr">
        <is>
          <t>I Logística S.A., LSI Administração e Serviços S.A. e Manserv Facilities Ltda. (Originadores / Cedentes), enquanto a cobrança extraordinária ficará sob responsabilidade da Manserv Inv</t>
        </is>
      </c>
    </row>
    <row r="692" ht="43.5" customHeight="1">
      <c r="A692" s="142" t="n">
        <v>63657457000193</v>
      </c>
      <c r="B692" s="75" t="inlineStr">
        <is>
          <t>63.657.457/0001-93</t>
        </is>
      </c>
      <c r="C692" s="75" t="inlineStr">
        <is>
          <t>minimo_junior</t>
        </is>
      </c>
      <c r="D692" s="75" t="inlineStr">
        <is>
          <t>25%</t>
        </is>
      </c>
      <c r="E692" s="75" t="inlineStr">
        <is>
          <t>junior_pl</t>
        </is>
      </c>
      <c r="F692" s="75" t="inlineStr">
        <is>
          <t>payload_documental</t>
        </is>
      </c>
      <c r="G692" s="75" t="inlineStr">
        <is>
          <t>1205333</t>
        </is>
      </c>
      <c r="H692" s="75" t="inlineStr">
        <is>
          <t>documento_curado</t>
        </is>
      </c>
      <c r="I692" s="75" t="inlineStr">
        <is>
          <t>2026-05-27</t>
        </is>
      </c>
      <c r="J692" s="75" t="inlineStr">
        <is>
          <t>28</t>
        </is>
      </c>
      <c r="K692" s="75" t="inlineStr">
        <is>
          <t>aceito_payload</t>
        </is>
      </c>
      <c r="L692" s="144" t="n">
        <v>1</v>
      </c>
      <c r="M692" s="75" t="inlineStr">
        <is>
          <t>data/industry_study/generated_revision/artifact_payload.json</t>
        </is>
      </c>
      <c r="N692" s="75" t="inlineStr">
        <is>
          <t>https://fnet.bmfbovespa.com.br/fnet/publico/downloadDocumento?id=1205333</t>
        </is>
      </c>
      <c r="O692" s="75" t="inlineStr">
        <is>
          <t>Cotas subordinadas júnior / PL, mínimo de 25,0%.</t>
        </is>
      </c>
    </row>
    <row r="693" ht="43.5" customHeight="1">
      <c r="A693" s="142" t="n">
        <v>63657457000193</v>
      </c>
      <c r="B693" s="75" t="inlineStr">
        <is>
          <t>63.657.457/0001-93</t>
        </is>
      </c>
      <c r="C693" s="75" t="inlineStr">
        <is>
          <t>natureza_indice</t>
        </is>
      </c>
      <c r="D693" s="75" t="inlineStr">
        <is>
          <t>junior_pl</t>
        </is>
      </c>
      <c r="E693" s="75" t="inlineStr">
        <is>
          <t>junior_pl</t>
        </is>
      </c>
      <c r="F693" s="75" t="inlineStr">
        <is>
          <t>payload_documental</t>
        </is>
      </c>
      <c r="G693" s="75" t="inlineStr">
        <is>
          <t>1205333</t>
        </is>
      </c>
      <c r="H693" s="75" t="inlineStr">
        <is>
          <t>documento_curado</t>
        </is>
      </c>
      <c r="I693" s="75" t="inlineStr">
        <is>
          <t>2026-05-27</t>
        </is>
      </c>
      <c r="J693" s="75" t="inlineStr">
        <is>
          <t>28</t>
        </is>
      </c>
      <c r="K693" s="75" t="inlineStr">
        <is>
          <t>aceito_payload</t>
        </is>
      </c>
      <c r="L693" s="144" t="n">
        <v>1</v>
      </c>
      <c r="M693" s="75" t="inlineStr">
        <is>
          <t>data/industry_study/generated_revision/artifact_payload.json</t>
        </is>
      </c>
      <c r="N693" s="75" t="inlineStr">
        <is>
          <t>https://fnet.bmfbovespa.com.br/fnet/publico/downloadDocumento?id=1205333</t>
        </is>
      </c>
      <c r="O693" s="75" t="inlineStr">
        <is>
          <t>Cotas subordinadas júnior / PL, mínimo de 25,0%.</t>
        </is>
      </c>
    </row>
    <row r="694" ht="43.5" customHeight="1">
      <c r="A694" s="142" t="n">
        <v>63657457000193</v>
      </c>
      <c r="B694" s="75" t="inlineStr">
        <is>
          <t>63.657.457/0001-93</t>
        </is>
      </c>
      <c r="C694" s="75" t="inlineStr">
        <is>
          <t>sacado_devedor</t>
        </is>
      </c>
      <c r="D694" s="75" t="inlineStr">
        <is>
          <t>não tenham relação com qualquer comercialização de tabaco ou qualquer espécie de fumo ou com distribuição de combustíveis (exceto, nesse último caso, se forem companhias abertas), conforme informado pela respectiva</t>
        </is>
      </c>
      <c r="E694" s="75" t="inlineStr">
        <is>
          <t>rótulo explícito de participante v2</t>
        </is>
      </c>
      <c r="F694" s="75" t="inlineStr">
        <is>
          <t>rating_report</t>
        </is>
      </c>
      <c r="G694" s="75" t="inlineStr">
        <is>
          <t>1118693</t>
        </is>
      </c>
      <c r="H694" s="75" t="inlineStr">
        <is>
          <t>Relatórios Relatório de Agência de Rating</t>
        </is>
      </c>
      <c r="I694" s="75" t="inlineStr">
        <is>
          <t>30/12/2025</t>
        </is>
      </c>
      <c r="J694" s="75" t="inlineStr">
        <is>
          <t>6</t>
        </is>
      </c>
      <c r="K694" s="75" t="inlineStr">
        <is>
          <t>encontrado_explicito</t>
        </is>
      </c>
      <c r="L694" s="144" t="n">
        <v>0.93</v>
      </c>
      <c r="M694" s="75" t="inlineStr">
        <is>
          <t>.cache/carteira_101_document_scan/63657457000193/1118693.json.gz</t>
        </is>
      </c>
      <c r="N694" s="75" t="inlineStr">
        <is>
          <t>https://fnet.bmfbovespa.com.br/fnet/publico/downloadDocumento?id=1118693</t>
        </is>
      </c>
      <c r="O694" s="75" t="inlineStr">
        <is>
          <t>odos os pagamentos devidos em virtude de Direitos Creditórios Cedidos , ix) os Devedores não tenham relação com qualquer comercialização de tabaco ou qualquer espécie de fumo ou com distribuição de combustíveis (exceto, nesse último caso, se forem companhias abertas), conforme informado pela respectiva Cedente à Gestora no Termo de Cessão , x) os Direitos Creditórios devidos por</t>
        </is>
      </c>
    </row>
    <row r="695" ht="43.5" customHeight="1">
      <c r="A695" s="142" t="n">
        <v>63679792000192</v>
      </c>
      <c r="B695" s="75" t="inlineStr">
        <is>
          <t>63.679.792/0001-92</t>
        </is>
      </c>
      <c r="C695" s="75" t="inlineStr">
        <is>
          <t>cedente</t>
        </is>
      </c>
      <c r="D695" s="75" t="inlineStr">
        <is>
          <t>a (i) Ultra-Som Equipamentos Médicos Ltda., sociedade limitada com sede na Cidade de Ribeirão Preto, Estado de São Paulo, na Rua Paschoal Bardaro, nº 2.005, 1º andar, Jardim Botânico, CEP 14.021-655, inscrita no CNPJ/MF sob o nº 07.149.505/0001-61, com filial na Cidade de Feira de Santana, Estado da Bahia, na Estrada Velha de Humildes, nº 9.984, Sala “Blue”, Humildes, CEP 44.135 -000, inscrita no CNPJ/MF sob o nº 07.149.505/0003 -23; (ii) Brazil 3 Business Participações Ltda. , sociedade limitad</t>
        </is>
      </c>
      <c r="E695" s="75" t="inlineStr">
        <is>
          <t>N/D</t>
        </is>
      </c>
      <c r="F695" s="75" t="inlineStr">
        <is>
          <t>regulamento</t>
        </is>
      </c>
      <c r="G695" s="75" t="inlineStr">
        <is>
          <t>1069087</t>
        </is>
      </c>
      <c r="H695" s="75" t="inlineStr">
        <is>
          <t>Regulamento</t>
        </is>
      </c>
      <c r="I695" s="75" t="inlineStr">
        <is>
          <t>19/12/2025</t>
        </is>
      </c>
      <c r="J695" s="75" t="inlineStr">
        <is>
          <t>88</t>
        </is>
      </c>
      <c r="K695" s="75" t="inlineStr">
        <is>
          <t>encontrado_explicito</t>
        </is>
      </c>
      <c r="L695" s="144" t="n">
        <v>0.95</v>
      </c>
      <c r="M695" s="75" t="inlineStr">
        <is>
          <t>.cache/carteira_101_document_scan/63679792000192/1069087.json.gz</t>
        </is>
      </c>
      <c r="N695" s="75" t="inlineStr">
        <is>
          <t>https://fnet.bmfbovespa.com.br/fnet/publico/downloadDocumento?id=1069087</t>
        </is>
      </c>
      <c r="O695" s="75" t="inlineStr">
        <is>
          <t>cio Spazio JK, conjunto 172, Vila Nova Conceição, CEP 04.543 -000, inscrita no CNPJ/MF sob o nº 27.547.607/0001-42. “Cedentes” significa a (i) Ultra-Som Equipamentos Médicos Ltda., sociedade limitada com sede na Cidade de Ribeirão Preto, Estado de São Paulo, na Rua Paschoal Bardaro, nº 2.005, 1º andar, Jardim Botânico, CEP 14.021-655, inscrita no CNPJ/MF sob o nº 07.149.505/0001-61, com filial na Cidade de Feira de Santana, Estado da Bahia, na Estrada Velha de Humildes, nº 9.984, Sala “Blue”, Humildes, CEP 44.135 -000, inscrita no CNPJ/MF sob o nº 07.149.505/0003 -23; (ii) Brazil 3 Business Participações Ltda. , sociedade limitada, co m sede na cidade de Barueri, Estado de São Paulo, na Avenida Piraíba, 355, sala 06, CEP 06.460-121, inscrita no CNPJ/MF sob o nº 10.515.403/0001- 27; e (iii) CRYO Service Ltda. , sociedade limitada, Cidade de Sumaré, Estado de São Paulo, na Avenida Rebouças, nº 4.520</t>
        </is>
      </c>
    </row>
    <row r="696" ht="43.5" customHeight="1">
      <c r="A696" s="142" t="n">
        <v>63679792000192</v>
      </c>
      <c r="B696" s="75" t="inlineStr">
        <is>
          <t>63.679.792/0001-92</t>
        </is>
      </c>
      <c r="C696" s="75" t="inlineStr">
        <is>
          <t>cedente</t>
        </is>
      </c>
      <c r="D696" s="75" t="inlineStr">
        <is>
          <t>a (i) Ultra-Som Equipamentos Médicos Ltda., sociedade limitada com sede na Cidade de Ribeirão Preto, Estado de São Paulo, na Rua Paschoal Bardaro, nº 2.005, 1º andar, Jardim Botânico, CEP 14.021-655, inscrita no CNPJ/MF sob o nº 07.149.505/0001-61, com filial na Cidade de Feira de Santana, Estado da Bahia, na Estrada Velha de Humildes, nº 9.984, Sala “Blue”, Humildes, CEP 44.135 -000, inscrita no CNPJ/MF sob o nº 07.149.505/0003 -23; (ii) Brazil 3 Business Participações Ltda. , sociedade limitad</t>
        </is>
      </c>
      <c r="E696" s="75" t="inlineStr">
        <is>
          <t>N/D</t>
        </is>
      </c>
      <c r="F696" s="75" t="inlineStr">
        <is>
          <t>regulamento</t>
        </is>
      </c>
      <c r="G696" s="75" t="inlineStr">
        <is>
          <t>1101558</t>
        </is>
      </c>
      <c r="H696" s="75" t="inlineStr">
        <is>
          <t>Regulamento</t>
        </is>
      </c>
      <c r="I696" s="75" t="inlineStr">
        <is>
          <t>26/01/2026</t>
        </is>
      </c>
      <c r="J696" s="75" t="inlineStr">
        <is>
          <t>85</t>
        </is>
      </c>
      <c r="K696" s="75" t="inlineStr">
        <is>
          <t>encontrado_explicito</t>
        </is>
      </c>
      <c r="L696" s="144" t="n">
        <v>0.95</v>
      </c>
      <c r="M696" s="75" t="inlineStr">
        <is>
          <t>.cache/carteira_101_document_scan/63679792000192/1101558.json.gz</t>
        </is>
      </c>
      <c r="N696" s="75" t="inlineStr">
        <is>
          <t>https://fnet.bmfbovespa.com.br/fnet/publico/downloadDocumento?id=1101558</t>
        </is>
      </c>
      <c r="O696" s="75" t="inlineStr">
        <is>
          <t>cio Spazio JK, conjunto 172, Vila Nova Conceição, CEP 04.543 -000, inscrita no CNPJ/MF sob o nº 27.547.607/0001-42. “Cedentes” significa a (i) Ultra-Som Equipamentos Médicos Ltda., sociedade limitada com sede na Cidade de Ribeirão Preto, Estado de São Paulo, na Rua Paschoal Bardaro, nº 2.005, 1º andar, Jardim Botânico, CEP 14.021-655, inscrita no CNPJ/MF sob o nº 07.149.505/0001-61, com filial na Cidade de Feira de Santana, Estado da Bahia, na Estrada Velha de Humildes, nº 9.984, Sala “Blue”, Humildes, CEP 44.135 -000, inscrita no CNPJ/MF sob o nº 07.149.505/0003 -23; (ii) Brazil 3 Business Participações Ltda. , sociedade limitada, com sede na cidade de Barueri, Estado de São Paulo, na Avenida Piraíba, 355, sala 06, CEP 06.460-121, inscrita no CNPJ/MF sob o nº 10.515.403/0001- 27; e (iii) CRYO Service Ltda. , sociedade limitada, Cidade de Sumaré, Estado de São Paulo, na Avenida Rebouças, nº 4.520</t>
        </is>
      </c>
    </row>
    <row r="697" ht="43.5" customHeight="1">
      <c r="A697" s="142" t="n">
        <v>63679792000192</v>
      </c>
      <c r="B697" s="75" t="inlineStr">
        <is>
          <t>63.679.792/0001-92</t>
        </is>
      </c>
      <c r="C697" s="75" t="inlineStr">
        <is>
          <t>cedente</t>
        </is>
      </c>
      <c r="D697" s="75" t="inlineStr">
        <is>
          <t>a (i) Ultra-Som Equipamentos Médicos Ltda., sociedade limitada com sede na Cidade de Ribeirão Preto, Estado de São Paulo, na Rua Paschoal Bardaro, nº 2.005, 1º andar, Jardim Botânico, CEP 14.021-655, inscrita no CNPJ/MF sob o nº 07.149.505/0001-61, com</t>
        </is>
      </c>
      <c r="E697" s="75" t="inlineStr">
        <is>
          <t>N/D</t>
        </is>
      </c>
      <c r="F697" s="75" t="inlineStr">
        <is>
          <t>assembleia</t>
        </is>
      </c>
      <c r="G697" s="75" t="inlineStr">
        <is>
          <t>1060919</t>
        </is>
      </c>
      <c r="H697" s="75" t="inlineStr">
        <is>
          <t>Atos de Deliberação do Administrador Instrumento Particular de Constituição/Encerramento do Fundo</t>
        </is>
      </c>
      <c r="I697" s="75" t="inlineStr">
        <is>
          <t>14/11/2025</t>
        </is>
      </c>
      <c r="J697" s="75" t="inlineStr">
        <is>
          <t>88</t>
        </is>
      </c>
      <c r="K697" s="75" t="inlineStr">
        <is>
          <t>encontrado_explicito</t>
        </is>
      </c>
      <c r="L697" s="144" t="n">
        <v>0.95</v>
      </c>
      <c r="M697" s="75" t="inlineStr">
        <is>
          <t>.cache/carteira_101_document_scan/63679792000192/1060919.json.gz</t>
        </is>
      </c>
      <c r="N697" s="75" t="inlineStr">
        <is>
          <t>https://fnet.bmfbovespa.com.br/fnet/publico/downloadDocumento?id=1060919</t>
        </is>
      </c>
      <c r="O697" s="75" t="inlineStr">
        <is>
          <t>cio Spazio JK, conjunto 172, Vila Nova Conceição, CEP 04.543 -000, inscrita no CNPJ/MF sob o nº 27.547.607/0001-42. “Cedentes” significa a (i) Ultra-Som Equipamentos Médicos Ltda., sociedade limitada com sede na Cidade de Ribeirão Preto, Estado de São Paulo, na Rua Paschoal Bardaro, nº 2.005, 1º andar, Jardim Botânico, CEP 14.021-655, inscrita no CNPJ/MF sob o nº 07.149.505/0001-61, com Página 84 de 106 CONFIDENCIAL CONFIDENCIAL filial na Cidade de Feira de Santana, Estado da Bahia, na Estrada Ve</t>
        </is>
      </c>
    </row>
    <row r="698" ht="43.5" customHeight="1">
      <c r="A698" s="142" t="n">
        <v>63679792000192</v>
      </c>
      <c r="B698" s="75" t="inlineStr">
        <is>
          <t>63.679.792/0001-92</t>
        </is>
      </c>
      <c r="C698" s="75" t="inlineStr">
        <is>
          <t>cedente</t>
        </is>
      </c>
      <c r="D698" s="75" t="inlineStr">
        <is>
          <t>Empresas do Conglomerado Blue Health</t>
        </is>
      </c>
      <c r="E698" s="75" t="inlineStr">
        <is>
          <t>N/D</t>
        </is>
      </c>
      <c r="F698" s="75" t="inlineStr">
        <is>
          <t>planilha_manual</t>
        </is>
      </c>
      <c r="G698" s="75" t="inlineStr">
        <is>
          <t>IMG_8705.JPG</t>
        </is>
      </c>
      <c r="H698" s="75" t="inlineStr">
        <is>
          <t>payload</t>
        </is>
      </c>
      <c r="I698" s="75" t="inlineStr">
        <is>
          <t>2026-01-26</t>
        </is>
      </c>
      <c r="J698" s="75" t="inlineStr">
        <is>
          <t>92</t>
        </is>
      </c>
      <c r="K698" s="75" t="inlineStr">
        <is>
          <t>aceito_payload</t>
        </is>
      </c>
      <c r="L698" s="144" t="n">
        <v>1</v>
      </c>
      <c r="M698" s="75" t="inlineStr">
        <is>
          <t>data/industry_study/generated_revision/artifact_payload.json</t>
        </is>
      </c>
      <c r="N698" s="75" t="inlineStr">
        <is>
          <t>N/D</t>
        </is>
      </c>
      <c r="O698" s="75" t="inlineStr">
        <is>
          <t>OBS continua fora da foto depois da descrição legível.</t>
        </is>
      </c>
    </row>
    <row r="699" ht="43.5" customHeight="1">
      <c r="A699" s="142" t="n">
        <v>63679792000192</v>
      </c>
      <c r="B699" s="75" t="inlineStr">
        <is>
          <t>63.679.792/0001-92</t>
        </is>
      </c>
      <c r="C699" s="75" t="inlineStr">
        <is>
          <t>minimo_junior</t>
        </is>
      </c>
      <c r="D699" s="75" t="inlineStr">
        <is>
          <t>20%</t>
        </is>
      </c>
      <c r="E699" s="75" t="inlineStr">
        <is>
          <t>junior_pl</t>
        </is>
      </c>
      <c r="F699" s="75" t="inlineStr">
        <is>
          <t>payload_documental</t>
        </is>
      </c>
      <c r="G699" s="75" t="inlineStr">
        <is>
          <t>1101558</t>
        </is>
      </c>
      <c r="H699" s="75" t="inlineStr">
        <is>
          <t>documento_curado</t>
        </is>
      </c>
      <c r="I699" s="75" t="inlineStr">
        <is>
          <t>2026-01-26</t>
        </is>
      </c>
      <c r="J699" s="75" t="inlineStr">
        <is>
          <t>92</t>
        </is>
      </c>
      <c r="K699" s="75" t="inlineStr">
        <is>
          <t>aceito_payload</t>
        </is>
      </c>
      <c r="L699" s="144" t="n">
        <v>1</v>
      </c>
      <c r="M699" s="75" t="inlineStr">
        <is>
          <t>data/industry_study/generated_revision/artifact_payload.json</t>
        </is>
      </c>
      <c r="N699" s="75" t="inlineStr">
        <is>
          <t>https://fnet.bmfbovespa.com.br/fnet/publico/downloadDocumento?id=1101558</t>
        </is>
      </c>
      <c r="O699" s="75" t="inlineStr">
        <is>
          <t>Cotas júnior / PL, mínimo de 20,0%; 21,0% para amortização por excesso de cobertura.</t>
        </is>
      </c>
    </row>
    <row r="700" ht="43.5" customHeight="1">
      <c r="A700" s="142" t="n">
        <v>63679792000192</v>
      </c>
      <c r="B700" s="75" t="inlineStr">
        <is>
          <t>63.679.792/0001-92</t>
        </is>
      </c>
      <c r="C700" s="75" t="inlineStr">
        <is>
          <t>natureza_indice</t>
        </is>
      </c>
      <c r="D700" s="75" t="inlineStr">
        <is>
          <t>junior_pl</t>
        </is>
      </c>
      <c r="E700" s="75" t="inlineStr">
        <is>
          <t>junior_pl</t>
        </is>
      </c>
      <c r="F700" s="75" t="inlineStr">
        <is>
          <t>payload_documental</t>
        </is>
      </c>
      <c r="G700" s="75" t="inlineStr">
        <is>
          <t>1101558</t>
        </is>
      </c>
      <c r="H700" s="75" t="inlineStr">
        <is>
          <t>documento_curado</t>
        </is>
      </c>
      <c r="I700" s="75" t="inlineStr">
        <is>
          <t>2026-01-26</t>
        </is>
      </c>
      <c r="J700" s="75" t="inlineStr">
        <is>
          <t>92</t>
        </is>
      </c>
      <c r="K700" s="75" t="inlineStr">
        <is>
          <t>aceito_payload</t>
        </is>
      </c>
      <c r="L700" s="144" t="n">
        <v>1</v>
      </c>
      <c r="M700" s="75" t="inlineStr">
        <is>
          <t>data/industry_study/generated_revision/artifact_payload.json</t>
        </is>
      </c>
      <c r="N700" s="75" t="inlineStr">
        <is>
          <t>https://fnet.bmfbovespa.com.br/fnet/publico/downloadDocumento?id=1101558</t>
        </is>
      </c>
      <c r="O700" s="75" t="inlineStr">
        <is>
          <t>Cotas júnior / PL, mínimo de 20,0%; 21,0% para amortização por excesso de cobertura.</t>
        </is>
      </c>
    </row>
    <row r="701" ht="43.5" customHeight="1">
      <c r="A701" s="142" t="n">
        <v>63679792000192</v>
      </c>
      <c r="B701" s="75" t="inlineStr">
        <is>
          <t>63.679.792/0001-92</t>
        </is>
      </c>
      <c r="C701" s="75" t="inlineStr">
        <is>
          <t>tipo_recebivel</t>
        </is>
      </c>
      <c r="D701" s="75" t="inlineStr">
        <is>
          <t>os direitos creditórios, de titularidade dos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representados pelos Documentos Comprobatórios e pelos Documentos Adicionais, qu e atendam aos Critérios de Elegibilidade e as Condições de Cessão previstos neste Regulamento</t>
        </is>
      </c>
      <c r="E701" s="75" t="inlineStr">
        <is>
          <t>N/D</t>
        </is>
      </c>
      <c r="F701" s="75" t="inlineStr">
        <is>
          <t>regulamento</t>
        </is>
      </c>
      <c r="G701" s="75" t="inlineStr">
        <is>
          <t>1069087</t>
        </is>
      </c>
      <c r="H701" s="75" t="inlineStr">
        <is>
          <t>Regulamento</t>
        </is>
      </c>
      <c r="I701" s="75" t="inlineStr">
        <is>
          <t>19/12/2025</t>
        </is>
      </c>
      <c r="J701" s="75" t="inlineStr">
        <is>
          <t>91</t>
        </is>
      </c>
      <c r="K701" s="75" t="inlineStr">
        <is>
          <t>encontrado_explicito</t>
        </is>
      </c>
      <c r="L701" s="144" t="n">
        <v>0.92</v>
      </c>
      <c r="M701" s="75" t="inlineStr">
        <is>
          <t>.cache/carteira_101_document_scan/63679792000192/1069087.json.gz</t>
        </is>
      </c>
      <c r="N701" s="75" t="inlineStr">
        <is>
          <t>https://fnet.bmfbovespa.com.br/fnet/publico/downloadDocumento?id=1069087</t>
        </is>
      </c>
      <c r="O701" s="75" t="inlineStr">
        <is>
          <t>vimentações. “Direito de Recompra” tem o significado atribuído no Artigo 3.15 deste Regulamento. “Direitos Creditórios” significam os direitos creditórios, de titularidade dos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representados pelos Documentos Comprobatórios e pelos Documentos Adicionais, qu e atendam aos Critérios de Elegibilidade e as Condições de Cessão previstos neste Regulamento. “Direitos Creditórios Inadimplidos” significam os Direitos Creditórios cedidos ao Fundo, vencid</t>
        </is>
      </c>
    </row>
    <row r="702" ht="43.5" customHeight="1">
      <c r="A702" s="142" t="n">
        <v>63679792000192</v>
      </c>
      <c r="B702" s="75" t="inlineStr">
        <is>
          <t>63.679.792/0001-92</t>
        </is>
      </c>
      <c r="C702" s="75" t="inlineStr">
        <is>
          <t>tipo_recebivel</t>
        </is>
      </c>
      <c r="D702" s="75" t="inlineStr">
        <is>
          <t>os direitos creditórios, de titularidade dos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representados pelos Documentos Comprobatórios e pelos Documentos Adicionais, qu e atendam aos Critérios de Elegibilidade e as Condições de Cessão previstos neste Regulamento</t>
        </is>
      </c>
      <c r="E702" s="75" t="inlineStr">
        <is>
          <t>N/D</t>
        </is>
      </c>
      <c r="F702" s="75" t="inlineStr">
        <is>
          <t>regulamento</t>
        </is>
      </c>
      <c r="G702" s="75" t="inlineStr">
        <is>
          <t>1101558</t>
        </is>
      </c>
      <c r="H702" s="75" t="inlineStr">
        <is>
          <t>Regulamento</t>
        </is>
      </c>
      <c r="I702" s="75" t="inlineStr">
        <is>
          <t>26/01/2026</t>
        </is>
      </c>
      <c r="J702" s="75" t="inlineStr">
        <is>
          <t>88</t>
        </is>
      </c>
      <c r="K702" s="75" t="inlineStr">
        <is>
          <t>encontrado_explicito</t>
        </is>
      </c>
      <c r="L702" s="144" t="n">
        <v>0.92</v>
      </c>
      <c r="M702" s="75" t="inlineStr">
        <is>
          <t>.cache/carteira_101_document_scan/63679792000192/1101558.json.gz</t>
        </is>
      </c>
      <c r="N702" s="75" t="inlineStr">
        <is>
          <t>https://fnet.bmfbovespa.com.br/fnet/publico/downloadDocumento?id=1101558</t>
        </is>
      </c>
      <c r="O702" s="75" t="inlineStr">
        <is>
          <t>vimentações. “Direito de Recompra” tem o significado atribuído no Artigo 3.15 deste Regulamento. “Direitos Creditórios” significam os direitos creditórios, de titularidade dos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representados pelos Documentos Comprobatórios e pelos Documentos Adicionais, qu e atendam aos Critérios de Elegibilidade e as Condições de Cessão previstos neste Regulamento. “Direitos Creditórios Inadimplidos” significam os Direitos Creditórios cedidos ao Fundo, vencid</t>
        </is>
      </c>
    </row>
    <row r="703" ht="43.5" customHeight="1">
      <c r="A703" s="142" t="n">
        <v>63679792000192</v>
      </c>
      <c r="B703" s="75" t="inlineStr">
        <is>
          <t>63.679.792/0001-92</t>
        </is>
      </c>
      <c r="C703" s="75" t="inlineStr">
        <is>
          <t>tipo_recebivel</t>
        </is>
      </c>
      <c r="D703" s="75" t="inlineStr">
        <is>
          <t>os direitos creditórios, de titularidade d 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 representados pelos Documentos Comprobatórios e pelos Documentos Adicionais, que atendam aos Critérios de Elegibilidade e as Condições de Cessão previstos neste Regulamento</t>
        </is>
      </c>
      <c r="E703" s="75" t="inlineStr">
        <is>
          <t>N/D</t>
        </is>
      </c>
      <c r="F703" s="75" t="inlineStr">
        <is>
          <t>assembleia</t>
        </is>
      </c>
      <c r="G703" s="75" t="inlineStr">
        <is>
          <t>1060919</t>
        </is>
      </c>
      <c r="H703" s="75" t="inlineStr">
        <is>
          <t>Atos de Deliberação do Administrador Instrumento Particular de Constituição/Encerramento do Fundo</t>
        </is>
      </c>
      <c r="I703" s="75" t="inlineStr">
        <is>
          <t>14/11/2025</t>
        </is>
      </c>
      <c r="J703" s="75" t="inlineStr">
        <is>
          <t>92</t>
        </is>
      </c>
      <c r="K703" s="75" t="inlineStr">
        <is>
          <t>encontrado_explicito</t>
        </is>
      </c>
      <c r="L703" s="144" t="n">
        <v>0.92</v>
      </c>
      <c r="M703" s="75" t="inlineStr">
        <is>
          <t>.cache/carteira_101_document_scan/63679792000192/1060919.json.gz</t>
        </is>
      </c>
      <c r="N703" s="75" t="inlineStr">
        <is>
          <t>https://fnet.bmfbovespa.com.br/fnet/publico/downloadDocumento?id=1060919</t>
        </is>
      </c>
      <c r="O703" s="75" t="inlineStr">
        <is>
          <t>vimentações. “Direito de Recompra” tem o significado atribuído no Artigo 3.15 deste Regulamento. “Direitos Creditórios” significam os direitos creditórios, de titularidade d os Cedentes, originados por meio da locação de Equipamentos aos Devedores, nos termos dos respectivos Contratos de Locação de Equipamentos, expressos em reais, juntamente com todos os direitos (inclusive direitos reais de garantia), privilégios, preferências, prerrogativas, seguros e ações a estes relacionadas, bem como reajustes monetários, juros, multa contratual e encargos , representados pelos Documentos Comprobatórios e pelos Documentos Adicionais, que atendam aos Critérios de Elegibilidade e as Condições de Cessão previstos neste Regulamento. “Direitos Creditórios Inadimplidos” significam os Direitos Creditórios cedidos ao Fundo, vencid</t>
        </is>
      </c>
    </row>
    <row r="704" ht="43.5" customHeight="1">
      <c r="A704" s="142" t="n">
        <v>63679792000192</v>
      </c>
      <c r="B704" s="75" t="inlineStr">
        <is>
          <t>63.679.792/0001-92</t>
        </is>
      </c>
      <c r="C704" s="75" t="inlineStr">
        <is>
          <t>tipo_recebivel</t>
        </is>
      </c>
      <c r="D704" s="75" t="inlineStr">
        <is>
          <t>recebíveis de contrato de locação de equipamentos hospitalares</t>
        </is>
      </c>
      <c r="E704" s="75" t="inlineStr">
        <is>
          <t>N/D</t>
        </is>
      </c>
      <c r="F704" s="75" t="inlineStr">
        <is>
          <t>planilha_manual</t>
        </is>
      </c>
      <c r="G704" s="75" t="inlineStr">
        <is>
          <t>IMG_8705.JPG</t>
        </is>
      </c>
      <c r="H704" s="75" t="inlineStr">
        <is>
          <t>payload</t>
        </is>
      </c>
      <c r="I704" s="75" t="inlineStr">
        <is>
          <t>2026-01-26</t>
        </is>
      </c>
      <c r="J704" s="75" t="inlineStr">
        <is>
          <t>92</t>
        </is>
      </c>
      <c r="K704" s="75" t="inlineStr">
        <is>
          <t>aceito_payload</t>
        </is>
      </c>
      <c r="L704" s="144" t="n">
        <v>1</v>
      </c>
      <c r="M704" s="75" t="inlineStr">
        <is>
          <t>data/industry_study/generated_revision/artifact_payload.json</t>
        </is>
      </c>
      <c r="N704" s="75" t="inlineStr">
        <is>
          <t>N/D</t>
        </is>
      </c>
      <c r="O704" s="75" t="inlineStr">
        <is>
          <t>OBS continua fora da foto depois da descrição legível.</t>
        </is>
      </c>
    </row>
    <row r="705" ht="43.5" customHeight="1">
      <c r="A705" s="142" t="n">
        <v>65347578000164</v>
      </c>
      <c r="B705" s="75" t="inlineStr">
        <is>
          <t>65.347.578/0001-64</t>
        </is>
      </c>
      <c r="C705" s="75" t="inlineStr">
        <is>
          <t>minimo_junior</t>
        </is>
      </c>
      <c r="D705" s="75" t="inlineStr">
        <is>
          <t>2.5%</t>
        </is>
      </c>
      <c r="E705" s="75" t="inlineStr">
        <is>
          <t>junior_pl</t>
        </is>
      </c>
      <c r="F705" s="75" t="inlineStr">
        <is>
          <t>payload_documental</t>
        </is>
      </c>
      <c r="G705" s="75" t="inlineStr">
        <is>
          <t>1211821</t>
        </is>
      </c>
      <c r="H705" s="75" t="inlineStr">
        <is>
          <t>documento_curado</t>
        </is>
      </c>
      <c r="I705" s="75" t="inlineStr">
        <is>
          <t>2026-05-25</t>
        </is>
      </c>
      <c r="J705" s="75" t="inlineStr">
        <is>
          <t>186</t>
        </is>
      </c>
      <c r="K705" s="75" t="inlineStr">
        <is>
          <t>aceito_payload</t>
        </is>
      </c>
      <c r="L705" s="144" t="n">
        <v>1</v>
      </c>
      <c r="M705" s="75" t="inlineStr">
        <is>
          <t>data/industry_study/generated_revision/artifact_payload.json</t>
        </is>
      </c>
      <c r="N705" s="75" t="inlineStr">
        <is>
          <t>https://fnet.bmfbovespa.com.br/fnet/publico/downloadDocumento?id=1211821</t>
        </is>
      </c>
      <c r="O705" s="75" t="inlineStr">
        <is>
          <t>Cotas júnior / PL: mínimo inicial de 2,5%; 4,0% após o índice atingir esse patamar.</t>
        </is>
      </c>
    </row>
    <row r="706" ht="43.5" customHeight="1">
      <c r="A706" s="142" t="n">
        <v>65347578000164</v>
      </c>
      <c r="B706" s="75" t="inlineStr">
        <is>
          <t>65.347.578/0001-64</t>
        </is>
      </c>
      <c r="C706" s="75" t="inlineStr">
        <is>
          <t>natureza_indice</t>
        </is>
      </c>
      <c r="D706" s="75" t="inlineStr">
        <is>
          <t>junior_pl</t>
        </is>
      </c>
      <c r="E706" s="75" t="inlineStr">
        <is>
          <t>junior_pl</t>
        </is>
      </c>
      <c r="F706" s="75" t="inlineStr">
        <is>
          <t>payload_documental</t>
        </is>
      </c>
      <c r="G706" s="75" t="inlineStr">
        <is>
          <t>1211821</t>
        </is>
      </c>
      <c r="H706" s="75" t="inlineStr">
        <is>
          <t>documento_curado</t>
        </is>
      </c>
      <c r="I706" s="75" t="inlineStr">
        <is>
          <t>2026-05-25</t>
        </is>
      </c>
      <c r="J706" s="75" t="inlineStr">
        <is>
          <t>186</t>
        </is>
      </c>
      <c r="K706" s="75" t="inlineStr">
        <is>
          <t>aceito_payload</t>
        </is>
      </c>
      <c r="L706" s="144" t="n">
        <v>1</v>
      </c>
      <c r="M706" s="75" t="inlineStr">
        <is>
          <t>data/industry_study/generated_revision/artifact_payload.json</t>
        </is>
      </c>
      <c r="N706" s="75" t="inlineStr">
        <is>
          <t>https://fnet.bmfbovespa.com.br/fnet/publico/downloadDocumento?id=1211821</t>
        </is>
      </c>
      <c r="O706" s="75" t="inlineStr">
        <is>
          <t>Cotas júnior / PL: mínimo inicial de 2,5%; 4,0% após o índice atingir esse patamar.</t>
        </is>
      </c>
    </row>
    <row r="707" ht="43.5" customHeight="1">
      <c r="A707" s="142" t="n">
        <v>65836995000170</v>
      </c>
      <c r="B707" s="75" t="inlineStr">
        <is>
          <t>65.836.995/0001-70</t>
        </is>
      </c>
      <c r="C707" s="75" t="inlineStr">
        <is>
          <t>cedente</t>
        </is>
      </c>
      <c r="D707" s="75" t="inlineStr">
        <is>
          <t>Cantu Store</t>
        </is>
      </c>
      <c r="E707" s="75" t="inlineStr">
        <is>
          <t>N/D</t>
        </is>
      </c>
      <c r="F707" s="75" t="inlineStr">
        <is>
          <t>planilha_manual</t>
        </is>
      </c>
      <c r="G707" s="75" t="inlineStr">
        <is>
          <t>IMG_8707.jpg</t>
        </is>
      </c>
      <c r="H707" s="75" t="inlineStr">
        <is>
          <t>payload</t>
        </is>
      </c>
      <c r="I707" s="75" t="inlineStr">
        <is>
          <t>2026-05-11</t>
        </is>
      </c>
      <c r="J707" s="75" t="inlineStr">
        <is>
          <t>49–50</t>
        </is>
      </c>
      <c r="K707" s="75" t="inlineStr">
        <is>
          <t>aceito_payload</t>
        </is>
      </c>
      <c r="L707" s="144" t="n">
        <v>1</v>
      </c>
      <c r="M707" s="75" t="inlineStr">
        <is>
          <t>data/industry_study/generated_revision/artifact_payload.json</t>
        </is>
      </c>
      <c r="N707" s="75" t="inlineStr">
        <is>
          <t>N/D</t>
        </is>
      </c>
      <c r="O707" s="75" t="inlineStr">
        <is>
          <t>N/D</t>
        </is>
      </c>
    </row>
    <row r="708" ht="43.5" customHeight="1">
      <c r="A708" s="142" t="n">
        <v>65836995000170</v>
      </c>
      <c r="B708" s="75" t="inlineStr">
        <is>
          <t>65.836.995/0001-70</t>
        </is>
      </c>
      <c r="C708" s="75" t="inlineStr">
        <is>
          <t>minimo_estrutural_total</t>
        </is>
      </c>
      <c r="D708" s="75" t="inlineStr">
        <is>
          <t>20%</t>
        </is>
      </c>
      <c r="E708" s="75" t="inlineStr">
        <is>
          <t>suporte_total_pl</t>
        </is>
      </c>
      <c r="F708" s="75" t="inlineStr">
        <is>
          <t>payload_documental</t>
        </is>
      </c>
      <c r="G708" s="75" t="inlineStr">
        <is>
          <t>1184847</t>
        </is>
      </c>
      <c r="H708" s="75" t="inlineStr">
        <is>
          <t>documento_curado</t>
        </is>
      </c>
      <c r="I708" s="75" t="inlineStr">
        <is>
          <t>2026-05-11</t>
        </is>
      </c>
      <c r="J708" s="75" t="inlineStr">
        <is>
          <t>49–50</t>
        </is>
      </c>
      <c r="K708" s="75" t="inlineStr">
        <is>
          <t>aceito_payload</t>
        </is>
      </c>
      <c r="L708" s="144" t="n">
        <v>1</v>
      </c>
      <c r="M708" s="75" t="inlineStr">
        <is>
          <t>data/industry_study/generated_revision/artifact_payload.json</t>
        </is>
      </c>
      <c r="N708" s="75" t="inlineStr">
        <is>
          <t>https://fnet.bmfbovespa.com.br/fnet/publico/downloadDocumento?id=1184847</t>
        </is>
      </c>
      <c r="O708" s="75" t="inlineStr">
        <is>
          <t>N/D</t>
        </is>
      </c>
    </row>
    <row r="709" ht="43.5" customHeight="1">
      <c r="A709" s="142" t="n">
        <v>65836995000170</v>
      </c>
      <c r="B709" s="75" t="inlineStr">
        <is>
          <t>65.836.995/0001-70</t>
        </is>
      </c>
      <c r="C709" s="75" t="inlineStr">
        <is>
          <t>natureza_indice</t>
        </is>
      </c>
      <c r="D709" s="75" t="inlineStr">
        <is>
          <t>suporte_total_pl</t>
        </is>
      </c>
      <c r="E709" s="75" t="inlineStr">
        <is>
          <t>suporte_total_pl</t>
        </is>
      </c>
      <c r="F709" s="75" t="inlineStr">
        <is>
          <t>payload_documental</t>
        </is>
      </c>
      <c r="G709" s="75" t="inlineStr">
        <is>
          <t>1184847</t>
        </is>
      </c>
      <c r="H709" s="75" t="inlineStr">
        <is>
          <t>documento_curado</t>
        </is>
      </c>
      <c r="I709" s="75" t="inlineStr">
        <is>
          <t>2026-05-11</t>
        </is>
      </c>
      <c r="J709" s="75" t="inlineStr">
        <is>
          <t>49–50</t>
        </is>
      </c>
      <c r="K709" s="75" t="inlineStr">
        <is>
          <t>aceito_payload</t>
        </is>
      </c>
      <c r="L709" s="144" t="n">
        <v>1</v>
      </c>
      <c r="M709" s="75" t="inlineStr">
        <is>
          <t>data/industry_study/generated_revision/artifact_payload.json</t>
        </is>
      </c>
      <c r="N709" s="75" t="inlineStr">
        <is>
          <t>https://fnet.bmfbovespa.com.br/fnet/publico/downloadDocumento?id=1184847</t>
        </is>
      </c>
      <c r="O709" s="75" t="inlineStr">
        <is>
          <t>N/D</t>
        </is>
      </c>
    </row>
    <row r="710" ht="43.5" customHeight="1">
      <c r="A710" s="142" t="n">
        <v>65836995000170</v>
      </c>
      <c r="B710" s="75" t="inlineStr">
        <is>
          <t>65.836.995/0001-70</t>
        </is>
      </c>
      <c r="C710" s="75" t="inlineStr">
        <is>
          <t>sacado_devedor</t>
        </is>
      </c>
      <c r="D710" s="75" t="inlineStr">
        <is>
          <t>os devedores (sacados), pessoas físicas ou jurídicas, que tenham estabelecido relação de consumo dos Direitos Creditórios com as Cedentes</t>
        </is>
      </c>
      <c r="E710" s="75" t="inlineStr">
        <is>
          <t>N/D</t>
        </is>
      </c>
      <c r="F710" s="75" t="inlineStr">
        <is>
          <t>regulamento</t>
        </is>
      </c>
      <c r="G710" s="75" t="inlineStr">
        <is>
          <t>1184844</t>
        </is>
      </c>
      <c r="H710" s="75" t="inlineStr">
        <is>
          <t>Atos de Deliberação do Administrador Instrumento Particular de Alteração do Regulamento</t>
        </is>
      </c>
      <c r="I710" s="75" t="inlineStr">
        <is>
          <t>07/05/2026</t>
        </is>
      </c>
      <c r="J710" s="75" t="inlineStr">
        <is>
          <t>18</t>
        </is>
      </c>
      <c r="K710" s="75" t="inlineStr">
        <is>
          <t>encontrado_explicito</t>
        </is>
      </c>
      <c r="L710" s="144" t="n">
        <v>0.95</v>
      </c>
      <c r="M710" s="75" t="inlineStr">
        <is>
          <t>.cache/carteira_101_document_scan/65836995000170/1184844.json.gz</t>
        </is>
      </c>
      <c r="N710" s="75" t="inlineStr">
        <is>
          <t>https://fnet.bmfbovespa.com.br/fnet/publico/downloadDocumento?id=1184844</t>
        </is>
      </c>
      <c r="O710" s="75" t="inlineStr">
        <is>
          <t>os. “Data de Subscrição Inicial” Significa a data da primeira subscrição e integralização da respectiva Cota. “Devedores” Significam os devedores (sacados), pessoas físicas ou jurídicas, que tenham estabelecido relação de consumo dos Direitos Creditórios com as Cedentes. “Dia Útil” Significa qualquer dia exceto (i) sábados, domingos ou feriados nacionais; e (ii) aqueles sem expedien</t>
        </is>
      </c>
    </row>
    <row r="711" ht="43.5" customHeight="1">
      <c r="A711" s="142" t="n">
        <v>65836995000170</v>
      </c>
      <c r="B711" s="75" t="inlineStr">
        <is>
          <t>65.836.995/0001-70</t>
        </is>
      </c>
      <c r="C711" s="75" t="inlineStr">
        <is>
          <t>tipo_recebivel</t>
        </is>
      </c>
      <c r="D711" s="75" t="inlineStr">
        <is>
          <t>os direitos creditórios performados (cujos respectivos Produtos foram entregues ou retirados, ou com pedidos emitidos) vincendos, existentes, livres e desimpedidos de quaisquer ônus, gravames ou restrições, de titularidade das Cedentes, originados no âmbito de Operações a Prazo envolvendo Produtos celebradas entre as Cedentes e seus respectivos Devedores, no mercado local, expressos em moeda corrente nacional, cujas respectivas transações sejam sempre representadas por Documentos Comprobatórios</t>
        </is>
      </c>
      <c r="E711" s="75" t="inlineStr">
        <is>
          <t>N/D</t>
        </is>
      </c>
      <c r="F711" s="75" t="inlineStr">
        <is>
          <t>regulamento</t>
        </is>
      </c>
      <c r="G711" s="75" t="inlineStr">
        <is>
          <t>1184844</t>
        </is>
      </c>
      <c r="H711" s="75" t="inlineStr">
        <is>
          <t>Atos de Deliberação do Administrador Instrumento Particular de Alteração do Regulamento</t>
        </is>
      </c>
      <c r="I711" s="75" t="inlineStr">
        <is>
          <t>07/05/2026</t>
        </is>
      </c>
      <c r="J711" s="75" t="inlineStr">
        <is>
          <t>19</t>
        </is>
      </c>
      <c r="K711" s="75" t="inlineStr">
        <is>
          <t>encontrado_explicito</t>
        </is>
      </c>
      <c r="L711" s="144" t="n">
        <v>0.92</v>
      </c>
      <c r="M711" s="75" t="inlineStr">
        <is>
          <t>.cache/carteira_101_document_scan/65836995000170/1184844.json.gz</t>
        </is>
      </c>
      <c r="N711" s="75" t="inlineStr">
        <is>
          <t>https://fnet.bmfbovespa.com.br/fnet/publico/downloadDocumento?id=1184844</t>
        </is>
      </c>
      <c r="O711" s="75" t="inlineStr">
        <is>
          <t>omingos ou feriados nacionais; e (ii) aqueles sem expediente na B3. Corporativo | Interno “Direitos Creditórios” Significam os direitos creditórios performados (cujos respectivos Produtos foram entregues ou retirados, ou com pedidos emitidos) vincendos, existentes, livres e desimpedidos de quaisquer ônus, gravames ou restrições, de titularidade das Cedentes, originados no âmbito de Operações a Prazo envolvendo Produtos celebradas entre as Cedentes e seus respectivos Devedores, no mercado local, expressos em moeda corrente nacional, cujas respectivas transações sejam sempre representadas por Documentos Comprobatórios. “Direitos Creditórios Adquiridos” Significam os Direitos Creditórios adquiridos pelo Fundo</t>
        </is>
      </c>
    </row>
    <row r="712" ht="43.5" customHeight="1">
      <c r="A712" s="142" t="n">
        <v>65873297000145</v>
      </c>
      <c r="B712" s="75" t="inlineStr">
        <is>
          <t>65.873.297/0001-45</t>
        </is>
      </c>
      <c r="C712" s="75" t="inlineStr">
        <is>
          <t>cedente</t>
        </is>
      </c>
      <c r="D712" s="75" t="inlineStr">
        <is>
          <t>os Fornecedores que cedem Direitos Creditórios à Classe</t>
        </is>
      </c>
      <c r="E712" s="75" t="inlineStr">
        <is>
          <t>N/D</t>
        </is>
      </c>
      <c r="F712" s="75" t="inlineStr">
        <is>
          <t>regulamento</t>
        </is>
      </c>
      <c r="G712" s="75" t="inlineStr">
        <is>
          <t>1226438</t>
        </is>
      </c>
      <c r="H712" s="75" t="inlineStr">
        <is>
          <t>Regulamento</t>
        </is>
      </c>
      <c r="I712" s="75" t="inlineStr">
        <is>
          <t>20/05/2026</t>
        </is>
      </c>
      <c r="J712" s="75" t="inlineStr">
        <is>
          <t>4</t>
        </is>
      </c>
      <c r="K712" s="75" t="inlineStr">
        <is>
          <t>encontrado_explicito</t>
        </is>
      </c>
      <c r="L712" s="144" t="n">
        <v>0.95</v>
      </c>
      <c r="M712" s="75" t="inlineStr">
        <is>
          <t>.cache/carteira_101_document_scan/65873297000145/1226438.json.gz</t>
        </is>
      </c>
      <c r="N712" s="75" t="inlineStr">
        <is>
          <t>https://fnet.bmfbovespa.com.br/fnet/publico/downloadDocumento?id=1226438</t>
        </is>
      </c>
      <c r="O712" s="75" t="inlineStr">
        <is>
          <t>do Brasil. “Benchmark” Significa a meta de valorização de cada Subclasse, conforme definida no respectivo Apêndice. “Cedentes” Significam os Fornecedores que cedem Direitos Creditórios à Classe. “Chaves de Acesso Eletrônico” Significa o conjunto de 44 (quarenta e quatro) dígitos que identificam univocamente</t>
        </is>
      </c>
    </row>
    <row r="713" ht="43.5" customHeight="1">
      <c r="A713" s="142" t="n">
        <v>65873297000145</v>
      </c>
      <c r="B713" s="75" t="inlineStr">
        <is>
          <t>65.873.297/0001-45</t>
        </is>
      </c>
      <c r="C713" s="75" t="inlineStr">
        <is>
          <t>minimo_estrutural_total</t>
        </is>
      </c>
      <c r="D713" s="75" t="inlineStr">
        <is>
          <t>12%</t>
        </is>
      </c>
      <c r="E713" s="75" t="inlineStr">
        <is>
          <t>suporte_total_pl</t>
        </is>
      </c>
      <c r="F713" s="75" t="inlineStr">
        <is>
          <t>payload_documental</t>
        </is>
      </c>
      <c r="G713" s="75" t="inlineStr">
        <is>
          <t>1226438</t>
        </is>
      </c>
      <c r="H713" s="75" t="inlineStr">
        <is>
          <t>documento_curado</t>
        </is>
      </c>
      <c r="I713" s="75" t="inlineStr">
        <is>
          <t>2026-05-20</t>
        </is>
      </c>
      <c r="J713" s="75" t="inlineStr">
        <is>
          <t>34</t>
        </is>
      </c>
      <c r="K713" s="75" t="inlineStr">
        <is>
          <t>aceito_payload</t>
        </is>
      </c>
      <c r="L713" s="144" t="n">
        <v>1</v>
      </c>
      <c r="M713" s="75" t="inlineStr">
        <is>
          <t>data/industry_study/generated_revision/artifact_payload.json</t>
        </is>
      </c>
      <c r="N713" s="75" t="inlineStr">
        <is>
          <t>https://fnet.bmfbovespa.com.br/fnet/publico/downloadDocumento?id=1226438</t>
        </is>
      </c>
      <c r="O713" s="75" t="inlineStr">
        <is>
          <t>Cotas subordinadas / PL, mínimo de 12,0%; estrutura com uma única classe residual.</t>
        </is>
      </c>
    </row>
    <row r="714" ht="43.5" customHeight="1">
      <c r="A714" s="142" t="n">
        <v>65873297000145</v>
      </c>
      <c r="B714" s="75" t="inlineStr">
        <is>
          <t>65.873.297/0001-45</t>
        </is>
      </c>
      <c r="C714" s="75" t="inlineStr">
        <is>
          <t>minimo_junior</t>
        </is>
      </c>
      <c r="D714" s="75" t="inlineStr">
        <is>
          <t>12%</t>
        </is>
      </c>
      <c r="E714" s="75" t="inlineStr">
        <is>
          <t>junior_pl</t>
        </is>
      </c>
      <c r="F714" s="75" t="inlineStr">
        <is>
          <t>payload_documental</t>
        </is>
      </c>
      <c r="G714" s="75" t="inlineStr">
        <is>
          <t>1226438</t>
        </is>
      </c>
      <c r="H714" s="75" t="inlineStr">
        <is>
          <t>documento_curado</t>
        </is>
      </c>
      <c r="I714" s="75" t="inlineStr">
        <is>
          <t>2026-05-20</t>
        </is>
      </c>
      <c r="J714" s="75" t="inlineStr">
        <is>
          <t>34</t>
        </is>
      </c>
      <c r="K714" s="75" t="inlineStr">
        <is>
          <t>aceito_payload</t>
        </is>
      </c>
      <c r="L714" s="144" t="n">
        <v>1</v>
      </c>
      <c r="M714" s="75" t="inlineStr">
        <is>
          <t>data/industry_study/generated_revision/artifact_payload.json</t>
        </is>
      </c>
      <c r="N714" s="75" t="inlineStr">
        <is>
          <t>https://fnet.bmfbovespa.com.br/fnet/publico/downloadDocumento?id=1226438</t>
        </is>
      </c>
      <c r="O714" s="75" t="inlineStr">
        <is>
          <t>Cotas subordinadas / PL, mínimo de 12,0%; estrutura com uma única classe residual.</t>
        </is>
      </c>
    </row>
    <row r="715" ht="43.5" customHeight="1">
      <c r="A715" s="142" t="n">
        <v>65873297000145</v>
      </c>
      <c r="B715" s="75" t="inlineStr">
        <is>
          <t>65.873.297/0001-45</t>
        </is>
      </c>
      <c r="C715" s="75" t="inlineStr">
        <is>
          <t>natureza_indice</t>
        </is>
      </c>
      <c r="D715" s="75" t="inlineStr">
        <is>
          <t>junior_pl</t>
        </is>
      </c>
      <c r="E715" s="75" t="inlineStr">
        <is>
          <t>junior_pl</t>
        </is>
      </c>
      <c r="F715" s="75" t="inlineStr">
        <is>
          <t>payload_documental</t>
        </is>
      </c>
      <c r="G715" s="75" t="inlineStr">
        <is>
          <t>1226438</t>
        </is>
      </c>
      <c r="H715" s="75" t="inlineStr">
        <is>
          <t>documento_curado</t>
        </is>
      </c>
      <c r="I715" s="75" t="inlineStr">
        <is>
          <t>2026-05-20</t>
        </is>
      </c>
      <c r="J715" s="75" t="inlineStr">
        <is>
          <t>34</t>
        </is>
      </c>
      <c r="K715" s="75" t="inlineStr">
        <is>
          <t>aceito_payload</t>
        </is>
      </c>
      <c r="L715" s="144" t="n">
        <v>1</v>
      </c>
      <c r="M715" s="75" t="inlineStr">
        <is>
          <t>data/industry_study/generated_revision/artifact_payload.json</t>
        </is>
      </c>
      <c r="N715" s="75" t="inlineStr">
        <is>
          <t>https://fnet.bmfbovespa.com.br/fnet/publico/downloadDocumento?id=1226438</t>
        </is>
      </c>
      <c r="O715" s="75" t="inlineStr">
        <is>
          <t>Cotas subordinadas / PL, mínimo de 12,0%; estrutura com uma única classe residual.</t>
        </is>
      </c>
    </row>
    <row r="716" ht="43.5" customHeight="1">
      <c r="A716" s="142" t="n">
        <v>65873297000145</v>
      </c>
      <c r="B716" s="75" t="inlineStr">
        <is>
          <t>65.873.297/0001-45</t>
        </is>
      </c>
      <c r="C716" s="75" t="inlineStr">
        <is>
          <t>tipo_recebivel</t>
        </is>
      </c>
      <c r="D716" s="75" t="inlineStr">
        <is>
          <t>os direitos creditórios performados, decorrentes das Notas Fiscais, devidos pelas Devedoras, representativos de operações comerciais de venda de produtos ou prestação de serviços pelos Fornecedores às Devedoras, representados pelos Documentos Comprobatórios</t>
        </is>
      </c>
      <c r="E716" s="75" t="inlineStr">
        <is>
          <t>N/D</t>
        </is>
      </c>
      <c r="F716" s="75" t="inlineStr">
        <is>
          <t>regulamento</t>
        </is>
      </c>
      <c r="G716" s="75" t="inlineStr">
        <is>
          <t>1226438</t>
        </is>
      </c>
      <c r="H716" s="75" t="inlineStr">
        <is>
          <t>Regulamento</t>
        </is>
      </c>
      <c r="I716" s="75" t="inlineStr">
        <is>
          <t>20/05/2026</t>
        </is>
      </c>
      <c r="J716" s="75" t="inlineStr">
        <is>
          <t>5</t>
        </is>
      </c>
      <c r="K716" s="75" t="inlineStr">
        <is>
          <t>encontrado_explicito</t>
        </is>
      </c>
      <c r="L716" s="144" t="n">
        <v>0.92</v>
      </c>
      <c r="M716" s="75" t="inlineStr">
        <is>
          <t>.cache/carteira_101_document_scan/65873297000145/1226438.json.gz</t>
        </is>
      </c>
      <c r="N716" s="75" t="inlineStr">
        <is>
          <t>https://fnet.bmfbovespa.com.br/fnet/publico/downloadDocumento?id=1226438</t>
        </is>
      </c>
      <c r="O716" s="75" t="inlineStr">
        <is>
          <t>reditórios definidos no artigo 2º, XIII c/c §1º, I, do Anexo Normativo II da Resolução CVM 175. “Direitos Creditórios” Significam os direitos creditórios performados, decorrentes das Notas Fiscais, devidos pelas Devedoras, representativos de operações comerciais de venda de produtos ou prestação de serviços pelos Fornecedores às Devedoras, representados pelos Documentos Comprobatórios. “Dívida Financeira” Significa, com relação a uma Pessoa, em bases consolidadas, qualquer valor d</t>
        </is>
      </c>
    </row>
    <row r="717" ht="43.5" customHeight="1">
      <c r="A717" s="142" t="n">
        <v>65976848000104</v>
      </c>
      <c r="B717" s="75" t="inlineStr">
        <is>
          <t>65.976.848/0001-04</t>
        </is>
      </c>
      <c r="C717" s="75" t="inlineStr">
        <is>
          <t>minimo_junior</t>
        </is>
      </c>
      <c r="D717" s="75" t="inlineStr">
        <is>
          <t>5%</t>
        </is>
      </c>
      <c r="E717" s="75" t="inlineStr">
        <is>
          <t>junior_pl</t>
        </is>
      </c>
      <c r="F717" s="75" t="inlineStr">
        <is>
          <t>payload_documental</t>
        </is>
      </c>
      <c r="G717" s="75" t="inlineStr">
        <is>
          <t>1239452</t>
        </is>
      </c>
      <c r="H717" s="75" t="inlineStr">
        <is>
          <t>documento_curado</t>
        </is>
      </c>
      <c r="I717" s="75" t="inlineStr">
        <is>
          <t>2026-06-22</t>
        </is>
      </c>
      <c r="J717" s="75" t="inlineStr">
        <is>
          <t>35</t>
        </is>
      </c>
      <c r="K717" s="75" t="inlineStr">
        <is>
          <t>aceito_payload</t>
        </is>
      </c>
      <c r="L717" s="144" t="n">
        <v>1</v>
      </c>
      <c r="M717" s="75" t="inlineStr">
        <is>
          <t>data/industry_study/generated_revision/artifact_payload.json</t>
        </is>
      </c>
      <c r="N717" s="75" t="inlineStr">
        <is>
          <t>https://fnet.bmfbovespa.com.br/fnet/publico/downloadDocumento?id=1239452</t>
        </is>
      </c>
      <c r="O717" s="75" t="inlineStr">
        <is>
          <t>Índice de Subordinação Mezanino: cotas júnior / PL, mínimo de 5,0%.</t>
        </is>
      </c>
    </row>
    <row r="718" ht="43.5" customHeight="1">
      <c r="A718" s="142" t="n">
        <v>65976848000104</v>
      </c>
      <c r="B718" s="75" t="inlineStr">
        <is>
          <t>65.976.848/0001-04</t>
        </is>
      </c>
      <c r="C718" s="75" t="inlineStr">
        <is>
          <t>natureza_indice</t>
        </is>
      </c>
      <c r="D718" s="75" t="inlineStr">
        <is>
          <t>junior_pl</t>
        </is>
      </c>
      <c r="E718" s="75" t="inlineStr">
        <is>
          <t>junior_pl</t>
        </is>
      </c>
      <c r="F718" s="75" t="inlineStr">
        <is>
          <t>payload_documental</t>
        </is>
      </c>
      <c r="G718" s="75" t="inlineStr">
        <is>
          <t>1239452</t>
        </is>
      </c>
      <c r="H718" s="75" t="inlineStr">
        <is>
          <t>documento_curado</t>
        </is>
      </c>
      <c r="I718" s="75" t="inlineStr">
        <is>
          <t>2026-06-22</t>
        </is>
      </c>
      <c r="J718" s="75" t="inlineStr">
        <is>
          <t>35</t>
        </is>
      </c>
      <c r="K718" s="75" t="inlineStr">
        <is>
          <t>aceito_payload</t>
        </is>
      </c>
      <c r="L718" s="144" t="n">
        <v>1</v>
      </c>
      <c r="M718" s="75" t="inlineStr">
        <is>
          <t>data/industry_study/generated_revision/artifact_payload.json</t>
        </is>
      </c>
      <c r="N718" s="75" t="inlineStr">
        <is>
          <t>https://fnet.bmfbovespa.com.br/fnet/publico/downloadDocumento?id=1239452</t>
        </is>
      </c>
      <c r="O718" s="75" t="inlineStr">
        <is>
          <t>Índice de Subordinação Mezanino: cotas júnior / PL, mínimo de 5,0%.</t>
        </is>
      </c>
    </row>
  </sheetData>
  <mergeCells count="2">
    <mergeCell ref="A1:O1"/>
    <mergeCell ref="A2:O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L116"/>
  <sheetViews>
    <sheetView showGridLines="0" workbookViewId="0">
      <pane xSplit="2" ySplit="5" topLeftCell="C6" activePane="bottomRight" state="frozen"/>
      <selection activeCell="A1" sqref="A1"/>
    </sheetView>
  </sheetViews>
  <sheetFormatPr baseColWidth="8" defaultRowHeight="15"/>
  <cols>
    <col width="27.5" customWidth="1" min="1" max="1"/>
    <col width="18.1299991607666" customWidth="1" min="2" max="2"/>
    <col width="48.75" customWidth="1" min="3" max="3"/>
    <col width="16.25" customWidth="1" min="4" max="4"/>
    <col width="15" customWidth="1" min="5" max="5"/>
    <col width="16.25" customWidth="1" min="6" max="6"/>
    <col width="15.63000011444092" customWidth="1" min="7" max="7"/>
    <col width="16.25" customWidth="1" min="8" max="8"/>
    <col width="15" customWidth="1" min="9" max="9"/>
    <col width="21.25" customWidth="1" min="10" max="10"/>
    <col width="52.5" customWidth="1" min="11" max="11"/>
    <col width="27.5" customWidth="1" min="12" max="12"/>
  </cols>
  <sheetData>
    <row r="1" ht="25.5" customHeight="1">
      <c r="A1" s="25" t="inlineStr">
        <is>
          <t>Cobertura da varredura documental · antes, depois e checkpoint</t>
        </is>
      </c>
    </row>
    <row r="2" ht="22.5" customHeight="1">
      <c r="A2" s="3" t="inlineStr">
        <is>
          <t>Denominadores explícitos por campo e uma linha de checkpoint para cada CNPJ. Ausência permanece N/D; consulta sem achado continua registrada.</t>
        </is>
      </c>
    </row>
    <row r="4">
      <c r="A4" s="119" t="inlineStr">
        <is>
          <t>COBERTURA POR CAMPO</t>
        </is>
      </c>
    </row>
    <row r="5">
      <c r="A5" s="120" t="inlineStr">
        <is>
          <t>Campo</t>
        </is>
      </c>
      <c r="B5" s="120" t="inlineStr">
        <is>
          <t>CNPJ total</t>
        </is>
      </c>
      <c r="C5" s="120" t="inlineStr">
        <is>
          <t>Antes · com dado</t>
        </is>
      </c>
      <c r="D5" s="120" t="inlineStr">
        <is>
          <t>Antes · cobertura</t>
        </is>
      </c>
      <c r="E5" s="120" t="inlineStr">
        <is>
          <t>Depois · com dado</t>
        </is>
      </c>
      <c r="F5" s="120" t="inlineStr">
        <is>
          <t>Depois · cobertura</t>
        </is>
      </c>
      <c r="G5" s="120" t="inlineStr">
        <is>
          <t>Ganho · linhas</t>
        </is>
      </c>
    </row>
    <row r="6">
      <c r="A6" s="100" t="inlineStr">
        <is>
          <t>originador</t>
        </is>
      </c>
      <c r="B6" s="162" t="n">
        <v>101</v>
      </c>
      <c r="C6" s="162" t="n">
        <v>1</v>
      </c>
      <c r="D6" s="163" t="n">
        <v>0.009900990099009899</v>
      </c>
      <c r="E6" s="162" t="n">
        <v>12</v>
      </c>
      <c r="F6" s="163" t="n">
        <v>0.1188118811881188</v>
      </c>
      <c r="G6" s="162" t="n">
        <v>11</v>
      </c>
    </row>
    <row r="7">
      <c r="A7" s="100" t="inlineStr">
        <is>
          <t>cedente</t>
        </is>
      </c>
      <c r="B7" s="162" t="n">
        <v>101</v>
      </c>
      <c r="C7" s="162" t="n">
        <v>85</v>
      </c>
      <c r="D7" s="163" t="n">
        <v>0.8415841584158416</v>
      </c>
      <c r="E7" s="162" t="n">
        <v>93</v>
      </c>
      <c r="F7" s="163" t="n">
        <v>0.9207920792079208</v>
      </c>
      <c r="G7" s="162" t="n">
        <v>8</v>
      </c>
    </row>
    <row r="8">
      <c r="A8" s="100" t="inlineStr">
        <is>
          <t>sacado_devedor</t>
        </is>
      </c>
      <c r="B8" s="162" t="n">
        <v>101</v>
      </c>
      <c r="C8" s="162" t="n">
        <v>2</v>
      </c>
      <c r="D8" s="163" t="n">
        <v>0.0198019801980198</v>
      </c>
      <c r="E8" s="162" t="n">
        <v>37</v>
      </c>
      <c r="F8" s="163" t="n">
        <v>0.3663366336633663</v>
      </c>
      <c r="G8" s="162" t="n">
        <v>35</v>
      </c>
    </row>
    <row r="9">
      <c r="A9" s="100" t="inlineStr">
        <is>
          <t>tipo_recebivel</t>
        </is>
      </c>
      <c r="B9" s="162" t="n">
        <v>101</v>
      </c>
      <c r="C9" s="162" t="n">
        <v>52</v>
      </c>
      <c r="D9" s="163" t="n">
        <v>0.5148514851485149</v>
      </c>
      <c r="E9" s="162" t="n">
        <v>67</v>
      </c>
      <c r="F9" s="163" t="n">
        <v>0.6633663366336634</v>
      </c>
      <c r="G9" s="162" t="n">
        <v>15</v>
      </c>
    </row>
    <row r="10">
      <c r="A10" s="100" t="inlineStr">
        <is>
          <t>minimo_junior</t>
        </is>
      </c>
      <c r="B10" s="162" t="n">
        <v>101</v>
      </c>
      <c r="C10" s="162" t="n">
        <v>83</v>
      </c>
      <c r="D10" s="163" t="n">
        <v>0.8217821782178217</v>
      </c>
      <c r="E10" s="162" t="n">
        <v>83</v>
      </c>
      <c r="F10" s="163" t="n">
        <v>0.8217821782178217</v>
      </c>
      <c r="G10" s="162" t="n">
        <v>0</v>
      </c>
    </row>
    <row r="11">
      <c r="A11" s="100" t="inlineStr">
        <is>
          <t>minimo_estrutural_total</t>
        </is>
      </c>
      <c r="B11" s="162" t="n">
        <v>101</v>
      </c>
      <c r="C11" s="162" t="n">
        <v>45</v>
      </c>
      <c r="D11" s="163" t="n">
        <v>0.4455445544554455</v>
      </c>
      <c r="E11" s="162" t="n">
        <v>52</v>
      </c>
      <c r="F11" s="163" t="n">
        <v>0.5148514851485149</v>
      </c>
      <c r="G11" s="162" t="n">
        <v>7</v>
      </c>
    </row>
    <row r="12">
      <c r="A12" s="100" t="inlineStr">
        <is>
          <t>natureza_indice</t>
        </is>
      </c>
      <c r="B12" s="162" t="n">
        <v>101</v>
      </c>
      <c r="C12" s="162" t="n">
        <v>101</v>
      </c>
      <c r="D12" s="163" t="n">
        <v>1</v>
      </c>
      <c r="E12" s="162" t="n">
        <v>101</v>
      </c>
      <c r="F12" s="163" t="n">
        <v>1</v>
      </c>
      <c r="G12" s="162" t="n">
        <v>0</v>
      </c>
    </row>
    <row r="14">
      <c r="A14" s="119" t="inlineStr">
        <is>
          <t>CHECKPOINT POR CNPJ</t>
        </is>
      </c>
    </row>
    <row r="15">
      <c r="A15" s="120" t="inlineStr">
        <is>
          <t>CNPJ</t>
        </is>
      </c>
      <c r="B15" s="120" t="inlineStr">
        <is>
          <t>CNPJ formatado</t>
        </is>
      </c>
      <c r="C15" s="120" t="inlineStr">
        <is>
          <t>Nome do fundo</t>
        </is>
      </c>
      <c r="D15" s="120" t="inlineStr">
        <is>
          <t>Status</t>
        </is>
      </c>
      <c r="E15" s="120" t="inlineStr">
        <is>
          <t>Fontes consultadas</t>
        </is>
      </c>
      <c r="F15" s="120" t="inlineStr">
        <is>
          <t>Fontes locais</t>
        </is>
      </c>
      <c r="G15" s="120" t="inlineStr">
        <is>
          <t>Fontes no cache Director</t>
        </is>
      </c>
      <c r="H15" s="120" t="inlineStr">
        <is>
          <t>Status online</t>
        </is>
      </c>
      <c r="I15" s="120" t="inlineStr">
        <is>
          <t>Documentos online</t>
        </is>
      </c>
      <c r="J15" s="120" t="inlineStr">
        <is>
          <t>Concluído em UTC</t>
        </is>
      </c>
      <c r="K15" s="120" t="inlineStr">
        <is>
          <t>Erros</t>
        </is>
      </c>
      <c r="L15" s="120" t="inlineStr">
        <is>
          <t>Schema</t>
        </is>
      </c>
    </row>
    <row r="16" ht="34.5" customHeight="1">
      <c r="A16" s="164" t="n">
        <v>11468186000124</v>
      </c>
      <c r="B16" s="121" t="inlineStr">
        <is>
          <t>11.468.186/0001-24</t>
        </is>
      </c>
      <c r="C16" s="121" t="inlineStr">
        <is>
          <t>ATLANTA FUNDO DE INVESTIMENTO EM DIREITOS CREDITÓRIOS DE RESPONSABILIDADE LIMITADA</t>
        </is>
      </c>
      <c r="D16" s="121" t="inlineStr">
        <is>
          <t>concluído</t>
        </is>
      </c>
      <c r="E16" s="165" t="n">
        <v>8</v>
      </c>
      <c r="F16" s="165" t="n">
        <v>1</v>
      </c>
      <c r="G16" s="165" t="n">
        <v>1</v>
      </c>
      <c r="H16" s="121" t="inlineStr">
        <is>
          <t>consultado</t>
        </is>
      </c>
      <c r="I16" s="165" t="n">
        <v>184</v>
      </c>
      <c r="J16" s="121" t="n">
        <v>46235.85155092592</v>
      </c>
      <c r="K16" s="121" t="inlineStr">
        <is>
          <t>N/D</t>
        </is>
      </c>
      <c r="L16" s="121" t="inlineStr">
        <is>
          <t>carteira-101-document-audit/v2</t>
        </is>
      </c>
    </row>
    <row r="17" ht="34.5" customHeight="1">
      <c r="A17" s="164" t="n">
        <v>17468142000180</v>
      </c>
      <c r="B17" s="121" t="inlineStr">
        <is>
          <t>17.468.142/0001-80</t>
        </is>
      </c>
      <c r="C17" s="121" t="inlineStr">
        <is>
          <t>VALOREM FUNDO DE INVESTIMENTO EM DIREITOS CREDITÓRIOS MULTISETORIAL RESPONSABILIDADE LIMITADA</t>
        </is>
      </c>
      <c r="D17" s="121" t="inlineStr">
        <is>
          <t>concluído</t>
        </is>
      </c>
      <c r="E17" s="165" t="n">
        <v>12</v>
      </c>
      <c r="F17" s="165" t="n">
        <v>6</v>
      </c>
      <c r="G17" s="165" t="n">
        <v>1</v>
      </c>
      <c r="H17" s="121" t="inlineStr">
        <is>
          <t>consultado</t>
        </is>
      </c>
      <c r="I17" s="165" t="n">
        <v>266</v>
      </c>
      <c r="J17" s="121" t="n">
        <v>46235.85141203704</v>
      </c>
      <c r="K17" s="121" t="inlineStr">
        <is>
          <t>N/D</t>
        </is>
      </c>
      <c r="L17" s="121" t="inlineStr">
        <is>
          <t>carteira-101-document-audit/v2</t>
        </is>
      </c>
    </row>
    <row r="18" ht="34.5" customHeight="1">
      <c r="A18" s="164" t="n">
        <v>18185812000114</v>
      </c>
      <c r="B18" s="121" t="inlineStr">
        <is>
          <t>18.185.812/0001-14</t>
        </is>
      </c>
      <c r="C18" s="121" t="inlineStr">
        <is>
          <t>GAVEA SUL FUNDO DE INVESTIMENTO EM DIREITOS CREDITÓRIOS MULTISSETORIAL LP</t>
        </is>
      </c>
      <c r="D18" s="121" t="inlineStr">
        <is>
          <t>concluído</t>
        </is>
      </c>
      <c r="E18" s="165" t="n">
        <v>12</v>
      </c>
      <c r="F18" s="165" t="n">
        <v>6</v>
      </c>
      <c r="G18" s="165" t="n">
        <v>1</v>
      </c>
      <c r="H18" s="121" t="inlineStr">
        <is>
          <t>consultado</t>
        </is>
      </c>
      <c r="I18" s="165" t="n">
        <v>184</v>
      </c>
      <c r="J18" s="121" t="n">
        <v>46235.85177083333</v>
      </c>
      <c r="K18" s="121" t="inlineStr">
        <is>
          <t>N/D</t>
        </is>
      </c>
      <c r="L18" s="121" t="inlineStr">
        <is>
          <t>carteira-101-document-audit/v2</t>
        </is>
      </c>
    </row>
    <row r="19" ht="34.5" customHeight="1">
      <c r="A19" s="164" t="n">
        <v>26749095000134</v>
      </c>
      <c r="B19" s="121" t="inlineStr">
        <is>
          <t>26.749.095/0001-34</t>
        </is>
      </c>
      <c r="C19" s="121" t="inlineStr">
        <is>
          <t>PRAVALER CRÉDITO UNIVERSITÁRIO II FUNDO DE INVESTIMENTO EM DIREITOS CREDITÓRIOS - RESP LIMITADAL</t>
        </is>
      </c>
      <c r="D19" s="121" t="inlineStr">
        <is>
          <t>concluído</t>
        </is>
      </c>
      <c r="E19" s="165" t="n">
        <v>13</v>
      </c>
      <c r="F19" s="165" t="n">
        <v>6</v>
      </c>
      <c r="G19" s="165" t="n">
        <v>1</v>
      </c>
      <c r="H19" s="121" t="inlineStr">
        <is>
          <t>consultado</t>
        </is>
      </c>
      <c r="I19" s="165" t="n">
        <v>176</v>
      </c>
      <c r="J19" s="121" t="n">
        <v>46235.85146990741</v>
      </c>
      <c r="K19" s="121" t="inlineStr">
        <is>
          <t>N/D</t>
        </is>
      </c>
      <c r="L19" s="121" t="inlineStr">
        <is>
          <t>carteira-101-document-audit/v2</t>
        </is>
      </c>
    </row>
    <row r="20" ht="34.5" customHeight="1">
      <c r="A20" s="164" t="n">
        <v>28169275000172</v>
      </c>
      <c r="B20" s="121" t="inlineStr">
        <is>
          <t>28.169.275/0001-72</t>
        </is>
      </c>
      <c r="C20" s="121" t="inlineStr">
        <is>
          <t>FUNDO DE INVESTIMENTO EM DIREITOS CREDITÓRIOS PAGSEGURO I</t>
        </is>
      </c>
      <c r="D20" s="121" t="inlineStr">
        <is>
          <t>concluído</t>
        </is>
      </c>
      <c r="E20" s="165" t="n">
        <v>8</v>
      </c>
      <c r="F20" s="165" t="n">
        <v>6</v>
      </c>
      <c r="G20" s="165" t="n">
        <v>1</v>
      </c>
      <c r="H20" s="121" t="inlineStr">
        <is>
          <t>consultado</t>
        </is>
      </c>
      <c r="I20" s="165" t="n">
        <v>199</v>
      </c>
      <c r="J20" s="121" t="n">
        <v>46235.85065972222</v>
      </c>
      <c r="K20" s="121" t="inlineStr">
        <is>
          <t>N/D</t>
        </is>
      </c>
      <c r="L20" s="121" t="inlineStr">
        <is>
          <t>carteira-101-document-audit/v2</t>
        </is>
      </c>
    </row>
    <row r="21" ht="34.5" customHeight="1">
      <c r="A21" s="164" t="n">
        <v>29226654000110</v>
      </c>
      <c r="B21" s="121" t="inlineStr">
        <is>
          <t>29.226.654/0001-10</t>
        </is>
      </c>
      <c r="C21" s="121" t="inlineStr">
        <is>
          <t>INVESTCRED FUNDO DE INVESTIMENTO EM DIREITOS CREDITÓRIOS</t>
        </is>
      </c>
      <c r="D21" s="121" t="inlineStr">
        <is>
          <t>concluído</t>
        </is>
      </c>
      <c r="E21" s="165" t="n">
        <v>8</v>
      </c>
      <c r="F21" s="165" t="n">
        <v>6</v>
      </c>
      <c r="G21" s="165" t="n">
        <v>2</v>
      </c>
      <c r="H21" s="121" t="inlineStr">
        <is>
          <t>consultado</t>
        </is>
      </c>
      <c r="I21" s="165" t="n">
        <v>139</v>
      </c>
      <c r="J21" s="121" t="n">
        <v>46235.85070601852</v>
      </c>
      <c r="K21" s="121" t="inlineStr">
        <is>
          <t>N/D</t>
        </is>
      </c>
      <c r="L21" s="121" t="inlineStr">
        <is>
          <t>carteira-101-document-audit/v2</t>
        </is>
      </c>
    </row>
    <row r="22" ht="34.5" customHeight="1">
      <c r="A22" s="164" t="n">
        <v>29492605000129</v>
      </c>
      <c r="B22" s="121" t="inlineStr">
        <is>
          <t>29.492.605/0001-29</t>
        </is>
      </c>
      <c r="C22" s="121" t="inlineStr">
        <is>
          <t>GAZIN FUNDO DE INVESTIMENTO EM DIREITOS CREDITÓRIOS MULTISSEGMENTOS - RESPONSABILIDADE LIMITADA</t>
        </is>
      </c>
      <c r="D22" s="121" t="inlineStr">
        <is>
          <t>concluído</t>
        </is>
      </c>
      <c r="E22" s="165" t="n">
        <v>6</v>
      </c>
      <c r="F22" s="165" t="n">
        <v>0</v>
      </c>
      <c r="G22" s="165" t="n">
        <v>0</v>
      </c>
      <c r="H22" s="121" t="inlineStr">
        <is>
          <t>consultado</t>
        </is>
      </c>
      <c r="I22" s="165" t="n">
        <v>173</v>
      </c>
      <c r="J22" s="121" t="n">
        <v>46235.85142361111</v>
      </c>
      <c r="K22" s="121" t="inlineStr">
        <is>
          <t>N/D</t>
        </is>
      </c>
      <c r="L22" s="121" t="inlineStr">
        <is>
          <t>carteira-101-document-audit/v2</t>
        </is>
      </c>
    </row>
    <row r="23" ht="34.5" customHeight="1">
      <c r="A23" s="164" t="n">
        <v>30035329000159</v>
      </c>
      <c r="B23" s="121" t="inlineStr">
        <is>
          <t>30.035.329/0001-59</t>
        </is>
      </c>
      <c r="C23" s="121" t="inlineStr">
        <is>
          <t>VIA INVEST II FUNDO DE INVESTIMENTO EM DIREITOS CREDITÓRIOS RESPONSABILIDADE LIMITADA</t>
        </is>
      </c>
      <c r="D23" s="121" t="inlineStr">
        <is>
          <t>concluído</t>
        </is>
      </c>
      <c r="E23" s="165" t="n">
        <v>8</v>
      </c>
      <c r="F23" s="165" t="n">
        <v>0</v>
      </c>
      <c r="G23" s="165" t="n">
        <v>0</v>
      </c>
      <c r="H23" s="121" t="inlineStr">
        <is>
          <t>consultado</t>
        </is>
      </c>
      <c r="I23" s="165" t="n">
        <v>149</v>
      </c>
      <c r="J23" s="121" t="n">
        <v>46235.85168981482</v>
      </c>
      <c r="K23" s="121" t="inlineStr">
        <is>
          <t>N/D</t>
        </is>
      </c>
      <c r="L23" s="121" t="inlineStr">
        <is>
          <t>carteira-101-document-audit/v2</t>
        </is>
      </c>
    </row>
    <row r="24" ht="34.5" customHeight="1">
      <c r="A24" s="164" t="n">
        <v>31570767000180</v>
      </c>
      <c r="B24" s="121" t="inlineStr">
        <is>
          <t>31.570.767/0001-80</t>
        </is>
      </c>
      <c r="C24" s="121" t="inlineStr">
        <is>
          <t>FUNDO DE INVESTIMENTO EM DIREITOS CREDITÓRIOS TRADEPAY VAREJO I - RESPONSABILIDADE LIMITADA</t>
        </is>
      </c>
      <c r="D24" s="121" t="inlineStr">
        <is>
          <t>concluído</t>
        </is>
      </c>
      <c r="E24" s="165" t="n">
        <v>9</v>
      </c>
      <c r="F24" s="165" t="n">
        <v>2</v>
      </c>
      <c r="G24" s="165" t="n">
        <v>1</v>
      </c>
      <c r="H24" s="121" t="inlineStr">
        <is>
          <t>consultado</t>
        </is>
      </c>
      <c r="I24" s="165" t="n">
        <v>272</v>
      </c>
      <c r="J24" s="121" t="n">
        <v>46235.85152777778</v>
      </c>
      <c r="K24" s="121" t="inlineStr">
        <is>
          <t>N/D</t>
        </is>
      </c>
      <c r="L24" s="121" t="inlineStr">
        <is>
          <t>carteira-101-document-audit/v2</t>
        </is>
      </c>
    </row>
    <row r="25" ht="34.5" customHeight="1">
      <c r="A25" s="164" t="n">
        <v>31739396000117</v>
      </c>
      <c r="B25" s="121" t="inlineStr">
        <is>
          <t>31.739.396/0001-17</t>
        </is>
      </c>
      <c r="C25" s="121" t="inlineStr">
        <is>
          <t>LF III FUNDO DE INVESTIMENTO EM DIREITOS CREDITÓRIOS DE RESPONSABILIDADE LIMITADA</t>
        </is>
      </c>
      <c r="D25" s="121" t="inlineStr">
        <is>
          <t>concluído</t>
        </is>
      </c>
      <c r="E25" s="165" t="n">
        <v>8</v>
      </c>
      <c r="F25" s="165" t="n">
        <v>0</v>
      </c>
      <c r="G25" s="165" t="n">
        <v>0</v>
      </c>
      <c r="H25" s="121" t="inlineStr">
        <is>
          <t>consultado</t>
        </is>
      </c>
      <c r="I25" s="165" t="n">
        <v>165</v>
      </c>
      <c r="J25" s="121" t="n">
        <v>46235.85143518518</v>
      </c>
      <c r="K25" s="121" t="inlineStr">
        <is>
          <t>N/D</t>
        </is>
      </c>
      <c r="L25" s="121" t="inlineStr">
        <is>
          <t>carteira-101-document-audit/v2</t>
        </is>
      </c>
    </row>
    <row r="26" ht="34.5" customHeight="1">
      <c r="A26" s="164" t="n">
        <v>32526025000110</v>
      </c>
      <c r="B26" s="121" t="inlineStr">
        <is>
          <t>32.526.025/0001-10</t>
        </is>
      </c>
      <c r="C26" s="121" t="inlineStr">
        <is>
          <t>COBUCCIO FUNDO DE INVESTIMENTO EM DIREITOS CREDITÓRIOS DE CLASSE ÚNICA FECHADA DE RESPONS LIMITADA</t>
        </is>
      </c>
      <c r="D26" s="121" t="inlineStr">
        <is>
          <t>concluído</t>
        </is>
      </c>
      <c r="E26" s="165" t="n">
        <v>6</v>
      </c>
      <c r="F26" s="165" t="n">
        <v>0</v>
      </c>
      <c r="G26" s="165" t="n">
        <v>0</v>
      </c>
      <c r="H26" s="121" t="inlineStr">
        <is>
          <t>consultado</t>
        </is>
      </c>
      <c r="I26" s="165" t="n">
        <v>169</v>
      </c>
      <c r="J26" s="121" t="n">
        <v>46235.84546296296</v>
      </c>
      <c r="K26" s="121" t="inlineStr">
        <is>
          <t>N/D</t>
        </is>
      </c>
      <c r="L26" s="121" t="inlineStr">
        <is>
          <t>carteira-101-document-audit/v2</t>
        </is>
      </c>
    </row>
    <row r="27" ht="34.5" customHeight="1">
      <c r="A27" s="164" t="n">
        <v>33076242000118</v>
      </c>
      <c r="B27" s="121" t="inlineStr">
        <is>
          <t>33.076.242/0001-18</t>
        </is>
      </c>
      <c r="C27" s="121" t="inlineStr">
        <is>
          <t>WORKCAP AGRO FUNDO DE INVESTIMENTO EM DIREITOS CREDITORIOS RESPONSABILIDADE LIMITADA</t>
        </is>
      </c>
      <c r="D27" s="121" t="inlineStr">
        <is>
          <t>concluído</t>
        </is>
      </c>
      <c r="E27" s="165" t="n">
        <v>8</v>
      </c>
      <c r="F27" s="165" t="n">
        <v>0</v>
      </c>
      <c r="G27" s="165" t="n">
        <v>0</v>
      </c>
      <c r="H27" s="121" t="inlineStr">
        <is>
          <t>consultado</t>
        </is>
      </c>
      <c r="I27" s="165" t="n">
        <v>184</v>
      </c>
      <c r="J27" s="121" t="n">
        <v>46235.84537037037</v>
      </c>
      <c r="K27" s="121" t="inlineStr">
        <is>
          <t>N/D</t>
        </is>
      </c>
      <c r="L27" s="121" t="inlineStr">
        <is>
          <t>carteira-101-document-audit/v2</t>
        </is>
      </c>
    </row>
    <row r="28" ht="34.5" customHeight="1">
      <c r="A28" s="164" t="n">
        <v>35868110000154</v>
      </c>
      <c r="B28" s="121" t="inlineStr">
        <is>
          <t>35.868.110/0001-54</t>
        </is>
      </c>
      <c r="C28" s="121" t="inlineStr">
        <is>
          <t>FUNDO DE INVESTIMENTO EM DIREITOS CREDITÓRIOS BV - CRÉDITO DE VEÍCULOS RESPONSABILIDADE LIMITADA</t>
        </is>
      </c>
      <c r="D28" s="121" t="inlineStr">
        <is>
          <t>concluído</t>
        </is>
      </c>
      <c r="E28" s="165" t="n">
        <v>9</v>
      </c>
      <c r="F28" s="165" t="n">
        <v>5</v>
      </c>
      <c r="G28" s="165" t="n">
        <v>1</v>
      </c>
      <c r="H28" s="121" t="inlineStr">
        <is>
          <t>consultado</t>
        </is>
      </c>
      <c r="I28" s="165" t="n">
        <v>107</v>
      </c>
      <c r="J28" s="121" t="n">
        <v>46235.85097222222</v>
      </c>
      <c r="K28" s="121" t="inlineStr">
        <is>
          <t>N/D</t>
        </is>
      </c>
      <c r="L28" s="121" t="inlineStr">
        <is>
          <t>carteira-101-document-audit/v2</t>
        </is>
      </c>
    </row>
    <row r="29" ht="34.5" customHeight="1">
      <c r="A29" s="164" t="n">
        <v>37035970000132</v>
      </c>
      <c r="B29" s="121" t="inlineStr">
        <is>
          <t>37.035.970/0001-32</t>
        </is>
      </c>
      <c r="C29" s="121" t="inlineStr">
        <is>
          <t>CD CASH FUNDO DE INVESTIMENTO EM DIREITOS CREDITÓRIOS RESPONSABILIDADE LIMITADA</t>
        </is>
      </c>
      <c r="D29" s="121" t="inlineStr">
        <is>
          <t>concluído</t>
        </is>
      </c>
      <c r="E29" s="165" t="n">
        <v>9</v>
      </c>
      <c r="F29" s="165" t="n">
        <v>2</v>
      </c>
      <c r="G29" s="165" t="n">
        <v>1</v>
      </c>
      <c r="H29" s="121" t="inlineStr">
        <is>
          <t>consultado</t>
        </is>
      </c>
      <c r="I29" s="165" t="n">
        <v>120</v>
      </c>
      <c r="J29" s="121" t="n">
        <v>46235.85138888889</v>
      </c>
      <c r="K29" s="121" t="inlineStr">
        <is>
          <t>N/D</t>
        </is>
      </c>
      <c r="L29" s="121" t="inlineStr">
        <is>
          <t>carteira-101-document-audit/v2</t>
        </is>
      </c>
    </row>
    <row r="30" ht="34.5" customHeight="1">
      <c r="A30" s="164" t="n">
        <v>37294759000134</v>
      </c>
      <c r="B30" s="121" t="inlineStr">
        <is>
          <t>37.294.759/0001-34</t>
        </is>
      </c>
      <c r="C30" s="121" t="inlineStr">
        <is>
          <t>GALLERIA HOME EQUITY FIDC</t>
        </is>
      </c>
      <c r="D30" s="121" t="inlineStr">
        <is>
          <t>concluído</t>
        </is>
      </c>
      <c r="E30" s="165" t="n">
        <v>8</v>
      </c>
      <c r="F30" s="165" t="n">
        <v>0</v>
      </c>
      <c r="G30" s="165" t="n">
        <v>0</v>
      </c>
      <c r="H30" s="121" t="inlineStr">
        <is>
          <t>consultado</t>
        </is>
      </c>
      <c r="I30" s="165" t="n">
        <v>207</v>
      </c>
      <c r="J30" s="121" t="n">
        <v>46235.85162037037</v>
      </c>
      <c r="K30" s="121" t="inlineStr">
        <is>
          <t>N/D</t>
        </is>
      </c>
      <c r="L30" s="121" t="inlineStr">
        <is>
          <t>carteira-101-document-audit/v2</t>
        </is>
      </c>
    </row>
    <row r="31" ht="34.5" customHeight="1">
      <c r="A31" s="164" t="n">
        <v>37645417000111</v>
      </c>
      <c r="B31" s="121" t="inlineStr">
        <is>
          <t>37.645.417/0001-11</t>
        </is>
      </c>
      <c r="C31" s="121" t="inlineStr">
        <is>
          <t>UBYFOL AGRO III FUNDO DE INVESTIMENTO NAS CADEIAS PRODUTIVAS DO AGRONEGÓCIO - RESP LIMITADA</t>
        </is>
      </c>
      <c r="D31" s="121" t="inlineStr">
        <is>
          <t>concluído</t>
        </is>
      </c>
      <c r="E31" s="165" t="n">
        <v>6</v>
      </c>
      <c r="F31" s="165" t="n">
        <v>0</v>
      </c>
      <c r="G31" s="165" t="n">
        <v>0</v>
      </c>
      <c r="H31" s="121" t="inlineStr">
        <is>
          <t>consultado</t>
        </is>
      </c>
      <c r="I31" s="165" t="n">
        <v>132</v>
      </c>
      <c r="J31" s="121" t="n">
        <v>46235.84509259259</v>
      </c>
      <c r="K31" s="121" t="inlineStr">
        <is>
          <t>N/D</t>
        </is>
      </c>
      <c r="L31" s="121" t="inlineStr">
        <is>
          <t>carteira-101-document-audit/v2</t>
        </is>
      </c>
    </row>
    <row r="32" ht="34.5" customHeight="1">
      <c r="A32" s="164" t="n">
        <v>38376526000143</v>
      </c>
      <c r="B32" s="121" t="inlineStr">
        <is>
          <t>38.376.526/0001-43</t>
        </is>
      </c>
      <c r="C32" s="121" t="inlineStr">
        <is>
          <t>HOTFUND FUNDO DE INVESTIMENTO EM DIREITOS CREDITÓRIOS SEGMENTO MEIOS DE PAGAMENTO DE RESPONSABILIDAD</t>
        </is>
      </c>
      <c r="D32" s="121" t="inlineStr">
        <is>
          <t>concluído</t>
        </is>
      </c>
      <c r="E32" s="165" t="n">
        <v>8</v>
      </c>
      <c r="F32" s="165" t="n">
        <v>0</v>
      </c>
      <c r="G32" s="165" t="n">
        <v>0</v>
      </c>
      <c r="H32" s="121" t="inlineStr">
        <is>
          <t>consultado</t>
        </is>
      </c>
      <c r="I32" s="165" t="n">
        <v>126</v>
      </c>
      <c r="J32" s="121" t="n">
        <v>46235.8475</v>
      </c>
      <c r="K32" s="121" t="inlineStr">
        <is>
          <t>N/D</t>
        </is>
      </c>
      <c r="L32" s="121" t="inlineStr">
        <is>
          <t>carteira-101-document-audit/v2</t>
        </is>
      </c>
    </row>
    <row r="33" ht="34.5" customHeight="1">
      <c r="A33" s="164" t="n">
        <v>38385876000176</v>
      </c>
      <c r="B33" s="121" t="inlineStr">
        <is>
          <t>38.385.876/0001-76</t>
        </is>
      </c>
      <c r="C33" s="121" t="inlineStr">
        <is>
          <t>ESTRATÉGIA EDUCACIONAL FUNDO DE INVESTIMENTO EM DIREITOS CREDITÓRIOS</t>
        </is>
      </c>
      <c r="D33" s="121" t="inlineStr">
        <is>
          <t>concluído</t>
        </is>
      </c>
      <c r="E33" s="165" t="n">
        <v>7</v>
      </c>
      <c r="F33" s="165" t="n">
        <v>0</v>
      </c>
      <c r="G33" s="165" t="n">
        <v>0</v>
      </c>
      <c r="H33" s="121" t="inlineStr">
        <is>
          <t>consultado</t>
        </is>
      </c>
      <c r="I33" s="165" t="n">
        <v>105</v>
      </c>
      <c r="J33" s="121" t="n">
        <v>46235.85060185185</v>
      </c>
      <c r="K33" s="121" t="inlineStr">
        <is>
          <t>N/D</t>
        </is>
      </c>
      <c r="L33" s="121" t="inlineStr">
        <is>
          <t>carteira-101-document-audit/v2</t>
        </is>
      </c>
    </row>
    <row r="34" ht="34.5" customHeight="1">
      <c r="A34" s="164" t="n">
        <v>38658727000133</v>
      </c>
      <c r="B34" s="121" t="inlineStr">
        <is>
          <t>38.658.727/0001-33</t>
        </is>
      </c>
      <c r="C34" s="121" t="inlineStr">
        <is>
          <t>FUNDO DE INVESTIMENTO EM DIREITOS CREDITÓRIOS FORNECEDORES MADEIRA MADEIRA I</t>
        </is>
      </c>
      <c r="D34" s="121" t="inlineStr">
        <is>
          <t>concluído</t>
        </is>
      </c>
      <c r="E34" s="165" t="n">
        <v>13</v>
      </c>
      <c r="F34" s="165" t="n">
        <v>6</v>
      </c>
      <c r="G34" s="165" t="n">
        <v>1</v>
      </c>
      <c r="H34" s="121" t="inlineStr">
        <is>
          <t>consultado</t>
        </is>
      </c>
      <c r="I34" s="165" t="n">
        <v>143</v>
      </c>
      <c r="J34" s="121" t="n">
        <v>46235.8506712963</v>
      </c>
      <c r="K34" s="121" t="inlineStr">
        <is>
          <t>N/D</t>
        </is>
      </c>
      <c r="L34" s="121" t="inlineStr">
        <is>
          <t>carteira-101-document-audit/v2</t>
        </is>
      </c>
    </row>
    <row r="35" ht="34.5" customHeight="1">
      <c r="A35" s="164" t="n">
        <v>40919667000107</v>
      </c>
      <c r="B35" s="121" t="inlineStr">
        <is>
          <t>40.919.667/0001-07</t>
        </is>
      </c>
      <c r="C35" s="121" t="inlineStr">
        <is>
          <t>RECARGAPAY I FUNDO DE INVESTIMENTO EM DIREITOS CREDITÓRIOS</t>
        </is>
      </c>
      <c r="D35" s="121" t="inlineStr">
        <is>
          <t>concluído</t>
        </is>
      </c>
      <c r="E35" s="165" t="n">
        <v>8</v>
      </c>
      <c r="F35" s="165" t="n">
        <v>0</v>
      </c>
      <c r="G35" s="165" t="n">
        <v>0</v>
      </c>
      <c r="H35" s="121" t="inlineStr">
        <is>
          <t>consultado</t>
        </is>
      </c>
      <c r="I35" s="165" t="n">
        <v>92</v>
      </c>
      <c r="J35" s="121" t="n">
        <v>46235.85061342592</v>
      </c>
      <c r="K35" s="121" t="inlineStr">
        <is>
          <t>N/D</t>
        </is>
      </c>
      <c r="L35" s="121" t="inlineStr">
        <is>
          <t>carteira-101-document-audit/v2</t>
        </is>
      </c>
    </row>
    <row r="36" ht="34.5" customHeight="1">
      <c r="A36" s="164" t="n">
        <v>41197066000109</v>
      </c>
      <c r="B36" s="121" t="inlineStr">
        <is>
          <t>41.197.066/0001-09</t>
        </is>
      </c>
      <c r="C36" s="121" t="inlineStr">
        <is>
          <t>IFOOD PAGO CRÉDITO I FUNDO DE INVESTIMENTO EM DIREITOS CREDITÓRIOS FINANCEIRO DE RESP LIMITADA</t>
        </is>
      </c>
      <c r="D36" s="121" t="inlineStr">
        <is>
          <t>concluído</t>
        </is>
      </c>
      <c r="E36" s="165" t="n">
        <v>9</v>
      </c>
      <c r="F36" s="165" t="n">
        <v>2</v>
      </c>
      <c r="G36" s="165" t="n">
        <v>1</v>
      </c>
      <c r="H36" s="121" t="inlineStr">
        <is>
          <t>consultado</t>
        </is>
      </c>
      <c r="I36" s="165" t="n">
        <v>156</v>
      </c>
      <c r="J36" s="121" t="n">
        <v>46235.84755787037</v>
      </c>
      <c r="K36" s="121" t="inlineStr">
        <is>
          <t>N/D</t>
        </is>
      </c>
      <c r="L36" s="121" t="inlineStr">
        <is>
          <t>carteira-101-document-audit/v2</t>
        </is>
      </c>
    </row>
    <row r="37" ht="34.5" customHeight="1">
      <c r="A37" s="164" t="n">
        <v>42085816000105</v>
      </c>
      <c r="B37" s="121" t="inlineStr">
        <is>
          <t>42.085.816/0001-05</t>
        </is>
      </c>
      <c r="C37" s="121" t="inlineStr">
        <is>
          <t>CLOUDWALK KICK ASS I FUNDO DE INVESTIMENTO EM DIREITOS CREDITÓRIOS SEGMENTO MEIOS DE PAGAMENTO</t>
        </is>
      </c>
      <c r="D37" s="121" t="inlineStr">
        <is>
          <t>concluído</t>
        </is>
      </c>
      <c r="E37" s="165" t="n">
        <v>9</v>
      </c>
      <c r="F37" s="165" t="n">
        <v>4</v>
      </c>
      <c r="G37" s="165" t="n">
        <v>1</v>
      </c>
      <c r="H37" s="121" t="inlineStr">
        <is>
          <t>consultado</t>
        </is>
      </c>
      <c r="I37" s="165" t="n">
        <v>109</v>
      </c>
      <c r="J37" s="121" t="n">
        <v>46235.85059027778</v>
      </c>
      <c r="K37" s="121" t="inlineStr">
        <is>
          <t>N/D</t>
        </is>
      </c>
      <c r="L37" s="121" t="inlineStr">
        <is>
          <t>carteira-101-document-audit/v2</t>
        </is>
      </c>
    </row>
    <row r="38" ht="34.5" customHeight="1">
      <c r="A38" s="164" t="n">
        <v>42085830000109</v>
      </c>
      <c r="B38" s="121" t="inlineStr">
        <is>
          <t>42.085.830/0001-09</t>
        </is>
      </c>
      <c r="C38" s="121" t="inlineStr">
        <is>
          <t>CLOUDWALK AKIRA I FUNDO DE INVESTIMENTO EM DIREITOS CREDITÓRIOS SEGMENTO MEIOS DE PAGAMENTO</t>
        </is>
      </c>
      <c r="D38" s="121" t="inlineStr">
        <is>
          <t>concluído</t>
        </is>
      </c>
      <c r="E38" s="165" t="n">
        <v>8</v>
      </c>
      <c r="F38" s="165" t="n">
        <v>4</v>
      </c>
      <c r="G38" s="165" t="n">
        <v>1</v>
      </c>
      <c r="H38" s="121" t="inlineStr">
        <is>
          <t>consultado</t>
        </is>
      </c>
      <c r="I38" s="165" t="n">
        <v>99</v>
      </c>
      <c r="J38" s="121" t="n">
        <v>46235.85163194445</v>
      </c>
      <c r="K38" s="121" t="inlineStr">
        <is>
          <t>N/D</t>
        </is>
      </c>
      <c r="L38" s="121" t="inlineStr">
        <is>
          <t>carteira-101-document-audit/v2</t>
        </is>
      </c>
    </row>
    <row r="39" ht="34.5" customHeight="1">
      <c r="A39" s="164" t="n">
        <v>42102603000144</v>
      </c>
      <c r="B39" s="121" t="inlineStr">
        <is>
          <t>42.102.603/0001-44</t>
        </is>
      </c>
      <c r="C39" s="121" t="inlineStr">
        <is>
          <t>CLOUDWALK KICK ASS II FUNDO DE INVESTIMENTO EM DIREITOS CREDITÓRIOS SEGMENTO MEIOS DE PAGAMENTO</t>
        </is>
      </c>
      <c r="D39" s="121" t="inlineStr">
        <is>
          <t>concluído</t>
        </is>
      </c>
      <c r="E39" s="165" t="n">
        <v>11</v>
      </c>
      <c r="F39" s="165" t="n">
        <v>5</v>
      </c>
      <c r="G39" s="165" t="n">
        <v>1</v>
      </c>
      <c r="H39" s="121" t="inlineStr">
        <is>
          <t>consultado</t>
        </is>
      </c>
      <c r="I39" s="165" t="n">
        <v>94</v>
      </c>
      <c r="J39" s="121" t="n">
        <v>46235.850625</v>
      </c>
      <c r="K39" s="121" t="inlineStr">
        <is>
          <t>N/D</t>
        </is>
      </c>
      <c r="L39" s="121" t="inlineStr">
        <is>
          <t>carteira-101-document-audit/v2</t>
        </is>
      </c>
    </row>
    <row r="40" ht="34.5" customHeight="1">
      <c r="A40" s="164" t="n">
        <v>42154687000160</v>
      </c>
      <c r="B40" s="121" t="inlineStr">
        <is>
          <t>42.154.687/0001-60</t>
        </is>
      </c>
      <c r="C40" s="121" t="inlineStr">
        <is>
          <t>MULTIPLIKE PLUS FUNDO DE INVESTIMENTO EM DIREITOS CREDITÓRIOS</t>
        </is>
      </c>
      <c r="D40" s="121" t="inlineStr">
        <is>
          <t>concluído</t>
        </is>
      </c>
      <c r="E40" s="165" t="n">
        <v>13</v>
      </c>
      <c r="F40" s="165" t="n">
        <v>6</v>
      </c>
      <c r="G40" s="165" t="n">
        <v>1</v>
      </c>
      <c r="H40" s="121" t="inlineStr">
        <is>
          <t>consultado</t>
        </is>
      </c>
      <c r="I40" s="165" t="n">
        <v>257</v>
      </c>
      <c r="J40" s="121" t="n">
        <v>46235.85092592592</v>
      </c>
      <c r="K40" s="121" t="inlineStr">
        <is>
          <t>N/D</t>
        </is>
      </c>
      <c r="L40" s="121" t="inlineStr">
        <is>
          <t>carteira-101-document-audit/v2</t>
        </is>
      </c>
    </row>
    <row r="41" ht="34.5" customHeight="1">
      <c r="A41" s="164" t="n">
        <v>42462306000100</v>
      </c>
      <c r="B41" s="121" t="inlineStr">
        <is>
          <t>42.462.306/0001-00</t>
        </is>
      </c>
      <c r="C41" s="121" t="inlineStr">
        <is>
          <t>IS GREEN SOLFÁCIL II FUNDO DE INVESTIMENTO EM DIREITOS CREDITÓRIOS DE RESPONSABILIDADE LIMITADA</t>
        </is>
      </c>
      <c r="D41" s="121" t="inlineStr">
        <is>
          <t>concluído</t>
        </is>
      </c>
      <c r="E41" s="165" t="n">
        <v>6</v>
      </c>
      <c r="F41" s="165" t="n">
        <v>0</v>
      </c>
      <c r="G41" s="165" t="n">
        <v>0</v>
      </c>
      <c r="H41" s="121" t="inlineStr">
        <is>
          <t>consultado</t>
        </is>
      </c>
      <c r="I41" s="165" t="n">
        <v>140</v>
      </c>
      <c r="J41" s="121" t="n">
        <v>46235.84460648148</v>
      </c>
      <c r="K41" s="121" t="inlineStr">
        <is>
          <t>N/D</t>
        </is>
      </c>
      <c r="L41" s="121" t="inlineStr">
        <is>
          <t>carteira-101-document-audit/v2</t>
        </is>
      </c>
    </row>
    <row r="42" ht="34.5" customHeight="1">
      <c r="A42" s="164" t="n">
        <v>43193260000133</v>
      </c>
      <c r="B42" s="121" t="inlineStr">
        <is>
          <t>43.193.260/0001-33</t>
        </is>
      </c>
      <c r="C42" s="121" t="inlineStr">
        <is>
          <t>RESIDENCE CLUB FUNDO DE INVESTIMENTO EM DIREITOS CREDITÓRIOS</t>
        </is>
      </c>
      <c r="D42" s="121" t="inlineStr">
        <is>
          <t>concluído</t>
        </is>
      </c>
      <c r="E42" s="165" t="n">
        <v>8</v>
      </c>
      <c r="F42" s="165" t="n">
        <v>0</v>
      </c>
      <c r="G42" s="165" t="n">
        <v>0</v>
      </c>
      <c r="H42" s="121" t="inlineStr">
        <is>
          <t>consultado</t>
        </is>
      </c>
      <c r="I42" s="165" t="n">
        <v>128</v>
      </c>
      <c r="J42" s="121" t="n">
        <v>46235.8515625</v>
      </c>
      <c r="K42" s="121" t="inlineStr">
        <is>
          <t>N/D</t>
        </is>
      </c>
      <c r="L42" s="121" t="inlineStr">
        <is>
          <t>carteira-101-document-audit/v2</t>
        </is>
      </c>
    </row>
    <row r="43" ht="34.5" customHeight="1">
      <c r="A43" s="164" t="n">
        <v>43309233000183</v>
      </c>
      <c r="B43" s="121" t="inlineStr">
        <is>
          <t>43.309.233/0001-83</t>
        </is>
      </c>
      <c r="C43" s="121" t="inlineStr">
        <is>
          <t>FUNDO DE INVESTIMENTO EM DIREITOS CREDITÓRIOS LIVERPOOL RESPONSABILIDADE LIMITADA</t>
        </is>
      </c>
      <c r="D43" s="121" t="inlineStr">
        <is>
          <t>concluído</t>
        </is>
      </c>
      <c r="E43" s="165" t="n">
        <v>4</v>
      </c>
      <c r="F43" s="165" t="n">
        <v>0</v>
      </c>
      <c r="G43" s="165" t="n">
        <v>0</v>
      </c>
      <c r="H43" s="121" t="inlineStr">
        <is>
          <t>consultado</t>
        </is>
      </c>
      <c r="I43" s="165" t="n">
        <v>105</v>
      </c>
      <c r="J43" s="121" t="n">
        <v>46235.84702546296</v>
      </c>
      <c r="K43" s="121" t="inlineStr">
        <is>
          <t>N/D</t>
        </is>
      </c>
      <c r="L43" s="121" t="inlineStr">
        <is>
          <t>carteira-101-document-audit/v2</t>
        </is>
      </c>
    </row>
    <row r="44" ht="34.5" customHeight="1">
      <c r="A44" s="164" t="n">
        <v>43616659000180</v>
      </c>
      <c r="B44" s="121" t="inlineStr">
        <is>
          <t>43.616.659/0001-80</t>
        </is>
      </c>
      <c r="C44" s="121" t="inlineStr">
        <is>
          <t>TALÓ 1 FUNDO DE INVESTIMENTO EM DIREITOS CREDITÓRIOS RESPONSABILIDADE LIMITADA</t>
        </is>
      </c>
      <c r="D44" s="121" t="inlineStr">
        <is>
          <t>concluído</t>
        </is>
      </c>
      <c r="E44" s="165" t="n">
        <v>6</v>
      </c>
      <c r="F44" s="165" t="n">
        <v>0</v>
      </c>
      <c r="G44" s="165" t="n">
        <v>0</v>
      </c>
      <c r="H44" s="121" t="inlineStr">
        <is>
          <t>consultado</t>
        </is>
      </c>
      <c r="I44" s="165" t="n">
        <v>110</v>
      </c>
      <c r="J44" s="121" t="n">
        <v>46235.84707175926</v>
      </c>
      <c r="K44" s="121" t="inlineStr">
        <is>
          <t>N/D</t>
        </is>
      </c>
      <c r="L44" s="121" t="inlineStr">
        <is>
          <t>carteira-101-document-audit/v2</t>
        </is>
      </c>
    </row>
    <row r="45" ht="34.5" customHeight="1">
      <c r="A45" s="164" t="n">
        <v>43866348000179</v>
      </c>
      <c r="B45" s="121" t="inlineStr">
        <is>
          <t>43.866.348/0001-79</t>
        </is>
      </c>
      <c r="C45" s="121" t="inlineStr">
        <is>
          <t>FUNDO DE INVESTIMENTO EM DIREITOS CREDITÓRIOS OPEA AGRO SUMITOMO CHEMICAL RESP LIMITADA</t>
        </is>
      </c>
      <c r="D45" s="121" t="inlineStr">
        <is>
          <t>concluído</t>
        </is>
      </c>
      <c r="E45" s="165" t="n">
        <v>8</v>
      </c>
      <c r="F45" s="165" t="n">
        <v>0</v>
      </c>
      <c r="G45" s="165" t="n">
        <v>0</v>
      </c>
      <c r="H45" s="121" t="inlineStr">
        <is>
          <t>consultado</t>
        </is>
      </c>
      <c r="I45" s="165" t="n">
        <v>123</v>
      </c>
      <c r="J45" s="121" t="n">
        <v>46235.85123842592</v>
      </c>
      <c r="K45" s="121" t="inlineStr">
        <is>
          <t>N/D</t>
        </is>
      </c>
      <c r="L45" s="121" t="inlineStr">
        <is>
          <t>carteira-101-document-audit/v2</t>
        </is>
      </c>
    </row>
    <row r="46" ht="34.5" customHeight="1">
      <c r="A46" s="164" t="n">
        <v>44124465000120</v>
      </c>
      <c r="B46" s="121" t="inlineStr">
        <is>
          <t>44.124.465/0001-20</t>
        </is>
      </c>
      <c r="C46" s="121" t="inlineStr">
        <is>
          <t>TMAQ 21 FUNDO DE INVESTIMENTO EM DIREITOS CREDITÓRIOS DE ARRANJOS DE PAGAMENTO DE RESPONSABILIDADE L</t>
        </is>
      </c>
      <c r="D46" s="121" t="inlineStr">
        <is>
          <t>concluído</t>
        </is>
      </c>
      <c r="E46" s="165" t="n">
        <v>6</v>
      </c>
      <c r="F46" s="165" t="n">
        <v>0</v>
      </c>
      <c r="G46" s="165" t="n">
        <v>0</v>
      </c>
      <c r="H46" s="121" t="inlineStr">
        <is>
          <t>consultado</t>
        </is>
      </c>
      <c r="I46" s="165" t="n">
        <v>119</v>
      </c>
      <c r="J46" s="121" t="n">
        <v>46235.85075231481</v>
      </c>
      <c r="K46" s="121" t="inlineStr">
        <is>
          <t>N/D</t>
        </is>
      </c>
      <c r="L46" s="121" t="inlineStr">
        <is>
          <t>carteira-101-document-audit/v2</t>
        </is>
      </c>
    </row>
    <row r="47" ht="34.5" customHeight="1">
      <c r="A47" s="164" t="n">
        <v>44124617000194</v>
      </c>
      <c r="B47" s="121" t="inlineStr">
        <is>
          <t>44.124.617/0001-94</t>
        </is>
      </c>
      <c r="C47" s="121" t="inlineStr">
        <is>
          <t>CLOUDWALK AKIRA II FIDC SEGMENTO MEIOS DE PAGAMENTO</t>
        </is>
      </c>
      <c r="D47" s="121" t="inlineStr">
        <is>
          <t>concluído</t>
        </is>
      </c>
      <c r="E47" s="165" t="n">
        <v>8</v>
      </c>
      <c r="F47" s="165" t="n">
        <v>4</v>
      </c>
      <c r="G47" s="165" t="n">
        <v>1</v>
      </c>
      <c r="H47" s="121" t="inlineStr">
        <is>
          <t>consultado</t>
        </is>
      </c>
      <c r="I47" s="165" t="n">
        <v>100</v>
      </c>
      <c r="J47" s="121" t="n">
        <v>46235.85057870371</v>
      </c>
      <c r="K47" s="121" t="inlineStr">
        <is>
          <t>N/D</t>
        </is>
      </c>
      <c r="L47" s="121" t="inlineStr">
        <is>
          <t>carteira-101-document-audit/v2</t>
        </is>
      </c>
    </row>
    <row r="48" ht="34.5" customHeight="1">
      <c r="A48" s="164" t="n">
        <v>44173467000109</v>
      </c>
      <c r="B48" s="121" t="inlineStr">
        <is>
          <t>44.173.467/0001-09</t>
        </is>
      </c>
      <c r="C48" s="121" t="inlineStr">
        <is>
          <t>MT INSS RECEIVABLES III FUNDO DE INVESTIMENTO EM DIREITOS CREDITÓRIOS RESPONSABILIDADE</t>
        </is>
      </c>
      <c r="D48" s="121" t="inlineStr">
        <is>
          <t>concluído</t>
        </is>
      </c>
      <c r="E48" s="165" t="n">
        <v>6</v>
      </c>
      <c r="F48" s="165" t="n">
        <v>6</v>
      </c>
      <c r="G48" s="165" t="n">
        <v>1</v>
      </c>
      <c r="H48" s="121" t="inlineStr">
        <is>
          <t>consultado</t>
        </is>
      </c>
      <c r="I48" s="165" t="n">
        <v>107</v>
      </c>
      <c r="J48" s="121" t="n">
        <v>46235.84538194445</v>
      </c>
      <c r="K48" s="121" t="inlineStr">
        <is>
          <t>N/D</t>
        </is>
      </c>
      <c r="L48" s="121" t="inlineStr">
        <is>
          <t>carteira-101-document-audit/v2</t>
        </is>
      </c>
    </row>
    <row r="49" ht="34.5" customHeight="1">
      <c r="A49" s="164" t="n">
        <v>44272584000120</v>
      </c>
      <c r="B49" s="121" t="inlineStr">
        <is>
          <t>44.272.584/0001-20</t>
        </is>
      </c>
      <c r="C49" s="121" t="inlineStr">
        <is>
          <t>LAVORO AGRO FIAGRO - DIREITOS CREDITÓRIOS - RESPONSABILIDADE LIMITADA</t>
        </is>
      </c>
      <c r="D49" s="121" t="inlineStr">
        <is>
          <t>concluído</t>
        </is>
      </c>
      <c r="E49" s="165" t="n">
        <v>6</v>
      </c>
      <c r="F49" s="165" t="n">
        <v>0</v>
      </c>
      <c r="G49" s="165" t="n">
        <v>0</v>
      </c>
      <c r="H49" s="121" t="inlineStr">
        <is>
          <t>consultado</t>
        </is>
      </c>
      <c r="I49" s="165" t="n">
        <v>120</v>
      </c>
      <c r="J49" s="121" t="n">
        <v>46235.85079861111</v>
      </c>
      <c r="K49" s="121" t="inlineStr">
        <is>
          <t>N/D</t>
        </is>
      </c>
      <c r="L49" s="121" t="inlineStr">
        <is>
          <t>carteira-101-document-audit/v2</t>
        </is>
      </c>
    </row>
    <row r="50" ht="34.5" customHeight="1">
      <c r="A50" s="164" t="n">
        <v>44574361000117</v>
      </c>
      <c r="B50" s="121" t="inlineStr">
        <is>
          <t>44.574.361/0001-17</t>
        </is>
      </c>
      <c r="C50" s="121" t="inlineStr">
        <is>
          <t>FUNDO DE INVESTIMENTO EM DIREITOS CREDITORIOS UPL 02 - RESPONSABILIDADE LIMITADA</t>
        </is>
      </c>
      <c r="D50" s="121" t="inlineStr">
        <is>
          <t>concluído</t>
        </is>
      </c>
      <c r="E50" s="165" t="n">
        <v>6</v>
      </c>
      <c r="F50" s="165" t="n">
        <v>0</v>
      </c>
      <c r="G50" s="165" t="n">
        <v>0</v>
      </c>
      <c r="H50" s="121" t="inlineStr">
        <is>
          <t>consultado</t>
        </is>
      </c>
      <c r="I50" s="165" t="n">
        <v>120</v>
      </c>
      <c r="J50" s="121" t="n">
        <v>46235.84746527778</v>
      </c>
      <c r="K50" s="121" t="inlineStr">
        <is>
          <t>N/D</t>
        </is>
      </c>
      <c r="L50" s="121" t="inlineStr">
        <is>
          <t>carteira-101-document-audit/v2</t>
        </is>
      </c>
    </row>
    <row r="51" ht="34.5" customHeight="1">
      <c r="A51" s="164" t="n">
        <v>45123558000100</v>
      </c>
      <c r="B51" s="121" t="inlineStr">
        <is>
          <t>45.123.558/0001-00</t>
        </is>
      </c>
      <c r="C51" s="121" t="inlineStr">
        <is>
          <t>N/D</t>
        </is>
      </c>
      <c r="D51" s="121" t="inlineStr">
        <is>
          <t>concluído</t>
        </is>
      </c>
      <c r="E51" s="165" t="n">
        <v>0</v>
      </c>
      <c r="F51" s="165" t="n">
        <v>0</v>
      </c>
      <c r="G51" s="165" t="n">
        <v>0</v>
      </c>
      <c r="H51" s="121" t="inlineStr">
        <is>
          <t>sem_documentos</t>
        </is>
      </c>
      <c r="I51" s="165" t="n">
        <v>0</v>
      </c>
      <c r="J51" s="121" t="n">
        <v>46235.84746527778</v>
      </c>
      <c r="K51" s="121" t="inlineStr">
        <is>
          <t>N/D</t>
        </is>
      </c>
      <c r="L51" s="121" t="inlineStr">
        <is>
          <t>carteira-101-document-audit/v2</t>
        </is>
      </c>
    </row>
    <row r="52" ht="34.5" customHeight="1">
      <c r="A52" s="164" t="n">
        <v>45523699000102</v>
      </c>
      <c r="B52" s="121" t="inlineStr">
        <is>
          <t>45.523.699/0001-02</t>
        </is>
      </c>
      <c r="C52" s="121" t="inlineStr">
        <is>
          <t>VIXTRA FUNDO DE INVESTIMENTO EM DIREITOS CREDITÓRIOS RESPONSABILIDADE LIMITADA</t>
        </is>
      </c>
      <c r="D52" s="121" t="inlineStr">
        <is>
          <t>concluído</t>
        </is>
      </c>
      <c r="E52" s="165" t="n">
        <v>9</v>
      </c>
      <c r="F52" s="165" t="n">
        <v>2</v>
      </c>
      <c r="G52" s="165" t="n">
        <v>1</v>
      </c>
      <c r="H52" s="121" t="inlineStr">
        <is>
          <t>consultado</t>
        </is>
      </c>
      <c r="I52" s="165" t="n">
        <v>143</v>
      </c>
      <c r="J52" s="121" t="n">
        <v>46235.84572916666</v>
      </c>
      <c r="K52" s="121" t="inlineStr">
        <is>
          <t>N/D</t>
        </is>
      </c>
      <c r="L52" s="121" t="inlineStr">
        <is>
          <t>carteira-101-document-audit/v2</t>
        </is>
      </c>
    </row>
    <row r="53" ht="34.5" customHeight="1">
      <c r="A53" s="164" t="n">
        <v>45598747000121</v>
      </c>
      <c r="B53" s="121" t="inlineStr">
        <is>
          <t>45.598.747/0001-21</t>
        </is>
      </c>
      <c r="C53" s="121" t="inlineStr">
        <is>
          <t>SUMUP SOLO FUNDO DE INVESTIMENTO EM DIREITOS CREDITÓRIOS SEGMENTO MEIOS DE PAGAMENTO DE RESPONSABILI</t>
        </is>
      </c>
      <c r="D53" s="121" t="inlineStr">
        <is>
          <t>concluído</t>
        </is>
      </c>
      <c r="E53" s="165" t="n">
        <v>9</v>
      </c>
      <c r="F53" s="165" t="n">
        <v>6</v>
      </c>
      <c r="G53" s="165" t="n">
        <v>1</v>
      </c>
      <c r="H53" s="121" t="inlineStr">
        <is>
          <t>consultado</t>
        </is>
      </c>
      <c r="I53" s="165" t="n">
        <v>93</v>
      </c>
      <c r="J53" s="121" t="n">
        <v>46235.84752314815</v>
      </c>
      <c r="K53" s="121" t="inlineStr">
        <is>
          <t>N/D</t>
        </is>
      </c>
      <c r="L53" s="121" t="inlineStr">
        <is>
          <t>carteira-101-document-audit/v2</t>
        </is>
      </c>
    </row>
    <row r="54" ht="34.5" customHeight="1">
      <c r="A54" s="164" t="n">
        <v>47151680000108</v>
      </c>
      <c r="B54" s="121" t="inlineStr">
        <is>
          <t>47.151.680/0001-08</t>
        </is>
      </c>
      <c r="C54" s="121" t="inlineStr">
        <is>
          <t>FARM TECH IBBA I FUNDO DE INVESTIMENTO EM DIREITOS CREDITÓRIOS RESPONSABILIDADE LIMITADA</t>
        </is>
      </c>
      <c r="D54" s="121" t="inlineStr">
        <is>
          <t>concluído</t>
        </is>
      </c>
      <c r="E54" s="165" t="n">
        <v>0</v>
      </c>
      <c r="F54" s="165" t="n">
        <v>0</v>
      </c>
      <c r="G54" s="165" t="n">
        <v>0</v>
      </c>
      <c r="H54" s="121" t="inlineStr">
        <is>
          <t>consultado</t>
        </is>
      </c>
      <c r="I54" s="165" t="n">
        <v>0</v>
      </c>
      <c r="J54" s="121" t="n">
        <v>46235.84697916666</v>
      </c>
      <c r="K54" s="121" t="inlineStr">
        <is>
          <t>Falha de rede ao acessar pesquisarGerenciadorDocumentosDados: The read operation timed out</t>
        </is>
      </c>
      <c r="L54" s="121" t="inlineStr">
        <is>
          <t>carteira-101-document-audit/v2</t>
        </is>
      </c>
    </row>
    <row r="55" ht="34.5" customHeight="1">
      <c r="A55" s="164" t="n">
        <v>47280025000150</v>
      </c>
      <c r="B55" s="121" t="inlineStr">
        <is>
          <t>47.280.025/0001-50</t>
        </is>
      </c>
      <c r="C55" s="121" t="inlineStr">
        <is>
          <t>FIDC AGRO CAPITAL FINANCE RESPONSABILIDADE LIMITADA</t>
        </is>
      </c>
      <c r="D55" s="121" t="inlineStr">
        <is>
          <t>concluído</t>
        </is>
      </c>
      <c r="E55" s="165" t="n">
        <v>9</v>
      </c>
      <c r="F55" s="165" t="n">
        <v>2</v>
      </c>
      <c r="G55" s="165" t="n">
        <v>1</v>
      </c>
      <c r="H55" s="121" t="inlineStr">
        <is>
          <t>consultado</t>
        </is>
      </c>
      <c r="I55" s="165" t="n">
        <v>120</v>
      </c>
      <c r="J55" s="121" t="n">
        <v>46235.85082175926</v>
      </c>
      <c r="K55" s="121" t="inlineStr">
        <is>
          <t>N/D</t>
        </is>
      </c>
      <c r="L55" s="121" t="inlineStr">
        <is>
          <t>carteira-101-document-audit/v2</t>
        </is>
      </c>
    </row>
    <row r="56" ht="34.5" customHeight="1">
      <c r="A56" s="164" t="n">
        <v>47425750000179</v>
      </c>
      <c r="B56" s="121" t="inlineStr">
        <is>
          <t>47.425.750/0001-79</t>
        </is>
      </c>
      <c r="C56" s="121" t="inlineStr">
        <is>
          <t>CEREALIS FUNDO DE INVESTIMENTO EM DIREITOS CREDITÓRIOS</t>
        </is>
      </c>
      <c r="D56" s="121" t="inlineStr">
        <is>
          <t>concluído</t>
        </is>
      </c>
      <c r="E56" s="165" t="n">
        <v>9</v>
      </c>
      <c r="F56" s="165" t="n">
        <v>2</v>
      </c>
      <c r="G56" s="165" t="n">
        <v>1</v>
      </c>
      <c r="H56" s="121" t="inlineStr">
        <is>
          <t>consultado</t>
        </is>
      </c>
      <c r="I56" s="165" t="n">
        <v>111</v>
      </c>
      <c r="J56" s="121" t="n">
        <v>46235.85137731482</v>
      </c>
      <c r="K56" s="121" t="inlineStr">
        <is>
          <t>N/D</t>
        </is>
      </c>
      <c r="L56" s="121" t="inlineStr">
        <is>
          <t>carteira-101-document-audit/v2</t>
        </is>
      </c>
    </row>
    <row r="57" ht="34.5" customHeight="1">
      <c r="A57" s="164" t="n">
        <v>47640584000123</v>
      </c>
      <c r="B57" s="121" t="inlineStr">
        <is>
          <t>47.640.584/0001-23</t>
        </is>
      </c>
      <c r="C57" s="121" t="inlineStr">
        <is>
          <t>SOL AGORA GREEN ESG FIDC IS SEGMENTO FINANCEIRO DE RESPONSABILIDADE LIMITADA</t>
        </is>
      </c>
      <c r="D57" s="121" t="inlineStr">
        <is>
          <t>concluído</t>
        </is>
      </c>
      <c r="E57" s="165" t="n">
        <v>8</v>
      </c>
      <c r="F57" s="165" t="n">
        <v>0</v>
      </c>
      <c r="G57" s="165" t="n">
        <v>0</v>
      </c>
      <c r="H57" s="121" t="inlineStr">
        <is>
          <t>consultado</t>
        </is>
      </c>
      <c r="I57" s="165" t="n">
        <v>114</v>
      </c>
      <c r="J57" s="121" t="n">
        <v>46235.85149305555</v>
      </c>
      <c r="K57" s="121" t="inlineStr">
        <is>
          <t>N/D</t>
        </is>
      </c>
      <c r="L57" s="121" t="inlineStr">
        <is>
          <t>carteira-101-document-audit/v2</t>
        </is>
      </c>
    </row>
    <row r="58" ht="34.5" customHeight="1">
      <c r="A58" s="164" t="n">
        <v>47936340000192</v>
      </c>
      <c r="B58" s="121" t="inlineStr">
        <is>
          <t>47.936.340/0001-92</t>
        </is>
      </c>
      <c r="C58" s="121" t="inlineStr">
        <is>
          <t>FUNDO DE INVESTIMENTO NAS CADEIAS PRODUTIVAS AGROINDUSTRIAIS OPEA AGRO INSUMOS RESPONSABILIDADE LIMI</t>
        </is>
      </c>
      <c r="D58" s="121" t="inlineStr">
        <is>
          <t>concluído</t>
        </is>
      </c>
      <c r="E58" s="165" t="n">
        <v>9</v>
      </c>
      <c r="F58" s="165" t="n">
        <v>2</v>
      </c>
      <c r="G58" s="165" t="n">
        <v>1</v>
      </c>
      <c r="H58" s="121" t="inlineStr">
        <is>
          <t>consultado</t>
        </is>
      </c>
      <c r="I58" s="165" t="n">
        <v>84</v>
      </c>
      <c r="J58" s="121" t="n">
        <v>46235.85427083333</v>
      </c>
      <c r="K58" s="121" t="inlineStr">
        <is>
          <t>N/D</t>
        </is>
      </c>
      <c r="L58" s="121" t="inlineStr">
        <is>
          <t>carteira-101-document-audit/v2</t>
        </is>
      </c>
    </row>
    <row r="59" ht="34.5" customHeight="1">
      <c r="A59" s="164" t="n">
        <v>48313595000161</v>
      </c>
      <c r="B59" s="121" t="inlineStr">
        <is>
          <t>48.313.595/0001-61</t>
        </is>
      </c>
      <c r="C59" s="121" t="inlineStr">
        <is>
          <t>IBBA AGRO BR FUNDO DE INVESTIMENTO EM DIREITOS CREDITÓRIOS</t>
        </is>
      </c>
      <c r="D59" s="121" t="inlineStr">
        <is>
          <t>concluído</t>
        </is>
      </c>
      <c r="E59" s="165" t="n">
        <v>4</v>
      </c>
      <c r="F59" s="165" t="n">
        <v>0</v>
      </c>
      <c r="G59" s="165" t="n">
        <v>0</v>
      </c>
      <c r="H59" s="121" t="inlineStr">
        <is>
          <t>consultado</t>
        </is>
      </c>
      <c r="I59" s="165" t="n">
        <v>75</v>
      </c>
      <c r="J59" s="121" t="n">
        <v>46235.84545138889</v>
      </c>
      <c r="K59" s="121" t="inlineStr">
        <is>
          <t>N/D</t>
        </is>
      </c>
      <c r="L59" s="121" t="inlineStr">
        <is>
          <t>carteira-101-document-audit/v2</t>
        </is>
      </c>
    </row>
    <row r="60" ht="34.5" customHeight="1">
      <c r="A60" s="164" t="n">
        <v>48946335000123</v>
      </c>
      <c r="B60" s="121" t="inlineStr">
        <is>
          <t>48.946.335/0001-23</t>
        </is>
      </c>
      <c r="C60" s="121" t="inlineStr">
        <is>
          <t>NAGRO OIKOS FUNDO DE INVESTIMENTO NAS CADEIAS PRODUTIVAS DO AGRONEGÓCIO</t>
        </is>
      </c>
      <c r="D60" s="121" t="inlineStr">
        <is>
          <t>concluído</t>
        </is>
      </c>
      <c r="E60" s="165" t="n">
        <v>8</v>
      </c>
      <c r="F60" s="165" t="n">
        <v>0</v>
      </c>
      <c r="G60" s="165" t="n">
        <v>0</v>
      </c>
      <c r="H60" s="121" t="inlineStr">
        <is>
          <t>consultado</t>
        </is>
      </c>
      <c r="I60" s="165" t="n">
        <v>101</v>
      </c>
      <c r="J60" s="121" t="n">
        <v>46235.8509375</v>
      </c>
      <c r="K60" s="121" t="inlineStr">
        <is>
          <t>N/D</t>
        </is>
      </c>
      <c r="L60" s="121" t="inlineStr">
        <is>
          <t>carteira-101-document-audit/v2</t>
        </is>
      </c>
    </row>
    <row r="61" ht="34.5" customHeight="1">
      <c r="A61" s="164" t="n">
        <v>48953864000154</v>
      </c>
      <c r="B61" s="121" t="inlineStr">
        <is>
          <t>48.953.864/0001-54</t>
        </is>
      </c>
      <c r="C61" s="121" t="inlineStr">
        <is>
          <t>FUNDO DE INVESTIMENTO EM DIREITOS CREDITORIOS ASAAS II - RESPONSABILIDADE LIMITADA</t>
        </is>
      </c>
      <c r="D61" s="121" t="inlineStr">
        <is>
          <t>concluído</t>
        </is>
      </c>
      <c r="E61" s="165" t="n">
        <v>6</v>
      </c>
      <c r="F61" s="165" t="n">
        <v>0</v>
      </c>
      <c r="G61" s="165" t="n">
        <v>0</v>
      </c>
      <c r="H61" s="121" t="inlineStr">
        <is>
          <t>consultado</t>
        </is>
      </c>
      <c r="I61" s="165" t="n">
        <v>61</v>
      </c>
      <c r="J61" s="121" t="n">
        <v>46235.85100694445</v>
      </c>
      <c r="K61" s="121" t="inlineStr">
        <is>
          <t>N/D</t>
        </is>
      </c>
      <c r="L61" s="121" t="inlineStr">
        <is>
          <t>carteira-101-document-audit/v2</t>
        </is>
      </c>
    </row>
    <row r="62" ht="34.5" customHeight="1">
      <c r="A62" s="164" t="n">
        <v>48967719000122</v>
      </c>
      <c r="B62" s="121" t="inlineStr">
        <is>
          <t>48.967.719/0001-22</t>
        </is>
      </c>
      <c r="C62" s="121" t="inlineStr">
        <is>
          <t>SOULPAY FUNDO DE INVESTIMENTO EM DIREITOS CREDITÓRIOS</t>
        </is>
      </c>
      <c r="D62" s="121" t="inlineStr">
        <is>
          <t>concluído</t>
        </is>
      </c>
      <c r="E62" s="165" t="n">
        <v>7</v>
      </c>
      <c r="F62" s="165" t="n">
        <v>0</v>
      </c>
      <c r="G62" s="165" t="n">
        <v>0</v>
      </c>
      <c r="H62" s="121" t="inlineStr">
        <is>
          <t>consultado</t>
        </is>
      </c>
      <c r="I62" s="165" t="n">
        <v>82</v>
      </c>
      <c r="J62" s="121" t="n">
        <v>46235.84505787037</v>
      </c>
      <c r="K62" s="121" t="inlineStr">
        <is>
          <t>N/D</t>
        </is>
      </c>
      <c r="L62" s="121" t="inlineStr">
        <is>
          <t>carteira-101-document-audit/v2</t>
        </is>
      </c>
    </row>
    <row r="63" ht="34.5" customHeight="1">
      <c r="A63" s="164" t="n">
        <v>49113994000141</v>
      </c>
      <c r="B63" s="121" t="inlineStr">
        <is>
          <t>49.113.994/0001-41</t>
        </is>
      </c>
      <c r="C63" s="121" t="inlineStr">
        <is>
          <t>FUNDO DE INVESTIMENTO EM DIREITOS CREDITÓRIOS CAP - RESPONSABILIDADE LIMITADA</t>
        </is>
      </c>
      <c r="D63" s="121" t="inlineStr">
        <is>
          <t>concluído</t>
        </is>
      </c>
      <c r="E63" s="165" t="n">
        <v>8</v>
      </c>
      <c r="F63" s="165" t="n">
        <v>0</v>
      </c>
      <c r="G63" s="165" t="n">
        <v>0</v>
      </c>
      <c r="H63" s="121" t="inlineStr">
        <is>
          <t>consultado</t>
        </is>
      </c>
      <c r="I63" s="165" t="n">
        <v>104</v>
      </c>
      <c r="J63" s="121" t="n">
        <v>46235.85178240741</v>
      </c>
      <c r="K63" s="121" t="inlineStr">
        <is>
          <t>N/D</t>
        </is>
      </c>
      <c r="L63" s="121" t="inlineStr">
        <is>
          <t>carteira-101-document-audit/v2</t>
        </is>
      </c>
    </row>
    <row r="64" ht="34.5" customHeight="1">
      <c r="A64" s="164" t="n">
        <v>50089559000108</v>
      </c>
      <c r="B64" s="121" t="inlineStr">
        <is>
          <t>50.089.559/0001-08</t>
        </is>
      </c>
      <c r="C64" s="121" t="inlineStr">
        <is>
          <t>AGRICONNECTION FIAGRO</t>
        </is>
      </c>
      <c r="D64" s="121" t="inlineStr">
        <is>
          <t>concluído</t>
        </is>
      </c>
      <c r="E64" s="165" t="n">
        <v>8</v>
      </c>
      <c r="F64" s="165" t="n">
        <v>0</v>
      </c>
      <c r="G64" s="165" t="n">
        <v>0</v>
      </c>
      <c r="H64" s="121" t="inlineStr">
        <is>
          <t>consultado</t>
        </is>
      </c>
      <c r="I64" s="165" t="n">
        <v>99</v>
      </c>
      <c r="J64" s="121" t="n">
        <v>46235.84649305556</v>
      </c>
      <c r="K64" s="121" t="inlineStr">
        <is>
          <t>N/D</t>
        </is>
      </c>
      <c r="L64" s="121" t="inlineStr">
        <is>
          <t>carteira-101-document-audit/v2</t>
        </is>
      </c>
    </row>
    <row r="65" ht="34.5" customHeight="1">
      <c r="A65" s="164" t="n">
        <v>50098465000103</v>
      </c>
      <c r="B65" s="121" t="inlineStr">
        <is>
          <t>50.098.465/0001-03</t>
        </is>
      </c>
      <c r="C65" s="121" t="inlineStr">
        <is>
          <t>CHEMICAL XIII - FUNDO DE INVESTIMENTO EM DIREITOS CREDITÓRIOS - INDÚSTRIA PETROQUÍMICA</t>
        </is>
      </c>
      <c r="D65" s="121" t="inlineStr">
        <is>
          <t>concluído</t>
        </is>
      </c>
      <c r="E65" s="165" t="n">
        <v>8</v>
      </c>
      <c r="F65" s="165" t="n">
        <v>0</v>
      </c>
      <c r="G65" s="165" t="n">
        <v>0</v>
      </c>
      <c r="H65" s="121" t="inlineStr">
        <is>
          <t>consultado</t>
        </is>
      </c>
      <c r="I65" s="165" t="n">
        <v>88</v>
      </c>
      <c r="J65" s="121" t="n">
        <v>46235.84504629629</v>
      </c>
      <c r="K65" s="121" t="inlineStr">
        <is>
          <t>N/D</t>
        </is>
      </c>
      <c r="L65" s="121" t="inlineStr">
        <is>
          <t>carteira-101-document-audit/v2</t>
        </is>
      </c>
    </row>
    <row r="66" ht="34.5" customHeight="1">
      <c r="A66" s="164" t="n">
        <v>50473039000102</v>
      </c>
      <c r="B66" s="121" t="inlineStr">
        <is>
          <t>50.473.039/0001-02</t>
        </is>
      </c>
      <c r="C66" s="121" t="inlineStr">
        <is>
          <t>SELLER FIDC SEGMENTO MEIOS DE PAGAMENTO DE RESPONSABILIDADE LIMITADA</t>
        </is>
      </c>
      <c r="D66" s="121" t="inlineStr">
        <is>
          <t>concluído</t>
        </is>
      </c>
      <c r="E66" s="165" t="n">
        <v>11</v>
      </c>
      <c r="F66" s="165" t="n">
        <v>4</v>
      </c>
      <c r="G66" s="165" t="n">
        <v>2</v>
      </c>
      <c r="H66" s="121" t="inlineStr">
        <is>
          <t>consultado</t>
        </is>
      </c>
      <c r="I66" s="165" t="n">
        <v>86</v>
      </c>
      <c r="J66" s="121" t="n">
        <v>46235.85107638889</v>
      </c>
      <c r="K66" s="121" t="inlineStr">
        <is>
          <t>N/D</t>
        </is>
      </c>
      <c r="L66" s="121" t="inlineStr">
        <is>
          <t>carteira-101-document-audit/v2</t>
        </is>
      </c>
    </row>
    <row r="67" ht="34.5" customHeight="1">
      <c r="A67" s="164" t="n">
        <v>50536324000117</v>
      </c>
      <c r="B67" s="121" t="inlineStr">
        <is>
          <t>50.536.324/0001-17</t>
        </is>
      </c>
      <c r="C67" s="121" t="inlineStr">
        <is>
          <t>MAQNELSON FUNDO DE INVESTIMENTO EM DIREITOS CREDITÓRIOS - RESPONSABILIDADE LIMITADA</t>
        </is>
      </c>
      <c r="D67" s="121" t="inlineStr">
        <is>
          <t>concluído</t>
        </is>
      </c>
      <c r="E67" s="165" t="n">
        <v>7</v>
      </c>
      <c r="F67" s="165" t="n">
        <v>2</v>
      </c>
      <c r="G67" s="165" t="n">
        <v>1</v>
      </c>
      <c r="H67" s="121" t="inlineStr">
        <is>
          <t>consultado</t>
        </is>
      </c>
      <c r="I67" s="165" t="n">
        <v>76</v>
      </c>
      <c r="J67" s="121" t="n">
        <v>46235.85424768519</v>
      </c>
      <c r="K67" s="121" t="inlineStr">
        <is>
          <t>N/D</t>
        </is>
      </c>
      <c r="L67" s="121" t="inlineStr">
        <is>
          <t>carteira-101-document-audit/v2</t>
        </is>
      </c>
    </row>
    <row r="68" ht="34.5" customHeight="1">
      <c r="A68" s="164" t="n">
        <v>50832746000130</v>
      </c>
      <c r="B68" s="121" t="inlineStr">
        <is>
          <t>50.832.746/0001-30</t>
        </is>
      </c>
      <c r="C68" s="121" t="inlineStr">
        <is>
          <t>BOASAFRA FUNDO DE INVESTIMENTO EM DIREITOS CREDITÓRIOS DO AGRONEGÓCIO RESPONSABILIDADE LIMITADA</t>
        </is>
      </c>
      <c r="D68" s="121" t="inlineStr">
        <is>
          <t>concluído</t>
        </is>
      </c>
      <c r="E68" s="165" t="n">
        <v>8</v>
      </c>
      <c r="F68" s="165" t="n">
        <v>0</v>
      </c>
      <c r="G68" s="165" t="n">
        <v>0</v>
      </c>
      <c r="H68" s="121" t="inlineStr">
        <is>
          <t>consultado</t>
        </is>
      </c>
      <c r="I68" s="165" t="n">
        <v>62</v>
      </c>
      <c r="J68" s="121" t="n">
        <v>46235.84510416666</v>
      </c>
      <c r="K68" s="121" t="inlineStr">
        <is>
          <t>N/D</t>
        </is>
      </c>
      <c r="L68" s="121" t="inlineStr">
        <is>
          <t>carteira-101-document-audit/v2</t>
        </is>
      </c>
    </row>
    <row r="69" ht="34.5" customHeight="1">
      <c r="A69" s="164" t="n">
        <v>50857998000113</v>
      </c>
      <c r="B69" s="121" t="inlineStr">
        <is>
          <t>50.857.998/0001-13</t>
        </is>
      </c>
      <c r="C69" s="121" t="inlineStr">
        <is>
          <t>LEO MADEIRAS FIDC SEGMENTO MEIOS DE PAGAMENTO DE RESPONSABILIDADE LIMITADA</t>
        </is>
      </c>
      <c r="D69" s="121" t="inlineStr">
        <is>
          <t>concluído</t>
        </is>
      </c>
      <c r="E69" s="165" t="n">
        <v>6</v>
      </c>
      <c r="F69" s="165" t="n">
        <v>0</v>
      </c>
      <c r="G69" s="165" t="n">
        <v>0</v>
      </c>
      <c r="H69" s="121" t="inlineStr">
        <is>
          <t>consultado</t>
        </is>
      </c>
      <c r="I69" s="165" t="n">
        <v>78</v>
      </c>
      <c r="J69" s="121" t="n">
        <v>46235.84748842593</v>
      </c>
      <c r="K69" s="121" t="inlineStr">
        <is>
          <t>N/D</t>
        </is>
      </c>
      <c r="L69" s="121" t="inlineStr">
        <is>
          <t>carteira-101-document-audit/v2</t>
        </is>
      </c>
    </row>
    <row r="70" ht="34.5" customHeight="1">
      <c r="A70" s="164" t="n">
        <v>50988212000105</v>
      </c>
      <c r="B70" s="121" t="inlineStr">
        <is>
          <t>50.988.212/0001-05</t>
        </is>
      </c>
      <c r="C70" s="121" t="inlineStr">
        <is>
          <t>CARTÃO DE COMPRA SUPPLIER FUNDO DE INVESTIMENTO EM DIREITOS CREDITÓRIOS II-RESPONSABILIDADE LIMITADA</t>
        </is>
      </c>
      <c r="D70" s="121" t="inlineStr">
        <is>
          <t>concluído</t>
        </is>
      </c>
      <c r="E70" s="165" t="n">
        <v>7</v>
      </c>
      <c r="F70" s="165" t="n">
        <v>6</v>
      </c>
      <c r="G70" s="165" t="n">
        <v>1</v>
      </c>
      <c r="H70" s="121" t="inlineStr">
        <is>
          <t>consultado</t>
        </is>
      </c>
      <c r="I70" s="165" t="n">
        <v>75</v>
      </c>
      <c r="J70" s="121" t="n">
        <v>46235.85111111111</v>
      </c>
      <c r="K70" s="121" t="inlineStr">
        <is>
          <t>N/D</t>
        </is>
      </c>
      <c r="L70" s="121" t="inlineStr">
        <is>
          <t>carteira-101-document-audit/v2</t>
        </is>
      </c>
    </row>
    <row r="71" ht="34.5" customHeight="1">
      <c r="A71" s="164" t="n">
        <v>51554551000138</v>
      </c>
      <c r="B71" s="121" t="inlineStr">
        <is>
          <t>51.554.551/0001-38</t>
        </is>
      </c>
      <c r="C71" s="121" t="inlineStr">
        <is>
          <t>CLASSE ÚNICA DO FIDC CRÉDITO NITRO AGRO - RESPONSABILIDADE LIMITADA</t>
        </is>
      </c>
      <c r="D71" s="121" t="inlineStr">
        <is>
          <t>concluído</t>
        </is>
      </c>
      <c r="E71" s="165" t="n">
        <v>8</v>
      </c>
      <c r="F71" s="165" t="n">
        <v>0</v>
      </c>
      <c r="G71" s="165" t="n">
        <v>0</v>
      </c>
      <c r="H71" s="121" t="inlineStr">
        <is>
          <t>consultado</t>
        </is>
      </c>
      <c r="I71" s="165" t="n">
        <v>86</v>
      </c>
      <c r="J71" s="121" t="n">
        <v>46235.85134259259</v>
      </c>
      <c r="K71" s="121" t="inlineStr">
        <is>
          <t>N/D</t>
        </is>
      </c>
      <c r="L71" s="121" t="inlineStr">
        <is>
          <t>carteira-101-document-audit/v2</t>
        </is>
      </c>
    </row>
    <row r="72" ht="34.5" customHeight="1">
      <c r="A72" s="164" t="n">
        <v>52100879000147</v>
      </c>
      <c r="B72" s="121" t="inlineStr">
        <is>
          <t>52.100.879/0001-47</t>
        </is>
      </c>
      <c r="C72" s="121" t="inlineStr">
        <is>
          <t>SOTREQ FUNDO DE INVESTIMENTO EM DIREITOS CREDITÓRIOS - RESPONSABILIDADE LIMITADA</t>
        </is>
      </c>
      <c r="D72" s="121" t="inlineStr">
        <is>
          <t>concluído</t>
        </is>
      </c>
      <c r="E72" s="165" t="n">
        <v>5</v>
      </c>
      <c r="F72" s="165" t="n">
        <v>0</v>
      </c>
      <c r="G72" s="165" t="n">
        <v>0</v>
      </c>
      <c r="H72" s="121" t="inlineStr">
        <is>
          <t>consultado</t>
        </is>
      </c>
      <c r="I72" s="165" t="n">
        <v>83</v>
      </c>
      <c r="J72" s="121" t="n">
        <v>46235.84469907408</v>
      </c>
      <c r="K72" s="121" t="inlineStr">
        <is>
          <t>N/D</t>
        </is>
      </c>
      <c r="L72" s="121" t="inlineStr">
        <is>
          <t>carteira-101-document-audit/v2</t>
        </is>
      </c>
    </row>
    <row r="73" ht="34.5" customHeight="1">
      <c r="A73" s="164" t="n">
        <v>52271464000136</v>
      </c>
      <c r="B73" s="121" t="inlineStr">
        <is>
          <t>52.271.464/0001-36</t>
        </is>
      </c>
      <c r="C73" s="121" t="inlineStr">
        <is>
          <t>KIWIFY FUNDO DE INVESTIMENTO EM DIREITOS CREDITÓRIOS SEGMENTO MEIOS DE PAGAMENTO DE RESPONSABILIDADE</t>
        </is>
      </c>
      <c r="D73" s="121" t="inlineStr">
        <is>
          <t>concluído</t>
        </is>
      </c>
      <c r="E73" s="165" t="n">
        <v>6</v>
      </c>
      <c r="F73" s="165" t="n">
        <v>0</v>
      </c>
      <c r="G73" s="165" t="n">
        <v>0</v>
      </c>
      <c r="H73" s="121" t="inlineStr">
        <is>
          <t>consultado</t>
        </is>
      </c>
      <c r="I73" s="165" t="n">
        <v>95</v>
      </c>
      <c r="J73" s="121" t="n">
        <v>46235.85069444445</v>
      </c>
      <c r="K73" s="121" t="inlineStr">
        <is>
          <t>N/D</t>
        </is>
      </c>
      <c r="L73" s="121" t="inlineStr">
        <is>
          <t>carteira-101-document-audit/v2</t>
        </is>
      </c>
    </row>
    <row r="74" ht="34.5" customHeight="1">
      <c r="A74" s="164" t="n">
        <v>52340225000190</v>
      </c>
      <c r="B74" s="121" t="inlineStr">
        <is>
          <t>52.340.225/0001-90</t>
        </is>
      </c>
      <c r="C74" s="121" t="inlineStr">
        <is>
          <t>INOVA CREDTECH III FIDC SEGMENTO MULTICARTEIRA DE RESPONSABILIDADE LIMITADA</t>
        </is>
      </c>
      <c r="D74" s="121" t="inlineStr">
        <is>
          <t>concluído</t>
        </is>
      </c>
      <c r="E74" s="165" t="n">
        <v>8</v>
      </c>
      <c r="F74" s="165" t="n">
        <v>6</v>
      </c>
      <c r="G74" s="165" t="n">
        <v>1</v>
      </c>
      <c r="H74" s="121" t="inlineStr">
        <is>
          <t>consultado</t>
        </is>
      </c>
      <c r="I74" s="165" t="n">
        <v>105</v>
      </c>
      <c r="J74" s="121" t="n">
        <v>46235.85159722222</v>
      </c>
      <c r="K74" s="121" t="inlineStr">
        <is>
          <t>N/D</t>
        </is>
      </c>
      <c r="L74" s="121" t="inlineStr">
        <is>
          <t>carteira-101-document-audit/v2</t>
        </is>
      </c>
    </row>
    <row r="75" ht="34.5" customHeight="1">
      <c r="A75" s="164" t="n">
        <v>52343195000176</v>
      </c>
      <c r="B75" s="121" t="inlineStr">
        <is>
          <t>52.343.195/0001-76</t>
        </is>
      </c>
      <c r="C75" s="121" t="inlineStr">
        <is>
          <t>FARMTECH SYNGENTA FUNDO DE INVESTIMENTO EM DIREITOS CREDITÓRIOS RESPONSABILIDADE LIMITADA</t>
        </is>
      </c>
      <c r="D75" s="121" t="inlineStr">
        <is>
          <t>concluído</t>
        </is>
      </c>
      <c r="E75" s="165" t="n">
        <v>5</v>
      </c>
      <c r="F75" s="165" t="n">
        <v>0</v>
      </c>
      <c r="G75" s="165" t="n">
        <v>0</v>
      </c>
      <c r="H75" s="121" t="inlineStr">
        <is>
          <t>consultado</t>
        </is>
      </c>
      <c r="I75" s="165" t="n">
        <v>51</v>
      </c>
      <c r="J75" s="121" t="n">
        <v>46235.84738425926</v>
      </c>
      <c r="K75" s="121" t="inlineStr">
        <is>
          <t>N/D</t>
        </is>
      </c>
      <c r="L75" s="121" t="inlineStr">
        <is>
          <t>carteira-101-document-audit/v2</t>
        </is>
      </c>
    </row>
    <row r="76" ht="34.5" customHeight="1">
      <c r="A76" s="164" t="n">
        <v>52968533000165</v>
      </c>
      <c r="B76" s="121" t="inlineStr">
        <is>
          <t>52.968.533/0001-65</t>
        </is>
      </c>
      <c r="C76" s="121" t="inlineStr">
        <is>
          <t>MCPO FUNDO DE INVESTIMENTO EM DIREITOS CREDITÓRIOS</t>
        </is>
      </c>
      <c r="D76" s="121" t="inlineStr">
        <is>
          <t>concluído</t>
        </is>
      </c>
      <c r="E76" s="165" t="n">
        <v>6</v>
      </c>
      <c r="F76" s="165" t="n">
        <v>0</v>
      </c>
      <c r="G76" s="165" t="n">
        <v>0</v>
      </c>
      <c r="H76" s="121" t="inlineStr">
        <is>
          <t>consultado</t>
        </is>
      </c>
      <c r="I76" s="165" t="n">
        <v>69</v>
      </c>
      <c r="J76" s="121" t="n">
        <v>46235.85422453703</v>
      </c>
      <c r="K76" s="121" t="inlineStr">
        <is>
          <t>N/D</t>
        </is>
      </c>
      <c r="L76" s="121" t="inlineStr">
        <is>
          <t>carteira-101-document-audit/v2</t>
        </is>
      </c>
    </row>
    <row r="77" ht="34.5" customHeight="1">
      <c r="A77" s="164" t="n">
        <v>53270983000142</v>
      </c>
      <c r="B77" s="121" t="inlineStr">
        <is>
          <t>53.270.983/0001-42</t>
        </is>
      </c>
      <c r="C77" s="121" t="inlineStr">
        <is>
          <t>ANGÁ FGTS +AG FUNDO DE INVESTIMENTO EM DIREITOS CREDITÓRIOS - RESPONSABILIDADE LIMITADA</t>
        </is>
      </c>
      <c r="D77" s="121" t="inlineStr">
        <is>
          <t>concluído</t>
        </is>
      </c>
      <c r="E77" s="165" t="n">
        <v>6</v>
      </c>
      <c r="F77" s="165" t="n">
        <v>0</v>
      </c>
      <c r="G77" s="165" t="n">
        <v>0</v>
      </c>
      <c r="H77" s="121" t="inlineStr">
        <is>
          <t>consultado</t>
        </is>
      </c>
      <c r="I77" s="165" t="n">
        <v>60</v>
      </c>
      <c r="J77" s="121" t="n">
        <v>46235.84465277778</v>
      </c>
      <c r="K77" s="121" t="inlineStr">
        <is>
          <t>N/D</t>
        </is>
      </c>
      <c r="L77" s="121" t="inlineStr">
        <is>
          <t>carteira-101-document-audit/v2</t>
        </is>
      </c>
    </row>
    <row r="78" ht="34.5" customHeight="1">
      <c r="A78" s="164" t="n">
        <v>53577135000180</v>
      </c>
      <c r="B78" s="121" t="inlineStr">
        <is>
          <t>53.577.135/0001-80</t>
        </is>
      </c>
      <c r="C78" s="121" t="inlineStr">
        <is>
          <t>ANGÁ FGTS II FUNDO DE INVESTIMENTO EM DIREITOS CREDITÓRIOS - RESPONSABILIDADE LIMITADA</t>
        </is>
      </c>
      <c r="D78" s="121" t="inlineStr">
        <is>
          <t>concluído</t>
        </is>
      </c>
      <c r="E78" s="165" t="n">
        <v>6</v>
      </c>
      <c r="F78" s="165" t="n">
        <v>0</v>
      </c>
      <c r="G78" s="165" t="n">
        <v>0</v>
      </c>
      <c r="H78" s="121" t="inlineStr">
        <is>
          <t>consultado</t>
        </is>
      </c>
      <c r="I78" s="165" t="n">
        <v>76</v>
      </c>
      <c r="J78" s="121" t="n">
        <v>46235.84498842592</v>
      </c>
      <c r="K78" s="121" t="inlineStr">
        <is>
          <t>N/D</t>
        </is>
      </c>
      <c r="L78" s="121" t="inlineStr">
        <is>
          <t>carteira-101-document-audit/v2</t>
        </is>
      </c>
    </row>
    <row r="79" ht="34.5" customHeight="1">
      <c r="A79" s="164" t="n">
        <v>53662209000187</v>
      </c>
      <c r="B79" s="121" t="inlineStr">
        <is>
          <t>53.662.209/0001-87</t>
        </is>
      </c>
      <c r="C79" s="121" t="inlineStr">
        <is>
          <t>PNEUCASH FUNDO DE INVESTIMENTO EM DIREITOS CREDITÓRIOS DE CLASSE ÚNICA FECHADA - RESP LTDA</t>
        </is>
      </c>
      <c r="D79" s="121" t="inlineStr">
        <is>
          <t>concluído</t>
        </is>
      </c>
      <c r="E79" s="165" t="n">
        <v>9</v>
      </c>
      <c r="F79" s="165" t="n">
        <v>2</v>
      </c>
      <c r="G79" s="165" t="n">
        <v>1</v>
      </c>
      <c r="H79" s="121" t="inlineStr">
        <is>
          <t>consultado</t>
        </is>
      </c>
      <c r="I79" s="165" t="n">
        <v>80</v>
      </c>
      <c r="J79" s="121" t="n">
        <v>46235.84496527778</v>
      </c>
      <c r="K79" s="121" t="inlineStr">
        <is>
          <t>N/D</t>
        </is>
      </c>
      <c r="L79" s="121" t="inlineStr">
        <is>
          <t>carteira-101-document-audit/v2</t>
        </is>
      </c>
    </row>
    <row r="80" ht="34.5" customHeight="1">
      <c r="A80" s="164" t="n">
        <v>54083697000130</v>
      </c>
      <c r="B80" s="121" t="inlineStr">
        <is>
          <t>54.083.697/0001-30</t>
        </is>
      </c>
      <c r="C80" s="121" t="inlineStr">
        <is>
          <t>PERNAMBUCANAS FIDC DE RESPONSABILIDADE LIMITADA</t>
        </is>
      </c>
      <c r="D80" s="121" t="inlineStr">
        <is>
          <t>concluído</t>
        </is>
      </c>
      <c r="E80" s="165" t="n">
        <v>0</v>
      </c>
      <c r="F80" s="165" t="n">
        <v>0</v>
      </c>
      <c r="G80" s="165" t="n">
        <v>0</v>
      </c>
      <c r="H80" s="121" t="inlineStr">
        <is>
          <t>consultado</t>
        </is>
      </c>
      <c r="I80" s="165" t="n">
        <v>0</v>
      </c>
      <c r="J80" s="121" t="n">
        <v>46235.8462037037</v>
      </c>
      <c r="K80" s="121" t="inlineStr">
        <is>
          <t>Falha de rede ao acessar pesquisarGerenciadorDocumentosDados: The read operation timed out</t>
        </is>
      </c>
      <c r="L80" s="121" t="inlineStr">
        <is>
          <t>carteira-101-document-audit/v2</t>
        </is>
      </c>
    </row>
    <row r="81" ht="34.5" customHeight="1">
      <c r="A81" s="164" t="n">
        <v>54252144000164</v>
      </c>
      <c r="B81" s="121" t="inlineStr">
        <is>
          <t>54.252.144/0001-64</t>
        </is>
      </c>
      <c r="C81" s="121" t="inlineStr">
        <is>
          <t>J17 FGTS FUNDO DE INVESTIMENTO EM DIREITOS CREDITÓRIOS FINANCEIRO - RESPONSABILIDADE LIMITADA</t>
        </is>
      </c>
      <c r="D81" s="121" t="inlineStr">
        <is>
          <t>concluído</t>
        </is>
      </c>
      <c r="E81" s="165" t="n">
        <v>10</v>
      </c>
      <c r="F81" s="165" t="n">
        <v>6</v>
      </c>
      <c r="G81" s="165" t="n">
        <v>2</v>
      </c>
      <c r="H81" s="121" t="inlineStr">
        <is>
          <t>consultado</t>
        </is>
      </c>
      <c r="I81" s="165" t="n">
        <v>95</v>
      </c>
      <c r="J81" s="121" t="n">
        <v>46235.84542824074</v>
      </c>
      <c r="K81" s="121" t="inlineStr">
        <is>
          <t>N/D</t>
        </is>
      </c>
      <c r="L81" s="121" t="inlineStr">
        <is>
          <t>carteira-101-document-audit/v2</t>
        </is>
      </c>
    </row>
    <row r="82" ht="34.5" customHeight="1">
      <c r="A82" s="164" t="n">
        <v>54464892000100</v>
      </c>
      <c r="B82" s="121" t="inlineStr">
        <is>
          <t>54.464.892/0001-00</t>
        </is>
      </c>
      <c r="C82" s="121" t="inlineStr">
        <is>
          <t>FUNDO DE INVESTIMENTO EM DIREITOS CREDITÓRIOS MT FGTS RECEIVABLES II</t>
        </is>
      </c>
      <c r="D82" s="121" t="inlineStr">
        <is>
          <t>concluído</t>
        </is>
      </c>
      <c r="E82" s="165" t="n">
        <v>6</v>
      </c>
      <c r="F82" s="165" t="n">
        <v>0</v>
      </c>
      <c r="G82" s="165" t="n">
        <v>0</v>
      </c>
      <c r="H82" s="121" t="inlineStr">
        <is>
          <t>consultado</t>
        </is>
      </c>
      <c r="I82" s="165" t="n">
        <v>93</v>
      </c>
      <c r="J82" s="121" t="n">
        <v>46235.85155092592</v>
      </c>
      <c r="K82" s="121" t="inlineStr">
        <is>
          <t>N/D</t>
        </is>
      </c>
      <c r="L82" s="121" t="inlineStr">
        <is>
          <t>carteira-101-document-audit/v2</t>
        </is>
      </c>
    </row>
    <row r="83" ht="34.5" customHeight="1">
      <c r="A83" s="164" t="n">
        <v>54559035000194</v>
      </c>
      <c r="B83" s="121" t="inlineStr">
        <is>
          <t>54.559.035/0001-94</t>
        </is>
      </c>
      <c r="C83" s="121" t="inlineStr">
        <is>
          <t>ESTRATÉGIA VINCULADA I FUNDO DE INVESTIMENTO EM DIREITOS CREDITÓRIOS - RESPONSABILIDADE LIMITADA</t>
        </is>
      </c>
      <c r="D83" s="121" t="inlineStr">
        <is>
          <t>concluído</t>
        </is>
      </c>
      <c r="E83" s="165" t="n">
        <v>7</v>
      </c>
      <c r="F83" s="165" t="n">
        <v>6</v>
      </c>
      <c r="G83" s="165" t="n">
        <v>2</v>
      </c>
      <c r="H83" s="121" t="inlineStr">
        <is>
          <t>consultado</t>
        </is>
      </c>
      <c r="I83" s="165" t="n">
        <v>46</v>
      </c>
      <c r="J83" s="121" t="n">
        <v>46235.85118055555</v>
      </c>
      <c r="K83" s="121" t="inlineStr">
        <is>
          <t>N/D</t>
        </is>
      </c>
      <c r="L83" s="121" t="inlineStr">
        <is>
          <t>carteira-101-document-audit/v2</t>
        </is>
      </c>
    </row>
    <row r="84" ht="34.5" customHeight="1">
      <c r="A84" s="164" t="n">
        <v>54810968000102</v>
      </c>
      <c r="B84" s="121" t="inlineStr">
        <is>
          <t>54.810.968/0001-02</t>
        </is>
      </c>
      <c r="C84" s="121" t="inlineStr">
        <is>
          <t>ANGÁ FGTS III FUNDO DE INVESTIMENTO EM DIREITOS CREDITÓRIOS</t>
        </is>
      </c>
      <c r="D84" s="121" t="inlineStr">
        <is>
          <t>concluído</t>
        </is>
      </c>
      <c r="E84" s="165" t="n">
        <v>8</v>
      </c>
      <c r="F84" s="165" t="n">
        <v>5</v>
      </c>
      <c r="G84" s="165" t="n">
        <v>1</v>
      </c>
      <c r="H84" s="121" t="inlineStr">
        <is>
          <t>consultado</t>
        </is>
      </c>
      <c r="I84" s="165" t="n">
        <v>56</v>
      </c>
      <c r="J84" s="121" t="n">
        <v>46235.84461805555</v>
      </c>
      <c r="K84" s="121" t="inlineStr">
        <is>
          <t>N/D</t>
        </is>
      </c>
      <c r="L84" s="121" t="inlineStr">
        <is>
          <t>carteira-101-document-audit/v2</t>
        </is>
      </c>
    </row>
    <row r="85" ht="34.5" customHeight="1">
      <c r="A85" s="164" t="n">
        <v>54857414000160</v>
      </c>
      <c r="B85" s="121" t="inlineStr">
        <is>
          <t>54.857.414/0001-60</t>
        </is>
      </c>
      <c r="C85" s="121" t="inlineStr">
        <is>
          <t>INDIE MERX RAIZ I CRÉDITO AGRO FIDC DO AGRONEGÓCIO - RESPONSABILIDADE LIMITADA</t>
        </is>
      </c>
      <c r="D85" s="121" t="inlineStr">
        <is>
          <t>concluído</t>
        </is>
      </c>
      <c r="E85" s="165" t="n">
        <v>6</v>
      </c>
      <c r="F85" s="165" t="n">
        <v>0</v>
      </c>
      <c r="G85" s="165" t="n">
        <v>0</v>
      </c>
      <c r="H85" s="121" t="inlineStr">
        <is>
          <t>consultado</t>
        </is>
      </c>
      <c r="I85" s="165" t="n">
        <v>69</v>
      </c>
      <c r="J85" s="121" t="n">
        <v>46235.85072916667</v>
      </c>
      <c r="K85" s="121" t="inlineStr">
        <is>
          <t>N/D</t>
        </is>
      </c>
      <c r="L85" s="121" t="inlineStr">
        <is>
          <t>carteira-101-document-audit/v2</t>
        </is>
      </c>
    </row>
    <row r="86" ht="34.5" customHeight="1">
      <c r="A86" s="164" t="n">
        <v>55070804000159</v>
      </c>
      <c r="B86" s="121" t="inlineStr">
        <is>
          <t>55.070.804/0001-59</t>
        </is>
      </c>
      <c r="C86" s="121" t="inlineStr">
        <is>
          <t>ESTRATÉGIA VINCULADA II FUNDO DE INVESTIMENTO EM DIREITOS CREDITÓRIOS - RESPONSABILIDADE LIMITADA</t>
        </is>
      </c>
      <c r="D86" s="121" t="inlineStr">
        <is>
          <t>concluído</t>
        </is>
      </c>
      <c r="E86" s="165" t="n">
        <v>6</v>
      </c>
      <c r="F86" s="165" t="n">
        <v>6</v>
      </c>
      <c r="G86" s="165" t="n">
        <v>2</v>
      </c>
      <c r="H86" s="121" t="inlineStr">
        <is>
          <t>consultado</t>
        </is>
      </c>
      <c r="I86" s="165" t="n">
        <v>43</v>
      </c>
      <c r="J86" s="121" t="n">
        <v>46235.85118055555</v>
      </c>
      <c r="K86" s="121" t="inlineStr">
        <is>
          <t>N/D</t>
        </is>
      </c>
      <c r="L86" s="121" t="inlineStr">
        <is>
          <t>carteira-101-document-audit/v2</t>
        </is>
      </c>
    </row>
    <row r="87" ht="34.5" customHeight="1">
      <c r="A87" s="164" t="n">
        <v>55374251000128</v>
      </c>
      <c r="B87" s="121" t="inlineStr">
        <is>
          <t>55.374.251/0001-28</t>
        </is>
      </c>
      <c r="C87" s="121" t="inlineStr">
        <is>
          <t>FUNDO DE INVESTIMENTO EM DIREITOS CREDITÓRIOS BLUE II SEGMENTO CRÉDITO CORPORATIVO DE RESP LTDA</t>
        </is>
      </c>
      <c r="D87" s="121" t="inlineStr">
        <is>
          <t>concluído</t>
        </is>
      </c>
      <c r="E87" s="165" t="n">
        <v>8</v>
      </c>
      <c r="F87" s="165" t="n">
        <v>1</v>
      </c>
      <c r="G87" s="165" t="n">
        <v>1</v>
      </c>
      <c r="H87" s="121" t="inlineStr">
        <is>
          <t>consultado</t>
        </is>
      </c>
      <c r="I87" s="165" t="n">
        <v>80</v>
      </c>
      <c r="J87" s="121" t="n">
        <v>46235.85094907408</v>
      </c>
      <c r="K87" s="121" t="inlineStr">
        <is>
          <t>N/D</t>
        </is>
      </c>
      <c r="L87" s="121" t="inlineStr">
        <is>
          <t>carteira-101-document-audit/v2</t>
        </is>
      </c>
    </row>
    <row r="88" ht="34.5" customHeight="1">
      <c r="A88" s="164" t="n">
        <v>55401645000128</v>
      </c>
      <c r="B88" s="121" t="inlineStr">
        <is>
          <t>55.401.645/0001-28</t>
        </is>
      </c>
      <c r="C88" s="121" t="inlineStr">
        <is>
          <t>QUATÁ FDC FGTS FUNDO DE INVESTIMENTO EM DIREITOS CREDITÓRIOS</t>
        </is>
      </c>
      <c r="D88" s="121" t="inlineStr">
        <is>
          <t>concluído</t>
        </is>
      </c>
      <c r="E88" s="165" t="n">
        <v>8</v>
      </c>
      <c r="F88" s="165" t="n">
        <v>6</v>
      </c>
      <c r="G88" s="165" t="n">
        <v>1</v>
      </c>
      <c r="H88" s="121" t="inlineStr">
        <is>
          <t>consultado</t>
        </is>
      </c>
      <c r="I88" s="165" t="n">
        <v>60</v>
      </c>
      <c r="J88" s="121" t="n">
        <v>46235.85076388889</v>
      </c>
      <c r="K88" s="121" t="inlineStr">
        <is>
          <t>N/D</t>
        </is>
      </c>
      <c r="L88" s="121" t="inlineStr">
        <is>
          <t>carteira-101-document-audit/v2</t>
        </is>
      </c>
    </row>
    <row r="89" ht="34.5" customHeight="1">
      <c r="A89" s="164" t="n">
        <v>55476342000174</v>
      </c>
      <c r="B89" s="121" t="inlineStr">
        <is>
          <t>55.476.342/0001-74</t>
        </is>
      </c>
      <c r="C89" s="121" t="inlineStr">
        <is>
          <t>LAVORO AGRO II FIAGRO - DIREITOS CREDITÓRIOS - RESPONSABILIDADE LIMITADA</t>
        </is>
      </c>
      <c r="D89" s="121" t="inlineStr">
        <is>
          <t>concluído</t>
        </is>
      </c>
      <c r="E89" s="165" t="n">
        <v>6</v>
      </c>
      <c r="F89" s="165" t="n">
        <v>0</v>
      </c>
      <c r="G89" s="165" t="n">
        <v>0</v>
      </c>
      <c r="H89" s="121" t="inlineStr">
        <is>
          <t>consultado</t>
        </is>
      </c>
      <c r="I89" s="165" t="n">
        <v>61</v>
      </c>
      <c r="J89" s="121" t="n">
        <v>46235.85087962963</v>
      </c>
      <c r="K89" s="121" t="inlineStr">
        <is>
          <t>N/D</t>
        </is>
      </c>
      <c r="L89" s="121" t="inlineStr">
        <is>
          <t>carteira-101-document-audit/v2</t>
        </is>
      </c>
    </row>
    <row r="90" ht="34.5" customHeight="1">
      <c r="A90" s="164" t="n">
        <v>56936116000191</v>
      </c>
      <c r="B90" s="121" t="inlineStr">
        <is>
          <t>56.936.116/0001-91</t>
        </is>
      </c>
      <c r="C90" s="121" t="inlineStr">
        <is>
          <t>FATOR TARKEN FIAGRO</t>
        </is>
      </c>
      <c r="D90" s="121" t="inlineStr">
        <is>
          <t>concluído</t>
        </is>
      </c>
      <c r="E90" s="165" t="n">
        <v>7</v>
      </c>
      <c r="F90" s="165" t="n">
        <v>2</v>
      </c>
      <c r="G90" s="165" t="n">
        <v>1</v>
      </c>
      <c r="H90" s="121" t="inlineStr">
        <is>
          <t>consultado</t>
        </is>
      </c>
      <c r="I90" s="165" t="n">
        <v>37</v>
      </c>
      <c r="J90" s="121" t="n">
        <v>46235.84622685185</v>
      </c>
      <c r="K90" s="121" t="inlineStr">
        <is>
          <t>N/D</t>
        </is>
      </c>
      <c r="L90" s="121" t="inlineStr">
        <is>
          <t>carteira-101-document-audit/v2</t>
        </is>
      </c>
    </row>
    <row r="91" ht="34.5" customHeight="1">
      <c r="A91" s="164" t="n">
        <v>57028406000108</v>
      </c>
      <c r="B91" s="121" t="inlineStr">
        <is>
          <t>57.028.406/0001-08</t>
        </is>
      </c>
      <c r="C91" s="121" t="inlineStr">
        <is>
          <t>IS GREEN SOLFÁCIL VI FUNDO DE INVESTIMENTO EM DIREITOS CREDITÓRIOS RESPONSABILIDADE LIMITADA</t>
        </is>
      </c>
      <c r="D91" s="121" t="inlineStr">
        <is>
          <t>concluído</t>
        </is>
      </c>
      <c r="E91" s="165" t="n">
        <v>8</v>
      </c>
      <c r="F91" s="165" t="n">
        <v>0</v>
      </c>
      <c r="G91" s="165" t="n">
        <v>0</v>
      </c>
      <c r="H91" s="121" t="inlineStr">
        <is>
          <t>consultado</t>
        </is>
      </c>
      <c r="I91" s="165" t="n">
        <v>57</v>
      </c>
      <c r="J91" s="121" t="n">
        <v>46235.8515162037</v>
      </c>
      <c r="K91" s="121" t="inlineStr">
        <is>
          <t>N/D</t>
        </is>
      </c>
      <c r="L91" s="121" t="inlineStr">
        <is>
          <t>carteira-101-document-audit/v2</t>
        </is>
      </c>
    </row>
    <row r="92" ht="34.5" customHeight="1">
      <c r="A92" s="164" t="n">
        <v>57131490000182</v>
      </c>
      <c r="B92" s="121" t="inlineStr">
        <is>
          <t>57.131.490/0001-82</t>
        </is>
      </c>
      <c r="C92" s="121" t="inlineStr">
        <is>
          <t>PONTO RURAL FIAGRO RESPONSABILIDADE LIMITADA</t>
        </is>
      </c>
      <c r="D92" s="121" t="inlineStr">
        <is>
          <t>concluído</t>
        </is>
      </c>
      <c r="E92" s="165" t="n">
        <v>5</v>
      </c>
      <c r="F92" s="165" t="n">
        <v>0</v>
      </c>
      <c r="G92" s="165" t="n">
        <v>0</v>
      </c>
      <c r="H92" s="121" t="inlineStr">
        <is>
          <t>consultado</t>
        </is>
      </c>
      <c r="I92" s="165" t="n">
        <v>30</v>
      </c>
      <c r="J92" s="121" t="n">
        <v>46235.84649305556</v>
      </c>
      <c r="K92" s="121" t="inlineStr">
        <is>
          <t>N/D</t>
        </is>
      </c>
      <c r="L92" s="121" t="inlineStr">
        <is>
          <t>carteira-101-document-audit/v2</t>
        </is>
      </c>
    </row>
    <row r="93" ht="34.5" customHeight="1">
      <c r="A93" s="164" t="n">
        <v>57259989000170</v>
      </c>
      <c r="B93" s="121" t="inlineStr">
        <is>
          <t>57.259.989/0001-70</t>
        </is>
      </c>
      <c r="C93" s="121" t="inlineStr">
        <is>
          <t>TRÊS TENTOS FIAGRO RESPONSABILIDADE LIMITADA</t>
        </is>
      </c>
      <c r="D93" s="121" t="inlineStr">
        <is>
          <t>concluído</t>
        </is>
      </c>
      <c r="E93" s="165" t="n">
        <v>7</v>
      </c>
      <c r="F93" s="165" t="n">
        <v>2</v>
      </c>
      <c r="G93" s="165" t="n">
        <v>1</v>
      </c>
      <c r="H93" s="121" t="inlineStr">
        <is>
          <t>consultado</t>
        </is>
      </c>
      <c r="I93" s="165" t="n">
        <v>49</v>
      </c>
      <c r="J93" s="121" t="n">
        <v>46235.8512962963</v>
      </c>
      <c r="K93" s="121" t="inlineStr">
        <is>
          <t>N/D</t>
        </is>
      </c>
      <c r="L93" s="121" t="inlineStr">
        <is>
          <t>carteira-101-document-audit/v2</t>
        </is>
      </c>
    </row>
    <row r="94" ht="34.5" customHeight="1">
      <c r="A94" s="164" t="n">
        <v>57270666000187</v>
      </c>
      <c r="B94" s="121" t="inlineStr">
        <is>
          <t>57.270.666/0001-87</t>
        </is>
      </c>
      <c r="C94" s="121" t="inlineStr">
        <is>
          <t>MOBILITAS FUNDO DE INVESTIMENTO EM DIREITOS CREDITÓRIOS - RESPONSABILIDADE LIMITADA</t>
        </is>
      </c>
      <c r="D94" s="121" t="inlineStr">
        <is>
          <t>concluído</t>
        </is>
      </c>
      <c r="E94" s="165" t="n">
        <v>6</v>
      </c>
      <c r="F94" s="165" t="n">
        <v>0</v>
      </c>
      <c r="G94" s="165" t="n">
        <v>0</v>
      </c>
      <c r="H94" s="121" t="inlineStr">
        <is>
          <t>consultado</t>
        </is>
      </c>
      <c r="I94" s="165" t="n">
        <v>53</v>
      </c>
      <c r="J94" s="121" t="n">
        <v>46235.85083333333</v>
      </c>
      <c r="K94" s="121" t="inlineStr">
        <is>
          <t>N/D</t>
        </is>
      </c>
      <c r="L94" s="121" t="inlineStr">
        <is>
          <t>carteira-101-document-audit/v2</t>
        </is>
      </c>
    </row>
    <row r="95" ht="34.5" customHeight="1">
      <c r="A95" s="164" t="n">
        <v>57752597000148</v>
      </c>
      <c r="B95" s="121" t="inlineStr">
        <is>
          <t>57.752.597/0001-48</t>
        </is>
      </c>
      <c r="C95" s="121" t="inlineStr">
        <is>
          <t>AGROMERCANTIL CRÉDITO AGRO FUNDO DE INVESTIMENTO EM DIREITOS CREDITÓRIOS - RESPONSABILIDADE LIMITADA</t>
        </is>
      </c>
      <c r="D95" s="121" t="inlineStr">
        <is>
          <t>concluído</t>
        </is>
      </c>
      <c r="E95" s="165" t="n">
        <v>6</v>
      </c>
      <c r="F95" s="165" t="n">
        <v>0</v>
      </c>
      <c r="G95" s="165" t="n">
        <v>0</v>
      </c>
      <c r="H95" s="121" t="inlineStr">
        <is>
          <t>consultado</t>
        </is>
      </c>
      <c r="I95" s="165" t="n">
        <v>45</v>
      </c>
      <c r="J95" s="121" t="n">
        <v>46235.85136574074</v>
      </c>
      <c r="K95" s="121" t="inlineStr">
        <is>
          <t>N/D</t>
        </is>
      </c>
      <c r="L95" s="121" t="inlineStr">
        <is>
          <t>carteira-101-document-audit/v2</t>
        </is>
      </c>
    </row>
    <row r="96" ht="34.5" customHeight="1">
      <c r="A96" s="164" t="n">
        <v>57816252000100</v>
      </c>
      <c r="B96" s="121" t="inlineStr">
        <is>
          <t>57.816.252/0001-00</t>
        </is>
      </c>
      <c r="C96" s="121" t="inlineStr">
        <is>
          <t>NATURA PAY FUNDO DE INVESTIMENTO EM DIREITOS CREDITÓRIOS CRÉDITO PESSOAL SOCIAL E IS RESP LTDA</t>
        </is>
      </c>
      <c r="D96" s="121" t="inlineStr">
        <is>
          <t>concluído</t>
        </is>
      </c>
      <c r="E96" s="165" t="n">
        <v>6</v>
      </c>
      <c r="F96" s="165" t="n">
        <v>1</v>
      </c>
      <c r="G96" s="165" t="n">
        <v>1</v>
      </c>
      <c r="H96" s="121" t="inlineStr">
        <is>
          <t>consultado</t>
        </is>
      </c>
      <c r="I96" s="165" t="n">
        <v>60</v>
      </c>
      <c r="J96" s="121" t="n">
        <v>46235.85104166667</v>
      </c>
      <c r="K96" s="121" t="inlineStr">
        <is>
          <t>N/D</t>
        </is>
      </c>
      <c r="L96" s="121" t="inlineStr">
        <is>
          <t>carteira-101-document-audit/v2</t>
        </is>
      </c>
    </row>
    <row r="97" ht="34.5" customHeight="1">
      <c r="A97" s="164" t="n">
        <v>58152340000118</v>
      </c>
      <c r="B97" s="121" t="inlineStr">
        <is>
          <t>58.152.340/0001-18</t>
        </is>
      </c>
      <c r="C97" s="121" t="inlineStr">
        <is>
          <t>MONEE II FUNDO DE INVESTIMENTO EM DIREITOS CREDITÓRIOS SEGMENTO FINANCEIRO - RESP. LIMITADA</t>
        </is>
      </c>
      <c r="D97" s="121" t="inlineStr">
        <is>
          <t>concluído</t>
        </is>
      </c>
      <c r="E97" s="165" t="n">
        <v>6</v>
      </c>
      <c r="F97" s="165" t="n">
        <v>1</v>
      </c>
      <c r="G97" s="165" t="n">
        <v>1</v>
      </c>
      <c r="H97" s="121" t="inlineStr">
        <is>
          <t>consultado</t>
        </is>
      </c>
      <c r="I97" s="165" t="n">
        <v>32</v>
      </c>
      <c r="J97" s="121" t="n">
        <v>46235.85157407408</v>
      </c>
      <c r="K97" s="121" t="inlineStr">
        <is>
          <t>N/D</t>
        </is>
      </c>
      <c r="L97" s="121" t="inlineStr">
        <is>
          <t>carteira-101-document-audit/v2</t>
        </is>
      </c>
    </row>
    <row r="98" ht="34.5" customHeight="1">
      <c r="A98" s="164" t="n">
        <v>58171340000165</v>
      </c>
      <c r="B98" s="121" t="inlineStr">
        <is>
          <t>58.171.340/0001-65</t>
        </is>
      </c>
      <c r="C98" s="121" t="inlineStr">
        <is>
          <t>FRIMESA FUNDO DE INVESTIMENTO EM DIREITOS CREDITÓRIOS DE RESPONSABILIDADE LIMITADA</t>
        </is>
      </c>
      <c r="D98" s="121" t="inlineStr">
        <is>
          <t>concluído</t>
        </is>
      </c>
      <c r="E98" s="165" t="n">
        <v>7</v>
      </c>
      <c r="F98" s="165" t="n">
        <v>2</v>
      </c>
      <c r="G98" s="165" t="n">
        <v>1</v>
      </c>
      <c r="H98" s="121" t="inlineStr">
        <is>
          <t>consultado</t>
        </is>
      </c>
      <c r="I98" s="165" t="n">
        <v>48</v>
      </c>
      <c r="J98" s="121" t="n">
        <v>46235.85131944445</v>
      </c>
      <c r="K98" s="121" t="inlineStr">
        <is>
          <t>N/D</t>
        </is>
      </c>
      <c r="L98" s="121" t="inlineStr">
        <is>
          <t>carteira-101-document-audit/v2</t>
        </is>
      </c>
    </row>
    <row r="99" ht="34.5" customHeight="1">
      <c r="A99" s="164" t="n">
        <v>58288437000152</v>
      </c>
      <c r="B99" s="121" t="inlineStr">
        <is>
          <t>58.288.437/0001-52</t>
        </is>
      </c>
      <c r="C99" s="121" t="inlineStr">
        <is>
          <t>ALTOMAX FUNDO DE INVESTIMENTO EM DIREITOS CREDITÓRIOS SEGMENTO RECEBÍVEIS COMERCIAIS DE RESP LTDA</t>
        </is>
      </c>
      <c r="D99" s="121" t="inlineStr">
        <is>
          <t>concluído</t>
        </is>
      </c>
      <c r="E99" s="165" t="n">
        <v>10</v>
      </c>
      <c r="F99" s="165" t="n">
        <v>6</v>
      </c>
      <c r="G99" s="165" t="n">
        <v>1</v>
      </c>
      <c r="H99" s="121" t="inlineStr">
        <is>
          <t>consultado</t>
        </is>
      </c>
      <c r="I99" s="165" t="n">
        <v>51</v>
      </c>
      <c r="J99" s="121" t="n">
        <v>46235.85085648148</v>
      </c>
      <c r="K99" s="121" t="inlineStr">
        <is>
          <t>N/D</t>
        </is>
      </c>
      <c r="L99" s="121" t="inlineStr">
        <is>
          <t>carteira-101-document-audit/v2</t>
        </is>
      </c>
    </row>
    <row r="100" ht="34.5" customHeight="1">
      <c r="A100" s="164" t="n">
        <v>58291962000127</v>
      </c>
      <c r="B100" s="121" t="inlineStr">
        <is>
          <t>58.291.962/0001-27</t>
        </is>
      </c>
      <c r="C100" s="121" t="inlineStr">
        <is>
          <t>HELM FUNDO DE INVESTIMENTO NAS CADEIAS PRODUTIVAS DO AGRONEGÓCIO - RESPONSABILIDADE LIMITADA</t>
        </is>
      </c>
      <c r="D100" s="121" t="inlineStr">
        <is>
          <t>concluído</t>
        </is>
      </c>
      <c r="E100" s="165" t="n">
        <v>7</v>
      </c>
      <c r="F100" s="165" t="n">
        <v>2</v>
      </c>
      <c r="G100" s="165" t="n">
        <v>1</v>
      </c>
      <c r="H100" s="121" t="inlineStr">
        <is>
          <t>consultado</t>
        </is>
      </c>
      <c r="I100" s="165" t="n">
        <v>23</v>
      </c>
      <c r="J100" s="121" t="n">
        <v>46235.8512962963</v>
      </c>
      <c r="K100" s="121" t="inlineStr">
        <is>
          <t>N/D</t>
        </is>
      </c>
      <c r="L100" s="121" t="inlineStr">
        <is>
          <t>carteira-101-document-audit/v2</t>
        </is>
      </c>
    </row>
    <row r="101" ht="34.5" customHeight="1">
      <c r="A101" s="164" t="n">
        <v>58349979000198</v>
      </c>
      <c r="B101" s="121" t="inlineStr">
        <is>
          <t>58.349.979/0001-98</t>
        </is>
      </c>
      <c r="C101" s="121" t="inlineStr">
        <is>
          <t>VOLKSWAGEN TERA FUNDO DE INVESTIMENTO EM DIREITOS CREDITÓRIOS RECEBÍVEIS COMERCIAIS RESP LTDA</t>
        </is>
      </c>
      <c r="D101" s="121" t="inlineStr">
        <is>
          <t>concluído</t>
        </is>
      </c>
      <c r="E101" s="165" t="n">
        <v>6</v>
      </c>
      <c r="F101" s="165" t="n">
        <v>0</v>
      </c>
      <c r="G101" s="165" t="n">
        <v>0</v>
      </c>
      <c r="H101" s="121" t="inlineStr">
        <is>
          <t>consultado</t>
        </is>
      </c>
      <c r="I101" s="165" t="n">
        <v>35</v>
      </c>
      <c r="J101" s="121" t="n">
        <v>46235.85114583333</v>
      </c>
      <c r="K101" s="121" t="inlineStr">
        <is>
          <t>N/D</t>
        </is>
      </c>
      <c r="L101" s="121" t="inlineStr">
        <is>
          <t>carteira-101-document-audit/v2</t>
        </is>
      </c>
    </row>
    <row r="102" ht="34.5" customHeight="1">
      <c r="A102" s="164" t="n">
        <v>58476088000100</v>
      </c>
      <c r="B102" s="121" t="inlineStr">
        <is>
          <t>58.476.088/0001-00</t>
        </is>
      </c>
      <c r="C102" s="121" t="inlineStr">
        <is>
          <t>SAGA FUNDO DE INVESTIMENTO EM DIREITOS CREDITÓRIOS CRÉDITO PRIVADO - RESPONSABILIDADE LIMITADA</t>
        </is>
      </c>
      <c r="D102" s="121" t="inlineStr">
        <is>
          <t>concluído</t>
        </is>
      </c>
      <c r="E102" s="165" t="n">
        <v>4</v>
      </c>
      <c r="F102" s="165" t="n">
        <v>0</v>
      </c>
      <c r="G102" s="165" t="n">
        <v>0</v>
      </c>
      <c r="H102" s="121" t="inlineStr">
        <is>
          <t>consultado</t>
        </is>
      </c>
      <c r="I102" s="165" t="n">
        <v>32</v>
      </c>
      <c r="J102" s="121" t="n">
        <v>46235.85112268518</v>
      </c>
      <c r="K102" s="121" t="inlineStr">
        <is>
          <t>N/D</t>
        </is>
      </c>
      <c r="L102" s="121" t="inlineStr">
        <is>
          <t>carteira-101-document-audit/v2</t>
        </is>
      </c>
    </row>
    <row r="103" ht="34.5" customHeight="1">
      <c r="A103" s="164" t="n">
        <v>61288838000117</v>
      </c>
      <c r="B103" s="121" t="inlineStr">
        <is>
          <t>61.288.838/0001-17</t>
        </is>
      </c>
      <c r="C103" s="121" t="inlineStr">
        <is>
          <t>IFOOD PAGO CRÉDITO III FUNDO DE INVESTIMENTO EM DIREITOS CREDITÓRIOS FINANCEIRO RESP. LIMITADA</t>
        </is>
      </c>
      <c r="D103" s="121" t="inlineStr">
        <is>
          <t>concluído</t>
        </is>
      </c>
      <c r="E103" s="165" t="n">
        <v>8</v>
      </c>
      <c r="F103" s="165" t="n">
        <v>2</v>
      </c>
      <c r="G103" s="165" t="n">
        <v>1</v>
      </c>
      <c r="H103" s="121" t="inlineStr">
        <is>
          <t>consultado</t>
        </is>
      </c>
      <c r="I103" s="165" t="n">
        <v>34</v>
      </c>
      <c r="J103" s="121" t="n">
        <v>46235.85166666667</v>
      </c>
      <c r="K103" s="121" t="inlineStr">
        <is>
          <t>N/D</t>
        </is>
      </c>
      <c r="L103" s="121" t="inlineStr">
        <is>
          <t>carteira-101-document-audit/v2</t>
        </is>
      </c>
    </row>
    <row r="104" ht="34.5" customHeight="1">
      <c r="A104" s="164" t="n">
        <v>62393829000159</v>
      </c>
      <c r="B104" s="121" t="inlineStr">
        <is>
          <t>62.393.829/0001-59</t>
        </is>
      </c>
      <c r="C104" s="121" t="inlineStr">
        <is>
          <t>FUNDO DE INVESTIMENTO EM DIREITOS CREDITÓRIOS COMERCIAIS MEDICI I - RESPONSABILIDADE LIMITADA</t>
        </is>
      </c>
      <c r="D104" s="121" t="inlineStr">
        <is>
          <t>concluído</t>
        </is>
      </c>
      <c r="E104" s="165" t="n">
        <v>7</v>
      </c>
      <c r="F104" s="165" t="n">
        <v>0</v>
      </c>
      <c r="G104" s="165" t="n">
        <v>0</v>
      </c>
      <c r="H104" s="121" t="inlineStr">
        <is>
          <t>consultado</t>
        </is>
      </c>
      <c r="I104" s="165" t="n">
        <v>43</v>
      </c>
      <c r="J104" s="121" t="n">
        <v>46235.85146990741</v>
      </c>
      <c r="K104" s="121" t="inlineStr">
        <is>
          <t>N/D</t>
        </is>
      </c>
      <c r="L104" s="121" t="inlineStr">
        <is>
          <t>carteira-101-document-audit/v2</t>
        </is>
      </c>
    </row>
    <row r="105" ht="34.5" customHeight="1">
      <c r="A105" s="164" t="n">
        <v>62588266000154</v>
      </c>
      <c r="B105" s="121" t="inlineStr">
        <is>
          <t>62.588.266/0001-54</t>
        </is>
      </c>
      <c r="C105" s="121" t="inlineStr">
        <is>
          <t>VTK FUNDO DE INVESTIMENTO EM DIREITOS CREDITÓRIOS RESPONSABILIDADE LIMITADA</t>
        </is>
      </c>
      <c r="D105" s="121" t="inlineStr">
        <is>
          <t>concluído</t>
        </is>
      </c>
      <c r="E105" s="165" t="n">
        <v>7</v>
      </c>
      <c r="F105" s="165" t="n">
        <v>6</v>
      </c>
      <c r="G105" s="165" t="n">
        <v>1</v>
      </c>
      <c r="H105" s="121" t="inlineStr">
        <is>
          <t>consultado</t>
        </is>
      </c>
      <c r="I105" s="165" t="n">
        <v>24</v>
      </c>
      <c r="J105" s="121" t="n">
        <v>46235.85108796296</v>
      </c>
      <c r="K105" s="121" t="inlineStr">
        <is>
          <t>N/D</t>
        </is>
      </c>
      <c r="L105" s="121" t="inlineStr">
        <is>
          <t>carteira-101-document-audit/v2</t>
        </is>
      </c>
    </row>
    <row r="106" ht="34.5" customHeight="1">
      <c r="A106" s="164" t="n">
        <v>62626887000185</v>
      </c>
      <c r="B106" s="121" t="inlineStr">
        <is>
          <t>62.626.887/0001-85</t>
        </is>
      </c>
      <c r="C106" s="121" t="inlineStr">
        <is>
          <t>SUMUP SMART IV FIDC SEGMENTO MEIOS DE PAGAMENTO DE RESPONSABILIDADE LIMITADA</t>
        </is>
      </c>
      <c r="D106" s="121" t="inlineStr">
        <is>
          <t>concluído</t>
        </is>
      </c>
      <c r="E106" s="165" t="n">
        <v>9</v>
      </c>
      <c r="F106" s="165" t="n">
        <v>4</v>
      </c>
      <c r="G106" s="165" t="n">
        <v>1</v>
      </c>
      <c r="H106" s="121" t="inlineStr">
        <is>
          <t>consultado</t>
        </is>
      </c>
      <c r="I106" s="165" t="n">
        <v>36</v>
      </c>
      <c r="J106" s="121" t="n">
        <v>46235.84502314815</v>
      </c>
      <c r="K106" s="121" t="inlineStr">
        <is>
          <t>N/D</t>
        </is>
      </c>
      <c r="L106" s="121" t="inlineStr">
        <is>
          <t>carteira-101-document-audit/v2</t>
        </is>
      </c>
    </row>
    <row r="107" ht="34.5" customHeight="1">
      <c r="A107" s="164" t="n">
        <v>62838025000116</v>
      </c>
      <c r="B107" s="121" t="inlineStr">
        <is>
          <t>62.838.025/0001-16</t>
        </is>
      </c>
      <c r="C107" s="121" t="inlineStr">
        <is>
          <t>ENDURANCE FUNDO DE INVESTIMENTO EM DIREITOS CREDITÓRIOS RESPONSABILIDADE LIMITADA</t>
        </is>
      </c>
      <c r="D107" s="121" t="inlineStr">
        <is>
          <t>concluído</t>
        </is>
      </c>
      <c r="E107" s="165" t="n">
        <v>7</v>
      </c>
      <c r="F107" s="165" t="n">
        <v>4</v>
      </c>
      <c r="G107" s="165" t="n">
        <v>1</v>
      </c>
      <c r="H107" s="121" t="inlineStr">
        <is>
          <t>consultado</t>
        </is>
      </c>
      <c r="I107" s="165" t="n">
        <v>18</v>
      </c>
      <c r="J107" s="121" t="n">
        <v>46235.85081018518</v>
      </c>
      <c r="K107" s="121" t="inlineStr">
        <is>
          <t>N/D</t>
        </is>
      </c>
      <c r="L107" s="121" t="inlineStr">
        <is>
          <t>carteira-101-document-audit/v2</t>
        </is>
      </c>
    </row>
    <row r="108" ht="34.5" customHeight="1">
      <c r="A108" s="164" t="n">
        <v>63066147000102</v>
      </c>
      <c r="B108" s="121" t="inlineStr">
        <is>
          <t>63.066.147/0001-02</t>
        </is>
      </c>
      <c r="C108" s="121" t="inlineStr">
        <is>
          <t>FUNDO DE INVESTIMENTO EM DIREITOS CREDITÓRIOS INCLUSÃO CREDIÁRIA RESPONSABILIDADE LIMITADA</t>
        </is>
      </c>
      <c r="D108" s="121" t="inlineStr">
        <is>
          <t>concluído</t>
        </is>
      </c>
      <c r="E108" s="165" t="n">
        <v>7</v>
      </c>
      <c r="F108" s="165" t="n">
        <v>2</v>
      </c>
      <c r="G108" s="165" t="n">
        <v>1</v>
      </c>
      <c r="H108" s="121" t="inlineStr">
        <is>
          <t>consultado</t>
        </is>
      </c>
      <c r="I108" s="165" t="n">
        <v>21</v>
      </c>
      <c r="J108" s="121" t="n">
        <v>46235.85172453704</v>
      </c>
      <c r="K108" s="121" t="inlineStr">
        <is>
          <t>N/D</t>
        </is>
      </c>
      <c r="L108" s="121" t="inlineStr">
        <is>
          <t>carteira-101-document-audit/v2</t>
        </is>
      </c>
    </row>
    <row r="109" ht="34.5" customHeight="1">
      <c r="A109" s="164" t="n">
        <v>63546406000194</v>
      </c>
      <c r="B109" s="121" t="inlineStr">
        <is>
          <t>63.546.406/0001-94</t>
        </is>
      </c>
      <c r="C109" s="121" t="inlineStr">
        <is>
          <t>PINE INSS III FUNDO DE INVESTIMENTO EM DIREITOS CREDITÓRIOS RESPONSABILIDADE LIMITADA</t>
        </is>
      </c>
      <c r="D109" s="121" t="inlineStr">
        <is>
          <t>concluído</t>
        </is>
      </c>
      <c r="E109" s="165" t="n">
        <v>7</v>
      </c>
      <c r="F109" s="165" t="n">
        <v>6</v>
      </c>
      <c r="G109" s="165" t="n">
        <v>1</v>
      </c>
      <c r="H109" s="121" t="inlineStr">
        <is>
          <t>consultado</t>
        </is>
      </c>
      <c r="I109" s="165" t="n">
        <v>12</v>
      </c>
      <c r="J109" s="121" t="n">
        <v>46235.8516087963</v>
      </c>
      <c r="K109" s="121" t="inlineStr">
        <is>
          <t>N/D</t>
        </is>
      </c>
      <c r="L109" s="121" t="inlineStr">
        <is>
          <t>carteira-101-document-audit/v2</t>
        </is>
      </c>
    </row>
    <row r="110" ht="34.5" customHeight="1">
      <c r="A110" s="164" t="n">
        <v>63622842000103</v>
      </c>
      <c r="B110" s="121" t="inlineStr">
        <is>
          <t>63.622.842/0001-03</t>
        </is>
      </c>
      <c r="C110" s="121" t="inlineStr">
        <is>
          <t>DESBRAVA UNO ARTIGOS ESPORTIVOS FUNDO DE INVESTIMENTO EM DIREITOS CREDITÓRIOS RESP LIMITADA</t>
        </is>
      </c>
      <c r="D110" s="121" t="inlineStr">
        <is>
          <t>concluído</t>
        </is>
      </c>
      <c r="E110" s="165" t="n">
        <v>7</v>
      </c>
      <c r="F110" s="165" t="n">
        <v>0</v>
      </c>
      <c r="G110" s="165" t="n">
        <v>0</v>
      </c>
      <c r="H110" s="121" t="inlineStr">
        <is>
          <t>consultado</t>
        </is>
      </c>
      <c r="I110" s="165" t="n">
        <v>27</v>
      </c>
      <c r="J110" s="121" t="n">
        <v>46235.85077546296</v>
      </c>
      <c r="K110" s="121" t="inlineStr">
        <is>
          <t>N/D</t>
        </is>
      </c>
      <c r="L110" s="121" t="inlineStr">
        <is>
          <t>carteira-101-document-audit/v2</t>
        </is>
      </c>
    </row>
    <row r="111" ht="34.5" customHeight="1">
      <c r="A111" s="164" t="n">
        <v>63657457000193</v>
      </c>
      <c r="B111" s="121" t="inlineStr">
        <is>
          <t>63.657.457/0001-93</t>
        </is>
      </c>
      <c r="C111" s="121" t="inlineStr">
        <is>
          <t>MSV3 FUNDO DE INVESTIMENTO EM DIREITOS CREDITÓRIOS RECEBÍVEIS COMERCIAIS RESPONSABILIDADE LIMITADA</t>
        </is>
      </c>
      <c r="D111" s="121" t="inlineStr">
        <is>
          <t>concluído</t>
        </is>
      </c>
      <c r="E111" s="165" t="n">
        <v>8</v>
      </c>
      <c r="F111" s="165" t="n">
        <v>0</v>
      </c>
      <c r="G111" s="165" t="n">
        <v>0</v>
      </c>
      <c r="H111" s="121" t="inlineStr">
        <is>
          <t>consultado</t>
        </is>
      </c>
      <c r="I111" s="165" t="n">
        <v>23</v>
      </c>
      <c r="J111" s="121" t="n">
        <v>46235.85170138889</v>
      </c>
      <c r="K111" s="121" t="inlineStr">
        <is>
          <t>N/D</t>
        </is>
      </c>
      <c r="L111" s="121" t="inlineStr">
        <is>
          <t>carteira-101-document-audit/v2</t>
        </is>
      </c>
    </row>
    <row r="112" ht="34.5" customHeight="1">
      <c r="A112" s="164" t="n">
        <v>63679792000192</v>
      </c>
      <c r="B112" s="121" t="inlineStr">
        <is>
          <t>63.679.792/0001-92</t>
        </is>
      </c>
      <c r="C112" s="121" t="inlineStr">
        <is>
          <t>BLUE HEALTH FIDC RECEBÍVEIS COMERCIAIS DE RESPONSABILIDADE LIMITADA</t>
        </is>
      </c>
      <c r="D112" s="121" t="inlineStr">
        <is>
          <t>concluído</t>
        </is>
      </c>
      <c r="E112" s="165" t="n">
        <v>6</v>
      </c>
      <c r="F112" s="165" t="n">
        <v>0</v>
      </c>
      <c r="G112" s="165" t="n">
        <v>0</v>
      </c>
      <c r="H112" s="121" t="inlineStr">
        <is>
          <t>consultado</t>
        </is>
      </c>
      <c r="I112" s="165" t="n">
        <v>23</v>
      </c>
      <c r="J112" s="121" t="n">
        <v>46235.85090277778</v>
      </c>
      <c r="K112" s="121" t="inlineStr">
        <is>
          <t>N/D</t>
        </is>
      </c>
      <c r="L112" s="121" t="inlineStr">
        <is>
          <t>carteira-101-document-audit/v2</t>
        </is>
      </c>
    </row>
    <row r="113" ht="34.5" customHeight="1">
      <c r="A113" s="164" t="n">
        <v>65347578000164</v>
      </c>
      <c r="B113" s="121" t="inlineStr">
        <is>
          <t>65.347.578/0001-64</t>
        </is>
      </c>
      <c r="C113" s="121" t="inlineStr">
        <is>
          <t>ICRED INSS III FUNDO DE INVESTIMENTO EM DIREITOS CREDITÓRIOS RESPONSABILIDADE LIMITADA</t>
        </is>
      </c>
      <c r="D113" s="121" t="inlineStr">
        <is>
          <t>concluído</t>
        </is>
      </c>
      <c r="E113" s="165" t="n">
        <v>5</v>
      </c>
      <c r="F113" s="165" t="n">
        <v>0</v>
      </c>
      <c r="G113" s="165" t="n">
        <v>0</v>
      </c>
      <c r="H113" s="121" t="inlineStr">
        <is>
          <t>consultado</t>
        </is>
      </c>
      <c r="I113" s="165" t="n">
        <v>15</v>
      </c>
      <c r="J113" s="121" t="n">
        <v>46235.85175925926</v>
      </c>
      <c r="K113" s="121" t="inlineStr">
        <is>
          <t>N/D</t>
        </is>
      </c>
      <c r="L113" s="121" t="inlineStr">
        <is>
          <t>carteira-101-document-audit/v2</t>
        </is>
      </c>
    </row>
    <row r="114" ht="34.5" customHeight="1">
      <c r="A114" s="164" t="n">
        <v>65836995000170</v>
      </c>
      <c r="B114" s="121" t="inlineStr">
        <is>
          <t>65.836.995/0001-70</t>
        </is>
      </c>
      <c r="C114" s="121" t="inlineStr">
        <is>
          <t>PNEUCASH II FUNDO DE INVESTIMENTO EM DIREITOS CREDITÓRIOS DE CLASSE ÚNICA FECHADA RESP LIMITADA</t>
        </is>
      </c>
      <c r="D114" s="121" t="inlineStr">
        <is>
          <t>concluído</t>
        </is>
      </c>
      <c r="E114" s="165" t="n">
        <v>6</v>
      </c>
      <c r="F114" s="165" t="n">
        <v>2</v>
      </c>
      <c r="G114" s="165" t="n">
        <v>1</v>
      </c>
      <c r="H114" s="121" t="inlineStr">
        <is>
          <t>consultado</t>
        </is>
      </c>
      <c r="I114" s="165" t="n">
        <v>11</v>
      </c>
      <c r="J114" s="121" t="n">
        <v>46235.85173611111</v>
      </c>
      <c r="K114" s="121" t="inlineStr">
        <is>
          <t>N/D</t>
        </is>
      </c>
      <c r="L114" s="121" t="inlineStr">
        <is>
          <t>carteira-101-document-audit/v2</t>
        </is>
      </c>
    </row>
    <row r="115" ht="34.5" customHeight="1">
      <c r="A115" s="164" t="n">
        <v>65873297000145</v>
      </c>
      <c r="B115" s="121" t="inlineStr">
        <is>
          <t>65.873.297/0001-45</t>
        </is>
      </c>
      <c r="C115" s="121" t="inlineStr">
        <is>
          <t>ARCELORMITTAL VÉRTICE FUNDO DE INVESTIMENTO EM DIREITOS CREDITÓRIOS COMERCIAIS - RESP LIMITADA</t>
        </is>
      </c>
      <c r="D115" s="121" t="inlineStr">
        <is>
          <t>concluído</t>
        </is>
      </c>
      <c r="E115" s="165" t="n">
        <v>7</v>
      </c>
      <c r="F115" s="165" t="n">
        <v>2</v>
      </c>
      <c r="G115" s="165" t="n">
        <v>1</v>
      </c>
      <c r="H115" s="121" t="inlineStr">
        <is>
          <t>consultado</t>
        </is>
      </c>
      <c r="I115" s="165" t="n">
        <v>13</v>
      </c>
      <c r="J115" s="121" t="n">
        <v>46235.85173611111</v>
      </c>
      <c r="K115" s="121" t="inlineStr">
        <is>
          <t>N/D</t>
        </is>
      </c>
      <c r="L115" s="121" t="inlineStr">
        <is>
          <t>carteira-101-document-audit/v2</t>
        </is>
      </c>
    </row>
    <row r="116" ht="34.5" customHeight="1">
      <c r="A116" s="164" t="n">
        <v>65976848000104</v>
      </c>
      <c r="B116" s="121" t="inlineStr">
        <is>
          <t>65.976.848/0001-04</t>
        </is>
      </c>
      <c r="C116" s="121" t="inlineStr">
        <is>
          <t>FUNDO DE INVESTIMENTO EM DIREITOS CREDITÓRIOS AGIBANK II RESPONSABILIDADE LIMITADA</t>
        </is>
      </c>
      <c r="D116" s="121" t="inlineStr">
        <is>
          <t>concluído</t>
        </is>
      </c>
      <c r="E116" s="165" t="n">
        <v>6</v>
      </c>
      <c r="F116" s="165" t="n">
        <v>0</v>
      </c>
      <c r="G116" s="165" t="n">
        <v>0</v>
      </c>
      <c r="H116" s="121" t="inlineStr">
        <is>
          <t>consultado</t>
        </is>
      </c>
      <c r="I116" s="165" t="n">
        <v>15</v>
      </c>
      <c r="J116" s="121" t="n">
        <v>46235.85101851852</v>
      </c>
      <c r="K116" s="121" t="inlineStr">
        <is>
          <t>N/D</t>
        </is>
      </c>
      <c r="L116" s="121" t="inlineStr">
        <is>
          <t>carteira-101-document-audit/v2</t>
        </is>
      </c>
    </row>
  </sheetData>
  <mergeCells count="4">
    <mergeCell ref="A14:L14"/>
    <mergeCell ref="A2:L2"/>
    <mergeCell ref="A1:L1"/>
    <mergeCell ref="A4:G4"/>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85"/>
  <sheetViews>
    <sheetView workbookViewId="0">
      <pane xSplit="2" ySplit="4" topLeftCell="C5" activePane="bottomRight" state="frozen"/>
      <selection activeCell="A1" sqref="A1"/>
    </sheetView>
  </sheetViews>
  <sheetFormatPr baseColWidth="8" defaultRowHeight="15"/>
  <cols>
    <col width="31.25" customWidth="1" min="1" max="1"/>
    <col width="16.8799991607666" customWidth="1" min="2" max="2"/>
    <col width="77.5" customWidth="1" min="3" max="3"/>
    <col width="52.5" customWidth="1" min="4" max="4"/>
    <col width="37.5" customWidth="1" min="5" max="5"/>
  </cols>
  <sheetData>
    <row r="1" ht="25.5" customHeight="1">
      <c r="A1" s="26" t="inlineStr">
        <is>
          <t>Dicionário de campos · contrato normalizado do payload</t>
        </is>
      </c>
    </row>
    <row r="2" ht="33" customHeight="1">
      <c r="A2" s="29" t="inlineStr">
        <is>
          <t>Definições materializadas pelo produtor Python. Percentuais são frações; moeda e preço unitário permanecem numéricos quando há leitura única.</t>
        </is>
      </c>
    </row>
    <row r="4" ht="25.5" customHeight="1">
      <c r="A4" s="32" t="inlineStr">
        <is>
          <t>Campo no payload</t>
        </is>
      </c>
      <c r="B4" s="32" t="inlineStr">
        <is>
          <t>Tipo de dado</t>
        </is>
      </c>
      <c r="C4" s="32" t="inlineStr">
        <is>
          <t>Definição</t>
        </is>
      </c>
      <c r="D4" s="32" t="inlineStr">
        <is>
          <t>Origem / regra</t>
        </is>
      </c>
      <c r="E4" s="32" t="inlineStr">
        <is>
          <t>Tratamento da lacuna</t>
        </is>
      </c>
    </row>
    <row r="5" ht="37.5" customHeight="1">
      <c r="A5" s="104" t="inlineStr">
        <is>
          <t>coorte</t>
        </is>
      </c>
      <c r="B5" s="104" t="inlineStr">
        <is>
          <t>texto</t>
        </is>
      </c>
      <c r="C5" s="104" t="inlineStr">
        <is>
          <t>coorte</t>
        </is>
      </c>
      <c r="D5" s="104" t="inlineStr">
        <is>
          <t>Base normalizada compartilhada.</t>
        </is>
      </c>
      <c r="E5" s="104" t="inlineStr">
        <is>
          <t>N/D quando não localizado</t>
        </is>
      </c>
    </row>
    <row r="6" ht="37.5" customHeight="1">
      <c r="A6" s="106" t="inlineStr">
        <is>
          <t>ordem</t>
        </is>
      </c>
      <c r="B6" s="106" t="inlineStr">
        <is>
          <t>numérico</t>
        </is>
      </c>
      <c r="C6" s="106" t="inlineStr">
        <is>
          <t>ordem</t>
        </is>
      </c>
      <c r="D6" s="106" t="inlineStr">
        <is>
          <t>Base normalizada compartilhada.</t>
        </is>
      </c>
      <c r="E6" s="106" t="inlineStr">
        <is>
          <t>NaN; nunca convertido em zero</t>
        </is>
      </c>
    </row>
    <row r="7" ht="37.5" customHeight="1">
      <c r="A7" s="105" t="inlineStr">
        <is>
          <t>cnpj</t>
        </is>
      </c>
      <c r="B7" s="105" t="inlineStr">
        <is>
          <t>texto</t>
        </is>
      </c>
      <c r="C7" s="105" t="inlineStr">
        <is>
          <t>cnpj</t>
        </is>
      </c>
      <c r="D7" s="105" t="inlineStr">
        <is>
          <t>Base normalizada compartilhada.</t>
        </is>
      </c>
      <c r="E7" s="105" t="inlineStr">
        <is>
          <t>N/D quando não localizado</t>
        </is>
      </c>
    </row>
    <row r="8" ht="37.5" customHeight="1">
      <c r="A8" s="106" t="inlineStr">
        <is>
          <t>cnpj_numerico</t>
        </is>
      </c>
      <c r="B8" s="106" t="inlineStr">
        <is>
          <t>numérico</t>
        </is>
      </c>
      <c r="C8" s="106" t="inlineStr">
        <is>
          <t>cnpj numerico</t>
        </is>
      </c>
      <c r="D8" s="106" t="inlineStr">
        <is>
          <t>Base normalizada compartilhada.</t>
        </is>
      </c>
      <c r="E8" s="106" t="inlineStr">
        <is>
          <t>NaN; nunca convertido em zero</t>
        </is>
      </c>
    </row>
    <row r="9" ht="37.5" customHeight="1">
      <c r="A9" s="105" t="inlineStr">
        <is>
          <t>cnpj_formatado</t>
        </is>
      </c>
      <c r="B9" s="105" t="inlineStr">
        <is>
          <t>texto</t>
        </is>
      </c>
      <c r="C9" s="105" t="inlineStr">
        <is>
          <t>cnpj formatado</t>
        </is>
      </c>
      <c r="D9" s="105" t="inlineStr">
        <is>
          <t>Base normalizada compartilhada.</t>
        </is>
      </c>
      <c r="E9" s="105" t="inlineStr">
        <is>
          <t>N/D quando não localizado</t>
        </is>
      </c>
    </row>
    <row r="10" ht="37.5" customHeight="1">
      <c r="A10" s="106" t="inlineStr">
        <is>
          <t>nome_oficial_cvm</t>
        </is>
      </c>
      <c r="B10" s="106" t="inlineStr">
        <is>
          <t>texto</t>
        </is>
      </c>
      <c r="C10" s="106" t="inlineStr">
        <is>
          <t>nome oficial cvm</t>
        </is>
      </c>
      <c r="D10" s="106" t="inlineStr">
        <is>
          <t>Base normalizada compartilhada.</t>
        </is>
      </c>
      <c r="E10" s="106" t="inlineStr">
        <is>
          <t>N/D quando não localizado</t>
        </is>
      </c>
    </row>
    <row r="11" ht="37.5" customHeight="1">
      <c r="A11" s="105" t="inlineStr">
        <is>
          <t>nome_referencia</t>
        </is>
      </c>
      <c r="B11" s="105" t="inlineStr">
        <is>
          <t>texto</t>
        </is>
      </c>
      <c r="C11" s="105" t="inlineStr">
        <is>
          <t>nome referencia</t>
        </is>
      </c>
      <c r="D11" s="105" t="inlineStr">
        <is>
          <t>Base normalizada compartilhada.</t>
        </is>
      </c>
      <c r="E11" s="105" t="inlineStr">
        <is>
          <t>N/D quando não localizado</t>
        </is>
      </c>
    </row>
    <row r="12" ht="37.5" customHeight="1">
      <c r="A12" s="106" t="inlineStr">
        <is>
          <t>status_identidade</t>
        </is>
      </c>
      <c r="B12" s="106" t="inlineStr">
        <is>
          <t>texto</t>
        </is>
      </c>
      <c r="C12" s="106" t="inlineStr">
        <is>
          <t>status identidade</t>
        </is>
      </c>
      <c r="D12" s="106" t="inlineStr">
        <is>
          <t>Base normalizada compartilhada.</t>
        </is>
      </c>
      <c r="E12" s="106" t="inlineStr">
        <is>
          <t>N/D quando não localizado</t>
        </is>
      </c>
    </row>
    <row r="13" ht="37.5" customHeight="1">
      <c r="A13" s="105" t="inlineStr">
        <is>
          <t>data_ref</t>
        </is>
      </c>
      <c r="B13" s="105" t="inlineStr">
        <is>
          <t>texto</t>
        </is>
      </c>
      <c r="C13" s="105" t="inlineStr">
        <is>
          <t>data ref</t>
        </is>
      </c>
      <c r="D13" s="105" t="inlineStr">
        <is>
          <t>Base normalizada compartilhada.</t>
        </is>
      </c>
      <c r="E13" s="105" t="inlineStr">
        <is>
          <t>N/D quando não localizado</t>
        </is>
      </c>
    </row>
    <row r="14" ht="37.5" customHeight="1">
      <c r="A14" s="106" t="inlineStr">
        <is>
          <t>pl_atual_brl</t>
        </is>
      </c>
      <c r="B14" s="106" t="inlineStr">
        <is>
          <t>numérico</t>
        </is>
      </c>
      <c r="C14" s="106" t="inlineStr">
        <is>
          <t>pl atual brl</t>
        </is>
      </c>
      <c r="D14" s="106" t="inlineStr">
        <is>
          <t>Base normalizada compartilhada.</t>
        </is>
      </c>
      <c r="E14" s="106" t="inlineStr">
        <is>
          <t>NaN; nunca convertido em zero</t>
        </is>
      </c>
    </row>
    <row r="15" ht="37.5" customHeight="1">
      <c r="A15" s="105" t="inlineStr">
        <is>
          <t>pl_classes_reportadas_brl</t>
        </is>
      </c>
      <c r="B15" s="105" t="inlineStr">
        <is>
          <t>numérico</t>
        </is>
      </c>
      <c r="C15" s="105" t="inlineStr">
        <is>
          <t>pl classes reportadas brl</t>
        </is>
      </c>
      <c r="D15" s="105" t="inlineStr">
        <is>
          <t>Base normalizada compartilhada.</t>
        </is>
      </c>
      <c r="E15" s="105" t="inlineStr">
        <is>
          <t>NaN; nunca convertido em zero</t>
        </is>
      </c>
    </row>
    <row r="16" ht="37.5" customHeight="1">
      <c r="A16" s="106" t="inlineStr">
        <is>
          <t>pl_subordinado_atual_brl</t>
        </is>
      </c>
      <c r="B16" s="106" t="inlineStr">
        <is>
          <t>numérico</t>
        </is>
      </c>
      <c r="C16" s="106" t="inlineStr">
        <is>
          <t>pl subordinado atual brl</t>
        </is>
      </c>
      <c r="D16" s="106" t="inlineStr">
        <is>
          <t>Base normalizada compartilhada.</t>
        </is>
      </c>
      <c r="E16" s="106" t="inlineStr">
        <is>
          <t>NaN; nunca convertido em zero</t>
        </is>
      </c>
    </row>
    <row r="17" ht="37.5" customHeight="1">
      <c r="A17" s="105" t="inlineStr">
        <is>
          <t>sub_pl_atual</t>
        </is>
      </c>
      <c r="B17" s="105" t="inlineStr">
        <is>
          <t>numérico</t>
        </is>
      </c>
      <c r="C17" s="105" t="inlineStr">
        <is>
          <t>sub pl atual</t>
        </is>
      </c>
      <c r="D17" s="105" t="inlineStr">
        <is>
          <t>Base normalizada compartilhada.</t>
        </is>
      </c>
      <c r="E17" s="105" t="inlineStr">
        <is>
          <t>NaN; nunca convertido em zero</t>
        </is>
      </c>
    </row>
    <row r="18" ht="37.5" customHeight="1">
      <c r="A18" s="106" t="inlineStr">
        <is>
          <t>status_sub_pl_atual</t>
        </is>
      </c>
      <c r="B18" s="106" t="inlineStr">
        <is>
          <t>texto</t>
        </is>
      </c>
      <c r="C18" s="106" t="inlineStr">
        <is>
          <t>status sub pl atual</t>
        </is>
      </c>
      <c r="D18" s="106" t="inlineStr">
        <is>
          <t>Base normalizada compartilhada.</t>
        </is>
      </c>
      <c r="E18" s="106" t="inlineStr">
        <is>
          <t>N/D quando não localizado</t>
        </is>
      </c>
    </row>
    <row r="19" ht="37.5" customHeight="1">
      <c r="A19" s="105" t="inlineStr">
        <is>
          <t>minimo_junior_literal</t>
        </is>
      </c>
      <c r="B19" s="105" t="inlineStr">
        <is>
          <t>numérico</t>
        </is>
      </c>
      <c r="C19" s="105" t="inlineStr">
        <is>
          <t>minimo junior literal</t>
        </is>
      </c>
      <c r="D19" s="105" t="inlineStr">
        <is>
          <t>Base normalizada compartilhada.</t>
        </is>
      </c>
      <c r="E19" s="105" t="inlineStr">
        <is>
          <t>NaN; nunca convertido em zero</t>
        </is>
      </c>
    </row>
    <row r="20" ht="37.5" customHeight="1">
      <c r="A20" s="106" t="inlineStr">
        <is>
          <t>minimo_junior_calculado</t>
        </is>
      </c>
      <c r="B20" s="106" t="inlineStr">
        <is>
          <t>numérico</t>
        </is>
      </c>
      <c r="C20" s="106" t="inlineStr">
        <is>
          <t>minimo junior calculado</t>
        </is>
      </c>
      <c r="D20" s="106" t="inlineStr">
        <is>
          <t>Base normalizada compartilhada.</t>
        </is>
      </c>
      <c r="E20" s="106" t="inlineStr">
        <is>
          <t>NaN; nunca convertido em zero</t>
        </is>
      </c>
    </row>
    <row r="21" ht="37.5" customHeight="1">
      <c r="A21" s="105" t="inlineStr">
        <is>
          <t>minimo_junior_ajustado</t>
        </is>
      </c>
      <c r="B21" s="105" t="inlineStr">
        <is>
          <t>numérico</t>
        </is>
      </c>
      <c r="C21" s="105" t="inlineStr">
        <is>
          <t>minimo junior ajustado</t>
        </is>
      </c>
      <c r="D21" s="105" t="inlineStr">
        <is>
          <t>Base normalizada compartilhada.</t>
        </is>
      </c>
      <c r="E21" s="105" t="inlineStr">
        <is>
          <t>NaN; nunca convertido em zero</t>
        </is>
      </c>
    </row>
    <row r="22" ht="37.5" customHeight="1">
      <c r="A22" s="106" t="inlineStr">
        <is>
          <t>suporte_total</t>
        </is>
      </c>
      <c r="B22" s="106" t="inlineStr">
        <is>
          <t>numérico</t>
        </is>
      </c>
      <c r="C22" s="106" t="inlineStr">
        <is>
          <t>suporte total</t>
        </is>
      </c>
      <c r="D22" s="106" t="inlineStr">
        <is>
          <t>Base normalizada compartilhada.</t>
        </is>
      </c>
      <c r="E22" s="106" t="inlineStr">
        <is>
          <t>NaN; nunca convertido em zero</t>
        </is>
      </c>
    </row>
    <row r="23" ht="37.5" customHeight="1">
      <c r="A23" s="105" t="inlineStr">
        <is>
          <t>suporte_combinado_junior_mezanino</t>
        </is>
      </c>
      <c r="B23" s="105" t="inlineStr">
        <is>
          <t>numérico</t>
        </is>
      </c>
      <c r="C23" s="105" t="inlineStr">
        <is>
          <t>suporte combinado junior mezanino</t>
        </is>
      </c>
      <c r="D23" s="105" t="inlineStr">
        <is>
          <t>Base normalizada compartilhada.</t>
        </is>
      </c>
      <c r="E23" s="105" t="inlineStr">
        <is>
          <t>NaN; nunca convertido em zero</t>
        </is>
      </c>
    </row>
    <row r="24" ht="37.5" customHeight="1">
      <c r="A24" s="106" t="inlineStr">
        <is>
          <t>minimo_estrutural_usado</t>
        </is>
      </c>
      <c r="B24" s="106" t="inlineStr">
        <is>
          <t>numérico</t>
        </is>
      </c>
      <c r="C24" s="106" t="inlineStr">
        <is>
          <t>minimo estrutural usado</t>
        </is>
      </c>
      <c r="D24" s="106" t="inlineStr">
        <is>
          <t>Base normalizada compartilhada.</t>
        </is>
      </c>
      <c r="E24" s="106" t="inlineStr">
        <is>
          <t>NaN; nunca convertido em zero</t>
        </is>
      </c>
    </row>
    <row r="25" ht="37.5" customHeight="1">
      <c r="A25" s="105" t="inlineStr">
        <is>
          <t>minimo_estrutural_display</t>
        </is>
      </c>
      <c r="B25" s="105" t="inlineStr">
        <is>
          <t>texto</t>
        </is>
      </c>
      <c r="C25" s="105" t="inlineStr">
        <is>
          <t>minimo estrutural display</t>
        </is>
      </c>
      <c r="D25" s="105" t="inlineStr">
        <is>
          <t>Base normalizada compartilhada.</t>
        </is>
      </c>
      <c r="E25" s="105" t="inlineStr">
        <is>
          <t>N/D quando não localizado</t>
        </is>
      </c>
    </row>
    <row r="26" ht="37.5" customHeight="1">
      <c r="A26" s="106" t="inlineStr">
        <is>
          <t>minimo_estrutural_natureza</t>
        </is>
      </c>
      <c r="B26" s="106" t="inlineStr">
        <is>
          <t>texto</t>
        </is>
      </c>
      <c r="C26" s="106" t="inlineStr">
        <is>
          <t>minimo estrutural natureza</t>
        </is>
      </c>
      <c r="D26" s="106" t="inlineStr">
        <is>
          <t>Base normalizada compartilhada.</t>
        </is>
      </c>
      <c r="E26" s="106" t="inlineStr">
        <is>
          <t>N/D quando não localizado</t>
        </is>
      </c>
    </row>
    <row r="27" ht="37.5" customHeight="1">
      <c r="A27" s="105" t="inlineStr">
        <is>
          <t>minimo_estrutural_formula</t>
        </is>
      </c>
      <c r="B27" s="105" t="inlineStr">
        <is>
          <t>texto</t>
        </is>
      </c>
      <c r="C27" s="105" t="inlineStr">
        <is>
          <t>minimo estrutural formula</t>
        </is>
      </c>
      <c r="D27" s="105" t="inlineStr">
        <is>
          <t>Base normalizada compartilhada.</t>
        </is>
      </c>
      <c r="E27" s="105" t="inlineStr">
        <is>
          <t>N/D quando não localizado</t>
        </is>
      </c>
    </row>
    <row r="28" ht="37.5" customHeight="1">
      <c r="A28" s="106" t="inlineStr">
        <is>
          <t>comparavel_flag</t>
        </is>
      </c>
      <c r="B28" s="106" t="inlineStr">
        <is>
          <t>booleano</t>
        </is>
      </c>
      <c r="C28" s="106" t="inlineStr">
        <is>
          <t>comparavel flag</t>
        </is>
      </c>
      <c r="D28" s="106" t="inlineStr">
        <is>
          <t>Base normalizada compartilhada.</t>
        </is>
      </c>
      <c r="E28" s="106" t="inlineStr">
        <is>
          <t>vazio/NA quando não calculado</t>
        </is>
      </c>
    </row>
    <row r="29" ht="37.5" customHeight="1">
      <c r="A29" s="105" t="inlineStr">
        <is>
          <t>comparabilidade_motivo</t>
        </is>
      </c>
      <c r="B29" s="105" t="inlineStr">
        <is>
          <t>texto</t>
        </is>
      </c>
      <c r="C29" s="105" t="inlineStr">
        <is>
          <t>comparabilidade motivo</t>
        </is>
      </c>
      <c r="D29" s="105" t="inlineStr">
        <is>
          <t>Base normalizada compartilhada.</t>
        </is>
      </c>
      <c r="E29" s="105" t="inlineStr">
        <is>
          <t>N/D quando não localizado</t>
        </is>
      </c>
    </row>
    <row r="30" ht="37.5" customHeight="1">
      <c r="A30" s="106" t="inlineStr">
        <is>
          <t>excecao_asterisco_flag</t>
        </is>
      </c>
      <c r="B30" s="106" t="inlineStr">
        <is>
          <t>booleano</t>
        </is>
      </c>
      <c r="C30" s="106" t="inlineStr">
        <is>
          <t>excecao asterisco flag</t>
        </is>
      </c>
      <c r="D30" s="106" t="inlineStr">
        <is>
          <t>Base normalizada compartilhada.</t>
        </is>
      </c>
      <c r="E30" s="106" t="inlineStr">
        <is>
          <t>vazio/NA quando não calculado</t>
        </is>
      </c>
    </row>
    <row r="31" ht="37.5" customHeight="1">
      <c r="A31" s="105" t="inlineStr">
        <is>
          <t>folga_pp</t>
        </is>
      </c>
      <c r="B31" s="105" t="inlineStr">
        <is>
          <t>numérico</t>
        </is>
      </c>
      <c r="C31" s="105" t="inlineStr">
        <is>
          <t>folga pp</t>
        </is>
      </c>
      <c r="D31" s="105" t="inlineStr">
        <is>
          <t>Base normalizada compartilhada.</t>
        </is>
      </c>
      <c r="E31" s="105" t="inlineStr">
        <is>
          <t>NaN; nunca convertido em zero</t>
        </is>
      </c>
    </row>
    <row r="32" ht="37.5" customHeight="1">
      <c r="A32" s="106" t="inlineStr">
        <is>
          <t>capacidade_ate_gatilho</t>
        </is>
      </c>
      <c r="B32" s="106" t="inlineStr">
        <is>
          <t>numérico</t>
        </is>
      </c>
      <c r="C32" s="106" t="inlineStr">
        <is>
          <t>capacidade ate gatilho</t>
        </is>
      </c>
      <c r="D32" s="106" t="inlineStr">
        <is>
          <t>Base normalizada compartilhada.</t>
        </is>
      </c>
      <c r="E32" s="106" t="inlineStr">
        <is>
          <t>NaN; nunca convertido em zero</t>
        </is>
      </c>
    </row>
    <row r="33" ht="37.5" customHeight="1">
      <c r="A33" s="105" t="inlineStr">
        <is>
          <t>situacao_regulatoria</t>
        </is>
      </c>
      <c r="B33" s="105" t="inlineStr">
        <is>
          <t>texto</t>
        </is>
      </c>
      <c r="C33" s="105" t="inlineStr">
        <is>
          <t>situacao regulatoria</t>
        </is>
      </c>
      <c r="D33" s="105" t="inlineStr">
        <is>
          <t>Base normalizada compartilhada.</t>
        </is>
      </c>
      <c r="E33" s="105" t="inlineStr">
        <is>
          <t>N/D quando não localizado</t>
        </is>
      </c>
    </row>
    <row r="34" ht="37.5" customHeight="1">
      <c r="A34" s="106" t="inlineStr">
        <is>
          <t>mvp_slide_categoria</t>
        </is>
      </c>
      <c r="B34" s="106" t="inlineStr">
        <is>
          <t>texto</t>
        </is>
      </c>
      <c r="C34" s="106" t="inlineStr">
        <is>
          <t>mvp slide categoria</t>
        </is>
      </c>
      <c r="D34" s="106" t="inlineStr">
        <is>
          <t>Base normalizada compartilhada.</t>
        </is>
      </c>
      <c r="E34" s="106" t="inlineStr">
        <is>
          <t>N/D quando não localizado</t>
        </is>
      </c>
    </row>
    <row r="35" ht="37.5" customHeight="1">
      <c r="A35" s="105" t="inlineStr">
        <is>
          <t>mvp_slide_categoria_original</t>
        </is>
      </c>
      <c r="B35" s="105" t="inlineStr">
        <is>
          <t>texto</t>
        </is>
      </c>
      <c r="C35" s="105" t="inlineStr">
        <is>
          <t>mvp slide categoria original</t>
        </is>
      </c>
      <c r="D35" s="105" t="inlineStr">
        <is>
          <t>Base normalizada compartilhada.</t>
        </is>
      </c>
      <c r="E35" s="105" t="inlineStr">
        <is>
          <t>N/D quando não localizado</t>
        </is>
      </c>
    </row>
    <row r="36" ht="37.5" customHeight="1">
      <c r="A36" s="106" t="inlineStr">
        <is>
          <t>mvp_slide_categoria_override_flag</t>
        </is>
      </c>
      <c r="B36" s="106" t="inlineStr">
        <is>
          <t>booleano</t>
        </is>
      </c>
      <c r="C36" s="106" t="inlineStr">
        <is>
          <t>mvp slide categoria override flag</t>
        </is>
      </c>
      <c r="D36" s="106" t="inlineStr">
        <is>
          <t>Base normalizada compartilhada.</t>
        </is>
      </c>
      <c r="E36" s="106" t="inlineStr">
        <is>
          <t>vazio/NA quando não calculado</t>
        </is>
      </c>
    </row>
    <row r="37" ht="37.5" customHeight="1">
      <c r="A37" s="105" t="inlineStr">
        <is>
          <t>mvp_slide_categoria_fonte</t>
        </is>
      </c>
      <c r="B37" s="105" t="inlineStr">
        <is>
          <t>texto</t>
        </is>
      </c>
      <c r="C37" s="105" t="inlineStr">
        <is>
          <t>mvp slide categoria fonte</t>
        </is>
      </c>
      <c r="D37" s="105" t="inlineStr">
        <is>
          <t>Base normalizada compartilhada.</t>
        </is>
      </c>
      <c r="E37" s="105" t="inlineStr">
        <is>
          <t>N/D quando não localizado</t>
        </is>
      </c>
    </row>
    <row r="38" ht="37.5" customHeight="1">
      <c r="A38" s="106" t="inlineStr">
        <is>
          <t>mvp_slide_categoria_motivo</t>
        </is>
      </c>
      <c r="B38" s="106" t="inlineStr">
        <is>
          <t>texto</t>
        </is>
      </c>
      <c r="C38" s="106" t="inlineStr">
        <is>
          <t>mvp slide categoria motivo</t>
        </is>
      </c>
      <c r="D38" s="106" t="inlineStr">
        <is>
          <t>Base normalizada compartilhada.</t>
        </is>
      </c>
      <c r="E38" s="106" t="inlineStr">
        <is>
          <t>N/D quando não localizado</t>
        </is>
      </c>
    </row>
    <row r="39" ht="37.5" customHeight="1">
      <c r="A39" s="105" t="inlineStr">
        <is>
          <t>mvp_faixa_sub_atual</t>
        </is>
      </c>
      <c r="B39" s="105" t="inlineStr">
        <is>
          <t>texto</t>
        </is>
      </c>
      <c r="C39" s="105" t="inlineStr">
        <is>
          <t>mvp faixa sub atual</t>
        </is>
      </c>
      <c r="D39" s="105" t="inlineStr">
        <is>
          <t>Base normalizada compartilhada.</t>
        </is>
      </c>
      <c r="E39" s="105" t="inlineStr">
        <is>
          <t>N/D quando não localizado</t>
        </is>
      </c>
    </row>
    <row r="40" ht="37.5" customHeight="1">
      <c r="A40" s="106" t="inlineStr">
        <is>
          <t>mvp_elegivel_flag</t>
        </is>
      </c>
      <c r="B40" s="106" t="inlineStr">
        <is>
          <t>booleano</t>
        </is>
      </c>
      <c r="C40" s="106" t="inlineStr">
        <is>
          <t>mvp elegivel flag</t>
        </is>
      </c>
      <c r="D40" s="106" t="inlineStr">
        <is>
          <t>Base normalizada compartilhada.</t>
        </is>
      </c>
      <c r="E40" s="106" t="inlineStr">
        <is>
          <t>vazio/NA quando não calculado</t>
        </is>
      </c>
    </row>
    <row r="41" ht="37.5" customHeight="1">
      <c r="A41" s="105" t="inlineStr">
        <is>
          <t>mvp_situacao_piso</t>
        </is>
      </c>
      <c r="B41" s="105" t="inlineStr">
        <is>
          <t>texto</t>
        </is>
      </c>
      <c r="C41" s="105" t="inlineStr">
        <is>
          <t>mvp situacao piso</t>
        </is>
      </c>
      <c r="D41" s="105" t="inlineStr">
        <is>
          <t>Base normalizada compartilhada.</t>
        </is>
      </c>
      <c r="E41" s="105" t="inlineStr">
        <is>
          <t>N/D quando não localizado</t>
        </is>
      </c>
    </row>
    <row r="42" ht="37.5" customHeight="1">
      <c r="A42" s="106" t="inlineStr">
        <is>
          <t>posicao_mercado</t>
        </is>
      </c>
      <c r="B42" s="106" t="inlineStr">
        <is>
          <t>texto</t>
        </is>
      </c>
      <c r="C42" s="106" t="inlineStr">
        <is>
          <t>Posição relativa aos pares, calculada pelo pacote estrutural.</t>
        </is>
      </c>
      <c r="D42" s="106" t="inlineStr">
        <is>
          <t>Propagado de carteira_structural, sem recálculo.</t>
        </is>
      </c>
      <c r="E42" s="106" t="inlineStr">
        <is>
          <t>N/D quando não localizado</t>
        </is>
      </c>
    </row>
    <row r="43" ht="37.5" customHeight="1">
      <c r="A43" s="105" t="inlineStr">
        <is>
          <t>excesso_vs_mercado</t>
        </is>
      </c>
      <c r="B43" s="105" t="inlineStr">
        <is>
          <t>numérico</t>
        </is>
      </c>
      <c r="C43" s="105" t="inlineStr">
        <is>
          <t>Subordinação atual menos mediana de mercado; fração, quando confiável.</t>
        </is>
      </c>
      <c r="D43" s="105" t="inlineStr">
        <is>
          <t>Propagado de carteira_structural, sem recálculo.</t>
        </is>
      </c>
      <c r="E43" s="105" t="inlineStr">
        <is>
          <t>NaN; nunca convertido em zero</t>
        </is>
      </c>
    </row>
    <row r="44" ht="37.5" customHeight="1">
      <c r="A44" s="106" t="inlineStr">
        <is>
          <t>benchmark_confiavel</t>
        </is>
      </c>
      <c r="B44" s="106" t="inlineStr">
        <is>
          <t>booleano</t>
        </is>
      </c>
      <c r="C44" s="106" t="inlineStr">
        <is>
          <t>Indica se a comparação de mercado cumpre o limiar de pares.</t>
        </is>
      </c>
      <c r="D44" s="106" t="inlineStr">
        <is>
          <t>Propagado de carteira_structural, sem recálculo.</t>
        </is>
      </c>
      <c r="E44" s="106" t="inlineStr">
        <is>
          <t>vazio/NA quando não calculado</t>
        </is>
      </c>
    </row>
    <row r="45" ht="37.5" customHeight="1">
      <c r="A45" s="105" t="inlineStr">
        <is>
          <t>n_comparaveis_categoria</t>
        </is>
      </c>
      <c r="B45" s="105" t="inlineStr">
        <is>
          <t>numérico</t>
        </is>
      </c>
      <c r="C45" s="105" t="inlineStr">
        <is>
          <t>Número de pares comparáveis na categoria.</t>
        </is>
      </c>
      <c r="D45" s="105" t="inlineStr">
        <is>
          <t>Propagado de carteira_structural, sem recálculo.</t>
        </is>
      </c>
      <c r="E45" s="105" t="inlineStr">
        <is>
          <t>NaN; nunca convertido em zero</t>
        </is>
      </c>
    </row>
    <row r="46" ht="37.5" customHeight="1">
      <c r="A46" s="106" t="inlineStr">
        <is>
          <t>tipo_exibicao</t>
        </is>
      </c>
      <c r="B46" s="106" t="inlineStr">
        <is>
          <t>texto</t>
        </is>
      </c>
      <c r="C46" s="106" t="inlineStr">
        <is>
          <t>tipo exibicao</t>
        </is>
      </c>
      <c r="D46" s="106" t="inlineStr">
        <is>
          <t>Base normalizada compartilhada.</t>
        </is>
      </c>
      <c r="E46" s="106" t="inlineStr">
        <is>
          <t>N/D quando não localizado</t>
        </is>
      </c>
    </row>
    <row r="47" ht="37.5" customHeight="1">
      <c r="A47" s="105" t="inlineStr">
        <is>
          <t>foco_exibicao</t>
        </is>
      </c>
      <c r="B47" s="105" t="inlineStr">
        <is>
          <t>texto</t>
        </is>
      </c>
      <c r="C47" s="105" t="inlineStr">
        <is>
          <t>foco exibicao</t>
        </is>
      </c>
      <c r="D47" s="105" t="inlineStr">
        <is>
          <t>Base normalizada compartilhada.</t>
        </is>
      </c>
      <c r="E47" s="105" t="inlineStr">
        <is>
          <t>N/D quando não localizado</t>
        </is>
      </c>
    </row>
    <row r="48" ht="37.5" customHeight="1">
      <c r="A48" s="106" t="inlineStr">
        <is>
          <t>taxonomia_estrutural</t>
        </is>
      </c>
      <c r="B48" s="106" t="inlineStr">
        <is>
          <t>texto</t>
        </is>
      </c>
      <c r="C48" s="106" t="inlineStr">
        <is>
          <t>taxonomia estrutural</t>
        </is>
      </c>
      <c r="D48" s="106" t="inlineStr">
        <is>
          <t>Base normalizada compartilhada.</t>
        </is>
      </c>
      <c r="E48" s="106" t="inlineStr">
        <is>
          <t>N/D quando não localizado</t>
        </is>
      </c>
    </row>
    <row r="49" ht="37.5" customHeight="1">
      <c r="A49" s="105" t="inlineStr">
        <is>
          <t>grupo_comparacao</t>
        </is>
      </c>
      <c r="B49" s="105" t="inlineStr">
        <is>
          <t>texto</t>
        </is>
      </c>
      <c r="C49" s="105" t="inlineStr">
        <is>
          <t>Grupo comparável já usado na curadoria Carteira I versus flagships.</t>
        </is>
      </c>
      <c r="D49" s="105" t="inlineStr">
        <is>
          <t>Taxonomia de comparação estabelecida em industry_flagship_curation.</t>
        </is>
      </c>
      <c r="E49" s="105" t="inlineStr">
        <is>
          <t>N/D quando não localizado</t>
        </is>
      </c>
    </row>
    <row r="50" ht="37.5" customHeight="1">
      <c r="A50" s="106" t="inlineStr">
        <is>
          <t>categoria_risco_atual</t>
        </is>
      </c>
      <c r="B50" s="106" t="inlineStr">
        <is>
          <t>texto</t>
        </is>
      </c>
      <c r="C50" s="106" t="inlineStr">
        <is>
          <t>Categoria vigente antes da revisão documental Financeiro/Agro.</t>
        </is>
      </c>
      <c r="D50" s="106" t="inlineStr">
        <is>
          <t>Ledger versionado por CNPJ; demais casos preservam a categoria estrutural vigente.</t>
        </is>
      </c>
      <c r="E50" s="106" t="inlineStr">
        <is>
          <t>N/D quando não localizado</t>
        </is>
      </c>
    </row>
    <row r="51" ht="37.5" customHeight="1">
      <c r="A51" s="105" t="inlineStr">
        <is>
          <t>categoria_risco_proposta</t>
        </is>
      </c>
      <c r="B51" s="105" t="inlineStr">
        <is>
          <t>texto</t>
        </is>
      </c>
      <c r="C51" s="105" t="inlineStr">
        <is>
          <t>Categoria após decisões explicitamente aplicadas.</t>
        </is>
      </c>
      <c r="D51" s="105" t="inlineStr">
        <is>
          <t>Ledger versionado por CNPJ; applied_flag=NAO mantém a categoria atual.</t>
        </is>
      </c>
      <c r="E51" s="105" t="inlineStr">
        <is>
          <t>N/D quando não localizado</t>
        </is>
      </c>
    </row>
    <row r="52" ht="37.5" customHeight="1">
      <c r="A52" s="106" t="inlineStr">
        <is>
          <t>subtipo_risco_diagnosticado</t>
        </is>
      </c>
      <c r="B52" s="106" t="inlineStr">
        <is>
          <t>texto</t>
        </is>
      </c>
      <c r="C52" s="106" t="inlineStr">
        <is>
          <t>Tipo de risco descrito na revisão documental por CNPJ.</t>
        </is>
      </c>
      <c r="D52" s="106" t="inlineStr">
        <is>
          <t>Ledger versionado; N/D fora do universo auditado, sem inferência pelo nome.</t>
        </is>
      </c>
      <c r="E52" s="106" t="inlineStr">
        <is>
          <t>N/D quando não localizado</t>
        </is>
      </c>
    </row>
    <row r="53" ht="37.5" customHeight="1">
      <c r="A53" s="105" t="inlineStr">
        <is>
          <t>reclassificacao_proposta_flag</t>
        </is>
      </c>
      <c r="B53" s="105" t="inlineStr">
        <is>
          <t>booleano</t>
        </is>
      </c>
      <c r="C53" s="105" t="inlineStr">
        <is>
          <t>Indica decisão de reclassificação efetivamente aplicada.</t>
        </is>
      </c>
      <c r="D53" s="105" t="inlineStr">
        <is>
          <t>Verdadeiro somente quando applied_flag=SIM no ledger.</t>
        </is>
      </c>
      <c r="E53" s="105" t="inlineStr">
        <is>
          <t>vazio/NA quando não calculado</t>
        </is>
      </c>
    </row>
    <row r="54" ht="37.5" customHeight="1">
      <c r="A54" s="106" t="inlineStr">
        <is>
          <t>status_avaliacao_reclassificacao</t>
        </is>
      </c>
      <c r="B54" s="106" t="inlineStr">
        <is>
          <t>texto</t>
        </is>
      </c>
      <c r="C54" s="106" t="inlineStr">
        <is>
          <t>Status da decisão ou pendência documental.</t>
        </is>
      </c>
      <c r="D54" s="106" t="inlineStr">
        <is>
          <t>Ledger versionado por CNPJ.</t>
        </is>
      </c>
      <c r="E54" s="106" t="inlineStr">
        <is>
          <t>N/D quando não localizado</t>
        </is>
      </c>
    </row>
    <row r="55" ht="37.5" customHeight="1">
      <c r="A55" s="105" t="inlineStr">
        <is>
          <t>fundamento_avaliacao_reclassificacao</t>
        </is>
      </c>
      <c r="B55" s="105" t="inlineStr">
        <is>
          <t>texto</t>
        </is>
      </c>
      <c r="C55" s="105" t="inlineStr">
        <is>
          <t>Racional registrado para a decisão.</t>
        </is>
      </c>
      <c r="D55" s="105" t="inlineStr">
        <is>
          <t>Ledger versionado por CNPJ.</t>
        </is>
      </c>
      <c r="E55" s="105" t="inlineStr">
        <is>
          <t>N/D quando não localizado</t>
        </is>
      </c>
    </row>
    <row r="56" ht="37.5" customHeight="1">
      <c r="A56" s="106" t="inlineStr">
        <is>
          <t>fonte_avaliacao_reclassificacao</t>
        </is>
      </c>
      <c r="B56" s="106" t="inlineStr">
        <is>
          <t>texto</t>
        </is>
      </c>
      <c r="C56" s="106" t="inlineStr">
        <is>
          <t>Fonte ou evidência registrada para a decisão.</t>
        </is>
      </c>
      <c r="D56" s="106" t="inlineStr">
        <is>
          <t>Ledger versionado por CNPJ.</t>
        </is>
      </c>
      <c r="E56" s="106" t="inlineStr">
        <is>
          <t>N/D quando não localizado</t>
        </is>
      </c>
    </row>
    <row r="57" ht="37.5" customHeight="1">
      <c r="A57" s="105" t="inlineStr">
        <is>
          <t>middle_market_status</t>
        </is>
      </c>
      <c r="B57" s="105" t="inlineStr">
        <is>
          <t>texto</t>
        </is>
      </c>
      <c r="C57" s="105" t="inlineStr">
        <is>
          <t>Triagem documental da hipótese Middle Market.</t>
        </is>
      </c>
      <c r="D57" s="105" t="inlineStr">
        <is>
          <t>Ledger versionado; Candidato e Pendente não comprovam porte.</t>
        </is>
      </c>
      <c r="E57" s="105" t="inlineStr">
        <is>
          <t>N/D quando não localizado</t>
        </is>
      </c>
    </row>
    <row r="58" ht="37.5" customHeight="1">
      <c r="A58" s="106" t="inlineStr">
        <is>
          <t>middle_market_evidencia</t>
        </is>
      </c>
      <c r="B58" s="106" t="inlineStr">
        <is>
          <t>texto</t>
        </is>
      </c>
      <c r="C58" s="106" t="inlineStr">
        <is>
          <t>Evidência associada à triagem Middle Market.</t>
        </is>
      </c>
      <c r="D58" s="106" t="inlineStr">
        <is>
          <t>Ledger versionado por CNPJ.</t>
        </is>
      </c>
      <c r="E58" s="106" t="inlineStr">
        <is>
          <t>N/D quando não localizado</t>
        </is>
      </c>
    </row>
    <row r="59" ht="37.5" customHeight="1">
      <c r="A59" s="105" t="inlineStr">
        <is>
          <t>middle_market_porte_documentado_flag</t>
        </is>
      </c>
      <c r="B59" s="105" t="inlineStr">
        <is>
          <t>booleano</t>
        </is>
      </c>
      <c r="C59" s="105" t="inlineStr">
        <is>
          <t>Indica se o porte Middle Market foi documentado.</t>
        </is>
      </c>
      <c r="D59" s="105" t="inlineStr">
        <is>
          <t>N/D para candidatos e pendências sem evidência de porte.</t>
        </is>
      </c>
      <c r="E59" s="105" t="inlineStr">
        <is>
          <t>vazio/NA quando não calculado</t>
        </is>
      </c>
    </row>
    <row r="60" ht="37.5" customHeight="1">
      <c r="A60" s="106" t="inlineStr">
        <is>
          <t>preco_cota_brl</t>
        </is>
      </c>
      <c r="B60" s="106" t="inlineStr">
        <is>
          <t>numérico</t>
        </is>
      </c>
      <c r="C60" s="106" t="inlineStr">
        <is>
          <t>Preço unitário em reais quando há um único valor documental distinto.</t>
        </is>
      </c>
      <c r="D60" s="106" t="inlineStr">
        <is>
          <t>Curadoria de emissão/VNU; múltiplos valores permanecem no campo de leitura.</t>
        </is>
      </c>
      <c r="E60" s="106" t="inlineStr">
        <is>
          <t>NaN; nunca convertido em zero</t>
        </is>
      </c>
    </row>
    <row r="61" ht="37.5" customHeight="1">
      <c r="A61" s="105" t="inlineStr">
        <is>
          <t>preco_cota_display</t>
        </is>
      </c>
      <c r="B61" s="105" t="inlineStr">
        <is>
          <t>texto</t>
        </is>
      </c>
      <c r="C61" s="105" t="inlineStr">
        <is>
          <t>Leitura do preço unitário preservada por classe ou série.</t>
        </is>
      </c>
      <c r="D61" s="105" t="inlineStr">
        <is>
          <t>Documento de emissão/VNU; remuneração e quantidade são excluídas.</t>
        </is>
      </c>
      <c r="E61" s="105" t="inlineStr">
        <is>
          <t>N/D quando não localizado</t>
        </is>
      </c>
    </row>
    <row r="62" ht="37.5" customHeight="1">
      <c r="A62" s="106" t="inlineStr">
        <is>
          <t>preco_cota_natureza</t>
        </is>
      </c>
      <c r="B62" s="106" t="inlineStr">
        <is>
          <t>texto</t>
        </is>
      </c>
      <c r="C62" s="106" t="inlineStr">
        <is>
          <t>Natureza explícita: VNU, emissão, subscrição ou integralização.</t>
        </is>
      </c>
      <c r="D62" s="106" t="inlineStr">
        <is>
          <t>Texto da fonte; ausência de termo explícito fica marcada com asterisco.</t>
        </is>
      </c>
      <c r="E62" s="106" t="inlineStr">
        <is>
          <t>N/D quando não localizado</t>
        </is>
      </c>
    </row>
    <row r="63" ht="37.5" customHeight="1">
      <c r="A63" s="105" t="inlineStr">
        <is>
          <t>preco_cota_classe_serie</t>
        </is>
      </c>
      <c r="B63" s="105" t="inlineStr">
        <is>
          <t>texto</t>
        </is>
      </c>
      <c r="C63" s="105" t="inlineStr">
        <is>
          <t>Classe ou série à qual o preço unitário se refere.</t>
        </is>
      </c>
      <c r="D63" s="105" t="inlineStr">
        <is>
          <t>Documento de emissão/VNU.</t>
        </is>
      </c>
      <c r="E63" s="105" t="inlineStr">
        <is>
          <t>N/D quando não localizado</t>
        </is>
      </c>
    </row>
    <row r="64" ht="37.5" customHeight="1">
      <c r="A64" s="106" t="inlineStr">
        <is>
          <t>preco_cota_documento_data</t>
        </is>
      </c>
      <c r="B64" s="106" t="inlineStr">
        <is>
          <t>texto</t>
        </is>
      </c>
      <c r="C64" s="106" t="inlineStr">
        <is>
          <t>Data do documento ou deliberação que sustenta o preço unitário.</t>
        </is>
      </c>
      <c r="D64" s="106" t="inlineStr">
        <is>
          <t>Documento de emissão/VNU.</t>
        </is>
      </c>
      <c r="E64" s="106" t="inlineStr">
        <is>
          <t>N/D quando não localizado</t>
        </is>
      </c>
    </row>
    <row r="65" ht="37.5" customHeight="1">
      <c r="A65" s="105" t="inlineStr">
        <is>
          <t>preco_cota_documento_id</t>
        </is>
      </c>
      <c r="B65" s="105" t="inlineStr">
        <is>
          <t>texto</t>
        </is>
      </c>
      <c r="C65" s="105" t="inlineStr">
        <is>
          <t>Identificador do documento que sustenta o preço unitário.</t>
        </is>
      </c>
      <c r="D65" s="105" t="inlineStr">
        <is>
          <t>Documento de emissão/VNU.</t>
        </is>
      </c>
      <c r="E65" s="105" t="inlineStr">
        <is>
          <t>N/D quando não localizado</t>
        </is>
      </c>
    </row>
    <row r="66" ht="37.5" customHeight="1">
      <c r="A66" s="106" t="inlineStr">
        <is>
          <t>preco_cota_fonte</t>
        </is>
      </c>
      <c r="B66" s="106" t="inlineStr">
        <is>
          <t>texto</t>
        </is>
      </c>
      <c r="C66" s="106" t="inlineStr">
        <is>
          <t>Fonte, caminho ou URL da evidência de preço unitário.</t>
        </is>
      </c>
      <c r="D66" s="106" t="inlineStr">
        <is>
          <t>Documento de emissão/VNU.</t>
        </is>
      </c>
      <c r="E66" s="106" t="inlineStr">
        <is>
          <t>N/D quando não localizado</t>
        </is>
      </c>
    </row>
    <row r="67" ht="37.5" customHeight="1">
      <c r="A67" s="105" t="inlineStr">
        <is>
          <t>preco_cota_status</t>
        </is>
      </c>
      <c r="B67" s="105" t="inlineStr">
        <is>
          <t>texto</t>
        </is>
      </c>
      <c r="C67" s="105" t="inlineStr">
        <is>
          <t>Status de localização e revisão documental do preço unitário.</t>
        </is>
      </c>
      <c r="D67" s="105" t="inlineStr">
        <is>
          <t>Curadoria documental.</t>
        </is>
      </c>
      <c r="E67" s="105" t="inlineStr">
        <is>
          <t>N/D quando não localizado</t>
        </is>
      </c>
    </row>
    <row r="68" ht="37.5" customHeight="1">
      <c r="A68" s="106" t="inlineStr">
        <is>
          <t>preco_cota_excecao_asterisco_flag</t>
        </is>
      </c>
      <c r="B68" s="106" t="inlineStr">
        <is>
          <t>booleano</t>
        </is>
      </c>
      <c r="C68" s="106" t="inlineStr">
        <is>
          <t>Marca múltiplas classes/valores ou natureza documental ambígua.</t>
        </is>
      </c>
      <c r="D68" s="106" t="inlineStr">
        <is>
          <t>Regra de apresentação; a explicação permanece nos campos de preço.</t>
        </is>
      </c>
      <c r="E68" s="106" t="inlineStr">
        <is>
          <t>vazio/NA quando não calculado</t>
        </is>
      </c>
    </row>
    <row r="69" ht="37.5" customHeight="1">
      <c r="A69" s="105" t="inlineStr">
        <is>
          <t>cedente_originador_literal</t>
        </is>
      </c>
      <c r="B69" s="105" t="inlineStr">
        <is>
          <t>texto</t>
        </is>
      </c>
      <c r="C69" s="105" t="inlineStr">
        <is>
          <t>cedente originador literal</t>
        </is>
      </c>
      <c r="D69" s="105" t="inlineStr">
        <is>
          <t>Base normalizada compartilhada.</t>
        </is>
      </c>
      <c r="E69" s="105" t="inlineStr">
        <is>
          <t>N/D quando não localizado</t>
        </is>
      </c>
    </row>
    <row r="70" ht="37.5" customHeight="1">
      <c r="A70" s="106" t="inlineStr">
        <is>
          <t>papel_literal</t>
        </is>
      </c>
      <c r="B70" s="106" t="inlineStr">
        <is>
          <t>texto</t>
        </is>
      </c>
      <c r="C70" s="106" t="inlineStr">
        <is>
          <t>papel literal</t>
        </is>
      </c>
      <c r="D70" s="106" t="inlineStr">
        <is>
          <t>Base normalizada compartilhada.</t>
        </is>
      </c>
      <c r="E70" s="106" t="inlineStr">
        <is>
          <t>N/D quando não localizado</t>
        </is>
      </c>
    </row>
    <row r="71" ht="37.5" customHeight="1">
      <c r="A71" s="105" t="inlineStr">
        <is>
          <t>originador</t>
        </is>
      </c>
      <c r="B71" s="105" t="inlineStr">
        <is>
          <t>texto</t>
        </is>
      </c>
      <c r="C71" s="105" t="inlineStr">
        <is>
          <t>originador</t>
        </is>
      </c>
      <c r="D71" s="105" t="inlineStr">
        <is>
          <t>Base normalizada compartilhada.</t>
        </is>
      </c>
      <c r="E71" s="105" t="inlineStr">
        <is>
          <t>N/D quando não localizado</t>
        </is>
      </c>
    </row>
    <row r="72" ht="37.5" customHeight="1">
      <c r="A72" s="106" t="inlineStr">
        <is>
          <t>cedente</t>
        </is>
      </c>
      <c r="B72" s="106" t="inlineStr">
        <is>
          <t>texto</t>
        </is>
      </c>
      <c r="C72" s="106" t="inlineStr">
        <is>
          <t>cedente</t>
        </is>
      </c>
      <c r="D72" s="106" t="inlineStr">
        <is>
          <t>Base normalizada compartilhada.</t>
        </is>
      </c>
      <c r="E72" s="106" t="inlineStr">
        <is>
          <t>N/D quando não localizado</t>
        </is>
      </c>
    </row>
    <row r="73" ht="37.5" customHeight="1">
      <c r="A73" s="105" t="inlineStr">
        <is>
          <t>sacado_devedor</t>
        </is>
      </c>
      <c r="B73" s="105" t="inlineStr">
        <is>
          <t>texto</t>
        </is>
      </c>
      <c r="C73" s="105" t="inlineStr">
        <is>
          <t>sacado devedor</t>
        </is>
      </c>
      <c r="D73" s="105" t="inlineStr">
        <is>
          <t>Base normalizada compartilhada.</t>
        </is>
      </c>
      <c r="E73" s="105" t="inlineStr">
        <is>
          <t>N/D quando não localizado</t>
        </is>
      </c>
    </row>
    <row r="74" ht="37.5" customHeight="1">
      <c r="A74" s="106" t="inlineStr">
        <is>
          <t>tipo_recebivel_literal</t>
        </is>
      </c>
      <c r="B74" s="106" t="inlineStr">
        <is>
          <t>texto</t>
        </is>
      </c>
      <c r="C74" s="106" t="inlineStr">
        <is>
          <t>tipo recebivel literal</t>
        </is>
      </c>
      <c r="D74" s="106" t="inlineStr">
        <is>
          <t>Base normalizada compartilhada.</t>
        </is>
      </c>
      <c r="E74" s="106" t="inlineStr">
        <is>
          <t>N/D quando não localizado</t>
        </is>
      </c>
    </row>
    <row r="75" ht="37.5" customHeight="1">
      <c r="A75" s="105" t="inlineStr">
        <is>
          <t>fonte_partes_recebivel</t>
        </is>
      </c>
      <c r="B75" s="105" t="inlineStr">
        <is>
          <t>texto</t>
        </is>
      </c>
      <c r="C75" s="105" t="inlineStr">
        <is>
          <t>fonte partes recebivel</t>
        </is>
      </c>
      <c r="D75" s="105" t="inlineStr">
        <is>
          <t>Base normalizada compartilhada.</t>
        </is>
      </c>
      <c r="E75" s="105" t="inlineStr">
        <is>
          <t>N/D quando não localizado</t>
        </is>
      </c>
    </row>
    <row r="76" ht="37.5" customHeight="1">
      <c r="A76" s="106" t="inlineStr">
        <is>
          <t>status_complemento_manual</t>
        </is>
      </c>
      <c r="B76" s="106" t="inlineStr">
        <is>
          <t>texto</t>
        </is>
      </c>
      <c r="C76" s="106" t="inlineStr">
        <is>
          <t>status complemento manual</t>
        </is>
      </c>
      <c r="D76" s="106" t="inlineStr">
        <is>
          <t>Base normalizada compartilhada.</t>
        </is>
      </c>
      <c r="E76" s="106" t="inlineStr">
        <is>
          <t>N/D quando não localizado</t>
        </is>
      </c>
    </row>
    <row r="77" ht="37.5" customHeight="1">
      <c r="A77" s="105" t="inlineStr">
        <is>
          <t>observacao_complemento_manual</t>
        </is>
      </c>
      <c r="B77" s="105" t="inlineStr">
        <is>
          <t>texto</t>
        </is>
      </c>
      <c r="C77" s="105" t="inlineStr">
        <is>
          <t>observacao complemento manual</t>
        </is>
      </c>
      <c r="D77" s="105" t="inlineStr">
        <is>
          <t>Base normalizada compartilhada.</t>
        </is>
      </c>
      <c r="E77" s="105" t="inlineStr">
        <is>
          <t>N/D quando não localizado</t>
        </is>
      </c>
    </row>
    <row r="78" ht="37.5" customHeight="1">
      <c r="A78" s="106" t="inlineStr">
        <is>
          <t>documento_id</t>
        </is>
      </c>
      <c r="B78" s="106" t="inlineStr">
        <is>
          <t>texto</t>
        </is>
      </c>
      <c r="C78" s="106" t="inlineStr">
        <is>
          <t>documento id</t>
        </is>
      </c>
      <c r="D78" s="106" t="inlineStr">
        <is>
          <t>Base normalizada compartilhada.</t>
        </is>
      </c>
      <c r="E78" s="106" t="inlineStr">
        <is>
          <t>N/D quando não localizado</t>
        </is>
      </c>
    </row>
    <row r="79" ht="37.5" customHeight="1">
      <c r="A79" s="105" t="inlineStr">
        <is>
          <t>documento_data</t>
        </is>
      </c>
      <c r="B79" s="105" t="inlineStr">
        <is>
          <t>texto</t>
        </is>
      </c>
      <c r="C79" s="105" t="inlineStr">
        <is>
          <t>documento data</t>
        </is>
      </c>
      <c r="D79" s="105" t="inlineStr">
        <is>
          <t>Base normalizada compartilhada.</t>
        </is>
      </c>
      <c r="E79" s="105" t="inlineStr">
        <is>
          <t>N/D quando não localizado</t>
        </is>
      </c>
    </row>
    <row r="80" ht="37.5" customHeight="1">
      <c r="A80" s="106" t="inlineStr">
        <is>
          <t>pagina_clausula</t>
        </is>
      </c>
      <c r="B80" s="106" t="inlineStr">
        <is>
          <t>texto</t>
        </is>
      </c>
      <c r="C80" s="106" t="inlineStr">
        <is>
          <t>pagina clausula</t>
        </is>
      </c>
      <c r="D80" s="106" t="inlineStr">
        <is>
          <t>Base normalizada compartilhada.</t>
        </is>
      </c>
      <c r="E80" s="106" t="inlineStr">
        <is>
          <t>N/D quando não localizado</t>
        </is>
      </c>
    </row>
    <row r="81" ht="37.5" customHeight="1">
      <c r="A81" s="105" t="inlineStr">
        <is>
          <t>status_curadoria_documental</t>
        </is>
      </c>
      <c r="B81" s="105" t="inlineStr">
        <is>
          <t>texto</t>
        </is>
      </c>
      <c r="C81" s="105" t="inlineStr">
        <is>
          <t>status curadoria documental</t>
        </is>
      </c>
      <c r="D81" s="105" t="inlineStr">
        <is>
          <t>Base normalizada compartilhada.</t>
        </is>
      </c>
      <c r="E81" s="105" t="inlineStr">
        <is>
          <t>N/D quando não localizado</t>
        </is>
      </c>
    </row>
    <row r="82" ht="37.5" customHeight="1">
      <c r="A82" s="106" t="inlineStr">
        <is>
          <t>fonte_documental</t>
        </is>
      </c>
      <c r="B82" s="106" t="inlineStr">
        <is>
          <t>texto</t>
        </is>
      </c>
      <c r="C82" s="106" t="inlineStr">
        <is>
          <t>fonte documental</t>
        </is>
      </c>
      <c r="D82" s="106" t="inlineStr">
        <is>
          <t>Base normalizada compartilhada.</t>
        </is>
      </c>
      <c r="E82" s="106" t="inlineStr">
        <is>
          <t>N/D quando não localizado</t>
        </is>
      </c>
    </row>
    <row r="83" ht="37.5" customHeight="1">
      <c r="A83" s="105" t="inlineStr">
        <is>
          <t>texto_minimo</t>
        </is>
      </c>
      <c r="B83" s="105" t="inlineStr">
        <is>
          <t>texto</t>
        </is>
      </c>
      <c r="C83" s="105" t="inlineStr">
        <is>
          <t>texto minimo</t>
        </is>
      </c>
      <c r="D83" s="105" t="inlineStr">
        <is>
          <t>Base normalizada compartilhada.</t>
        </is>
      </c>
      <c r="E83" s="105" t="inlineStr">
        <is>
          <t>N/D quando não localizado</t>
        </is>
      </c>
    </row>
    <row r="84" ht="37.5" customHeight="1">
      <c r="A84" s="106" t="inlineStr">
        <is>
          <t>campos_nao_preenchidos</t>
        </is>
      </c>
      <c r="B84" s="106" t="inlineStr">
        <is>
          <t>texto</t>
        </is>
      </c>
      <c r="C84" s="106" t="inlineStr">
        <is>
          <t>campos nao preenchidos</t>
        </is>
      </c>
      <c r="D84" s="106" t="inlineStr">
        <is>
          <t>Base normalizada compartilhada.</t>
        </is>
      </c>
      <c r="E84" s="106" t="inlineStr">
        <is>
          <t>N/D quando não localizado</t>
        </is>
      </c>
    </row>
    <row r="85" ht="37.5" customHeight="1">
      <c r="A85" s="105" t="inlineStr">
        <is>
          <t>status_preenchimento</t>
        </is>
      </c>
      <c r="B85" s="105" t="inlineStr">
        <is>
          <t>texto</t>
        </is>
      </c>
      <c r="C85" s="105" t="inlineStr">
        <is>
          <t>status preenchimento</t>
        </is>
      </c>
      <c r="D85" s="105" t="inlineStr">
        <is>
          <t>Base normalizada compartilhada.</t>
        </is>
      </c>
      <c r="E85" s="105" t="inlineStr">
        <is>
          <t>N/D quando não localizado</t>
        </is>
      </c>
    </row>
  </sheetData>
  <mergeCells count="2">
    <mergeCell ref="A2:E2"/>
    <mergeCell ref="A1:E1"/>
  </mergeCells>
  <pageMargins left="0.7" right="0.7" top="0.75" bottom="0.75" header="0.3" footer="0.3"/>
</worksheet>
</file>

<file path=xl/worksheets/sheet14.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Adquirência</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4</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15.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Cartão/CCB, ecossistema Credsystem</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16.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Empréstimos Monee SCD, CCBs</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Equipamentos e serviços, recebíveis comerciais pulverizados</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Financiamento a consultoras Natura, CCBs</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Home equity PF/PJ, CCB com alienação fiduciária</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0.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Monosacado/concentrado BRF e Marfrig</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1.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Multicedente agro, lastro específico pendente</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2.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Máquinas e implementos agrícolas, vendas e serviços performados</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3.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Notas comerciais da Dass, projeto de investimento</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4.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Notas comerciais de empresas/devedores</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5.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Recebíveis Albaugh, insumos agro</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2</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6.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Recebíveis Gazin, natureza contratual não isolada</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7.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Recebíveis comerciais de produtos Cantu Store</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8.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Recebíveis de insumos Yara</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29.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Recebíveis de transações de pagamento Pernambucanas</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30.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Supplier finance, ArcelorMittal como devedora</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31.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Supplier finance, MadeiraMadeira como devedora</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32.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Venda a prazo de máquinas e implementos Maqnelson</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xl/worksheets/sheet33.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cols>
    <col width="19"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s="166" t="inlineStr">
        <is>
          <t>Subordinação mínima vs. Subordinação atual · Venda de insumos a produtores e distribuidores</t>
        </is>
      </c>
    </row>
    <row r="2">
      <c r="A2" s="167" t="inlineStr">
        <is>
          <t>Cada ponto é um CNPJ com estruturas comparáveis. O rótulo e a legenda referenciam a aba Nomes editáveis; ausências e estruturas incomparáveis permanecem na aba Casos 99 e não entram como zero.</t>
        </is>
      </c>
    </row>
    <row r="3">
      <c r="A3" t="inlineStr">
        <is>
          <t>Cores</t>
        </is>
      </c>
      <c r="B3" s="168" t="inlineStr">
        <is>
          <t>Vinho: abaixo do mínimo</t>
        </is>
      </c>
      <c r="C3" s="169" t="inlineStr">
        <is>
          <t>Âmbar: folga estreita</t>
        </is>
      </c>
      <c r="D3" s="170" t="inlineStr">
        <is>
          <t>Azul: acima do mínimo</t>
        </is>
      </c>
      <c r="E3" t="inlineStr">
        <is>
          <t>Pontos: 1</t>
        </is>
      </c>
    </row>
  </sheetData>
  <mergeCells count="2">
    <mergeCell ref="A2:H2"/>
    <mergeCell ref="A1:H1"/>
  </mergeCells>
  <pageMargins left="0.75" right="0.75" top="1" bottom="1" header="0.5" footer="0.5"/>
  <pageSetup fitToHeight="1"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2026-10-11T00:48:24Z</dcterms:created>
  <dcterms:modified xmlns:dcterms="http://purl.org/dc/terms/" xmlns:xsi="http://www.w3.org/2001/XMLSchema-instance" xsi:type="dcterms:W3CDTF">2026-10-11T00:48:24Z</dcterms:modified>
</cp:coreProperties>
</file>