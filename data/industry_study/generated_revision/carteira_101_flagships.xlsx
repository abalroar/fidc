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worksheets/sheet33.xml" ContentType="application/vnd.openxmlformats-officedocument.spreadsheetml.worksheet+xml"/>
  <Override PartName="/xl/drawings/drawing2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 xmlns:r="http://schemas.openxmlformats.org/officeDocument/2006/relationships" name="Gráfico 20" sheetId="33" state="visible" r:id="rId33"/>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left/>
      <right/>
      <top/>
      <bottom/>
      <diagonal/>
    </border>
    <border>
      <left/>
      <right/>
      <top/>
      <bottom style="thin">
        <color rgb="FFD7DADD"/>
      </bottom>
      <diagonal/>
    </border>
    <border>
      <left/>
      <right/>
      <top style="thin">
        <color rgb="FFD7DADD"/>
      </top>
      <bottom style="thin">
        <color rgb="FFD7DADD"/>
      </bottom>
      <diagonal/>
    </border>
    <border>
      <left/>
      <right/>
      <top/>
      <bottom style="thin">
        <color rgb="FF151515"/>
      </bottom>
      <diagonal/>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comerciais de produtos Cantu Store · mínimo estrutural x Sub/PL atual</a:t>
            </a:r>
          </a:p>
        </rich>
      </tx>
    </title>
    <plotArea>
      <scatterChart>
        <ser>
          <idx val="0"/>
          <order val="0"/>
          <tx>
            <strRef>
              <f>'Nomes editáveis'!$D$99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99'!$S$99</f>
            </numRef>
          </xVal>
          <yVal>
            <numRef>
              <f>'Casos 99'!$L$99</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_rels/sheet33.xml.rels><Relationships xmlns="http://schemas.openxmlformats.org/package/2006/relationships"><Relationship Type="http://schemas.openxmlformats.org/officeDocument/2006/relationships/drawing" Target="/xl/drawings/drawing20.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pane ySplit="2" topLeftCell="A3" activePane="bottomLeft" state="frozen"/>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2026-08.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24/101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pane xSplit="4" ySplit="4" topLeftCell="E5" activePane="bottomRight" state="frozen"/>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2026-08</t>
        </is>
      </c>
      <c r="H5" s="73" t="inlineStr">
        <is>
          <t>localizado</t>
        </is>
      </c>
      <c r="I5" s="135" t="n">
        <v>87853640.33</v>
      </c>
      <c r="J5" s="135" t="n">
        <v>87853640.66977322</v>
      </c>
      <c r="K5" s="135" t="n">
        <v>23060468.81977321</v>
      </c>
      <c r="L5" s="136" t="n">
        <v>0.2624873452386536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-0.04370643545783054</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2026-08</t>
        </is>
      </c>
      <c r="H6" s="74" t="inlineStr">
        <is>
          <t>localizado</t>
        </is>
      </c>
      <c r="I6" s="139" t="n">
        <v>926783405.79</v>
      </c>
      <c r="J6" s="139" t="n">
        <v>926783405.793</v>
      </c>
      <c r="K6" s="139" t="n">
        <v>158995139.3595</v>
      </c>
      <c r="L6" s="140" t="n">
        <v>0.1715558763419711</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-0.01122356481751938</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2026-08</t>
        </is>
      </c>
      <c r="H7" s="75" t="inlineStr">
        <is>
          <t>localizado</t>
        </is>
      </c>
      <c r="I7" s="143" t="n">
        <v>67695100.98999999</v>
      </c>
      <c r="J7" s="143" t="n">
        <v>67695100.98999999</v>
      </c>
      <c r="K7" s="143" t="n">
        <v>13664539.85</v>
      </c>
      <c r="L7" s="144" t="n">
        <v>0.2018541910738643</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em linha com o mercado</t>
        </is>
      </c>
      <c r="AZ7" s="144" t="n">
        <v>0.01907474991437383</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2026-08</t>
        </is>
      </c>
      <c r="H8" s="74" t="inlineStr">
        <is>
          <t>localizado</t>
        </is>
      </c>
      <c r="I8" s="139" t="n">
        <v>102271218.36</v>
      </c>
      <c r="J8" s="139" t="n">
        <v>102271218.3603658</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-0.3061937806964842</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2026-08</t>
        </is>
      </c>
      <c r="H9" s="75" t="inlineStr">
        <is>
          <t>localizado</t>
        </is>
      </c>
      <c r="I9" s="143" t="n">
        <v>214704733.67</v>
      </c>
      <c r="J9" s="143" t="n">
        <v>214087001.1704569</v>
      </c>
      <c r="K9" s="143" t="n">
        <v>53092077.31795698</v>
      </c>
      <c r="L9" s="144" t="n">
        <v>0.2472794912829412</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-0.002720508717058756</v>
      </c>
      <c r="AA9" s="144" t="n">
        <v>-0.003627344956078341</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-0.05891428941354293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2026-08</t>
        </is>
      </c>
      <c r="H10" s="74" t="inlineStr">
        <is>
          <t>localizado</t>
        </is>
      </c>
      <c r="I10" s="139" t="n">
        <v>243523109.81</v>
      </c>
      <c r="J10" s="139" t="n">
        <v>223229399.6670629</v>
      </c>
      <c r="K10" s="139" t="n">
        <v>65236619.2683814</v>
      </c>
      <c r="L10" s="140" t="inlineStr">
        <is>
          <t>N/D</t>
        </is>
      </c>
      <c r="M10" s="74" t="inlineStr">
        <is>
          <t>N/D — PL oficial diverge das classes acima de 0,5%</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2026-08</t>
        </is>
      </c>
      <c r="H11" s="75" t="inlineStr">
        <is>
          <t>localizado</t>
        </is>
      </c>
      <c r="I11" s="143" t="n">
        <v>236600544.72</v>
      </c>
      <c r="J11" s="143" t="n">
        <v>236600544.7212134</v>
      </c>
      <c r="K11" s="143" t="n">
        <v>56750307.62844241</v>
      </c>
      <c r="L11" s="144" t="n">
        <v>0.2398570455347107</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0.0570776043752203</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2026-08</t>
        </is>
      </c>
      <c r="H12" s="74" t="inlineStr">
        <is>
          <t>localizado</t>
        </is>
      </c>
      <c r="I12" s="139" t="n">
        <v>358462032.54</v>
      </c>
      <c r="J12" s="139" t="n">
        <v>358462032.547115</v>
      </c>
      <c r="K12" s="139" t="n">
        <v>15864230.86962</v>
      </c>
      <c r="L12" s="140" t="n">
        <v>0.04425637704838306</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2026-08</t>
        </is>
      </c>
      <c r="H13" s="75" t="inlineStr">
        <is>
          <t>localizado</t>
        </is>
      </c>
      <c r="I13" s="143" t="inlineStr">
        <is>
          <t>N/D</t>
        </is>
      </c>
      <c r="J13" s="143" t="inlineStr">
        <is>
          <t>N/D</t>
        </is>
      </c>
      <c r="K13" s="143" t="inlineStr">
        <is>
          <t>N/D</t>
        </is>
      </c>
      <c r="L13" s="144" t="inlineStr">
        <is>
          <t>N/D</t>
        </is>
      </c>
      <c r="M13" s="75" t="inlineStr">
        <is>
          <t>PL oficial ausente em 2026-08</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2026-08</t>
        </is>
      </c>
      <c r="H14" s="74" t="inlineStr">
        <is>
          <t>localizado</t>
        </is>
      </c>
      <c r="I14" s="139" t="n">
        <v>109837131.37</v>
      </c>
      <c r="J14" s="139" t="n">
        <v>109837131.369685</v>
      </c>
      <c r="K14" s="139" t="n">
        <v>6088072.399986479</v>
      </c>
      <c r="L14" s="140" t="n">
        <v>0.0554281810172013</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0.005428181017201293</v>
      </c>
      <c r="AA14" s="140" t="n">
        <v>0.00571387475494873</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2026-08</t>
        </is>
      </c>
      <c r="H15" s="75" t="inlineStr">
        <is>
          <t>localizado</t>
        </is>
      </c>
      <c r="I15" s="143" t="inlineStr">
        <is>
          <t>N/D</t>
        </is>
      </c>
      <c r="J15" s="143" t="inlineStr">
        <is>
          <t>N/D</t>
        </is>
      </c>
      <c r="K15" s="143" t="inlineStr">
        <is>
          <t>N/D</t>
        </is>
      </c>
      <c r="L15" s="144" t="inlineStr">
        <is>
          <t>N/D</t>
        </is>
      </c>
      <c r="M15" s="75" t="inlineStr">
        <is>
          <t>PL oficial ausente em 2026-08</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2026-08</t>
        </is>
      </c>
      <c r="H16" s="74" t="inlineStr">
        <is>
          <t>localizado</t>
        </is>
      </c>
      <c r="I16" s="139" t="inlineStr">
        <is>
          <t>N/D</t>
        </is>
      </c>
      <c r="J16" s="139" t="inlineStr">
        <is>
          <t>N/D</t>
        </is>
      </c>
      <c r="K16" s="139" t="inlineStr">
        <is>
          <t>N/D</t>
        </is>
      </c>
      <c r="L16" s="140" t="inlineStr">
        <is>
          <t>N/D</t>
        </is>
      </c>
      <c r="M16" s="74" t="inlineStr">
        <is>
          <t>PL oficial ausente em 2026-08</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2026-08</t>
        </is>
      </c>
      <c r="H17" s="75" t="inlineStr">
        <is>
          <t>localizado</t>
        </is>
      </c>
      <c r="I17" s="143" t="n">
        <v>444983236.36</v>
      </c>
      <c r="J17" s="143" t="n">
        <v>444983236.3582025</v>
      </c>
      <c r="K17" s="143" t="n">
        <v>87970677.92885245</v>
      </c>
      <c r="L17" s="144" t="n">
        <v>0.1976943640584305</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-0.002305635941569545</v>
      </c>
      <c r="AA17" s="144" t="n">
        <v>-0.002882044926961931</v>
      </c>
      <c r="AB17" s="75" t="inlineStr">
        <is>
          <t>abaixo do mínimo</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15%–20%</t>
        </is>
      </c>
      <c r="AW17" s="75" t="b">
        <v>1</v>
      </c>
      <c r="AX17" s="75" t="inlineStr">
        <is>
          <t>abaixo do piso</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2026-08</t>
        </is>
      </c>
      <c r="H18" s="74" t="inlineStr">
        <is>
          <t>localizado</t>
        </is>
      </c>
      <c r="I18" s="139" t="n">
        <v>25878515.55</v>
      </c>
      <c r="J18" s="139" t="n">
        <v>25878516.16340993</v>
      </c>
      <c r="K18" s="139" t="n">
        <v>2894853.600058563</v>
      </c>
      <c r="L18" s="140" t="n">
        <v>0.1118632015219498</v>
      </c>
      <c r="M18" s="74" t="inlineStr">
        <is>
          <t>Calculado com classes reportadas e PL oficial reconciliado</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10%–15%</t>
        </is>
      </c>
      <c r="AW18" s="74" t="b">
        <v>1</v>
      </c>
      <c r="AX18" s="74" t="inlineStr">
        <is>
          <t>incomparável</t>
        </is>
      </c>
      <c r="AY18" s="74" t="inlineStr">
        <is>
          <t>abaixo do mercado</t>
        </is>
      </c>
      <c r="AZ18" s="140" t="n">
        <v>-0.04802668044171615</v>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originador; sacado/devedor</t>
        </is>
      </c>
      <c r="CB18" s="74" t="inlineStr">
        <is>
          <t>estrutura_incomparavel</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2026-08</t>
        </is>
      </c>
      <c r="H19" s="75" t="inlineStr">
        <is>
          <t>localizado</t>
        </is>
      </c>
      <c r="I19" s="143" t="n">
        <v>203278751.81</v>
      </c>
      <c r="J19" s="143" t="n">
        <v>203278751.8102072</v>
      </c>
      <c r="K19" s="143" t="n">
        <v>30845877.30995766</v>
      </c>
      <c r="L19" s="144" t="n">
        <v>0.1517417685582239</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-0.03103767260126652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2026-08</t>
        </is>
      </c>
      <c r="H20" s="74" t="inlineStr">
        <is>
          <t>localizado</t>
        </is>
      </c>
      <c r="I20" s="139" t="n">
        <v>0</v>
      </c>
      <c r="J20" s="139" t="n">
        <v>0</v>
      </c>
      <c r="K20" s="139" t="n">
        <v>0</v>
      </c>
      <c r="L20" s="140" t="inlineStr">
        <is>
          <t>N/D</t>
        </is>
      </c>
      <c r="M20" s="74" t="inlineStr">
        <is>
          <t>N/D — PL oficial reportado zero em 2026-08; razão não calculável</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N/D</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Sub/PL atual; mínimo estrutural comparável; originador; sacado/devedor; tipo de recebível</t>
        </is>
      </c>
      <c r="CB20" s="74" t="inlineStr">
        <is>
          <t>sub_pl_atual_ausente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2026-08</t>
        </is>
      </c>
      <c r="H21" s="75" t="inlineStr">
        <is>
          <t>localizado</t>
        </is>
      </c>
      <c r="I21" s="143" t="n">
        <v>1695951362.31</v>
      </c>
      <c r="J21" s="143" t="n">
        <v>1695951362.309823</v>
      </c>
      <c r="K21" s="143" t="n">
        <v>1286045934.589909</v>
      </c>
      <c r="L21" s="144" t="n">
        <v>0.7583035475959804</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0.4521097668994962</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2026-08</t>
        </is>
      </c>
      <c r="H22" s="74" t="inlineStr">
        <is>
          <t>localizado</t>
        </is>
      </c>
      <c r="I22" s="139" t="n">
        <v>249320835.66</v>
      </c>
      <c r="J22" s="139" t="n">
        <v>249320835.6550394</v>
      </c>
      <c r="K22" s="139" t="n">
        <v>89160661.37900165</v>
      </c>
      <c r="L22" s="140" t="n">
        <v>0.3576141606575973</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2026-08</t>
        </is>
      </c>
      <c r="H23" s="75" t="inlineStr">
        <is>
          <t>localizado</t>
        </is>
      </c>
      <c r="I23" s="143" t="n">
        <v>228990981.18</v>
      </c>
      <c r="J23" s="143" t="n">
        <v>228990981.1799838</v>
      </c>
      <c r="K23" s="143" t="n">
        <v>24439726.82998375</v>
      </c>
      <c r="L23" s="144" t="n">
        <v>0.1067279012651277</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0.006727901265127664</v>
      </c>
      <c r="AA23" s="144" t="n">
        <v>0.007475445850141849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2026-08</t>
        </is>
      </c>
      <c r="H24" s="74" t="inlineStr">
        <is>
          <t>localizado</t>
        </is>
      </c>
      <c r="I24" s="139" t="inlineStr">
        <is>
          <t>N/D</t>
        </is>
      </c>
      <c r="J24" s="139" t="inlineStr">
        <is>
          <t>N/D</t>
        </is>
      </c>
      <c r="K24" s="139" t="inlineStr">
        <is>
          <t>N/D</t>
        </is>
      </c>
      <c r="L24" s="140" t="inlineStr">
        <is>
          <t>N/D</t>
        </is>
      </c>
      <c r="M24" s="74" t="inlineStr">
        <is>
          <t>PL oficial ausente em 2026-08</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2026-08</t>
        </is>
      </c>
      <c r="H25" s="75" t="inlineStr">
        <is>
          <t>localizado</t>
        </is>
      </c>
      <c r="I25" s="143" t="inlineStr">
        <is>
          <t>N/D</t>
        </is>
      </c>
      <c r="J25" s="143" t="inlineStr">
        <is>
          <t>N/D</t>
        </is>
      </c>
      <c r="K25" s="143" t="inlineStr">
        <is>
          <t>N/D</t>
        </is>
      </c>
      <c r="L25" s="144" t="inlineStr">
        <is>
          <t>N/D</t>
        </is>
      </c>
      <c r="M25" s="75" t="inlineStr">
        <is>
          <t>PL oficial ausente em 2026-08</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2026-08</t>
        </is>
      </c>
      <c r="H26" s="74" t="inlineStr">
        <is>
          <t>localizado</t>
        </is>
      </c>
      <c r="I26" s="139" t="inlineStr">
        <is>
          <t>N/D</t>
        </is>
      </c>
      <c r="J26" s="139" t="inlineStr">
        <is>
          <t>N/D</t>
        </is>
      </c>
      <c r="K26" s="139" t="inlineStr">
        <is>
          <t>N/D</t>
        </is>
      </c>
      <c r="L26" s="140" t="inlineStr">
        <is>
          <t>N/D</t>
        </is>
      </c>
      <c r="M26" s="74" t="inlineStr">
        <is>
          <t>PL oficial ausente em 2026-08</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2026-08</t>
        </is>
      </c>
      <c r="H27" s="75" t="inlineStr">
        <is>
          <t>localizado</t>
        </is>
      </c>
      <c r="I27" s="143" t="n">
        <v>4700128.59</v>
      </c>
      <c r="J27" s="143" t="n">
        <v>4709628.59115</v>
      </c>
      <c r="K27" s="143" t="n">
        <v>4709628.59115</v>
      </c>
      <c r="L27" s="144" t="n">
        <v>1.002021221540664</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0.8020212215406644</v>
      </c>
      <c r="AA27" s="144" t="n">
        <v>1.00252652692583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2026-08</t>
        </is>
      </c>
      <c r="H28" s="74" t="inlineStr">
        <is>
          <t>localizado</t>
        </is>
      </c>
      <c r="I28" s="139" t="inlineStr">
        <is>
          <t>N/D</t>
        </is>
      </c>
      <c r="J28" s="139" t="inlineStr">
        <is>
          <t>N/D</t>
        </is>
      </c>
      <c r="K28" s="139" t="inlineStr">
        <is>
          <t>N/D</t>
        </is>
      </c>
      <c r="L28" s="140" t="inlineStr">
        <is>
          <t>N/D</t>
        </is>
      </c>
      <c r="M28" s="74" t="inlineStr">
        <is>
          <t>PL oficial ausente em 2026-08</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2026-08</t>
        </is>
      </c>
      <c r="H29" s="75" t="inlineStr">
        <is>
          <t>localizado</t>
        </is>
      </c>
      <c r="I29" s="143" t="n">
        <v>4084678.08</v>
      </c>
      <c r="J29" s="143" t="n">
        <v>4084678.080040646</v>
      </c>
      <c r="K29" s="143" t="n">
        <v>4084678.080040646</v>
      </c>
      <c r="L29" s="144" t="n">
        <v>1.000000000009951</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0.7500000000099507</v>
      </c>
      <c r="AA29" s="144" t="n">
        <v>1.000000000013268</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2026-08</t>
        </is>
      </c>
      <c r="H30" s="74" t="inlineStr">
        <is>
          <t>localizado</t>
        </is>
      </c>
      <c r="I30" s="139" t="inlineStr">
        <is>
          <t>N/D</t>
        </is>
      </c>
      <c r="J30" s="139" t="inlineStr">
        <is>
          <t>N/D</t>
        </is>
      </c>
      <c r="K30" s="139" t="inlineStr">
        <is>
          <t>N/D</t>
        </is>
      </c>
      <c r="L30" s="140" t="inlineStr">
        <is>
          <t>N/D</t>
        </is>
      </c>
      <c r="M30" s="74" t="inlineStr">
        <is>
          <t>PL oficial ausente em 2026-08</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2026-08</t>
        </is>
      </c>
      <c r="H31" s="75" t="inlineStr">
        <is>
          <t>localizado</t>
        </is>
      </c>
      <c r="I31" s="143" t="n">
        <v>481931001.55</v>
      </c>
      <c r="J31" s="143" t="n">
        <v>463543552.307551</v>
      </c>
      <c r="K31" s="143" t="n">
        <v>57077990.72535096</v>
      </c>
      <c r="L31" s="144" t="inlineStr">
        <is>
          <t>N/D</t>
        </is>
      </c>
      <c r="M31" s="75" t="inlineStr">
        <is>
          <t>N/D — PL oficial diverge das classes acima de 0,5%</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2026-08</t>
        </is>
      </c>
      <c r="H32" s="74" t="inlineStr">
        <is>
          <t>fora_base_fidc</t>
        </is>
      </c>
      <c r="I32" s="139" t="inlineStr">
        <is>
          <t>N/D</t>
        </is>
      </c>
      <c r="J32" s="139" t="inlineStr">
        <is>
          <t>N/D</t>
        </is>
      </c>
      <c r="K32" s="139" t="inlineStr">
        <is>
          <t>N/D</t>
        </is>
      </c>
      <c r="L32" s="140" t="inlineStr">
        <is>
          <t>N/D</t>
        </is>
      </c>
      <c r="M32" s="74" t="inlineStr">
        <is>
          <t>PL oficial ausente em 2026-08</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2026-08</t>
        </is>
      </c>
      <c r="H33" s="75" t="inlineStr">
        <is>
          <t>localizado</t>
        </is>
      </c>
      <c r="I33" s="143" t="n">
        <v>166222508.55</v>
      </c>
      <c r="J33" s="143" t="n">
        <v>166222508.5494739</v>
      </c>
      <c r="K33" s="143" t="n">
        <v>23377228.35976638</v>
      </c>
      <c r="L33" s="144" t="n">
        <v>0.1406381636499877</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2026-08</t>
        </is>
      </c>
      <c r="H34" s="74" t="inlineStr">
        <is>
          <t>localizado</t>
        </is>
      </c>
      <c r="I34" s="139" t="n">
        <v>1596122150.92</v>
      </c>
      <c r="J34" s="139" t="n">
        <v>1596122150.917644</v>
      </c>
      <c r="K34" s="139" t="n">
        <v>1195893429.068644</v>
      </c>
      <c r="L34" s="140" t="n">
        <v>0.7492493155234607</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0.4430555348269766</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2026-08</t>
        </is>
      </c>
      <c r="H35" s="75" t="inlineStr">
        <is>
          <t>localizado</t>
        </is>
      </c>
      <c r="I35" s="143" t="n">
        <v>377416791.58</v>
      </c>
      <c r="J35" s="143" t="n">
        <v>377416791.6480582</v>
      </c>
      <c r="K35" s="143" t="n">
        <v>29513451.74995815</v>
      </c>
      <c r="L35" s="144" t="n">
        <v>0.07819856563987103</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0.03057951802087103</v>
      </c>
      <c r="AA35" s="144" t="n">
        <v>0.03210849392191297</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&lt; 10%</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2026-08</t>
        </is>
      </c>
      <c r="H36" s="74" t="inlineStr">
        <is>
          <t>localizado</t>
        </is>
      </c>
      <c r="I36" s="139" t="n">
        <v>599497792.78</v>
      </c>
      <c r="J36" s="139" t="n">
        <v>599497792.7802087</v>
      </c>
      <c r="K36" s="139" t="n">
        <v>224665403.4904837</v>
      </c>
      <c r="L36" s="140" t="n">
        <v>0.3747560144444602</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0.06856223374797604</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2026-08</t>
        </is>
      </c>
      <c r="H37" s="75" t="inlineStr">
        <is>
          <t>localizado</t>
        </is>
      </c>
      <c r="I37" s="143" t="inlineStr">
        <is>
          <t>N/D</t>
        </is>
      </c>
      <c r="J37" s="143" t="inlineStr">
        <is>
          <t>N/D</t>
        </is>
      </c>
      <c r="K37" s="143" t="inlineStr">
        <is>
          <t>N/D</t>
        </is>
      </c>
      <c r="L37" s="144" t="inlineStr">
        <is>
          <t>N/D</t>
        </is>
      </c>
      <c r="M37" s="75" t="inlineStr">
        <is>
          <t>PL oficial ausente em 2026-08</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14</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2026-08</t>
        </is>
      </c>
      <c r="H38" s="74" t="inlineStr">
        <is>
          <t>localizado</t>
        </is>
      </c>
      <c r="I38" s="139" t="inlineStr">
        <is>
          <t>N/D</t>
        </is>
      </c>
      <c r="J38" s="139" t="inlineStr">
        <is>
          <t>N/D</t>
        </is>
      </c>
      <c r="K38" s="139" t="inlineStr">
        <is>
          <t>N/D</t>
        </is>
      </c>
      <c r="L38" s="140" t="inlineStr">
        <is>
          <t>N/D</t>
        </is>
      </c>
      <c r="M38" s="74" t="inlineStr">
        <is>
          <t>PL oficial ausente em 2026-08</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14</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2026-08</t>
        </is>
      </c>
      <c r="H39" s="75" t="inlineStr">
        <is>
          <t>localizado</t>
        </is>
      </c>
      <c r="I39" s="143" t="inlineStr">
        <is>
          <t>N/D</t>
        </is>
      </c>
      <c r="J39" s="143" t="inlineStr">
        <is>
          <t>N/D</t>
        </is>
      </c>
      <c r="K39" s="143" t="inlineStr">
        <is>
          <t>N/D</t>
        </is>
      </c>
      <c r="L39" s="144" t="inlineStr">
        <is>
          <t>N/D</t>
        </is>
      </c>
      <c r="M39" s="75" t="inlineStr">
        <is>
          <t>PL oficial ausente em 2026-08</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2026-08</t>
        </is>
      </c>
      <c r="H40" s="74" t="inlineStr">
        <is>
          <t>localizado</t>
        </is>
      </c>
      <c r="I40" s="139" t="n">
        <v>284521283.5</v>
      </c>
      <c r="J40" s="139" t="n">
        <v>284521283.4896019</v>
      </c>
      <c r="K40" s="139" t="n">
        <v>278711263.8796542</v>
      </c>
      <c r="L40" s="140" t="n">
        <v>0.9795796660661916</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0.4795796660661916</v>
      </c>
      <c r="AA40" s="140" t="n">
        <v>0.9591593321323832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2026-08</t>
        </is>
      </c>
      <c r="H41" s="75" t="inlineStr">
        <is>
          <t>localizado</t>
        </is>
      </c>
      <c r="I41" s="143" t="inlineStr">
        <is>
          <t>N/D</t>
        </is>
      </c>
      <c r="J41" s="143" t="inlineStr">
        <is>
          <t>N/D</t>
        </is>
      </c>
      <c r="K41" s="143" t="inlineStr">
        <is>
          <t>N/D</t>
        </is>
      </c>
      <c r="L41" s="144" t="inlineStr">
        <is>
          <t>N/D</t>
        </is>
      </c>
      <c r="M41" s="75" t="inlineStr">
        <is>
          <t>PL oficial ausente em 2026-08</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14</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2026-08</t>
        </is>
      </c>
      <c r="H42" s="74" t="inlineStr">
        <is>
          <t>localizado</t>
        </is>
      </c>
      <c r="I42" s="139" t="n">
        <v>7174237038.23</v>
      </c>
      <c r="J42" s="139" t="n">
        <v>6553850400.463037</v>
      </c>
      <c r="K42" s="139" t="n">
        <v>4826682362.183037</v>
      </c>
      <c r="L42" s="140" t="inlineStr">
        <is>
          <t>N/D</t>
        </is>
      </c>
      <c r="M42" s="74" t="inlineStr">
        <is>
          <t>N/D — PL oficial diverge das classes acima de 0,5%</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N/D</t>
        </is>
      </c>
      <c r="AW42" s="74" t="b">
        <v>0</v>
      </c>
      <c r="AX42" s="74" t="inlineStr">
        <is>
          <t>N/D</t>
        </is>
      </c>
      <c r="AY42" s="74" t="inlineStr">
        <is>
          <t>sem benchmark confiável</t>
        </is>
      </c>
      <c r="AZ42" s="140" t="inlineStr">
        <is>
          <t>N/D</t>
        </is>
      </c>
      <c r="BA42" s="74" t="b">
        <v>1</v>
      </c>
      <c r="BB42" s="141" t="n">
        <v>14</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Sub/PL atual; sacado/devedor</t>
        </is>
      </c>
      <c r="CB42" s="74" t="inlineStr">
        <is>
          <t>sub_pl_atual_ausente</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2026-08</t>
        </is>
      </c>
      <c r="H43" s="75" t="inlineStr">
        <is>
          <t>localizado</t>
        </is>
      </c>
      <c r="I43" s="143" t="n">
        <v>199697311.69</v>
      </c>
      <c r="J43" s="143" t="n">
        <v>199697311.6968063</v>
      </c>
      <c r="K43" s="143" t="n">
        <v>95331322.13009876</v>
      </c>
      <c r="L43" s="144" t="n">
        <v>0.477379096009496</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0.210729096009496</v>
      </c>
      <c r="AA43" s="144" t="n">
        <v>0.2873513274827791</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2026-08</t>
        </is>
      </c>
      <c r="H44" s="74" t="inlineStr">
        <is>
          <t>localizado</t>
        </is>
      </c>
      <c r="I44" s="139" t="n">
        <v>332038628.56</v>
      </c>
      <c r="J44" s="139" t="n">
        <v>332038628.5201547</v>
      </c>
      <c r="K44" s="139" t="n">
        <v>54891043.43965475</v>
      </c>
      <c r="L44" s="140" t="n">
        <v>0.1653152335850461</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15%–20%</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2026-08</t>
        </is>
      </c>
      <c r="H45" s="75" t="inlineStr">
        <is>
          <t>localizado</t>
        </is>
      </c>
      <c r="I45" s="143" t="n">
        <v>1189908647.59</v>
      </c>
      <c r="J45" s="143" t="n">
        <v>1189908647.592394</v>
      </c>
      <c r="K45" s="143" t="n">
        <v>946783254.0534936</v>
      </c>
      <c r="L45" s="144" t="n">
        <v>0.7956772614192492</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0.1214101604422493</v>
      </c>
      <c r="AA45" s="144" t="n">
        <v>0.3727291925574778</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2026-08</t>
        </is>
      </c>
      <c r="H46" s="74" t="inlineStr">
        <is>
          <t>localizado</t>
        </is>
      </c>
      <c r="I46" s="139" t="n">
        <v>107657359.22</v>
      </c>
      <c r="J46" s="139" t="n">
        <v>107657359.2198222</v>
      </c>
      <c r="K46" s="139" t="n">
        <v>30924560.88000778</v>
      </c>
      <c r="L46" s="140" t="n">
        <v>0.2872498555051198</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2026-08</t>
        </is>
      </c>
      <c r="H47" s="75" t="inlineStr">
        <is>
          <t>localizado</t>
        </is>
      </c>
      <c r="I47" s="143" t="inlineStr">
        <is>
          <t>N/D</t>
        </is>
      </c>
      <c r="J47" s="143" t="inlineStr">
        <is>
          <t>N/D</t>
        </is>
      </c>
      <c r="K47" s="143" t="inlineStr">
        <is>
          <t>N/D</t>
        </is>
      </c>
      <c r="L47" s="144" t="inlineStr">
        <is>
          <t>N/D</t>
        </is>
      </c>
      <c r="M47" s="75" t="inlineStr">
        <is>
          <t>PL oficial ausente em 2026-08</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2026-08</t>
        </is>
      </c>
      <c r="H48" s="74" t="inlineStr">
        <is>
          <t>localizado</t>
        </is>
      </c>
      <c r="I48" s="139" t="n">
        <v>212149387.33</v>
      </c>
      <c r="J48" s="139" t="n">
        <v>212149387.7113751</v>
      </c>
      <c r="K48" s="139" t="n">
        <v>36939064.84263628</v>
      </c>
      <c r="L48" s="140" t="n">
        <v>0.1741181782683034</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-0.008661262891187071</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2026-08</t>
        </is>
      </c>
      <c r="H49" s="75" t="inlineStr">
        <is>
          <t>localizado</t>
        </is>
      </c>
      <c r="I49" s="143" t="n">
        <v>352711743.01</v>
      </c>
      <c r="J49" s="143" t="n">
        <v>352648725.7522035</v>
      </c>
      <c r="K49" s="143" t="n">
        <v>178070446.7461678</v>
      </c>
      <c r="L49" s="144" t="n">
        <v>0.5048611232122181</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0.004861123212218099</v>
      </c>
      <c r="AA49" s="144" t="n">
        <v>0.009722246424436198</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2026-08</t>
        </is>
      </c>
      <c r="H50" s="74" t="inlineStr">
        <is>
          <t>localizado</t>
        </is>
      </c>
      <c r="I50" s="139" t="inlineStr">
        <is>
          <t>N/D</t>
        </is>
      </c>
      <c r="J50" s="139" t="inlineStr">
        <is>
          <t>N/D</t>
        </is>
      </c>
      <c r="K50" s="139" t="inlineStr">
        <is>
          <t>N/D</t>
        </is>
      </c>
      <c r="L50" s="140" t="inlineStr">
        <is>
          <t>N/D</t>
        </is>
      </c>
      <c r="M50" s="74" t="inlineStr">
        <is>
          <t>PL oficial ausente em 2026-08</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2026-08</t>
        </is>
      </c>
      <c r="H51" s="75" t="inlineStr">
        <is>
          <t>localizado</t>
        </is>
      </c>
      <c r="I51" s="143" t="n">
        <v>1999981369.56</v>
      </c>
      <c r="J51" s="143" t="n">
        <v>1999981369.564364</v>
      </c>
      <c r="K51" s="143" t="n">
        <v>186176086.0604384</v>
      </c>
      <c r="L51" s="144" t="n">
        <v>0.09308891017389702</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-0.2131048705225871</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2026-08</t>
        </is>
      </c>
      <c r="H52" s="74" t="inlineStr">
        <is>
          <t>localizado</t>
        </is>
      </c>
      <c r="I52" s="139" t="n">
        <v>482071420.62</v>
      </c>
      <c r="J52" s="139" t="n">
        <v>482071420.6208261</v>
      </c>
      <c r="K52" s="139" t="n">
        <v>154724884.4910434</v>
      </c>
      <c r="L52" s="140" t="n">
        <v>0.3209584262266557</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0.02095842622665567</v>
      </c>
      <c r="AA52" s="140" t="n">
        <v>0.02994060889522239</v>
      </c>
      <c r="AB52" s="74" t="inlineStr">
        <is>
          <t>folga estreita</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2026-08</t>
        </is>
      </c>
      <c r="H53" s="75" t="inlineStr">
        <is>
          <t>localizado</t>
        </is>
      </c>
      <c r="I53" s="143" t="n">
        <v>53539609.79</v>
      </c>
      <c r="J53" s="143" t="n">
        <v>53539609.78999893</v>
      </c>
      <c r="K53" s="143" t="n">
        <v>8539609.78999893</v>
      </c>
      <c r="L53" s="144" t="n">
        <v>0.1595007849981368</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2026-08</t>
        </is>
      </c>
      <c r="H54" s="74" t="inlineStr">
        <is>
          <t>localizado</t>
        </is>
      </c>
      <c r="I54" s="139" t="n">
        <v>104165558.25</v>
      </c>
      <c r="J54" s="139" t="n">
        <v>104165558.24632</v>
      </c>
      <c r="K54" s="139" t="n">
        <v>63832007.39009536</v>
      </c>
      <c r="L54" s="140" t="n">
        <v>0.6127937915610927</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2026-08</t>
        </is>
      </c>
      <c r="H55" s="75" t="inlineStr">
        <is>
          <t>localizado</t>
        </is>
      </c>
      <c r="I55" s="143" t="inlineStr">
        <is>
          <t>N/D</t>
        </is>
      </c>
      <c r="J55" s="143" t="inlineStr">
        <is>
          <t>N/D</t>
        </is>
      </c>
      <c r="K55" s="143" t="inlineStr">
        <is>
          <t>N/D</t>
        </is>
      </c>
      <c r="L55" s="144" t="inlineStr">
        <is>
          <t>N/D</t>
        </is>
      </c>
      <c r="M55" s="75" t="inlineStr">
        <is>
          <t>PL oficial ausente em 2026-08</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2026-08</t>
        </is>
      </c>
      <c r="H56" s="74" t="inlineStr">
        <is>
          <t>localizado</t>
        </is>
      </c>
      <c r="I56" s="139" t="n">
        <v>144299476.38</v>
      </c>
      <c r="J56" s="139" t="n">
        <v>144299217.2649091</v>
      </c>
      <c r="K56" s="139" t="n">
        <v>29579891.99010846</v>
      </c>
      <c r="L56" s="140" t="n">
        <v>0.2049896003240678</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20%–35%</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2026-08</t>
        </is>
      </c>
      <c r="H57" s="75" t="inlineStr">
        <is>
          <t>localizado</t>
        </is>
      </c>
      <c r="I57" s="143" t="n">
        <v>2162550453.27</v>
      </c>
      <c r="J57" s="143" t="n">
        <v>2162550453.297652</v>
      </c>
      <c r="K57" s="143" t="n">
        <v>901552739.8241596</v>
      </c>
      <c r="L57" s="144" t="n">
        <v>0.4168932745411413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0.1106994938446571</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2026-08</t>
        </is>
      </c>
      <c r="H58" s="74" t="inlineStr">
        <is>
          <t>localizado</t>
        </is>
      </c>
      <c r="I58" s="139" t="inlineStr">
        <is>
          <t>N/D</t>
        </is>
      </c>
      <c r="J58" s="139" t="inlineStr">
        <is>
          <t>N/D</t>
        </is>
      </c>
      <c r="K58" s="139" t="inlineStr">
        <is>
          <t>N/D</t>
        </is>
      </c>
      <c r="L58" s="140" t="inlineStr">
        <is>
          <t>N/D</t>
        </is>
      </c>
      <c r="M58" s="74" t="inlineStr">
        <is>
          <t>PL oficial ausente em 2026-08</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2026-08</t>
        </is>
      </c>
      <c r="H59" s="75" t="inlineStr">
        <is>
          <t>localizado</t>
        </is>
      </c>
      <c r="I59" s="143" t="n">
        <v>43677175.63</v>
      </c>
      <c r="J59" s="143" t="n">
        <v>0</v>
      </c>
      <c r="K59" s="143" t="n">
        <v>0</v>
      </c>
      <c r="L59" s="144" t="inlineStr">
        <is>
          <t>N/D</t>
        </is>
      </c>
      <c r="M59" s="75" t="inlineStr">
        <is>
          <t>N/D — classes de cotas reportadas sem PL positivo em 2026-08; razão não calculável</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2026-08</t>
        </is>
      </c>
      <c r="H60" s="74" t="inlineStr">
        <is>
          <t>localizado</t>
        </is>
      </c>
      <c r="I60" s="139" t="inlineStr">
        <is>
          <t>N/D</t>
        </is>
      </c>
      <c r="J60" s="139" t="inlineStr">
        <is>
          <t>N/D</t>
        </is>
      </c>
      <c r="K60" s="139" t="inlineStr">
        <is>
          <t>N/D</t>
        </is>
      </c>
      <c r="L60" s="140" t="inlineStr">
        <is>
          <t>N/D</t>
        </is>
      </c>
      <c r="M60" s="74" t="inlineStr">
        <is>
          <t>PL oficial ausente em 2026-08</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7</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2026-08</t>
        </is>
      </c>
      <c r="H61" s="75" t="inlineStr">
        <is>
          <t>localizado</t>
        </is>
      </c>
      <c r="I61" s="143" t="inlineStr">
        <is>
          <t>N/D</t>
        </is>
      </c>
      <c r="J61" s="143" t="inlineStr">
        <is>
          <t>N/D</t>
        </is>
      </c>
      <c r="K61" s="143" t="inlineStr">
        <is>
          <t>N/D</t>
        </is>
      </c>
      <c r="L61" s="144" t="inlineStr">
        <is>
          <t>N/D</t>
        </is>
      </c>
      <c r="M61" s="75" t="inlineStr">
        <is>
          <t>PL oficial ausente em 2026-08</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2026-08</t>
        </is>
      </c>
      <c r="H62" s="74" t="inlineStr">
        <is>
          <t>localizado</t>
        </is>
      </c>
      <c r="I62" s="139" t="n">
        <v>2966345679.42</v>
      </c>
      <c r="J62" s="139" t="n">
        <v>2966345679.421753</v>
      </c>
      <c r="K62" s="139" t="n">
        <v>452358687.3984627</v>
      </c>
      <c r="L62" s="140" t="n">
        <v>0.1524969562842423</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-0.007392925679423734</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2026-08</t>
        </is>
      </c>
      <c r="H63" s="75" t="inlineStr">
        <is>
          <t>localizado</t>
        </is>
      </c>
      <c r="I63" s="143" t="n">
        <v>102687730.15</v>
      </c>
      <c r="J63" s="143" t="n">
        <v>102687730.1426409</v>
      </c>
      <c r="K63" s="143" t="n">
        <v>50531560.08019644</v>
      </c>
      <c r="L63" s="144" t="n">
        <v>0.4920895612979564</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-0.007910438702043554</v>
      </c>
      <c r="AA63" s="144" t="n">
        <v>-0.01582087740408711</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2026-08</t>
        </is>
      </c>
      <c r="H64" s="74" t="inlineStr">
        <is>
          <t>localizado</t>
        </is>
      </c>
      <c r="I64" s="139" t="n">
        <v>1050671609.46</v>
      </c>
      <c r="J64" s="139" t="n">
        <v>1050671609.453919</v>
      </c>
      <c r="K64" s="139" t="n">
        <v>309034313.8999171</v>
      </c>
      <c r="L64" s="140" t="n">
        <v>0.2941302602235035</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0.04153026022350353</v>
      </c>
      <c r="AA64" s="140" t="n">
        <v>0.05556631017327205</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-0.01206352047298065</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2026-08</t>
        </is>
      </c>
      <c r="H65" s="75" t="inlineStr">
        <is>
          <t>localizado</t>
        </is>
      </c>
      <c r="I65" s="143" t="n">
        <v>2641955191.86</v>
      </c>
      <c r="J65" s="143" t="n">
        <v>2641955191.85639</v>
      </c>
      <c r="K65" s="143" t="n">
        <v>922876101.2415354</v>
      </c>
      <c r="L65" s="144" t="n">
        <v>0.3493155766172584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20%–35%</t>
        </is>
      </c>
      <c r="AW65" s="75" t="b">
        <v>1</v>
      </c>
      <c r="AX65" s="75" t="inlineStr">
        <is>
          <t>incomparável</t>
        </is>
      </c>
      <c r="AY65" s="75" t="inlineStr">
        <is>
          <t>acima do mercado</t>
        </is>
      </c>
      <c r="AZ65" s="144" t="n">
        <v>0.1882492144265984</v>
      </c>
      <c r="BA65" s="75" t="b">
        <v>1</v>
      </c>
      <c r="BB65" s="145" t="n">
        <v>14</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2026-08</t>
        </is>
      </c>
      <c r="H66" s="74" t="inlineStr">
        <is>
          <t>localizado</t>
        </is>
      </c>
      <c r="I66" s="139" t="n">
        <v>3100556826.01</v>
      </c>
      <c r="J66" s="139" t="n">
        <v>2520309058.440632</v>
      </c>
      <c r="K66" s="139" t="n">
        <v>477981794.0587984</v>
      </c>
      <c r="L66" s="140" t="inlineStr">
        <is>
          <t>N/D</t>
        </is>
      </c>
      <c r="M66" s="74" t="inlineStr">
        <is>
          <t>N/D — PL oficial diverge das classes acima de 0,5%</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2026-08</t>
        </is>
      </c>
      <c r="H67" s="75" t="inlineStr">
        <is>
          <t>localizado</t>
        </is>
      </c>
      <c r="I67" s="143" t="n">
        <v>199368665.67</v>
      </c>
      <c r="J67" s="143" t="n">
        <v>199368665.6619652</v>
      </c>
      <c r="K67" s="143" t="n">
        <v>14783171.70996524</v>
      </c>
      <c r="L67" s="144" t="n">
        <v>0.07414992551755709</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-0.2320438551789271</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2026-08</t>
        </is>
      </c>
      <c r="H68" s="74" t="inlineStr">
        <is>
          <t>localizado</t>
        </is>
      </c>
      <c r="I68" s="139" t="n">
        <v>168578666.71</v>
      </c>
      <c r="J68" s="139" t="n">
        <v>168578666.7072081</v>
      </c>
      <c r="K68" s="139" t="n">
        <v>66949901.23020812</v>
      </c>
      <c r="L68" s="140" t="n">
        <v>0.3971433784405218</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0.06384337844052179</v>
      </c>
      <c r="AA68" s="140" t="n">
        <v>0.09576027964680034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2026-08</t>
        </is>
      </c>
      <c r="H69" s="75" t="inlineStr">
        <is>
          <t>localizado</t>
        </is>
      </c>
      <c r="I69" s="143" t="n">
        <v>1039245978.43</v>
      </c>
      <c r="J69" s="143" t="n">
        <v>1013259779.873103</v>
      </c>
      <c r="K69" s="143" t="n">
        <v>253735100.5925</v>
      </c>
      <c r="L69" s="144" t="inlineStr">
        <is>
          <t>N/D</t>
        </is>
      </c>
      <c r="M69" s="75" t="inlineStr">
        <is>
          <t>N/D — PL oficial diverge das classes acima de 0,5%</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2026-08</t>
        </is>
      </c>
      <c r="H70" s="74" t="inlineStr">
        <is>
          <t>localizado</t>
        </is>
      </c>
      <c r="I70" s="139" t="n">
        <v>80180577.16</v>
      </c>
      <c r="J70" s="139" t="n">
        <v>79148377.23577081</v>
      </c>
      <c r="K70" s="139" t="n">
        <v>10196850.6545316</v>
      </c>
      <c r="L70" s="140" t="inlineStr">
        <is>
          <t>N/D</t>
        </is>
      </c>
      <c r="M70" s="74" t="inlineStr">
        <is>
          <t>N/D — PL oficial diverge das classes acima de 0,5%</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2026-08</t>
        </is>
      </c>
      <c r="H71" s="75" t="inlineStr">
        <is>
          <t>localizado</t>
        </is>
      </c>
      <c r="I71" s="143" t="inlineStr">
        <is>
          <t>N/D</t>
        </is>
      </c>
      <c r="J71" s="143" t="inlineStr">
        <is>
          <t>N/D</t>
        </is>
      </c>
      <c r="K71" s="143" t="inlineStr">
        <is>
          <t>N/D</t>
        </is>
      </c>
      <c r="L71" s="144" t="inlineStr">
        <is>
          <t>N/D</t>
        </is>
      </c>
      <c r="M71" s="75" t="inlineStr">
        <is>
          <t>PL oficial ausente em 2026-08</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2026-08</t>
        </is>
      </c>
      <c r="H72" s="74" t="inlineStr">
        <is>
          <t>localizado</t>
        </is>
      </c>
      <c r="I72" s="139" t="n">
        <v>119061625.55</v>
      </c>
      <c r="J72" s="139" t="n">
        <v>119061625.1972017</v>
      </c>
      <c r="K72" s="139" t="n">
        <v>119061625.1972017</v>
      </c>
      <c r="L72" s="140" t="n">
        <v>0.9999999970368433</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2026-08</t>
        </is>
      </c>
      <c r="H73" s="75" t="inlineStr">
        <is>
          <t>localizado</t>
        </is>
      </c>
      <c r="I73" s="143" t="inlineStr">
        <is>
          <t>N/D</t>
        </is>
      </c>
      <c r="J73" s="143" t="inlineStr">
        <is>
          <t>N/D</t>
        </is>
      </c>
      <c r="K73" s="143" t="inlineStr">
        <is>
          <t>N/D</t>
        </is>
      </c>
      <c r="L73" s="144" t="inlineStr">
        <is>
          <t>N/D</t>
        </is>
      </c>
      <c r="M73" s="75" t="inlineStr">
        <is>
          <t>PL oficial ausente em 2026-08</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2026-08</t>
        </is>
      </c>
      <c r="H74" s="74" t="inlineStr">
        <is>
          <t>localizado</t>
        </is>
      </c>
      <c r="I74" s="139" t="inlineStr">
        <is>
          <t>N/D</t>
        </is>
      </c>
      <c r="J74" s="139" t="inlineStr">
        <is>
          <t>N/D</t>
        </is>
      </c>
      <c r="K74" s="139" t="inlineStr">
        <is>
          <t>N/D</t>
        </is>
      </c>
      <c r="L74" s="140" t="inlineStr">
        <is>
          <t>N/D</t>
        </is>
      </c>
      <c r="M74" s="74" t="inlineStr">
        <is>
          <t>PL oficial ausente em 2026-08</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2026-08</t>
        </is>
      </c>
      <c r="H75" s="75" t="inlineStr">
        <is>
          <t>localizado</t>
        </is>
      </c>
      <c r="I75" s="143" t="inlineStr">
        <is>
          <t>N/D</t>
        </is>
      </c>
      <c r="J75" s="143" t="inlineStr">
        <is>
          <t>N/D</t>
        </is>
      </c>
      <c r="K75" s="143" t="inlineStr">
        <is>
          <t>N/D</t>
        </is>
      </c>
      <c r="L75" s="144" t="inlineStr">
        <is>
          <t>N/D</t>
        </is>
      </c>
      <c r="M75" s="75" t="inlineStr">
        <is>
          <t>PL oficial ausente em 2026-08</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2026-08</t>
        </is>
      </c>
      <c r="H76" s="74" t="inlineStr">
        <is>
          <t>localizado</t>
        </is>
      </c>
      <c r="I76" s="139" t="n">
        <v>358889817.79</v>
      </c>
      <c r="J76" s="139" t="n">
        <v>358889817.7800113</v>
      </c>
      <c r="K76" s="139" t="n">
        <v>76267260.69001128</v>
      </c>
      <c r="L76" s="140" t="n">
        <v>0.2125088450813562</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2026-08</t>
        </is>
      </c>
      <c r="H77" s="75" t="inlineStr">
        <is>
          <t>localizado</t>
        </is>
      </c>
      <c r="I77" s="143" t="n">
        <v>53126766.77</v>
      </c>
      <c r="J77" s="143" t="n">
        <v>53126766.78000483</v>
      </c>
      <c r="K77" s="143" t="n">
        <v>53126766.78000483</v>
      </c>
      <c r="L77" s="144" t="n">
        <v>1.00000000018832</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0.7500000001883198</v>
      </c>
      <c r="AA77" s="144" t="n">
        <v>1.000000000251093</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2026-08</t>
        </is>
      </c>
      <c r="H78" s="74" t="inlineStr">
        <is>
          <t>localizado</t>
        </is>
      </c>
      <c r="I78" s="139" t="n">
        <v>70218818.03</v>
      </c>
      <c r="J78" s="139" t="n">
        <v>70218818.02999222</v>
      </c>
      <c r="K78" s="139" t="n">
        <v>23552661.73995</v>
      </c>
      <c r="L78" s="140" t="n">
        <v>0.3354180887790999</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2026-08</t>
        </is>
      </c>
      <c r="H79" s="75" t="inlineStr">
        <is>
          <t>localizado</t>
        </is>
      </c>
      <c r="I79" s="143" t="n">
        <v>221895953.89</v>
      </c>
      <c r="J79" s="143" t="n">
        <v>221895953.889965</v>
      </c>
      <c r="K79" s="143" t="n">
        <v>117772572.7202548</v>
      </c>
      <c r="L79" s="144" t="n">
        <v>0.5307558369389556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2026-08</t>
        </is>
      </c>
      <c r="H80" s="74" t="inlineStr">
        <is>
          <t>localizado</t>
        </is>
      </c>
      <c r="I80" s="139" t="n">
        <v>299962532.22</v>
      </c>
      <c r="J80" s="139" t="n">
        <v>299962532.2089869</v>
      </c>
      <c r="K80" s="139" t="n">
        <v>140331393.9195107</v>
      </c>
      <c r="L80" s="140" t="n">
        <v>0.4678297415378137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2026-08</t>
        </is>
      </c>
      <c r="H81" s="75" t="inlineStr">
        <is>
          <t>localizado</t>
        </is>
      </c>
      <c r="I81" s="143" t="n">
        <v>519990915.25</v>
      </c>
      <c r="J81" s="143" t="n">
        <v>519990915.3849365</v>
      </c>
      <c r="K81" s="143" t="n">
        <v>247775385.9750158</v>
      </c>
      <c r="L81" s="144" t="n">
        <v>0.4764994516411714</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2026-08</t>
        </is>
      </c>
      <c r="H82" s="74" t="inlineStr">
        <is>
          <t>localizado</t>
        </is>
      </c>
      <c r="I82" s="139" t="n">
        <v>2661374071.86</v>
      </c>
      <c r="J82" s="139" t="n">
        <v>2661374071.85765</v>
      </c>
      <c r="K82" s="139" t="n">
        <v>1851613584.3</v>
      </c>
      <c r="L82" s="140" t="n">
        <v>0.6957359372656438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0.1857359372656437</v>
      </c>
      <c r="AA82" s="140" t="n">
        <v>0.3790529331951913</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2026-08</t>
        </is>
      </c>
      <c r="H83" s="75" t="inlineStr">
        <is>
          <t>localizado</t>
        </is>
      </c>
      <c r="I83" s="143" t="n">
        <v>1385277422.28</v>
      </c>
      <c r="J83" s="143" t="n">
        <v>1385277422.273283</v>
      </c>
      <c r="K83" s="143" t="n">
        <v>110505472.2774216</v>
      </c>
      <c r="L83" s="144" t="n">
        <v>0.07977136600951949</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2026-08</t>
        </is>
      </c>
      <c r="H84" s="74" t="inlineStr">
        <is>
          <t>localizado</t>
        </is>
      </c>
      <c r="I84" s="139" t="n">
        <v>446999328.88</v>
      </c>
      <c r="J84" s="139" t="n">
        <v>410786304.8653104</v>
      </c>
      <c r="K84" s="139" t="n">
        <v>98015546.9356164</v>
      </c>
      <c r="L84" s="140" t="inlineStr">
        <is>
          <t>N/D</t>
        </is>
      </c>
      <c r="M84" s="74" t="inlineStr">
        <is>
          <t>N/D — PL oficial diverge das classes acima de 0,5%</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2026-08</t>
        </is>
      </c>
      <c r="H85" s="75" t="inlineStr">
        <is>
          <t>localizado</t>
        </is>
      </c>
      <c r="I85" s="143" t="n">
        <v>3389462172.19</v>
      </c>
      <c r="J85" s="143" t="n">
        <v>3389462172.185181</v>
      </c>
      <c r="K85" s="143" t="n">
        <v>181329541.1527641</v>
      </c>
      <c r="L85" s="144" t="n">
        <v>0.05349802769316744</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0.003498027693167434</v>
      </c>
      <c r="AA85" s="144" t="n">
        <v>0.003682134413860457</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2026-08</t>
        </is>
      </c>
      <c r="H86" s="74" t="inlineStr">
        <is>
          <t>localizado</t>
        </is>
      </c>
      <c r="I86" s="139" t="n">
        <v>276270331.42</v>
      </c>
      <c r="J86" s="139" t="n">
        <v>276270331.4697955</v>
      </c>
      <c r="K86" s="139" t="n">
        <v>87728482.79005201</v>
      </c>
      <c r="L86" s="140" t="n">
        <v>0.3175457977667633</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0.01135201707027916</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2026-08</t>
        </is>
      </c>
      <c r="H87" s="75" t="inlineStr">
        <is>
          <t>localizado</t>
        </is>
      </c>
      <c r="I87" s="143" t="n">
        <v>145184643.99</v>
      </c>
      <c r="J87" s="143" t="n">
        <v>145184643.989649</v>
      </c>
      <c r="K87" s="143" t="n">
        <v>36574058.08069424</v>
      </c>
      <c r="L87" s="144" t="n">
        <v>0.251914094187629</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-0.05427968650885517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2026-08</t>
        </is>
      </c>
      <c r="H88" s="74" t="inlineStr">
        <is>
          <t>localizado</t>
        </is>
      </c>
      <c r="I88" s="139" t="n">
        <v>685449556.03</v>
      </c>
      <c r="J88" s="139" t="n">
        <v>685449556.027949</v>
      </c>
      <c r="K88" s="139" t="n">
        <v>153934288.9795356</v>
      </c>
      <c r="L88" s="140" t="n">
        <v>0.2245742048052306</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2026-08</t>
        </is>
      </c>
      <c r="H89" s="75" t="inlineStr">
        <is>
          <t>localizado</t>
        </is>
      </c>
      <c r="I89" s="143" t="n">
        <v>665402914.1</v>
      </c>
      <c r="J89" s="143" t="n">
        <v>664908350.2394052</v>
      </c>
      <c r="K89" s="143" t="n">
        <v>133959133.4796962</v>
      </c>
      <c r="L89" s="144" t="n">
        <v>0.2013203288429906</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20%–35%</t>
        </is>
      </c>
      <c r="AW89" s="75" t="b">
        <v>1</v>
      </c>
      <c r="AX89" s="75" t="inlineStr">
        <is>
          <t>incomparável</t>
        </is>
      </c>
      <c r="AY89" s="75" t="inlineStr">
        <is>
          <t>em linha com o mercado</t>
        </is>
      </c>
      <c r="AZ89" s="144" t="n">
        <v>0.01854088768350012</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2026-08</t>
        </is>
      </c>
      <c r="H90" s="74" t="inlineStr">
        <is>
          <t>localizado</t>
        </is>
      </c>
      <c r="I90" s="139" t="n">
        <v>1897667543.94</v>
      </c>
      <c r="J90" s="139" t="n">
        <v>1897667543.962512</v>
      </c>
      <c r="K90" s="139" t="n">
        <v>1672962101.882594</v>
      </c>
      <c r="L90" s="140" t="n">
        <v>0.8815886150474677</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2026-08</t>
        </is>
      </c>
      <c r="H91" s="75" t="inlineStr">
        <is>
          <t>localizado</t>
        </is>
      </c>
      <c r="I91" s="143" t="n">
        <v>395747815.23</v>
      </c>
      <c r="J91" s="143" t="n">
        <v>395747815.2319025</v>
      </c>
      <c r="K91" s="143" t="n">
        <v>267722134.2486351</v>
      </c>
      <c r="L91" s="144" t="n">
        <v>0.6764968091941097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0.3703030284976255</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MAREE II FUNDO DE INVESTIMENTO EM DIREITOS CREDITÓRIOS SEGMENTO FINANCEIRO - RESPONSABILIDADE LTDA</t>
        </is>
      </c>
      <c r="E92" s="74" t="inlineStr">
        <is>
          <t>MONEE II FUNDO DE INVESTIMENTO</t>
        </is>
      </c>
      <c r="F92" s="74" t="inlineStr">
        <is>
          <t>Carteira 101</t>
        </is>
      </c>
      <c r="G92" s="74" t="inlineStr">
        <is>
          <t>2026-08</t>
        </is>
      </c>
      <c r="H92" s="74" t="inlineStr">
        <is>
          <t>localizado</t>
        </is>
      </c>
      <c r="I92" s="139" t="n">
        <v>495258391.26</v>
      </c>
      <c r="J92" s="139" t="n">
        <v>495258391.2595997</v>
      </c>
      <c r="K92" s="139" t="n">
        <v>244134654.2545997</v>
      </c>
      <c r="L92" s="140" t="n">
        <v>0.4929440037017652</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0.1929440037017652</v>
      </c>
      <c r="AA92" s="140" t="n">
        <v>0.2756342910025217</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0.186750223005281</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2026-08</t>
        </is>
      </c>
      <c r="H93" s="75" t="inlineStr">
        <is>
          <t>localizado</t>
        </is>
      </c>
      <c r="I93" s="143" t="n">
        <v>90733937.2</v>
      </c>
      <c r="J93" s="143" t="n">
        <v>90733937.19976635</v>
      </c>
      <c r="K93" s="143" t="n">
        <v>18197819.59999143</v>
      </c>
      <c r="L93" s="144" t="n">
        <v>0.2005624374028755</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2026-08</t>
        </is>
      </c>
      <c r="H94" s="74" t="inlineStr">
        <is>
          <t>localizado</t>
        </is>
      </c>
      <c r="I94" s="139" t="n">
        <v>1114518773.65</v>
      </c>
      <c r="J94" s="139" t="n">
        <v>1114518773.6475</v>
      </c>
      <c r="K94" s="139" t="n">
        <v>175077833.4301875</v>
      </c>
      <c r="L94" s="140" t="n">
        <v>0.1570882766351394</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15%–20%</t>
        </is>
      </c>
      <c r="AW94" s="74" t="b">
        <v>1</v>
      </c>
      <c r="AX94" s="74" t="inlineStr">
        <is>
          <t>incomparável</t>
        </is>
      </c>
      <c r="AY94" s="74" t="inlineStr">
        <is>
          <t>em linha com o mercado</t>
        </is>
      </c>
      <c r="AZ94" s="140" t="n">
        <v>-0.002801605328526607</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2026-08</t>
        </is>
      </c>
      <c r="H95" s="75" t="inlineStr">
        <is>
          <t>localizado</t>
        </is>
      </c>
      <c r="I95" s="143" t="n">
        <v>513190809.52</v>
      </c>
      <c r="J95" s="143" t="n">
        <v>513190809.0452346</v>
      </c>
      <c r="K95" s="143" t="n">
        <v>161698241.5808339</v>
      </c>
      <c r="L95" s="144" t="n">
        <v>0.3150840556401901</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0.2674650080211901</v>
      </c>
      <c r="AA95" s="144" t="n">
        <v>0.2808382584222356</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0.008890274943705923</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2026-08</t>
        </is>
      </c>
      <c r="H96" s="74" t="inlineStr">
        <is>
          <t>localizado</t>
        </is>
      </c>
      <c r="I96" s="139" t="n">
        <v>225091227.33</v>
      </c>
      <c r="J96" s="139" t="n">
        <v>225091227.3300217</v>
      </c>
      <c r="K96" s="139" t="n">
        <v>16523823.77002167</v>
      </c>
      <c r="L96" s="140" t="n">
        <v>0.07340945254075383</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0.04340945254075383</v>
      </c>
      <c r="AA96" s="140" t="n">
        <v>0.0447520129286122</v>
      </c>
      <c r="AB96" s="74" t="inlineStr">
        <is>
          <t>acima do mínimo</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-0.08765690964990615</v>
      </c>
      <c r="BA96" s="74" t="b">
        <v>1</v>
      </c>
      <c r="BB96" s="141" t="n">
        <v>14</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2026-08</t>
        </is>
      </c>
      <c r="H97" s="75" t="inlineStr">
        <is>
          <t>localizado</t>
        </is>
      </c>
      <c r="I97" s="143" t="n">
        <v>943956123.03</v>
      </c>
      <c r="J97" s="143" t="n">
        <v>943956123.0291308</v>
      </c>
      <c r="K97" s="143" t="n">
        <v>238826164.2707918</v>
      </c>
      <c r="L97" s="144" t="n">
        <v>0.2530055777425172</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abaixo do mercado</t>
        </is>
      </c>
      <c r="AZ97" s="144" t="n">
        <v>-0.05318820295396698</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2026-08</t>
        </is>
      </c>
      <c r="H98" s="74" t="inlineStr">
        <is>
          <t>localizado</t>
        </is>
      </c>
      <c r="I98" s="139" t="n">
        <v>233621604.94</v>
      </c>
      <c r="J98" s="139" t="n">
        <v>233621604.9243134</v>
      </c>
      <c r="K98" s="139" t="n">
        <v>101395673.3043759</v>
      </c>
      <c r="L98" s="140" t="n">
        <v>0.4340166797947344</v>
      </c>
      <c r="M98" s="74" t="inlineStr">
        <is>
          <t>Calculado com classes reportadas e PL oficial reconciliado</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35%–60%</t>
        </is>
      </c>
      <c r="AW98" s="74" t="b">
        <v>1</v>
      </c>
      <c r="AX98" s="74" t="inlineStr">
        <is>
          <t>incomparável</t>
        </is>
      </c>
      <c r="AY98" s="74" t="inlineStr">
        <is>
          <t>acima do mercado</t>
        </is>
      </c>
      <c r="AZ98" s="140" t="n">
        <v>0.1278228990982502</v>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originador; tipo de recebível</t>
        </is>
      </c>
      <c r="CB98" s="74" t="inlineStr">
        <is>
          <t>estrutura_incomparavel</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2026-08</t>
        </is>
      </c>
      <c r="H99" s="75" t="inlineStr">
        <is>
          <t>localizado</t>
        </is>
      </c>
      <c r="I99" s="143" t="n">
        <v>310777311.22</v>
      </c>
      <c r="J99" s="143" t="n">
        <v>310777311.2188825</v>
      </c>
      <c r="K99" s="143" t="n">
        <v>112495491.2391325</v>
      </c>
      <c r="L99" s="144" t="n">
        <v>0.3619810300742858</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2026-08</t>
        </is>
      </c>
      <c r="H100" s="74" t="inlineStr">
        <is>
          <t>localizado</t>
        </is>
      </c>
      <c r="I100" s="139" t="n">
        <v>183309658.13</v>
      </c>
      <c r="J100" s="139" t="n">
        <v>183309658.1298708</v>
      </c>
      <c r="K100" s="139" t="n">
        <v>94666172.82015762</v>
      </c>
      <c r="L100" s="140" t="n">
        <v>0.5164276328147535</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0.2102338521182693</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2026-08</t>
        </is>
      </c>
      <c r="H101" s="75" t="inlineStr">
        <is>
          <t>localizado</t>
        </is>
      </c>
      <c r="I101" s="143" t="n">
        <v>182594776.53</v>
      </c>
      <c r="J101" s="143" t="n">
        <v>182230097.419965</v>
      </c>
      <c r="K101" s="143" t="n">
        <v>31477704.529965</v>
      </c>
      <c r="L101" s="144" t="n">
        <v>0.1723910460537915</v>
      </c>
      <c r="M101" s="75" t="inlineStr">
        <is>
          <t>Calculado com classes reportadas e PL oficial reconciliado</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n">
        <v>-0.02760895394620852</v>
      </c>
      <c r="AA101" s="144" t="n">
        <v>-0.03451119243276065</v>
      </c>
      <c r="AB101" s="75" t="inlineStr">
        <is>
          <t>abaixo do mínimo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15%–20%</t>
        </is>
      </c>
      <c r="AW101" s="75" t="b">
        <v>1</v>
      </c>
      <c r="AX101" s="75" t="inlineStr">
        <is>
          <t>abaixo do piso</t>
        </is>
      </c>
      <c r="AY101" s="75" t="inlineStr">
        <is>
          <t>abaixo do mercado</t>
        </is>
      </c>
      <c r="AZ101" s="144" t="n">
        <v>-0.1338027346426927</v>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originador</t>
        </is>
      </c>
      <c r="CB101" s="75" t="inlineStr">
        <is>
          <t>completo_para_folga</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2026-08</t>
        </is>
      </c>
      <c r="H102" s="74" t="inlineStr">
        <is>
          <t>localizado</t>
        </is>
      </c>
      <c r="I102" s="139" t="n">
        <v>162615517.81</v>
      </c>
      <c r="J102" s="139" t="n">
        <v>162615517.8094126</v>
      </c>
      <c r="K102" s="139" t="n">
        <v>33298654.78989262</v>
      </c>
      <c r="L102" s="140" t="n">
        <v>0.2047692325943873</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0.08476923259438729</v>
      </c>
      <c r="AA102" s="140" t="n">
        <v>0.09632867340271282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20%–35%</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2026-08</t>
        </is>
      </c>
      <c r="H103" s="75" t="inlineStr">
        <is>
          <t>localizado</t>
        </is>
      </c>
      <c r="I103" s="143" t="n">
        <v>800875167.29</v>
      </c>
      <c r="J103" s="143" t="n">
        <v>800875167.2888583</v>
      </c>
      <c r="K103" s="143" t="n">
        <v>113041386.5797734</v>
      </c>
      <c r="L103" s="144" t="n">
        <v>0.141147323823615</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em linha com o mercado</t>
        </is>
      </c>
      <c r="AZ103" s="144" t="n">
        <v>-0.01874255814005102</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2026-08</t>
        </is>
      </c>
      <c r="H104" s="74" t="inlineStr">
        <is>
          <t>localizado</t>
        </is>
      </c>
      <c r="I104" s="139" t="n">
        <v>548070996.6799999</v>
      </c>
      <c r="J104" s="139" t="n">
        <v>548070996.7042251</v>
      </c>
      <c r="K104" s="139" t="n">
        <v>265696296.4893388</v>
      </c>
      <c r="L104" s="140" t="n">
        <v>0.4847844496403261</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2026-08</t>
        </is>
      </c>
      <c r="H105" s="75" t="inlineStr">
        <is>
          <t>localizado</t>
        </is>
      </c>
      <c r="I105" s="143" t="n">
        <v>106701784.11</v>
      </c>
      <c r="J105" s="143" t="n">
        <v>106701784.0784375</v>
      </c>
      <c r="K105" s="143" t="n">
        <v>47112152.61270887</v>
      </c>
      <c r="L105" s="144" t="n">
        <v>0.4415310672232102</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0.135337286526726</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pane xSplit="4" ySplit="4" topLeftCell="E5" activePane="bottomRight" state="frozen"/>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2026-08</t>
        </is>
      </c>
      <c r="H5" s="73" t="inlineStr">
        <is>
          <t>localizado</t>
        </is>
      </c>
      <c r="I5" s="135" t="n">
        <v>87853640.33</v>
      </c>
      <c r="J5" s="135" t="n">
        <v>87853640.66977322</v>
      </c>
      <c r="K5" s="135" t="n">
        <v>23060468.81977321</v>
      </c>
      <c r="L5" s="136" t="n">
        <v>0.2624873452386536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-0.04370643545783054</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2026-08</t>
        </is>
      </c>
      <c r="H6" s="74" t="inlineStr">
        <is>
          <t>localizado</t>
        </is>
      </c>
      <c r="I6" s="139" t="n">
        <v>926783405.79</v>
      </c>
      <c r="J6" s="139" t="n">
        <v>926783405.793</v>
      </c>
      <c r="K6" s="139" t="n">
        <v>158995139.3595</v>
      </c>
      <c r="L6" s="140" t="n">
        <v>0.1715558763419711</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-0.01122356481751938</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2026-08</t>
        </is>
      </c>
      <c r="H7" s="75" t="inlineStr">
        <is>
          <t>localizado</t>
        </is>
      </c>
      <c r="I7" s="143" t="n">
        <v>67695100.98999999</v>
      </c>
      <c r="J7" s="143" t="n">
        <v>67695100.98999999</v>
      </c>
      <c r="K7" s="143" t="n">
        <v>13664539.85</v>
      </c>
      <c r="L7" s="144" t="n">
        <v>0.2018541910738643</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em linha com o mercado</t>
        </is>
      </c>
      <c r="AZ7" s="144" t="n">
        <v>0.01907474991437383</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2026-08</t>
        </is>
      </c>
      <c r="H8" s="74" t="inlineStr">
        <is>
          <t>localizado</t>
        </is>
      </c>
      <c r="I8" s="139" t="n">
        <v>102271218.36</v>
      </c>
      <c r="J8" s="139" t="n">
        <v>102271218.3603658</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-0.3061937806964842</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2026-08</t>
        </is>
      </c>
      <c r="H9" s="75" t="inlineStr">
        <is>
          <t>localizado</t>
        </is>
      </c>
      <c r="I9" s="143" t="n">
        <v>214704733.67</v>
      </c>
      <c r="J9" s="143" t="n">
        <v>214087001.1704569</v>
      </c>
      <c r="K9" s="143" t="n">
        <v>53092077.31795698</v>
      </c>
      <c r="L9" s="144" t="n">
        <v>0.2472794912829412</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-0.002720508717058756</v>
      </c>
      <c r="AA9" s="144" t="n">
        <v>-0.003627344956078341</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-0.05891428941354293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2026-08</t>
        </is>
      </c>
      <c r="H10" s="74" t="inlineStr">
        <is>
          <t>localizado</t>
        </is>
      </c>
      <c r="I10" s="139" t="n">
        <v>243523109.81</v>
      </c>
      <c r="J10" s="139" t="n">
        <v>223229399.6670629</v>
      </c>
      <c r="K10" s="139" t="n">
        <v>65236619.2683814</v>
      </c>
      <c r="L10" s="140" t="inlineStr">
        <is>
          <t>N/D</t>
        </is>
      </c>
      <c r="M10" s="74" t="inlineStr">
        <is>
          <t>N/D — PL oficial diverge das classes acima de 0,5%</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2026-08</t>
        </is>
      </c>
      <c r="H11" s="75" t="inlineStr">
        <is>
          <t>localizado</t>
        </is>
      </c>
      <c r="I11" s="143" t="n">
        <v>236600544.72</v>
      </c>
      <c r="J11" s="143" t="n">
        <v>236600544.7212134</v>
      </c>
      <c r="K11" s="143" t="n">
        <v>56750307.62844241</v>
      </c>
      <c r="L11" s="144" t="n">
        <v>0.2398570455347107</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0.0570776043752203</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2026-08</t>
        </is>
      </c>
      <c r="H12" s="74" t="inlineStr">
        <is>
          <t>localizado</t>
        </is>
      </c>
      <c r="I12" s="139" t="n">
        <v>358462032.54</v>
      </c>
      <c r="J12" s="139" t="n">
        <v>358462032.547115</v>
      </c>
      <c r="K12" s="139" t="n">
        <v>15864230.86962</v>
      </c>
      <c r="L12" s="140" t="n">
        <v>0.04425637704838306</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2026-08</t>
        </is>
      </c>
      <c r="H13" s="75" t="inlineStr">
        <is>
          <t>localizado</t>
        </is>
      </c>
      <c r="I13" s="143" t="inlineStr">
        <is>
          <t>N/D</t>
        </is>
      </c>
      <c r="J13" s="143" t="inlineStr">
        <is>
          <t>N/D</t>
        </is>
      </c>
      <c r="K13" s="143" t="inlineStr">
        <is>
          <t>N/D</t>
        </is>
      </c>
      <c r="L13" s="144" t="inlineStr">
        <is>
          <t>N/D</t>
        </is>
      </c>
      <c r="M13" s="75" t="inlineStr">
        <is>
          <t>PL oficial ausente em 2026-08</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2026-08</t>
        </is>
      </c>
      <c r="H14" s="74" t="inlineStr">
        <is>
          <t>localizado</t>
        </is>
      </c>
      <c r="I14" s="139" t="n">
        <v>109837131.37</v>
      </c>
      <c r="J14" s="139" t="n">
        <v>109837131.369685</v>
      </c>
      <c r="K14" s="139" t="n">
        <v>6088072.399986479</v>
      </c>
      <c r="L14" s="140" t="n">
        <v>0.0554281810172013</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0.005428181017201293</v>
      </c>
      <c r="AA14" s="140" t="n">
        <v>0.00571387475494873</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2026-08</t>
        </is>
      </c>
      <c r="H15" s="75" t="inlineStr">
        <is>
          <t>localizado</t>
        </is>
      </c>
      <c r="I15" s="143" t="inlineStr">
        <is>
          <t>N/D</t>
        </is>
      </c>
      <c r="J15" s="143" t="inlineStr">
        <is>
          <t>N/D</t>
        </is>
      </c>
      <c r="K15" s="143" t="inlineStr">
        <is>
          <t>N/D</t>
        </is>
      </c>
      <c r="L15" s="144" t="inlineStr">
        <is>
          <t>N/D</t>
        </is>
      </c>
      <c r="M15" s="75" t="inlineStr">
        <is>
          <t>PL oficial ausente em 2026-08</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2026-08</t>
        </is>
      </c>
      <c r="H16" s="74" t="inlineStr">
        <is>
          <t>localizado</t>
        </is>
      </c>
      <c r="I16" s="139" t="inlineStr">
        <is>
          <t>N/D</t>
        </is>
      </c>
      <c r="J16" s="139" t="inlineStr">
        <is>
          <t>N/D</t>
        </is>
      </c>
      <c r="K16" s="139" t="inlineStr">
        <is>
          <t>N/D</t>
        </is>
      </c>
      <c r="L16" s="140" t="inlineStr">
        <is>
          <t>N/D</t>
        </is>
      </c>
      <c r="M16" s="74" t="inlineStr">
        <is>
          <t>PL oficial ausente em 2026-08</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2026-08</t>
        </is>
      </c>
      <c r="H17" s="75" t="inlineStr">
        <is>
          <t>localizado</t>
        </is>
      </c>
      <c r="I17" s="143" t="n">
        <v>444983236.36</v>
      </c>
      <c r="J17" s="143" t="n">
        <v>444983236.3582025</v>
      </c>
      <c r="K17" s="143" t="n">
        <v>87970677.92885245</v>
      </c>
      <c r="L17" s="144" t="n">
        <v>0.1976943640584305</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-0.002305635941569545</v>
      </c>
      <c r="AA17" s="144" t="n">
        <v>-0.002882044926961931</v>
      </c>
      <c r="AB17" s="75" t="inlineStr">
        <is>
          <t>abaixo do mínimo</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15%–20%</t>
        </is>
      </c>
      <c r="AW17" s="75" t="b">
        <v>1</v>
      </c>
      <c r="AX17" s="75" t="inlineStr">
        <is>
          <t>abaixo do piso</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2026-08</t>
        </is>
      </c>
      <c r="H18" s="74" t="inlineStr">
        <is>
          <t>localizado</t>
        </is>
      </c>
      <c r="I18" s="139" t="n">
        <v>25878515.55</v>
      </c>
      <c r="J18" s="139" t="n">
        <v>25878516.16340993</v>
      </c>
      <c r="K18" s="139" t="n">
        <v>2894853.600058563</v>
      </c>
      <c r="L18" s="140" t="n">
        <v>0.1118632015219498</v>
      </c>
      <c r="M18" s="74" t="inlineStr">
        <is>
          <t>Calculado com classes reportadas e PL oficial reconciliado</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10%–15%</t>
        </is>
      </c>
      <c r="AW18" s="74" t="b">
        <v>1</v>
      </c>
      <c r="AX18" s="74" t="inlineStr">
        <is>
          <t>incomparável</t>
        </is>
      </c>
      <c r="AY18" s="74" t="inlineStr">
        <is>
          <t>abaixo do mercado</t>
        </is>
      </c>
      <c r="AZ18" s="140" t="n">
        <v>-0.04802668044171615</v>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originador; sacado/devedor</t>
        </is>
      </c>
      <c r="CB18" s="74" t="inlineStr">
        <is>
          <t>estrutura_incomparavel</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2026-08</t>
        </is>
      </c>
      <c r="H19" s="75" t="inlineStr">
        <is>
          <t>localizado</t>
        </is>
      </c>
      <c r="I19" s="143" t="n">
        <v>203278751.81</v>
      </c>
      <c r="J19" s="143" t="n">
        <v>203278751.8102072</v>
      </c>
      <c r="K19" s="143" t="n">
        <v>30845877.30995766</v>
      </c>
      <c r="L19" s="144" t="n">
        <v>0.1517417685582239</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-0.03103767260126652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2026-08</t>
        </is>
      </c>
      <c r="H20" s="74" t="inlineStr">
        <is>
          <t>localizado</t>
        </is>
      </c>
      <c r="I20" s="139" t="n">
        <v>0</v>
      </c>
      <c r="J20" s="139" t="n">
        <v>0</v>
      </c>
      <c r="K20" s="139" t="n">
        <v>0</v>
      </c>
      <c r="L20" s="140" t="inlineStr">
        <is>
          <t>N/D</t>
        </is>
      </c>
      <c r="M20" s="74" t="inlineStr">
        <is>
          <t>N/D — PL oficial reportado zero em 2026-08; razão não calculável</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N/D</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Sub/PL atual; mínimo estrutural comparável; originador; sacado/devedor; tipo de recebível</t>
        </is>
      </c>
      <c r="CB20" s="74" t="inlineStr">
        <is>
          <t>sub_pl_atual_ausente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2026-08</t>
        </is>
      </c>
      <c r="H21" s="75" t="inlineStr">
        <is>
          <t>localizado</t>
        </is>
      </c>
      <c r="I21" s="143" t="n">
        <v>1695951362.31</v>
      </c>
      <c r="J21" s="143" t="n">
        <v>1695951362.309823</v>
      </c>
      <c r="K21" s="143" t="n">
        <v>1286045934.589909</v>
      </c>
      <c r="L21" s="144" t="n">
        <v>0.7583035475959804</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0.4521097668994962</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2026-08</t>
        </is>
      </c>
      <c r="H22" s="74" t="inlineStr">
        <is>
          <t>localizado</t>
        </is>
      </c>
      <c r="I22" s="139" t="n">
        <v>249320835.66</v>
      </c>
      <c r="J22" s="139" t="n">
        <v>249320835.6550394</v>
      </c>
      <c r="K22" s="139" t="n">
        <v>89160661.37900165</v>
      </c>
      <c r="L22" s="140" t="n">
        <v>0.3576141606575973</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2026-08</t>
        </is>
      </c>
      <c r="H23" s="75" t="inlineStr">
        <is>
          <t>localizado</t>
        </is>
      </c>
      <c r="I23" s="143" t="n">
        <v>228990981.18</v>
      </c>
      <c r="J23" s="143" t="n">
        <v>228990981.1799838</v>
      </c>
      <c r="K23" s="143" t="n">
        <v>24439726.82998375</v>
      </c>
      <c r="L23" s="144" t="n">
        <v>0.1067279012651277</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0.006727901265127664</v>
      </c>
      <c r="AA23" s="144" t="n">
        <v>0.007475445850141849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2026-08</t>
        </is>
      </c>
      <c r="H24" s="74" t="inlineStr">
        <is>
          <t>localizado</t>
        </is>
      </c>
      <c r="I24" s="139" t="inlineStr">
        <is>
          <t>N/D</t>
        </is>
      </c>
      <c r="J24" s="139" t="inlineStr">
        <is>
          <t>N/D</t>
        </is>
      </c>
      <c r="K24" s="139" t="inlineStr">
        <is>
          <t>N/D</t>
        </is>
      </c>
      <c r="L24" s="140" t="inlineStr">
        <is>
          <t>N/D</t>
        </is>
      </c>
      <c r="M24" s="74" t="inlineStr">
        <is>
          <t>PL oficial ausente em 2026-08</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2026-08</t>
        </is>
      </c>
      <c r="H25" s="75" t="inlineStr">
        <is>
          <t>localizado</t>
        </is>
      </c>
      <c r="I25" s="143" t="inlineStr">
        <is>
          <t>N/D</t>
        </is>
      </c>
      <c r="J25" s="143" t="inlineStr">
        <is>
          <t>N/D</t>
        </is>
      </c>
      <c r="K25" s="143" t="inlineStr">
        <is>
          <t>N/D</t>
        </is>
      </c>
      <c r="L25" s="144" t="inlineStr">
        <is>
          <t>N/D</t>
        </is>
      </c>
      <c r="M25" s="75" t="inlineStr">
        <is>
          <t>PL oficial ausente em 2026-08</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2026-08</t>
        </is>
      </c>
      <c r="H26" s="74" t="inlineStr">
        <is>
          <t>localizado</t>
        </is>
      </c>
      <c r="I26" s="139" t="inlineStr">
        <is>
          <t>N/D</t>
        </is>
      </c>
      <c r="J26" s="139" t="inlineStr">
        <is>
          <t>N/D</t>
        </is>
      </c>
      <c r="K26" s="139" t="inlineStr">
        <is>
          <t>N/D</t>
        </is>
      </c>
      <c r="L26" s="140" t="inlineStr">
        <is>
          <t>N/D</t>
        </is>
      </c>
      <c r="M26" s="74" t="inlineStr">
        <is>
          <t>PL oficial ausente em 2026-08</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2026-08</t>
        </is>
      </c>
      <c r="H27" s="75" t="inlineStr">
        <is>
          <t>localizado</t>
        </is>
      </c>
      <c r="I27" s="143" t="n">
        <v>4700128.59</v>
      </c>
      <c r="J27" s="143" t="n">
        <v>4709628.59115</v>
      </c>
      <c r="K27" s="143" t="n">
        <v>4709628.59115</v>
      </c>
      <c r="L27" s="144" t="n">
        <v>1.002021221540664</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0.8020212215406644</v>
      </c>
      <c r="AA27" s="144" t="n">
        <v>1.00252652692583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2026-08</t>
        </is>
      </c>
      <c r="H28" s="74" t="inlineStr">
        <is>
          <t>localizado</t>
        </is>
      </c>
      <c r="I28" s="139" t="inlineStr">
        <is>
          <t>N/D</t>
        </is>
      </c>
      <c r="J28" s="139" t="inlineStr">
        <is>
          <t>N/D</t>
        </is>
      </c>
      <c r="K28" s="139" t="inlineStr">
        <is>
          <t>N/D</t>
        </is>
      </c>
      <c r="L28" s="140" t="inlineStr">
        <is>
          <t>N/D</t>
        </is>
      </c>
      <c r="M28" s="74" t="inlineStr">
        <is>
          <t>PL oficial ausente em 2026-08</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2026-08</t>
        </is>
      </c>
      <c r="H29" s="75" t="inlineStr">
        <is>
          <t>localizado</t>
        </is>
      </c>
      <c r="I29" s="143" t="n">
        <v>4084678.08</v>
      </c>
      <c r="J29" s="143" t="n">
        <v>4084678.080040646</v>
      </c>
      <c r="K29" s="143" t="n">
        <v>4084678.080040646</v>
      </c>
      <c r="L29" s="144" t="n">
        <v>1.000000000009951</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0.7500000000099507</v>
      </c>
      <c r="AA29" s="144" t="n">
        <v>1.000000000013268</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2026-08</t>
        </is>
      </c>
      <c r="H30" s="74" t="inlineStr">
        <is>
          <t>localizado</t>
        </is>
      </c>
      <c r="I30" s="139" t="inlineStr">
        <is>
          <t>N/D</t>
        </is>
      </c>
      <c r="J30" s="139" t="inlineStr">
        <is>
          <t>N/D</t>
        </is>
      </c>
      <c r="K30" s="139" t="inlineStr">
        <is>
          <t>N/D</t>
        </is>
      </c>
      <c r="L30" s="140" t="inlineStr">
        <is>
          <t>N/D</t>
        </is>
      </c>
      <c r="M30" s="74" t="inlineStr">
        <is>
          <t>PL oficial ausente em 2026-08</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2026-08</t>
        </is>
      </c>
      <c r="H31" s="75" t="inlineStr">
        <is>
          <t>localizado</t>
        </is>
      </c>
      <c r="I31" s="143" t="n">
        <v>481931001.55</v>
      </c>
      <c r="J31" s="143" t="n">
        <v>463543552.307551</v>
      </c>
      <c r="K31" s="143" t="n">
        <v>57077990.72535096</v>
      </c>
      <c r="L31" s="144" t="inlineStr">
        <is>
          <t>N/D</t>
        </is>
      </c>
      <c r="M31" s="75" t="inlineStr">
        <is>
          <t>N/D — PL oficial diverge das classes acima de 0,5%</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2026-08</t>
        </is>
      </c>
      <c r="H32" s="74" t="inlineStr">
        <is>
          <t>localizado</t>
        </is>
      </c>
      <c r="I32" s="139" t="n">
        <v>166222508.55</v>
      </c>
      <c r="J32" s="139" t="n">
        <v>166222508.5494739</v>
      </c>
      <c r="K32" s="139" t="n">
        <v>23377228.35976638</v>
      </c>
      <c r="L32" s="140" t="n">
        <v>0.1406381636499877</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2026-08</t>
        </is>
      </c>
      <c r="H33" s="75" t="inlineStr">
        <is>
          <t>localizado</t>
        </is>
      </c>
      <c r="I33" s="143" t="n">
        <v>1596122150.92</v>
      </c>
      <c r="J33" s="143" t="n">
        <v>1596122150.917644</v>
      </c>
      <c r="K33" s="143" t="n">
        <v>1195893429.068644</v>
      </c>
      <c r="L33" s="144" t="n">
        <v>0.7492493155234607</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0.4430555348269766</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2026-08</t>
        </is>
      </c>
      <c r="H34" s="74" t="inlineStr">
        <is>
          <t>localizado</t>
        </is>
      </c>
      <c r="I34" s="139" t="n">
        <v>377416791.58</v>
      </c>
      <c r="J34" s="139" t="n">
        <v>377416791.6480582</v>
      </c>
      <c r="K34" s="139" t="n">
        <v>29513451.74995815</v>
      </c>
      <c r="L34" s="140" t="n">
        <v>0.07819856563987103</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0.03057951802087103</v>
      </c>
      <c r="AA34" s="140" t="n">
        <v>0.03210849392191297</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&lt; 10%</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2026-08</t>
        </is>
      </c>
      <c r="H35" s="75" t="inlineStr">
        <is>
          <t>localizado</t>
        </is>
      </c>
      <c r="I35" s="143" t="n">
        <v>599497792.78</v>
      </c>
      <c r="J35" s="143" t="n">
        <v>599497792.7802087</v>
      </c>
      <c r="K35" s="143" t="n">
        <v>224665403.4904837</v>
      </c>
      <c r="L35" s="144" t="n">
        <v>0.3747560144444602</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0.06856223374797604</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2026-08</t>
        </is>
      </c>
      <c r="H36" s="74" t="inlineStr">
        <is>
          <t>localizado</t>
        </is>
      </c>
      <c r="I36" s="139" t="inlineStr">
        <is>
          <t>N/D</t>
        </is>
      </c>
      <c r="J36" s="139" t="inlineStr">
        <is>
          <t>N/D</t>
        </is>
      </c>
      <c r="K36" s="139" t="inlineStr">
        <is>
          <t>N/D</t>
        </is>
      </c>
      <c r="L36" s="140" t="inlineStr">
        <is>
          <t>N/D</t>
        </is>
      </c>
      <c r="M36" s="74" t="inlineStr">
        <is>
          <t>PL oficial ausente em 2026-08</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14</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2026-08</t>
        </is>
      </c>
      <c r="H37" s="75" t="inlineStr">
        <is>
          <t>localizado</t>
        </is>
      </c>
      <c r="I37" s="143" t="inlineStr">
        <is>
          <t>N/D</t>
        </is>
      </c>
      <c r="J37" s="143" t="inlineStr">
        <is>
          <t>N/D</t>
        </is>
      </c>
      <c r="K37" s="143" t="inlineStr">
        <is>
          <t>N/D</t>
        </is>
      </c>
      <c r="L37" s="144" t="inlineStr">
        <is>
          <t>N/D</t>
        </is>
      </c>
      <c r="M37" s="75" t="inlineStr">
        <is>
          <t>PL oficial ausente em 2026-08</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14</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2026-08</t>
        </is>
      </c>
      <c r="H38" s="74" t="inlineStr">
        <is>
          <t>localizado</t>
        </is>
      </c>
      <c r="I38" s="139" t="inlineStr">
        <is>
          <t>N/D</t>
        </is>
      </c>
      <c r="J38" s="139" t="inlineStr">
        <is>
          <t>N/D</t>
        </is>
      </c>
      <c r="K38" s="139" t="inlineStr">
        <is>
          <t>N/D</t>
        </is>
      </c>
      <c r="L38" s="140" t="inlineStr">
        <is>
          <t>N/D</t>
        </is>
      </c>
      <c r="M38" s="74" t="inlineStr">
        <is>
          <t>PL oficial ausente em 2026-08</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2026-08</t>
        </is>
      </c>
      <c r="H39" s="75" t="inlineStr">
        <is>
          <t>localizado</t>
        </is>
      </c>
      <c r="I39" s="143" t="n">
        <v>284521283.5</v>
      </c>
      <c r="J39" s="143" t="n">
        <v>284521283.4896019</v>
      </c>
      <c r="K39" s="143" t="n">
        <v>278711263.8796542</v>
      </c>
      <c r="L39" s="144" t="n">
        <v>0.9795796660661916</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0.4795796660661916</v>
      </c>
      <c r="AA39" s="144" t="n">
        <v>0.9591593321323832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2026-08</t>
        </is>
      </c>
      <c r="H40" s="74" t="inlineStr">
        <is>
          <t>localizado</t>
        </is>
      </c>
      <c r="I40" s="139" t="inlineStr">
        <is>
          <t>N/D</t>
        </is>
      </c>
      <c r="J40" s="139" t="inlineStr">
        <is>
          <t>N/D</t>
        </is>
      </c>
      <c r="K40" s="139" t="inlineStr">
        <is>
          <t>N/D</t>
        </is>
      </c>
      <c r="L40" s="140" t="inlineStr">
        <is>
          <t>N/D</t>
        </is>
      </c>
      <c r="M40" s="74" t="inlineStr">
        <is>
          <t>PL oficial ausente em 2026-08</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14</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2026-08</t>
        </is>
      </c>
      <c r="H41" s="75" t="inlineStr">
        <is>
          <t>localizado</t>
        </is>
      </c>
      <c r="I41" s="143" t="n">
        <v>7174237038.23</v>
      </c>
      <c r="J41" s="143" t="n">
        <v>6553850400.463037</v>
      </c>
      <c r="K41" s="143" t="n">
        <v>4826682362.183037</v>
      </c>
      <c r="L41" s="144" t="inlineStr">
        <is>
          <t>N/D</t>
        </is>
      </c>
      <c r="M41" s="75" t="inlineStr">
        <is>
          <t>N/D — PL oficial diverge das classes acima de 0,5%</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14</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Sub/PL atual; sacado/devedor</t>
        </is>
      </c>
      <c r="CB41" s="75" t="inlineStr">
        <is>
          <t>sub_pl_atual_ausente</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2026-08</t>
        </is>
      </c>
      <c r="H42" s="74" t="inlineStr">
        <is>
          <t>localizado</t>
        </is>
      </c>
      <c r="I42" s="139" t="n">
        <v>199697311.69</v>
      </c>
      <c r="J42" s="139" t="n">
        <v>199697311.6968063</v>
      </c>
      <c r="K42" s="139" t="n">
        <v>95331322.13009876</v>
      </c>
      <c r="L42" s="140" t="n">
        <v>0.477379096009496</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0.210729096009496</v>
      </c>
      <c r="AA42" s="140" t="n">
        <v>0.2873513274827791</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2026-08</t>
        </is>
      </c>
      <c r="H43" s="75" t="inlineStr">
        <is>
          <t>localizado</t>
        </is>
      </c>
      <c r="I43" s="143" t="n">
        <v>332038628.56</v>
      </c>
      <c r="J43" s="143" t="n">
        <v>332038628.5201547</v>
      </c>
      <c r="K43" s="143" t="n">
        <v>54891043.43965475</v>
      </c>
      <c r="L43" s="144" t="n">
        <v>0.1653152335850461</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15%–20%</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2026-08</t>
        </is>
      </c>
      <c r="H44" s="74" t="inlineStr">
        <is>
          <t>localizado</t>
        </is>
      </c>
      <c r="I44" s="139" t="n">
        <v>1189908647.59</v>
      </c>
      <c r="J44" s="139" t="n">
        <v>1189908647.592394</v>
      </c>
      <c r="K44" s="139" t="n">
        <v>946783254.0534936</v>
      </c>
      <c r="L44" s="140" t="n">
        <v>0.7956772614192492</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0.1214101604422493</v>
      </c>
      <c r="AA44" s="140" t="n">
        <v>0.3727291925574778</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2026-08</t>
        </is>
      </c>
      <c r="H45" s="75" t="inlineStr">
        <is>
          <t>localizado</t>
        </is>
      </c>
      <c r="I45" s="143" t="n">
        <v>107657359.22</v>
      </c>
      <c r="J45" s="143" t="n">
        <v>107657359.2198222</v>
      </c>
      <c r="K45" s="143" t="n">
        <v>30924560.88000778</v>
      </c>
      <c r="L45" s="144" t="n">
        <v>0.2872498555051198</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2026-08</t>
        </is>
      </c>
      <c r="H46" s="74" t="inlineStr">
        <is>
          <t>localizado</t>
        </is>
      </c>
      <c r="I46" s="139" t="inlineStr">
        <is>
          <t>N/D</t>
        </is>
      </c>
      <c r="J46" s="139" t="inlineStr">
        <is>
          <t>N/D</t>
        </is>
      </c>
      <c r="K46" s="139" t="inlineStr">
        <is>
          <t>N/D</t>
        </is>
      </c>
      <c r="L46" s="140" t="inlineStr">
        <is>
          <t>N/D</t>
        </is>
      </c>
      <c r="M46" s="74" t="inlineStr">
        <is>
          <t>PL oficial ausente em 2026-08</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2026-08</t>
        </is>
      </c>
      <c r="H47" s="75" t="inlineStr">
        <is>
          <t>localizado</t>
        </is>
      </c>
      <c r="I47" s="143" t="n">
        <v>212149387.33</v>
      </c>
      <c r="J47" s="143" t="n">
        <v>212149387.7113751</v>
      </c>
      <c r="K47" s="143" t="n">
        <v>36939064.84263628</v>
      </c>
      <c r="L47" s="144" t="n">
        <v>0.1741181782683034</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-0.008661262891187071</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2026-08</t>
        </is>
      </c>
      <c r="H48" s="74" t="inlineStr">
        <is>
          <t>localizado</t>
        </is>
      </c>
      <c r="I48" s="139" t="n">
        <v>352711743.01</v>
      </c>
      <c r="J48" s="139" t="n">
        <v>352648725.7522035</v>
      </c>
      <c r="K48" s="139" t="n">
        <v>178070446.7461678</v>
      </c>
      <c r="L48" s="140" t="n">
        <v>0.5048611232122181</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0.004861123212218099</v>
      </c>
      <c r="AA48" s="140" t="n">
        <v>0.009722246424436198</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2026-08</t>
        </is>
      </c>
      <c r="H49" s="75" t="inlineStr">
        <is>
          <t>localizado</t>
        </is>
      </c>
      <c r="I49" s="143" t="inlineStr">
        <is>
          <t>N/D</t>
        </is>
      </c>
      <c r="J49" s="143" t="inlineStr">
        <is>
          <t>N/D</t>
        </is>
      </c>
      <c r="K49" s="143" t="inlineStr">
        <is>
          <t>N/D</t>
        </is>
      </c>
      <c r="L49" s="144" t="inlineStr">
        <is>
          <t>N/D</t>
        </is>
      </c>
      <c r="M49" s="75" t="inlineStr">
        <is>
          <t>PL oficial ausente em 2026-08</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2026-08</t>
        </is>
      </c>
      <c r="H50" s="74" t="inlineStr">
        <is>
          <t>localizado</t>
        </is>
      </c>
      <c r="I50" s="139" t="n">
        <v>1999981369.56</v>
      </c>
      <c r="J50" s="139" t="n">
        <v>1999981369.564364</v>
      </c>
      <c r="K50" s="139" t="n">
        <v>186176086.0604384</v>
      </c>
      <c r="L50" s="140" t="n">
        <v>0.09308891017389702</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-0.2131048705225871</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2026-08</t>
        </is>
      </c>
      <c r="H51" s="75" t="inlineStr">
        <is>
          <t>localizado</t>
        </is>
      </c>
      <c r="I51" s="143" t="n">
        <v>482071420.62</v>
      </c>
      <c r="J51" s="143" t="n">
        <v>482071420.6208261</v>
      </c>
      <c r="K51" s="143" t="n">
        <v>154724884.4910434</v>
      </c>
      <c r="L51" s="144" t="n">
        <v>0.3209584262266557</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0.02095842622665567</v>
      </c>
      <c r="AA51" s="144" t="n">
        <v>0.02994060889522239</v>
      </c>
      <c r="AB51" s="75" t="inlineStr">
        <is>
          <t>folga estreita</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2026-08</t>
        </is>
      </c>
      <c r="H52" s="74" t="inlineStr">
        <is>
          <t>localizado</t>
        </is>
      </c>
      <c r="I52" s="139" t="n">
        <v>53539609.79</v>
      </c>
      <c r="J52" s="139" t="n">
        <v>53539609.78999893</v>
      </c>
      <c r="K52" s="139" t="n">
        <v>8539609.78999893</v>
      </c>
      <c r="L52" s="140" t="n">
        <v>0.1595007849981368</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2026-08</t>
        </is>
      </c>
      <c r="H53" s="75" t="inlineStr">
        <is>
          <t>localizado</t>
        </is>
      </c>
      <c r="I53" s="143" t="n">
        <v>104165558.25</v>
      </c>
      <c r="J53" s="143" t="n">
        <v>104165558.24632</v>
      </c>
      <c r="K53" s="143" t="n">
        <v>63832007.39009536</v>
      </c>
      <c r="L53" s="144" t="n">
        <v>0.6127937915610927</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2026-08</t>
        </is>
      </c>
      <c r="H54" s="74" t="inlineStr">
        <is>
          <t>localizado</t>
        </is>
      </c>
      <c r="I54" s="139" t="inlineStr">
        <is>
          <t>N/D</t>
        </is>
      </c>
      <c r="J54" s="139" t="inlineStr">
        <is>
          <t>N/D</t>
        </is>
      </c>
      <c r="K54" s="139" t="inlineStr">
        <is>
          <t>N/D</t>
        </is>
      </c>
      <c r="L54" s="140" t="inlineStr">
        <is>
          <t>N/D</t>
        </is>
      </c>
      <c r="M54" s="74" t="inlineStr">
        <is>
          <t>PL oficial ausente em 2026-08</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2026-08</t>
        </is>
      </c>
      <c r="H55" s="75" t="inlineStr">
        <is>
          <t>localizado</t>
        </is>
      </c>
      <c r="I55" s="143" t="n">
        <v>144299476.38</v>
      </c>
      <c r="J55" s="143" t="n">
        <v>144299217.2649091</v>
      </c>
      <c r="K55" s="143" t="n">
        <v>29579891.99010846</v>
      </c>
      <c r="L55" s="144" t="n">
        <v>0.2049896003240678</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20%–35%</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2026-08</t>
        </is>
      </c>
      <c r="H56" s="74" t="inlineStr">
        <is>
          <t>localizado</t>
        </is>
      </c>
      <c r="I56" s="139" t="n">
        <v>2162550453.27</v>
      </c>
      <c r="J56" s="139" t="n">
        <v>2162550453.297652</v>
      </c>
      <c r="K56" s="139" t="n">
        <v>901552739.8241596</v>
      </c>
      <c r="L56" s="140" t="n">
        <v>0.4168932745411413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0.1106994938446571</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2026-08</t>
        </is>
      </c>
      <c r="H57" s="75" t="inlineStr">
        <is>
          <t>localizado</t>
        </is>
      </c>
      <c r="I57" s="143" t="inlineStr">
        <is>
          <t>N/D</t>
        </is>
      </c>
      <c r="J57" s="143" t="inlineStr">
        <is>
          <t>N/D</t>
        </is>
      </c>
      <c r="K57" s="143" t="inlineStr">
        <is>
          <t>N/D</t>
        </is>
      </c>
      <c r="L57" s="144" t="inlineStr">
        <is>
          <t>N/D</t>
        </is>
      </c>
      <c r="M57" s="75" t="inlineStr">
        <is>
          <t>PL oficial ausente em 2026-08</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2026-08</t>
        </is>
      </c>
      <c r="H58" s="74" t="inlineStr">
        <is>
          <t>localizado</t>
        </is>
      </c>
      <c r="I58" s="139" t="n">
        <v>43677175.63</v>
      </c>
      <c r="J58" s="139" t="n">
        <v>0</v>
      </c>
      <c r="K58" s="139" t="n">
        <v>0</v>
      </c>
      <c r="L58" s="140" t="inlineStr">
        <is>
          <t>N/D</t>
        </is>
      </c>
      <c r="M58" s="74" t="inlineStr">
        <is>
          <t>N/D — classes de cotas reportadas sem PL positivo em 2026-08; razão não calculável</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2026-08</t>
        </is>
      </c>
      <c r="H59" s="75" t="inlineStr">
        <is>
          <t>localizado</t>
        </is>
      </c>
      <c r="I59" s="143" t="inlineStr">
        <is>
          <t>N/D</t>
        </is>
      </c>
      <c r="J59" s="143" t="inlineStr">
        <is>
          <t>N/D</t>
        </is>
      </c>
      <c r="K59" s="143" t="inlineStr">
        <is>
          <t>N/D</t>
        </is>
      </c>
      <c r="L59" s="144" t="inlineStr">
        <is>
          <t>N/D</t>
        </is>
      </c>
      <c r="M59" s="75" t="inlineStr">
        <is>
          <t>PL oficial ausente em 2026-08</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2026-08</t>
        </is>
      </c>
      <c r="H60" s="74" t="inlineStr">
        <is>
          <t>localizado</t>
        </is>
      </c>
      <c r="I60" s="139" t="n">
        <v>2966345679.42</v>
      </c>
      <c r="J60" s="139" t="n">
        <v>2966345679.421753</v>
      </c>
      <c r="K60" s="139" t="n">
        <v>452358687.3984627</v>
      </c>
      <c r="L60" s="140" t="n">
        <v>0.1524969562842423</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-0.007392925679423734</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2026-08</t>
        </is>
      </c>
      <c r="H61" s="75" t="inlineStr">
        <is>
          <t>localizado</t>
        </is>
      </c>
      <c r="I61" s="143" t="n">
        <v>102687730.15</v>
      </c>
      <c r="J61" s="143" t="n">
        <v>102687730.1426409</v>
      </c>
      <c r="K61" s="143" t="n">
        <v>50531560.08019644</v>
      </c>
      <c r="L61" s="144" t="n">
        <v>0.4920895612979564</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-0.007910438702043554</v>
      </c>
      <c r="AA61" s="144" t="n">
        <v>-0.01582087740408711</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2026-08</t>
        </is>
      </c>
      <c r="H62" s="74" t="inlineStr">
        <is>
          <t>localizado</t>
        </is>
      </c>
      <c r="I62" s="139" t="n">
        <v>1050671609.46</v>
      </c>
      <c r="J62" s="139" t="n">
        <v>1050671609.453919</v>
      </c>
      <c r="K62" s="139" t="n">
        <v>309034313.8999171</v>
      </c>
      <c r="L62" s="140" t="n">
        <v>0.2941302602235035</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0.04153026022350353</v>
      </c>
      <c r="AA62" s="140" t="n">
        <v>0.05556631017327205</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-0.01206352047298065</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2026-08</t>
        </is>
      </c>
      <c r="H63" s="75" t="inlineStr">
        <is>
          <t>localizado</t>
        </is>
      </c>
      <c r="I63" s="143" t="n">
        <v>2641955191.86</v>
      </c>
      <c r="J63" s="143" t="n">
        <v>2641955191.85639</v>
      </c>
      <c r="K63" s="143" t="n">
        <v>922876101.2415354</v>
      </c>
      <c r="L63" s="144" t="n">
        <v>0.3493155766172584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20%–35%</t>
        </is>
      </c>
      <c r="AW63" s="75" t="b">
        <v>1</v>
      </c>
      <c r="AX63" s="75" t="inlineStr">
        <is>
          <t>incomparável</t>
        </is>
      </c>
      <c r="AY63" s="75" t="inlineStr">
        <is>
          <t>acima do mercado</t>
        </is>
      </c>
      <c r="AZ63" s="144" t="n">
        <v>0.1882492144265984</v>
      </c>
      <c r="BA63" s="75" t="b">
        <v>1</v>
      </c>
      <c r="BB63" s="145" t="n">
        <v>14</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2026-08</t>
        </is>
      </c>
      <c r="H64" s="74" t="inlineStr">
        <is>
          <t>localizado</t>
        </is>
      </c>
      <c r="I64" s="139" t="n">
        <v>3100556826.01</v>
      </c>
      <c r="J64" s="139" t="n">
        <v>2520309058.440632</v>
      </c>
      <c r="K64" s="139" t="n">
        <v>477981794.0587984</v>
      </c>
      <c r="L64" s="140" t="inlineStr">
        <is>
          <t>N/D</t>
        </is>
      </c>
      <c r="M64" s="74" t="inlineStr">
        <is>
          <t>N/D — PL oficial diverge das classes acima de 0,5%</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2026-08</t>
        </is>
      </c>
      <c r="H65" s="75" t="inlineStr">
        <is>
          <t>localizado</t>
        </is>
      </c>
      <c r="I65" s="143" t="n">
        <v>199368665.67</v>
      </c>
      <c r="J65" s="143" t="n">
        <v>199368665.6619652</v>
      </c>
      <c r="K65" s="143" t="n">
        <v>14783171.70996524</v>
      </c>
      <c r="L65" s="144" t="n">
        <v>0.07414992551755709</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-0.2320438551789271</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2026-08</t>
        </is>
      </c>
      <c r="H66" s="74" t="inlineStr">
        <is>
          <t>localizado</t>
        </is>
      </c>
      <c r="I66" s="139" t="n">
        <v>168578666.71</v>
      </c>
      <c r="J66" s="139" t="n">
        <v>168578666.7072081</v>
      </c>
      <c r="K66" s="139" t="n">
        <v>66949901.23020812</v>
      </c>
      <c r="L66" s="140" t="n">
        <v>0.3971433784405218</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0.06384337844052179</v>
      </c>
      <c r="AA66" s="140" t="n">
        <v>0.09576027964680034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2026-08</t>
        </is>
      </c>
      <c r="H67" s="75" t="inlineStr">
        <is>
          <t>localizado</t>
        </is>
      </c>
      <c r="I67" s="143" t="n">
        <v>1039245978.43</v>
      </c>
      <c r="J67" s="143" t="n">
        <v>1013259779.873103</v>
      </c>
      <c r="K67" s="143" t="n">
        <v>253735100.5925</v>
      </c>
      <c r="L67" s="144" t="inlineStr">
        <is>
          <t>N/D</t>
        </is>
      </c>
      <c r="M67" s="75" t="inlineStr">
        <is>
          <t>N/D — PL oficial diverge das classes acima de 0,5%</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2026-08</t>
        </is>
      </c>
      <c r="H68" s="74" t="inlineStr">
        <is>
          <t>localizado</t>
        </is>
      </c>
      <c r="I68" s="139" t="n">
        <v>80180577.16</v>
      </c>
      <c r="J68" s="139" t="n">
        <v>79148377.23577081</v>
      </c>
      <c r="K68" s="139" t="n">
        <v>10196850.6545316</v>
      </c>
      <c r="L68" s="140" t="inlineStr">
        <is>
          <t>N/D</t>
        </is>
      </c>
      <c r="M68" s="74" t="inlineStr">
        <is>
          <t>N/D — PL oficial diverge das classes acima de 0,5%</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2026-08</t>
        </is>
      </c>
      <c r="H69" s="75" t="inlineStr">
        <is>
          <t>localizado</t>
        </is>
      </c>
      <c r="I69" s="143" t="inlineStr">
        <is>
          <t>N/D</t>
        </is>
      </c>
      <c r="J69" s="143" t="inlineStr">
        <is>
          <t>N/D</t>
        </is>
      </c>
      <c r="K69" s="143" t="inlineStr">
        <is>
          <t>N/D</t>
        </is>
      </c>
      <c r="L69" s="144" t="inlineStr">
        <is>
          <t>N/D</t>
        </is>
      </c>
      <c r="M69" s="75" t="inlineStr">
        <is>
          <t>PL oficial ausente em 2026-08</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2026-08</t>
        </is>
      </c>
      <c r="H70" s="74" t="inlineStr">
        <is>
          <t>localizado</t>
        </is>
      </c>
      <c r="I70" s="139" t="n">
        <v>119061625.55</v>
      </c>
      <c r="J70" s="139" t="n">
        <v>119061625.1972017</v>
      </c>
      <c r="K70" s="139" t="n">
        <v>119061625.1972017</v>
      </c>
      <c r="L70" s="140" t="n">
        <v>0.9999999970368433</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2026-08</t>
        </is>
      </c>
      <c r="H71" s="75" t="inlineStr">
        <is>
          <t>localizado</t>
        </is>
      </c>
      <c r="I71" s="143" t="inlineStr">
        <is>
          <t>N/D</t>
        </is>
      </c>
      <c r="J71" s="143" t="inlineStr">
        <is>
          <t>N/D</t>
        </is>
      </c>
      <c r="K71" s="143" t="inlineStr">
        <is>
          <t>N/D</t>
        </is>
      </c>
      <c r="L71" s="144" t="inlineStr">
        <is>
          <t>N/D</t>
        </is>
      </c>
      <c r="M71" s="75" t="inlineStr">
        <is>
          <t>PL oficial ausente em 2026-08</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2026-08</t>
        </is>
      </c>
      <c r="H72" s="74" t="inlineStr">
        <is>
          <t>localizado</t>
        </is>
      </c>
      <c r="I72" s="139" t="inlineStr">
        <is>
          <t>N/D</t>
        </is>
      </c>
      <c r="J72" s="139" t="inlineStr">
        <is>
          <t>N/D</t>
        </is>
      </c>
      <c r="K72" s="139" t="inlineStr">
        <is>
          <t>N/D</t>
        </is>
      </c>
      <c r="L72" s="140" t="inlineStr">
        <is>
          <t>N/D</t>
        </is>
      </c>
      <c r="M72" s="74" t="inlineStr">
        <is>
          <t>PL oficial ausente em 2026-08</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2026-08</t>
        </is>
      </c>
      <c r="H73" s="75" t="inlineStr">
        <is>
          <t>localizado</t>
        </is>
      </c>
      <c r="I73" s="143" t="inlineStr">
        <is>
          <t>N/D</t>
        </is>
      </c>
      <c r="J73" s="143" t="inlineStr">
        <is>
          <t>N/D</t>
        </is>
      </c>
      <c r="K73" s="143" t="inlineStr">
        <is>
          <t>N/D</t>
        </is>
      </c>
      <c r="L73" s="144" t="inlineStr">
        <is>
          <t>N/D</t>
        </is>
      </c>
      <c r="M73" s="75" t="inlineStr">
        <is>
          <t>PL oficial ausente em 2026-08</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2026-08</t>
        </is>
      </c>
      <c r="H74" s="74" t="inlineStr">
        <is>
          <t>localizado</t>
        </is>
      </c>
      <c r="I74" s="139" t="n">
        <v>358889817.79</v>
      </c>
      <c r="J74" s="139" t="n">
        <v>358889817.7800113</v>
      </c>
      <c r="K74" s="139" t="n">
        <v>76267260.69001128</v>
      </c>
      <c r="L74" s="140" t="n">
        <v>0.2125088450813562</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2026-08</t>
        </is>
      </c>
      <c r="H75" s="75" t="inlineStr">
        <is>
          <t>localizado</t>
        </is>
      </c>
      <c r="I75" s="143" t="n">
        <v>53126766.77</v>
      </c>
      <c r="J75" s="143" t="n">
        <v>53126766.78000483</v>
      </c>
      <c r="K75" s="143" t="n">
        <v>53126766.78000483</v>
      </c>
      <c r="L75" s="144" t="n">
        <v>1.00000000018832</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0.7500000001883198</v>
      </c>
      <c r="AA75" s="144" t="n">
        <v>1.000000000251093</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2026-08</t>
        </is>
      </c>
      <c r="H76" s="74" t="inlineStr">
        <is>
          <t>localizado</t>
        </is>
      </c>
      <c r="I76" s="139" t="n">
        <v>70218818.03</v>
      </c>
      <c r="J76" s="139" t="n">
        <v>70218818.02999222</v>
      </c>
      <c r="K76" s="139" t="n">
        <v>23552661.73995</v>
      </c>
      <c r="L76" s="140" t="n">
        <v>0.3354180887790999</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2026-08</t>
        </is>
      </c>
      <c r="H77" s="75" t="inlineStr">
        <is>
          <t>localizado</t>
        </is>
      </c>
      <c r="I77" s="143" t="n">
        <v>221895953.89</v>
      </c>
      <c r="J77" s="143" t="n">
        <v>221895953.889965</v>
      </c>
      <c r="K77" s="143" t="n">
        <v>117772572.7202548</v>
      </c>
      <c r="L77" s="144" t="n">
        <v>0.5307558369389556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2026-08</t>
        </is>
      </c>
      <c r="H78" s="74" t="inlineStr">
        <is>
          <t>localizado</t>
        </is>
      </c>
      <c r="I78" s="139" t="n">
        <v>299962532.22</v>
      </c>
      <c r="J78" s="139" t="n">
        <v>299962532.2089869</v>
      </c>
      <c r="K78" s="139" t="n">
        <v>140331393.9195107</v>
      </c>
      <c r="L78" s="140" t="n">
        <v>0.4678297415378137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2026-08</t>
        </is>
      </c>
      <c r="H79" s="75" t="inlineStr">
        <is>
          <t>localizado</t>
        </is>
      </c>
      <c r="I79" s="143" t="n">
        <v>519990915.25</v>
      </c>
      <c r="J79" s="143" t="n">
        <v>519990915.3849365</v>
      </c>
      <c r="K79" s="143" t="n">
        <v>247775385.9750158</v>
      </c>
      <c r="L79" s="144" t="n">
        <v>0.4764994516411714</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2026-08</t>
        </is>
      </c>
      <c r="H80" s="74" t="inlineStr">
        <is>
          <t>localizado</t>
        </is>
      </c>
      <c r="I80" s="139" t="n">
        <v>2661374071.86</v>
      </c>
      <c r="J80" s="139" t="n">
        <v>2661374071.85765</v>
      </c>
      <c r="K80" s="139" t="n">
        <v>1851613584.3</v>
      </c>
      <c r="L80" s="140" t="n">
        <v>0.6957359372656438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0.1857359372656437</v>
      </c>
      <c r="AA80" s="140" t="n">
        <v>0.3790529331951913</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2026-08</t>
        </is>
      </c>
      <c r="H81" s="75" t="inlineStr">
        <is>
          <t>localizado</t>
        </is>
      </c>
      <c r="I81" s="143" t="n">
        <v>1385277422.28</v>
      </c>
      <c r="J81" s="143" t="n">
        <v>1385277422.273283</v>
      </c>
      <c r="K81" s="143" t="n">
        <v>110505472.2774216</v>
      </c>
      <c r="L81" s="144" t="n">
        <v>0.07977136600951949</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2026-08</t>
        </is>
      </c>
      <c r="H82" s="74" t="inlineStr">
        <is>
          <t>localizado</t>
        </is>
      </c>
      <c r="I82" s="139" t="n">
        <v>446999328.88</v>
      </c>
      <c r="J82" s="139" t="n">
        <v>410786304.8653104</v>
      </c>
      <c r="K82" s="139" t="n">
        <v>98015546.9356164</v>
      </c>
      <c r="L82" s="140" t="inlineStr">
        <is>
          <t>N/D</t>
        </is>
      </c>
      <c r="M82" s="74" t="inlineStr">
        <is>
          <t>N/D — PL oficial diverge das classes acima de 0,5%</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2026-08</t>
        </is>
      </c>
      <c r="H83" s="75" t="inlineStr">
        <is>
          <t>localizado</t>
        </is>
      </c>
      <c r="I83" s="143" t="n">
        <v>3389462172.19</v>
      </c>
      <c r="J83" s="143" t="n">
        <v>3389462172.185181</v>
      </c>
      <c r="K83" s="143" t="n">
        <v>181329541.1527641</v>
      </c>
      <c r="L83" s="144" t="n">
        <v>0.05349802769316744</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0.003498027693167434</v>
      </c>
      <c r="AA83" s="144" t="n">
        <v>0.003682134413860457</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2026-08</t>
        </is>
      </c>
      <c r="H84" s="74" t="inlineStr">
        <is>
          <t>localizado</t>
        </is>
      </c>
      <c r="I84" s="139" t="n">
        <v>276270331.42</v>
      </c>
      <c r="J84" s="139" t="n">
        <v>276270331.4697955</v>
      </c>
      <c r="K84" s="139" t="n">
        <v>87728482.79005201</v>
      </c>
      <c r="L84" s="140" t="n">
        <v>0.3175457977667633</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0.01135201707027916</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2026-08</t>
        </is>
      </c>
      <c r="H85" s="75" t="inlineStr">
        <is>
          <t>localizado</t>
        </is>
      </c>
      <c r="I85" s="143" t="n">
        <v>145184643.99</v>
      </c>
      <c r="J85" s="143" t="n">
        <v>145184643.989649</v>
      </c>
      <c r="K85" s="143" t="n">
        <v>36574058.08069424</v>
      </c>
      <c r="L85" s="144" t="n">
        <v>0.251914094187629</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-0.05427968650885517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2026-08</t>
        </is>
      </c>
      <c r="H86" s="74" t="inlineStr">
        <is>
          <t>localizado</t>
        </is>
      </c>
      <c r="I86" s="139" t="n">
        <v>685449556.03</v>
      </c>
      <c r="J86" s="139" t="n">
        <v>685449556.027949</v>
      </c>
      <c r="K86" s="139" t="n">
        <v>153934288.9795356</v>
      </c>
      <c r="L86" s="140" t="n">
        <v>0.2245742048052306</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2026-08</t>
        </is>
      </c>
      <c r="H87" s="75" t="inlineStr">
        <is>
          <t>localizado</t>
        </is>
      </c>
      <c r="I87" s="143" t="n">
        <v>665402914.1</v>
      </c>
      <c r="J87" s="143" t="n">
        <v>664908350.2394052</v>
      </c>
      <c r="K87" s="143" t="n">
        <v>133959133.4796962</v>
      </c>
      <c r="L87" s="144" t="n">
        <v>0.2013203288429906</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20%–35%</t>
        </is>
      </c>
      <c r="AW87" s="75" t="b">
        <v>1</v>
      </c>
      <c r="AX87" s="75" t="inlineStr">
        <is>
          <t>incomparável</t>
        </is>
      </c>
      <c r="AY87" s="75" t="inlineStr">
        <is>
          <t>em linha com o mercado</t>
        </is>
      </c>
      <c r="AZ87" s="144" t="n">
        <v>0.01854088768350012</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2026-08</t>
        </is>
      </c>
      <c r="H88" s="74" t="inlineStr">
        <is>
          <t>localizado</t>
        </is>
      </c>
      <c r="I88" s="139" t="n">
        <v>1897667543.94</v>
      </c>
      <c r="J88" s="139" t="n">
        <v>1897667543.962512</v>
      </c>
      <c r="K88" s="139" t="n">
        <v>1672962101.882594</v>
      </c>
      <c r="L88" s="140" t="n">
        <v>0.8815886150474677</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2026-08</t>
        </is>
      </c>
      <c r="H89" s="75" t="inlineStr">
        <is>
          <t>localizado</t>
        </is>
      </c>
      <c r="I89" s="143" t="n">
        <v>395747815.23</v>
      </c>
      <c r="J89" s="143" t="n">
        <v>395747815.2319025</v>
      </c>
      <c r="K89" s="143" t="n">
        <v>267722134.2486351</v>
      </c>
      <c r="L89" s="144" t="n">
        <v>0.6764968091941097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0.3703030284976255</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MAREE II FUNDO DE INVESTIMENTO EM DIREITOS CREDITÓRIOS SEGMENTO FINANCEIRO - RESPONSABILIDADE LTDA</t>
        </is>
      </c>
      <c r="E90" s="74" t="inlineStr">
        <is>
          <t>MONEE II FUNDO DE INVESTIMENTO</t>
        </is>
      </c>
      <c r="F90" s="74" t="inlineStr">
        <is>
          <t>Carteira 101</t>
        </is>
      </c>
      <c r="G90" s="74" t="inlineStr">
        <is>
          <t>2026-08</t>
        </is>
      </c>
      <c r="H90" s="74" t="inlineStr">
        <is>
          <t>localizado</t>
        </is>
      </c>
      <c r="I90" s="139" t="n">
        <v>495258391.26</v>
      </c>
      <c r="J90" s="139" t="n">
        <v>495258391.2595997</v>
      </c>
      <c r="K90" s="139" t="n">
        <v>244134654.2545997</v>
      </c>
      <c r="L90" s="140" t="n">
        <v>0.4929440037017652</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0.1929440037017652</v>
      </c>
      <c r="AA90" s="140" t="n">
        <v>0.2756342910025217</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0.186750223005281</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2026-08</t>
        </is>
      </c>
      <c r="H91" s="75" t="inlineStr">
        <is>
          <t>localizado</t>
        </is>
      </c>
      <c r="I91" s="143" t="n">
        <v>90733937.2</v>
      </c>
      <c r="J91" s="143" t="n">
        <v>90733937.19976635</v>
      </c>
      <c r="K91" s="143" t="n">
        <v>18197819.59999143</v>
      </c>
      <c r="L91" s="144" t="n">
        <v>0.2005624374028755</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2026-08</t>
        </is>
      </c>
      <c r="H92" s="74" t="inlineStr">
        <is>
          <t>localizado</t>
        </is>
      </c>
      <c r="I92" s="139" t="n">
        <v>1114518773.65</v>
      </c>
      <c r="J92" s="139" t="n">
        <v>1114518773.6475</v>
      </c>
      <c r="K92" s="139" t="n">
        <v>175077833.4301875</v>
      </c>
      <c r="L92" s="140" t="n">
        <v>0.1570882766351394</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15%–20%</t>
        </is>
      </c>
      <c r="AW92" s="74" t="b">
        <v>1</v>
      </c>
      <c r="AX92" s="74" t="inlineStr">
        <is>
          <t>incomparável</t>
        </is>
      </c>
      <c r="AY92" s="74" t="inlineStr">
        <is>
          <t>em linha com o mercado</t>
        </is>
      </c>
      <c r="AZ92" s="140" t="n">
        <v>-0.002801605328526607</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2026-08</t>
        </is>
      </c>
      <c r="H93" s="75" t="inlineStr">
        <is>
          <t>localizado</t>
        </is>
      </c>
      <c r="I93" s="143" t="n">
        <v>513190809.52</v>
      </c>
      <c r="J93" s="143" t="n">
        <v>513190809.0452346</v>
      </c>
      <c r="K93" s="143" t="n">
        <v>161698241.5808339</v>
      </c>
      <c r="L93" s="144" t="n">
        <v>0.3150840556401901</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0.2674650080211901</v>
      </c>
      <c r="AA93" s="144" t="n">
        <v>0.2808382584222356</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0.008890274943705923</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2026-08</t>
        </is>
      </c>
      <c r="H94" s="74" t="inlineStr">
        <is>
          <t>localizado</t>
        </is>
      </c>
      <c r="I94" s="139" t="n">
        <v>225091227.33</v>
      </c>
      <c r="J94" s="139" t="n">
        <v>225091227.3300217</v>
      </c>
      <c r="K94" s="139" t="n">
        <v>16523823.77002167</v>
      </c>
      <c r="L94" s="140" t="n">
        <v>0.07340945254075383</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0.04340945254075383</v>
      </c>
      <c r="AA94" s="140" t="n">
        <v>0.0447520129286122</v>
      </c>
      <c r="AB94" s="74" t="inlineStr">
        <is>
          <t>acima do mínimo</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-0.08765690964990615</v>
      </c>
      <c r="BA94" s="74" t="b">
        <v>1</v>
      </c>
      <c r="BB94" s="141" t="n">
        <v>14</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2026-08</t>
        </is>
      </c>
      <c r="H95" s="75" t="inlineStr">
        <is>
          <t>localizado</t>
        </is>
      </c>
      <c r="I95" s="143" t="n">
        <v>943956123.03</v>
      </c>
      <c r="J95" s="143" t="n">
        <v>943956123.0291308</v>
      </c>
      <c r="K95" s="143" t="n">
        <v>238826164.2707918</v>
      </c>
      <c r="L95" s="144" t="n">
        <v>0.2530055777425172</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abaixo do mercado</t>
        </is>
      </c>
      <c r="AZ95" s="144" t="n">
        <v>-0.05318820295396698</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2026-08</t>
        </is>
      </c>
      <c r="H96" s="74" t="inlineStr">
        <is>
          <t>localizado</t>
        </is>
      </c>
      <c r="I96" s="139" t="n">
        <v>233621604.94</v>
      </c>
      <c r="J96" s="139" t="n">
        <v>233621604.9243134</v>
      </c>
      <c r="K96" s="139" t="n">
        <v>101395673.3043759</v>
      </c>
      <c r="L96" s="140" t="n">
        <v>0.4340166797947344</v>
      </c>
      <c r="M96" s="74" t="inlineStr">
        <is>
          <t>Calculado com classes reportadas e PL oficial reconciliado</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35%–60%</t>
        </is>
      </c>
      <c r="AW96" s="74" t="b">
        <v>1</v>
      </c>
      <c r="AX96" s="74" t="inlineStr">
        <is>
          <t>incomparável</t>
        </is>
      </c>
      <c r="AY96" s="74" t="inlineStr">
        <is>
          <t>acima do mercado</t>
        </is>
      </c>
      <c r="AZ96" s="140" t="n">
        <v>0.1278228990982502</v>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originador; tipo de recebível</t>
        </is>
      </c>
      <c r="CB96" s="74" t="inlineStr">
        <is>
          <t>estrutura_incomparavel</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2026-08</t>
        </is>
      </c>
      <c r="H97" s="75" t="inlineStr">
        <is>
          <t>localizado</t>
        </is>
      </c>
      <c r="I97" s="143" t="n">
        <v>310777311.22</v>
      </c>
      <c r="J97" s="143" t="n">
        <v>310777311.2188825</v>
      </c>
      <c r="K97" s="143" t="n">
        <v>112495491.2391325</v>
      </c>
      <c r="L97" s="144" t="n">
        <v>0.3619810300742858</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2026-08</t>
        </is>
      </c>
      <c r="H98" s="74" t="inlineStr">
        <is>
          <t>localizado</t>
        </is>
      </c>
      <c r="I98" s="139" t="n">
        <v>183309658.13</v>
      </c>
      <c r="J98" s="139" t="n">
        <v>183309658.1298708</v>
      </c>
      <c r="K98" s="139" t="n">
        <v>94666172.82015762</v>
      </c>
      <c r="L98" s="140" t="n">
        <v>0.5164276328147535</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0.2102338521182693</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2026-08</t>
        </is>
      </c>
      <c r="H99" s="75" t="inlineStr">
        <is>
          <t>localizado</t>
        </is>
      </c>
      <c r="I99" s="143" t="n">
        <v>182594776.53</v>
      </c>
      <c r="J99" s="143" t="n">
        <v>182230097.419965</v>
      </c>
      <c r="K99" s="143" t="n">
        <v>31477704.529965</v>
      </c>
      <c r="L99" s="144" t="n">
        <v>0.1723910460537915</v>
      </c>
      <c r="M99" s="75" t="inlineStr">
        <is>
          <t>Calculado com classes reportadas e PL oficial reconciliado</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n">
        <v>-0.02760895394620852</v>
      </c>
      <c r="AA99" s="144" t="n">
        <v>-0.03451119243276065</v>
      </c>
      <c r="AB99" s="75" t="inlineStr">
        <is>
          <t>abaixo do mínimo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15%–20%</t>
        </is>
      </c>
      <c r="AW99" s="75" t="b">
        <v>1</v>
      </c>
      <c r="AX99" s="75" t="inlineStr">
        <is>
          <t>abaixo do piso</t>
        </is>
      </c>
      <c r="AY99" s="75" t="inlineStr">
        <is>
          <t>abaixo do mercado</t>
        </is>
      </c>
      <c r="AZ99" s="144" t="n">
        <v>-0.1338027346426927</v>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originador</t>
        </is>
      </c>
      <c r="CB99" s="75" t="inlineStr">
        <is>
          <t>completo_para_folga</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2026-08</t>
        </is>
      </c>
      <c r="H100" s="74" t="inlineStr">
        <is>
          <t>localizado</t>
        </is>
      </c>
      <c r="I100" s="139" t="n">
        <v>162615517.81</v>
      </c>
      <c r="J100" s="139" t="n">
        <v>162615517.8094126</v>
      </c>
      <c r="K100" s="139" t="n">
        <v>33298654.78989262</v>
      </c>
      <c r="L100" s="140" t="n">
        <v>0.2047692325943873</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0.08476923259438729</v>
      </c>
      <c r="AA100" s="140" t="n">
        <v>0.09632867340271282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20%–35%</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2026-08</t>
        </is>
      </c>
      <c r="H101" s="75" t="inlineStr">
        <is>
          <t>localizado</t>
        </is>
      </c>
      <c r="I101" s="143" t="n">
        <v>800875167.29</v>
      </c>
      <c r="J101" s="143" t="n">
        <v>800875167.2888583</v>
      </c>
      <c r="K101" s="143" t="n">
        <v>113041386.5797734</v>
      </c>
      <c r="L101" s="144" t="n">
        <v>0.141147323823615</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em linha com o mercado</t>
        </is>
      </c>
      <c r="AZ101" s="144" t="n">
        <v>-0.01874255814005102</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2026-08</t>
        </is>
      </c>
      <c r="H102" s="74" t="inlineStr">
        <is>
          <t>localizado</t>
        </is>
      </c>
      <c r="I102" s="139" t="n">
        <v>548070996.6799999</v>
      </c>
      <c r="J102" s="139" t="n">
        <v>548070996.7042251</v>
      </c>
      <c r="K102" s="139" t="n">
        <v>265696296.4893388</v>
      </c>
      <c r="L102" s="140" t="n">
        <v>0.4847844496403261</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2026-08</t>
        </is>
      </c>
      <c r="H103" s="75" t="inlineStr">
        <is>
          <t>localizado</t>
        </is>
      </c>
      <c r="I103" s="143" t="n">
        <v>106701784.11</v>
      </c>
      <c r="J103" s="143" t="n">
        <v>106701784.0784375</v>
      </c>
      <c r="K103" s="143" t="n">
        <v>47112152.61270887</v>
      </c>
      <c r="L103" s="144" t="n">
        <v>0.4415310672232102</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0.135337286526726</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pane xSplit="3" ySplit="4" topLeftCell="D5" activePane="bottomRight" state="frozen"/>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MAREE II FUNDO DE INVESTIMENTO EM DIREITOS CREDITÓRIOS SEGMENTO FINANCEIRO - RESPONSABILIDADE LTDA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pane xSplit="4" ySplit="4" topLeftCell="E5" activePane="bottomRight" state="frozen"/>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2026-08</t>
        </is>
      </c>
      <c r="H5" s="73" t="inlineStr">
        <is>
          <t>localizado</t>
        </is>
      </c>
      <c r="I5" s="135" t="n">
        <v>274708542.4</v>
      </c>
      <c r="J5" s="135" t="n">
        <v>274708542.3982006</v>
      </c>
      <c r="K5" s="135" t="n">
        <v>82513423.95891148</v>
      </c>
      <c r="L5" s="136" t="n">
        <v>0.3003671572715952</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2026-08</t>
        </is>
      </c>
      <c r="H6" s="74" t="inlineStr">
        <is>
          <t>localizado</t>
        </is>
      </c>
      <c r="I6" s="139" t="n">
        <v>2402205778.31</v>
      </c>
      <c r="J6" s="139" t="n">
        <v>2402657160.817399</v>
      </c>
      <c r="K6" s="139" t="n">
        <v>207730733.4922659</v>
      </c>
      <c r="L6" s="140" t="n">
        <v>0.08647499534299206</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0.03647499534299206</v>
      </c>
      <c r="AA6" s="140" t="n">
        <v>0.03839473193999165</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t>
        </is>
      </c>
      <c r="BE6" s="74" t="inlineStr">
        <is>
          <t>preço/VNU conforme fonte</t>
        </is>
      </c>
      <c r="BF6" s="74" t="inlineStr">
        <is>
          <t>1ª série / 1ª emissão / 1ª emissão subordinada</t>
        </is>
      </c>
      <c r="BG6" s="74" t="inlineStr">
        <is>
          <t>N/D</t>
        </is>
      </c>
      <c r="BH6" s="74" t="inlineStr">
        <is>
          <t>993785</t>
        </is>
      </c>
      <c r="BI6" s="74" t="inlineStr">
        <is>
          <t>Fundos.NET ID 993785 · 20/03/2025 · p. 2, 4-6 · data/raw/60010416000112/993785_documentary_review.pdf · https://fnet.bmfbovespa.com.br/fnet/publico/exibirDocumento?id=993785 | Fundos.NET ID 993785 · 20/03/2025 · p. 2, 7-9 · data/raw/60010416000112/993785_documentary_review.pdf · https://fnet.bmfbovespa.com.br/fnet/publico/exibirDocumento?id=993785</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 LIMITADA</t>
        </is>
      </c>
      <c r="E7" s="75" t="inlineStr">
        <is>
          <t>Paketa</t>
        </is>
      </c>
      <c r="F7" s="75" t="inlineStr">
        <is>
          <t>Flagships</t>
        </is>
      </c>
      <c r="G7" s="75" t="inlineStr">
        <is>
          <t>2026-08</t>
        </is>
      </c>
      <c r="H7" s="75" t="inlineStr">
        <is>
          <t>localizado</t>
        </is>
      </c>
      <c r="I7" s="143" t="n">
        <v>1911439961.8</v>
      </c>
      <c r="J7" s="143" t="n">
        <v>1911439961.810204</v>
      </c>
      <c r="K7" s="143" t="n">
        <v>628800986.6860068</v>
      </c>
      <c r="L7" s="144" t="n">
        <v>0.3289671657245598</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2026-08</t>
        </is>
      </c>
      <c r="H8" s="74" t="inlineStr">
        <is>
          <t>localizado</t>
        </is>
      </c>
      <c r="I8" s="139" t="n">
        <v>508566500.95</v>
      </c>
      <c r="J8" s="139" t="n">
        <v>508566500.9569233</v>
      </c>
      <c r="K8" s="139" t="n">
        <v>194318116.5271413</v>
      </c>
      <c r="L8" s="140" t="n">
        <v>0.3820898863062273</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2026-08</t>
        </is>
      </c>
      <c r="H9" s="75" t="inlineStr">
        <is>
          <t>localizado</t>
        </is>
      </c>
      <c r="I9" s="143" t="n">
        <v>1114518773.65</v>
      </c>
      <c r="J9" s="143" t="n">
        <v>1114518773.6475</v>
      </c>
      <c r="K9" s="143" t="n">
        <v>175077833.4301875</v>
      </c>
      <c r="L9" s="144" t="n">
        <v>0.1570882766351394</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n">
        <v>1000</v>
      </c>
      <c r="BD9" s="75" t="inlineStr">
        <is>
          <t>R$ 1.000,00</t>
        </is>
      </c>
      <c r="BE9" s="75" t="inlineStr">
        <is>
          <t>preço/VNU conforme fonte</t>
        </is>
      </c>
      <c r="BF9" s="75" t="inlineStr">
        <is>
          <t>Sênior — 1ª emissão / MZ A — 1ª emissão / MZ B — 1ª emissão / MZ C — 1ª emissão</t>
        </is>
      </c>
      <c r="BG9" s="75" t="inlineStr">
        <is>
          <t>N/D</t>
        </is>
      </c>
      <c r="BH9" s="75" t="inlineStr">
        <is>
          <t>1130481 | 1172101</t>
        </is>
      </c>
      <c r="BI9" s="75" t="inlineStr">
        <is>
          <t>data/raw/63546406000194/1130481_regulamento.pdf · ID 1130481 · 05/03/2026 · p. 163; data/raw/63546406000194/1172101_emissao.pdf · ID 1172101 · 22/04/2026 · p.2 | data/raw/63546406000194/1130481_regulamento.pdf · ID 1130481 · 05/03/2026 · p. 165; data/raw/63546406000194/1172101_emissao.pdf · ID 1172101 · 22/04/2026 · p.2 | data/raw/63546406000194/1130481_regulamento.pdf · ID 1130481 · 05/03/2026 · p. 167; data/raw/63546406000194/1172101_emissao.pdf · ID 1172101 · 22/04/2026 · p.2 | data/raw/63546406000194/1130481_regulamento.pdf · ID 1130481 · 05/03/2026 · p. 169; data/raw/63546406000194/1172101_emissao.pdf · ID 1172101 · 22/04/2026 · p.2</t>
        </is>
      </c>
      <c r="BJ9" s="75" t="inlineStr">
        <is>
          <t>localizado documentalmente</t>
        </is>
      </c>
      <c r="BK9" s="75" t="b">
        <v>1</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2026-08</t>
        </is>
      </c>
      <c r="H10" s="74" t="inlineStr">
        <is>
          <t>localizado</t>
        </is>
      </c>
      <c r="I10" s="139" t="n">
        <v>1017649857.65</v>
      </c>
      <c r="J10" s="139" t="n">
        <v>1017649857.646</v>
      </c>
      <c r="K10" s="139" t="n">
        <v>162711915.62</v>
      </c>
      <c r="L10" s="140" t="n">
        <v>0.159889881963666</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2026-08</t>
        </is>
      </c>
      <c r="H11" s="75" t="inlineStr">
        <is>
          <t>localizado</t>
        </is>
      </c>
      <c r="I11" s="143" t="n">
        <v>963408549.55</v>
      </c>
      <c r="J11" s="143" t="n">
        <v>963408549.546474</v>
      </c>
      <c r="K11" s="143" t="n">
        <v>162752524.530224</v>
      </c>
      <c r="L11" s="144" t="n">
        <v>0.1689340670749127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2026-08</t>
        </is>
      </c>
      <c r="H12" s="74" t="inlineStr">
        <is>
          <t>localizado</t>
        </is>
      </c>
      <c r="I12" s="139" t="n">
        <v>1544332585.59</v>
      </c>
      <c r="J12" s="139" t="n">
        <v>1544332585.58762</v>
      </c>
      <c r="K12" s="139" t="n">
        <v>320019195.6133302</v>
      </c>
      <c r="L12" s="140" t="n">
        <v>0.2072216817798152</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2026-08</t>
        </is>
      </c>
      <c r="H13" s="75" t="inlineStr">
        <is>
          <t>localizado</t>
        </is>
      </c>
      <c r="I13" s="143" t="n">
        <v>1041622039.22</v>
      </c>
      <c r="J13" s="143" t="n">
        <v>1041622039.21765</v>
      </c>
      <c r="K13" s="143" t="n">
        <v>156889805.4799278</v>
      </c>
      <c r="L13" s="144" t="n">
        <v>0.1506206662038486</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2026-08</t>
        </is>
      </c>
      <c r="H14" s="74" t="inlineStr">
        <is>
          <t>localizado</t>
        </is>
      </c>
      <c r="I14" s="139" t="n">
        <v>73445292.31999999</v>
      </c>
      <c r="J14" s="139" t="n">
        <v>73445293.70145127</v>
      </c>
      <c r="K14" s="139" t="n">
        <v>7662304.909964449</v>
      </c>
      <c r="L14" s="140" t="n">
        <v>0.1043266990698315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2026-08</t>
        </is>
      </c>
      <c r="H15" s="75" t="inlineStr">
        <is>
          <t>localizado</t>
        </is>
      </c>
      <c r="I15" s="143" t="n">
        <v>15346730.54</v>
      </c>
      <c r="J15" s="143" t="n">
        <v>15346730.53878455</v>
      </c>
      <c r="K15" s="143" t="n">
        <v>0.009999660878091199</v>
      </c>
      <c r="L15" s="144" t="n">
        <v>6.515824886628393e-10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2026-08</t>
        </is>
      </c>
      <c r="H16" s="74" t="inlineStr">
        <is>
          <t>localizado</t>
        </is>
      </c>
      <c r="I16" s="139" t="n">
        <v>1472677074.3</v>
      </c>
      <c r="J16" s="139" t="n">
        <v>1472658646.956265</v>
      </c>
      <c r="K16" s="139" t="n">
        <v>168151925.6704315</v>
      </c>
      <c r="L16" s="140" t="n">
        <v>0.1141811253837562</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2026-08</t>
        </is>
      </c>
      <c r="H17" s="75" t="inlineStr">
        <is>
          <t>localizado</t>
        </is>
      </c>
      <c r="I17" s="143" t="n">
        <v>827045021.53</v>
      </c>
      <c r="J17" s="143" t="n">
        <v>827045021.5267454</v>
      </c>
      <c r="K17" s="143" t="n">
        <v>251612027.0601134</v>
      </c>
      <c r="L17" s="144" t="n">
        <v>0.3042301452883923</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2026-08</t>
        </is>
      </c>
      <c r="H18" s="74" t="inlineStr">
        <is>
          <t>localizado</t>
        </is>
      </c>
      <c r="I18" s="139" t="n">
        <v>526309944.05</v>
      </c>
      <c r="J18" s="139" t="n">
        <v>525916418.5601416</v>
      </c>
      <c r="K18" s="139" t="n">
        <v>96198637.45014168</v>
      </c>
      <c r="L18" s="140" t="n">
        <v>0.1827794411594904</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2026-08</t>
        </is>
      </c>
      <c r="H19" s="75" t="inlineStr">
        <is>
          <t>localizado</t>
        </is>
      </c>
      <c r="I19" s="143" t="n">
        <v>665402914.1</v>
      </c>
      <c r="J19" s="143" t="n">
        <v>664908350.2394052</v>
      </c>
      <c r="K19" s="143" t="n">
        <v>133959133.4796962</v>
      </c>
      <c r="L19" s="144" t="n">
        <v>0.2013203288429906</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2026-08</t>
        </is>
      </c>
      <c r="H20" s="74" t="inlineStr">
        <is>
          <t>localizado</t>
        </is>
      </c>
      <c r="I20" s="139" t="n">
        <v>100283910.53</v>
      </c>
      <c r="J20" s="139" t="n">
        <v>100283910.5297473</v>
      </c>
      <c r="K20" s="139" t="n">
        <v>17653818.18000033</v>
      </c>
      <c r="L20" s="140" t="n">
        <v>0.1760383902731753</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2026-08</t>
        </is>
      </c>
      <c r="H21" s="75" t="inlineStr">
        <is>
          <t>localizado</t>
        </is>
      </c>
      <c r="I21" s="143" t="n">
        <v>10070614364.8</v>
      </c>
      <c r="J21" s="143" t="n">
        <v>10070614362.52227</v>
      </c>
      <c r="K21" s="143" t="n">
        <v>1614860901.402021</v>
      </c>
      <c r="L21" s="144" t="n">
        <v>0.1603537622338587</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inlineStr">
        <is>
          <t>N/D</t>
        </is>
      </c>
      <c r="BD21" s="75" t="inlineStr">
        <is>
          <t>N/D</t>
        </is>
      </c>
      <c r="BE21" s="75" t="inlineStr">
        <is>
          <t>N/D</t>
        </is>
      </c>
      <c r="BF21" s="75" t="inlineStr">
        <is>
          <t>N/D</t>
        </is>
      </c>
      <c r="BG21" s="75" t="inlineStr">
        <is>
          <t>N/D</t>
        </is>
      </c>
      <c r="BH21" s="75" t="inlineStr">
        <is>
          <t>N/D</t>
        </is>
      </c>
      <c r="BI21" s="75" t="inlineStr">
        <is>
          <t>N/D</t>
        </is>
      </c>
      <c r="BJ21" s="75" t="inlineStr">
        <is>
          <t>não localizado</t>
        </is>
      </c>
      <c r="BK21" s="75" t="b">
        <v>0</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preço unitário da cota;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2026-08</t>
        </is>
      </c>
      <c r="H22" s="74" t="inlineStr">
        <is>
          <t>localizado</t>
        </is>
      </c>
      <c r="I22" s="139" t="n">
        <v>3256435200.06</v>
      </c>
      <c r="J22" s="139" t="n">
        <v>3256435173.430762</v>
      </c>
      <c r="K22" s="139" t="n">
        <v>526822706.9661671</v>
      </c>
      <c r="L22" s="140" t="n">
        <v>0.1617789621474612</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inlineStr">
        <is>
          <t>N/D</t>
        </is>
      </c>
      <c r="BD22" s="74" t="inlineStr">
        <is>
          <t>R$ 1,00 / R$ 12,23</t>
        </is>
      </c>
      <c r="BE22" s="74" t="inlineStr">
        <is>
          <t>preço/VNU conforme fonte</t>
        </is>
      </c>
      <c r="BF22" s="74" t="inlineStr">
        <is>
          <t>Sênior 1ª / Sênior 2ª / Mezanino A1ª / Mezanino B1ª</t>
        </is>
      </c>
      <c r="BG22" s="74" t="inlineStr">
        <is>
          <t>N/D</t>
        </is>
      </c>
      <c r="BH22" s="74" t="inlineStr">
        <is>
          <t>884542</t>
        </is>
      </c>
      <c r="BI22" s="74" t="inlineStr">
        <is>
          <t>Fundos.NET ID 884542 | 24/04/2025 | Anúncio de Encerramento | p. 1–7, anúncio encerramento | data/raw/60356171000180/884542_review_20261007.pdf | https://fnet.bmfbovespa.com.br/fnet/publico/visualizarDocumento?id=884542</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2026-08</t>
        </is>
      </c>
      <c r="H23" s="75" t="inlineStr">
        <is>
          <t>localizado</t>
        </is>
      </c>
      <c r="I23" s="143" t="n">
        <v>905334422.53</v>
      </c>
      <c r="J23" s="143" t="n">
        <v>905334422.5290264</v>
      </c>
      <c r="K23" s="143" t="n">
        <v>23370444.02530143</v>
      </c>
      <c r="L23" s="144" t="n">
        <v>0.02581415601098169</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0.0008141560109816842</v>
      </c>
      <c r="AA23" s="144" t="n">
        <v>0.0008350318061350608</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Sênior 1ª</t>
        </is>
      </c>
      <c r="BG23" s="75" t="inlineStr">
        <is>
          <t>N/D</t>
        </is>
      </c>
      <c r="BH23" s="75" t="inlineStr">
        <is>
          <t>1268268</t>
        </is>
      </c>
      <c r="BI23" s="75" t="inlineStr">
        <is>
          <t>Fundos.NET ID 1268268 | 28/07/2026 | Regulamento | p. 118, apêndice1ªsérie | data/raw/54218673000141/1268268_review_20261007.pdf | https://fnet.bmfbovespa.com.br/fnet/publico/visualizarDocumento?id=1268268</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2026-08</t>
        </is>
      </c>
      <c r="H24" s="74" t="inlineStr">
        <is>
          <t>localizado</t>
        </is>
      </c>
      <c r="I24" s="139" t="n">
        <v>312522461.03</v>
      </c>
      <c r="J24" s="139" t="n">
        <v>312522461.0276814</v>
      </c>
      <c r="K24" s="139" t="n">
        <v>71149610.9828814</v>
      </c>
      <c r="L24" s="140" t="n">
        <v>0.2276623918434187</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0.02766239184341868</v>
      </c>
      <c r="AA24" s="140" t="n">
        <v>0.03457798980427335</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Sênior 1ª</t>
        </is>
      </c>
      <c r="BG24" s="74" t="inlineStr">
        <is>
          <t>N/D</t>
        </is>
      </c>
      <c r="BH24" s="74" t="inlineStr">
        <is>
          <t>1285773</t>
        </is>
      </c>
      <c r="BI24" s="74" t="inlineStr">
        <is>
          <t>Fundos.NET ID 1285773 | 11/08/2026 | Regulamento | p. 123, apêndice1ªsérie | data/raw/54248022000102/1285773_review_20261007.pdf | https://fnet.bmfbovespa.com.br/fnet/publico/visualizarDocumento?id=1285773</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2026-08</t>
        </is>
      </c>
      <c r="H25" s="75" t="inlineStr">
        <is>
          <t>localizado</t>
        </is>
      </c>
      <c r="I25" s="143" t="n">
        <v>302322825.82</v>
      </c>
      <c r="J25" s="143" t="n">
        <v>302322825.8174779</v>
      </c>
      <c r="K25" s="143" t="n">
        <v>9811542.29982792</v>
      </c>
      <c r="L25" s="144" t="n">
        <v>0.0324538587955301</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0.002453858795530096</v>
      </c>
      <c r="AA25" s="144" t="n">
        <v>0.002529751335598037</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Sênior 1ª</t>
        </is>
      </c>
      <c r="BG25" s="75" t="inlineStr">
        <is>
          <t>N/D</t>
        </is>
      </c>
      <c r="BH25" s="75" t="inlineStr">
        <is>
          <t>643432</t>
        </is>
      </c>
      <c r="BI25" s="75" t="inlineStr">
        <is>
          <t>Fundos.NET ID 643432 | 22/04/2024 | Anúncio de Encerramento | p. 1–3, encerramentodeoferta | data/raw/54218941000125/643432_review_20261007.pdf | https://fnet.bmfbovespa.com.br/fnet/publico/visualizarDocumento?id=643432</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2026-08</t>
        </is>
      </c>
      <c r="H26" s="74" t="inlineStr">
        <is>
          <t>localizado</t>
        </is>
      </c>
      <c r="I26" s="139" t="n">
        <v>152123245.99</v>
      </c>
      <c r="J26" s="139" t="n">
        <v>152123245.9894446</v>
      </c>
      <c r="K26" s="139" t="n">
        <v>8863062.220494552</v>
      </c>
      <c r="L26" s="140" t="n">
        <v>0.05826237905202979</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Sênior 1ª</t>
        </is>
      </c>
      <c r="BG26" s="74" t="inlineStr">
        <is>
          <t>N/D</t>
        </is>
      </c>
      <c r="BH26" s="74" t="inlineStr">
        <is>
          <t>643431</t>
        </is>
      </c>
      <c r="BI26" s="74" t="inlineStr">
        <is>
          <t>Fundos.NET ID 643431 | 22/04/2024 | Anúncio de Encerramento | p. 1–3, encerramentodeoferta | data/raw/54219179000100/643431_review_20261007.pdf | https://fnet.bmfbovespa.com.br/fnet/publico/visualizarDocumento?id=643431</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2026-08</t>
        </is>
      </c>
      <c r="H27" s="75" t="inlineStr">
        <is>
          <t>localizado</t>
        </is>
      </c>
      <c r="I27" s="143" t="n">
        <v>6705565454.97</v>
      </c>
      <c r="J27" s="143" t="n">
        <v>6705565153.97862</v>
      </c>
      <c r="K27" s="143" t="n">
        <v>5653495121.97862</v>
      </c>
      <c r="L27" s="144" t="n">
        <v>0.8431049044176264</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2026-08</t>
        </is>
      </c>
      <c r="H28" s="74" t="inlineStr">
        <is>
          <t>localizado</t>
        </is>
      </c>
      <c r="I28" s="139" t="n">
        <v>3771058923.75</v>
      </c>
      <c r="J28" s="139" t="n">
        <v>3771058923.689401</v>
      </c>
      <c r="K28" s="139" t="n">
        <v>114609588.6894</v>
      </c>
      <c r="L28" s="140" t="n">
        <v>0.03039188488082028</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2026-08</t>
        </is>
      </c>
      <c r="H29" s="75" t="inlineStr">
        <is>
          <t>localizado</t>
        </is>
      </c>
      <c r="I29" s="143" t="n">
        <v>2575168330.09</v>
      </c>
      <c r="J29" s="143" t="n">
        <v>2575168330.097782</v>
      </c>
      <c r="K29" s="143" t="n">
        <v>225806245.4994336</v>
      </c>
      <c r="L29" s="144" t="n">
        <v>0.08768601371062289</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2026-08</t>
        </is>
      </c>
      <c r="H30" s="74" t="inlineStr">
        <is>
          <t>localizado</t>
        </is>
      </c>
      <c r="I30" s="139" t="n">
        <v>541181301.3</v>
      </c>
      <c r="J30" s="139" t="n">
        <v>541181301.2998906</v>
      </c>
      <c r="K30" s="139" t="n">
        <v>17436271.9098906</v>
      </c>
      <c r="L30" s="140" t="n">
        <v>0.032218910498212</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2026-08</t>
        </is>
      </c>
      <c r="H31" s="75" t="inlineStr">
        <is>
          <t>localizado</t>
        </is>
      </c>
      <c r="I31" s="143" t="n">
        <v>33455157284.84</v>
      </c>
      <c r="J31" s="143" t="n">
        <v>33455157284.84153</v>
      </c>
      <c r="K31" s="143" t="n">
        <v>33455157284.84153</v>
      </c>
      <c r="L31" s="144" t="n">
        <v>1.000000000000046</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2026-08</t>
        </is>
      </c>
      <c r="H32" s="74" t="inlineStr">
        <is>
          <t>localizado</t>
        </is>
      </c>
      <c r="I32" s="139" t="n">
        <v>1855894253.21</v>
      </c>
      <c r="J32" s="139" t="n">
        <v>1855894253.214525</v>
      </c>
      <c r="K32" s="139" t="n">
        <v>347739448.9895245</v>
      </c>
      <c r="L32" s="140" t="n">
        <v>0.187370292455007</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preço unitário da cota;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2026-08</t>
        </is>
      </c>
      <c r="H33" s="75" t="inlineStr">
        <is>
          <t>localizado</t>
        </is>
      </c>
      <c r="I33" s="143" t="n">
        <v>2641955191.86</v>
      </c>
      <c r="J33" s="143" t="n">
        <v>2641955191.85639</v>
      </c>
      <c r="K33" s="143" t="n">
        <v>922876101.2415354</v>
      </c>
      <c r="L33" s="144" t="n">
        <v>0.3493155766172584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R$ 1.000,00</t>
        </is>
      </c>
      <c r="BE33" s="75" t="inlineStr">
        <is>
          <t>preço/VNU conforme fonte</t>
        </is>
      </c>
      <c r="BF33" s="75" t="inlineStr">
        <is>
          <t>Sênior 5ª</t>
        </is>
      </c>
      <c r="BG33" s="75" t="inlineStr">
        <is>
          <t>N/D</t>
        </is>
      </c>
      <c r="BH33" s="75" t="inlineStr">
        <is>
          <t>912093</t>
        </is>
      </c>
      <c r="BI33" s="75" t="inlineStr">
        <is>
          <t>Fundos.NET ID 912093 | 26/05/2025 | Instrumento Particular de Emissão de Cotas | p. 3–5, adendo5ªsérie | data/raw/50473039000102/912093_review_20261007.pdf | https://fnet.bmfbovespa.com.br/fnet/publico/visualizarDocumento?id=912093</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2026-08</t>
        </is>
      </c>
      <c r="H34" s="74" t="inlineStr">
        <is>
          <t>localizado</t>
        </is>
      </c>
      <c r="I34" s="139" t="n">
        <v>1911426358.03</v>
      </c>
      <c r="J34" s="139" t="n">
        <v>1911426358.028729</v>
      </c>
      <c r="K34" s="139" t="n">
        <v>905910616.1987288</v>
      </c>
      <c r="L34" s="140" t="n">
        <v>0.4739448173836004</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R$ 1.000,00</t>
        </is>
      </c>
      <c r="BE34" s="74" t="inlineStr">
        <is>
          <t>preço/VNU conforme fonte</t>
        </is>
      </c>
      <c r="BF34" s="74" t="inlineStr">
        <is>
          <t>Sênior 1ª</t>
        </is>
      </c>
      <c r="BG34" s="74" t="inlineStr">
        <is>
          <t>N/D</t>
        </is>
      </c>
      <c r="BH34" s="74" t="inlineStr">
        <is>
          <t>714216</t>
        </is>
      </c>
      <c r="BI34" s="74" t="inlineStr">
        <is>
          <t>Fundos.NET ID 714216 | 08/08/2024 | Anúncio de Encerramento | p. 1–3, encerramentoprimário | data/raw/55471753000177/714216_review_20261007.pdf | https://fnet.bmfbovespa.com.br/fnet/publico/visualizarDocumento?id=714216</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2026-08</t>
        </is>
      </c>
      <c r="H35" s="75" t="inlineStr">
        <is>
          <t>localizado</t>
        </is>
      </c>
      <c r="I35" s="143" t="n">
        <v>7174237038.23</v>
      </c>
      <c r="J35" s="143" t="n">
        <v>6553850400.463037</v>
      </c>
      <c r="K35" s="143" t="n">
        <v>4826682362.183037</v>
      </c>
      <c r="L35" s="144" t="inlineStr">
        <is>
          <t>N/D</t>
        </is>
      </c>
      <c r="M35" s="75" t="inlineStr">
        <is>
          <t>N/D — PL oficial diverge das classes acima de 0,5%</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n">
        <v>1000</v>
      </c>
      <c r="BD35" s="75" t="inlineStr">
        <is>
          <t>R$ 1.000,00</t>
        </is>
      </c>
      <c r="BE35" s="75" t="inlineStr">
        <is>
          <t>preço/VNU conforme fonte</t>
        </is>
      </c>
      <c r="BF35" s="75" t="inlineStr">
        <is>
          <t>4ª série sênior</t>
        </is>
      </c>
      <c r="BG35" s="75" t="inlineStr">
        <is>
          <t>N/D</t>
        </is>
      </c>
      <c r="BH35" s="75" t="inlineStr">
        <is>
          <t>1147067</t>
        </is>
      </c>
      <c r="BI35" s="75" t="inlineStr">
        <is>
          <t>data/raw/28169275000172/1147067_assembleia.pdf · ID 1147067 · 25/03/2026 09:00 · p. 2 e 4–5 · https://fnet.bmfbovespa.com.br/fnet/publico/visualizarDocumento?id=1147067</t>
        </is>
      </c>
      <c r="BJ35" s="75" t="inlineStr">
        <is>
          <t>localizado documentalmente</t>
        </is>
      </c>
      <c r="BK35" s="75" t="b">
        <v>1</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Sub/PL atual; mínimo estrutural comparável; sacado/devedor</t>
        </is>
      </c>
      <c r="CB35" s="75" t="inlineStr">
        <is>
          <t>sub_pl_atual_ausente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2026-08</t>
        </is>
      </c>
      <c r="H36" s="74" t="inlineStr">
        <is>
          <t>localizado</t>
        </is>
      </c>
      <c r="I36" s="139" t="n">
        <v>2125721812.65</v>
      </c>
      <c r="J36" s="139" t="n">
        <v>2115011129.097845</v>
      </c>
      <c r="K36" s="139" t="n">
        <v>318850358.5202452</v>
      </c>
      <c r="L36" s="140" t="inlineStr">
        <is>
          <t>N/D</t>
        </is>
      </c>
      <c r="M36" s="74" t="inlineStr">
        <is>
          <t>N/D — PL oficial diverge das classes acima de 0,5%</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Sub/PL atual; mínimo estrutural comparável; preço unitário da cota; originador; cedente; sacado/devedor; tipo de recebível</t>
        </is>
      </c>
      <c r="CB36" s="74" t="inlineStr">
        <is>
          <t>sub_pl_atual_ausente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2026-08</t>
        </is>
      </c>
      <c r="H37" s="75" t="inlineStr">
        <is>
          <t>localizado</t>
        </is>
      </c>
      <c r="I37" s="143" t="n">
        <v>1073893111.77</v>
      </c>
      <c r="J37" s="143" t="n">
        <v>1073893111.7714</v>
      </c>
      <c r="K37" s="143" t="n">
        <v>162435106.54965</v>
      </c>
      <c r="L37" s="144" t="n">
        <v>0.1512581697092023</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2026-08</t>
        </is>
      </c>
      <c r="H38" s="74" t="inlineStr">
        <is>
          <t>localizado</t>
        </is>
      </c>
      <c r="I38" s="139" t="n">
        <v>919893959.8</v>
      </c>
      <c r="J38" s="139" t="n">
        <v>919893959.79975</v>
      </c>
      <c r="K38" s="139" t="n">
        <v>140667159.93975</v>
      </c>
      <c r="L38" s="140" t="n">
        <v>0.1529167122374989</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2026-08</t>
        </is>
      </c>
      <c r="H39" s="75" t="inlineStr">
        <is>
          <t>localizado</t>
        </is>
      </c>
      <c r="I39" s="143" t="n">
        <v>2498979874.47</v>
      </c>
      <c r="J39" s="143" t="n">
        <v>2498979874.468525</v>
      </c>
      <c r="K39" s="143" t="n">
        <v>648197538.3600605</v>
      </c>
      <c r="L39" s="144" t="n">
        <v>0.2593848573900718</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2026-08</t>
        </is>
      </c>
      <c r="H40" s="74" t="inlineStr">
        <is>
          <t>localizado</t>
        </is>
      </c>
      <c r="I40" s="139" t="n">
        <v>376097403.95</v>
      </c>
      <c r="J40" s="139" t="n">
        <v>376097403.9501634</v>
      </c>
      <c r="K40" s="139" t="n">
        <v>97252648.66008356</v>
      </c>
      <c r="L40" s="140" t="n">
        <v>0.2585836744382654</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2026-08</t>
        </is>
      </c>
      <c r="H41" s="75" t="inlineStr">
        <is>
          <t>localizado</t>
        </is>
      </c>
      <c r="I41" s="143" t="n">
        <v>282932825.66</v>
      </c>
      <c r="J41" s="143" t="n">
        <v>282932825.6589774</v>
      </c>
      <c r="K41" s="143" t="n">
        <v>69689764.03013942</v>
      </c>
      <c r="L41" s="144" t="n">
        <v>0.2463120490440565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2026-08</t>
        </is>
      </c>
      <c r="H42" s="74" t="inlineStr">
        <is>
          <t>localizado</t>
        </is>
      </c>
      <c r="I42" s="139" t="n">
        <v>2234066329.65</v>
      </c>
      <c r="J42" s="139" t="n">
        <v>2234066329.656016</v>
      </c>
      <c r="K42" s="139" t="n">
        <v>296491137.414</v>
      </c>
      <c r="L42" s="140" t="n">
        <v>0.1327136681122846</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2026-08</t>
        </is>
      </c>
      <c r="H43" s="75" t="inlineStr">
        <is>
          <t>localizado</t>
        </is>
      </c>
      <c r="I43" s="143" t="n">
        <v>1717932634.87</v>
      </c>
      <c r="J43" s="143" t="n">
        <v>1717932634.827409</v>
      </c>
      <c r="K43" s="143" t="n">
        <v>258597626.4874086</v>
      </c>
      <c r="L43" s="144" t="n">
        <v>0.1505283858275254</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2026-08</t>
        </is>
      </c>
      <c r="H44" s="74" t="inlineStr">
        <is>
          <t>localizado</t>
        </is>
      </c>
      <c r="I44" s="139" t="n">
        <v>156842036.36</v>
      </c>
      <c r="J44" s="139" t="n">
        <v>157003762.060002</v>
      </c>
      <c r="K44" s="139" t="n">
        <v>28087695.01007579</v>
      </c>
      <c r="L44" s="140" t="n">
        <v>0.1790826978655519</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2026-08</t>
        </is>
      </c>
      <c r="H45" s="75" t="inlineStr">
        <is>
          <t>localizado</t>
        </is>
      </c>
      <c r="I45" s="143" t="n">
        <v>165703933.81</v>
      </c>
      <c r="J45" s="143" t="n">
        <v>165703933.8099347</v>
      </c>
      <c r="K45" s="143" t="n">
        <v>72181604.50992766</v>
      </c>
      <c r="L45" s="144" t="n">
        <v>0.4356058595005522</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2026-08</t>
        </is>
      </c>
      <c r="H46" s="74" t="inlineStr">
        <is>
          <t>localizado</t>
        </is>
      </c>
      <c r="I46" s="139" t="n">
        <v>70275566.59</v>
      </c>
      <c r="J46" s="139" t="n">
        <v>70275566.58953458</v>
      </c>
      <c r="K46" s="139" t="n">
        <v>1905940.039476934</v>
      </c>
      <c r="L46" s="140" t="n">
        <v>0.02712094874448359</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2026-08</t>
        </is>
      </c>
      <c r="H47" s="75" t="inlineStr">
        <is>
          <t>localizado</t>
        </is>
      </c>
      <c r="I47" s="143" t="n">
        <v>123712597.71</v>
      </c>
      <c r="J47" s="143" t="n">
        <v>123712597.7199095</v>
      </c>
      <c r="K47" s="143" t="n">
        <v>98124355.15990032</v>
      </c>
      <c r="L47" s="144" t="n">
        <v>0.7931638085065341</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2026-08</t>
        </is>
      </c>
      <c r="H48" s="74" t="inlineStr">
        <is>
          <t>localizado</t>
        </is>
      </c>
      <c r="I48" s="139" t="n">
        <v>114301786.77</v>
      </c>
      <c r="J48" s="139" t="n">
        <v>114301786.7667676</v>
      </c>
      <c r="K48" s="139" t="n">
        <v>2773468.769926359</v>
      </c>
      <c r="L48" s="140" t="n">
        <v>0.02426443932593268</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2026-08</t>
        </is>
      </c>
      <c r="H49" s="75" t="inlineStr">
        <is>
          <t>localizado</t>
        </is>
      </c>
      <c r="I49" s="143" t="n">
        <v>1847170248.89</v>
      </c>
      <c r="J49" s="143" t="n">
        <v>1846911710.549834</v>
      </c>
      <c r="K49" s="143" t="n">
        <v>639160693.8738735</v>
      </c>
      <c r="L49" s="144" t="n">
        <v>0.3460215398434212</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inlineStr">
        <is>
          <t>N/D</t>
        </is>
      </c>
      <c r="BD49" s="75" t="inlineStr">
        <is>
          <t>R$ 1.000,00 da data base do apêndice / R$ 561,60 da data base do apêndice / R$ 492,09 da data base do apêndice</t>
        </is>
      </c>
      <c r="BE49" s="75" t="inlineStr">
        <is>
          <t>preço/VNU conforme fonte</t>
        </is>
      </c>
      <c r="BF49" s="75" t="inlineStr">
        <is>
          <t>1ª emissão sênior da 1ª série / 2ª emissão sênior da 1ª série / 3ª emissão sênior da 1ª série</t>
        </is>
      </c>
      <c r="BG49" s="75" t="inlineStr">
        <is>
          <t>N/D</t>
        </is>
      </c>
      <c r="BH49" s="75" t="inlineStr">
        <is>
          <t>1302706</t>
        </is>
      </c>
      <c r="BI49" s="75" t="inlineStr">
        <is>
          <t>data/raw/41970012000126/1302706_regulamento.pdf · ID 1302706 · 27/08/2026 · p. 133–136 · https://fnet.bmfbovespa.com.br/fnet/publico/visualizarDocumento?id=1302706 | data/raw/41970012000126/1302706_regulamento.pdf · ID 1302706 · 27/08/2026 · p. 137–140 · https://fnet.bmfbovespa.com.br/fnet/publico/visualizarDocumento?id=1302706 | data/raw/41970012000126/1302706_regulamento.pdf · ID 1302706 · 27/08/2026 · p. 141–144 · https://fnet.bmfbovespa.com.br/fnet/publico/visualizarDocumento?id=1302706</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2026-08</t>
        </is>
      </c>
      <c r="H50" s="74" t="inlineStr">
        <is>
          <t>localizado</t>
        </is>
      </c>
      <c r="I50" s="139" t="n">
        <v>3311135945.94</v>
      </c>
      <c r="J50" s="139" t="n">
        <v>3311135945.770138</v>
      </c>
      <c r="K50" s="139" t="n">
        <v>2413596720.624928</v>
      </c>
      <c r="L50" s="140" t="n">
        <v>0.7289331395723562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3ª série sênior</t>
        </is>
      </c>
      <c r="BG50" s="74" t="inlineStr">
        <is>
          <t>N/D</t>
        </is>
      </c>
      <c r="BH50" s="74" t="inlineStr">
        <is>
          <t>1128340</t>
        </is>
      </c>
      <c r="BI50" s="74" t="inlineStr">
        <is>
          <t>data/raw/33254370000104/1128340_regulamento.pdf · ID 1128340 · 03/03/2026 · p. 118–121 · https://fnet.bmfbovespa.com.br/fnet/publico/visualizarDocumento?id=1128340</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2026-08</t>
        </is>
      </c>
      <c r="H51" s="75" t="inlineStr">
        <is>
          <t>localizado</t>
        </is>
      </c>
      <c r="I51" s="143" t="n">
        <v>741792160.36</v>
      </c>
      <c r="J51" s="143" t="n">
        <v>741792161.8949635</v>
      </c>
      <c r="K51" s="143" t="n">
        <v>231454289.6495936</v>
      </c>
      <c r="L51" s="144" t="n">
        <v>0.3120204041213731</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inlineStr">
        <is>
          <t>N/D</t>
        </is>
      </c>
      <c r="BD51" s="75" t="inlineStr">
        <is>
          <t>N/D</t>
        </is>
      </c>
      <c r="BE51" s="75" t="inlineStr">
        <is>
          <t>N/D</t>
        </is>
      </c>
      <c r="BF51" s="75" t="inlineStr">
        <is>
          <t>N/D</t>
        </is>
      </c>
      <c r="BG51" s="75" t="inlineStr">
        <is>
          <t>N/D</t>
        </is>
      </c>
      <c r="BH51" s="75" t="inlineStr">
        <is>
          <t>N/D</t>
        </is>
      </c>
      <c r="BI51" s="75" t="inlineStr">
        <is>
          <t>N/D</t>
        </is>
      </c>
      <c r="BJ51" s="75" t="inlineStr">
        <is>
          <t>não localizado</t>
        </is>
      </c>
      <c r="BK51" s="75" t="b">
        <v>0</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preço unitário da cota;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pane xSplit="2" ySplit="4" topLeftCell="C5" activePane="bottomRight" state="frozen"/>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54122205348.12</v>
      </c>
      <c r="G5" s="150" t="n">
        <v>54122205348.12</v>
      </c>
      <c r="H5" s="149" t="n">
        <v>1</v>
      </c>
    </row>
    <row r="6">
      <c r="A6" s="106" t="inlineStr">
        <is>
          <t>Carteira 101</t>
        </is>
      </c>
      <c r="B6" s="106" t="inlineStr">
        <is>
          <t>pl_atual_brl</t>
        </is>
      </c>
      <c r="C6" s="106" t="n">
        <v>78</v>
      </c>
      <c r="D6" s="106" t="n">
        <v>101</v>
      </c>
      <c r="E6" s="151" t="n">
        <v>0.7722772277227723</v>
      </c>
      <c r="F6" s="152" t="n">
        <v>54122205348.12</v>
      </c>
      <c r="G6" s="152" t="n">
        <v>54122205348.12</v>
      </c>
      <c r="H6" s="151" t="n">
        <v>1</v>
      </c>
    </row>
    <row r="7">
      <c r="A7" s="105" t="inlineStr">
        <is>
          <t>Carteira 101</t>
        </is>
      </c>
      <c r="B7" s="105" t="inlineStr">
        <is>
          <t>sub_pl_atual</t>
        </is>
      </c>
      <c r="C7" s="105" t="n">
        <v>69</v>
      </c>
      <c r="D7" s="105" t="n">
        <v>101</v>
      </c>
      <c r="E7" s="153" t="n">
        <v>0.6831683168316832</v>
      </c>
      <c r="F7" s="154" t="n">
        <v>41511854312.42</v>
      </c>
      <c r="G7" s="154" t="n">
        <v>54122205348.12</v>
      </c>
      <c r="H7" s="153" t="n">
        <v>0.7670022691317024</v>
      </c>
    </row>
    <row r="8">
      <c r="A8" s="106" t="inlineStr">
        <is>
          <t>Carteira 101</t>
        </is>
      </c>
      <c r="B8" s="106" t="inlineStr">
        <is>
          <t>indice_minimo_junior</t>
        </is>
      </c>
      <c r="C8" s="106" t="n">
        <v>83</v>
      </c>
      <c r="D8" s="106" t="n">
        <v>101</v>
      </c>
      <c r="E8" s="151" t="n">
        <v>0.8217821782178217</v>
      </c>
      <c r="F8" s="152" t="n">
        <v>52322078125.24</v>
      </c>
      <c r="G8" s="152" t="n">
        <v>54122205348.12</v>
      </c>
      <c r="H8" s="151" t="n">
        <v>0.9667395810776486</v>
      </c>
    </row>
    <row r="9">
      <c r="A9" s="105" t="inlineStr">
        <is>
          <t>Carteira 101</t>
        </is>
      </c>
      <c r="B9" s="105" t="inlineStr">
        <is>
          <t>indice_minimo_estrutural</t>
        </is>
      </c>
      <c r="C9" s="105" t="n">
        <v>99</v>
      </c>
      <c r="D9" s="105" t="n">
        <v>101</v>
      </c>
      <c r="E9" s="153" t="n">
        <v>0.9801980198019802</v>
      </c>
      <c r="F9" s="154" t="n">
        <v>54122205348.12</v>
      </c>
      <c r="G9" s="154" t="n">
        <v>54122205348.12</v>
      </c>
      <c r="H9" s="153" t="n">
        <v>1</v>
      </c>
    </row>
    <row r="10">
      <c r="A10" s="106" t="inlineStr">
        <is>
          <t>Carteira 101</t>
        </is>
      </c>
      <c r="B10" s="106" t="inlineStr">
        <is>
          <t>folga_pp</t>
        </is>
      </c>
      <c r="C10" s="106" t="n">
        <v>24</v>
      </c>
      <c r="D10" s="106" t="n">
        <v>101</v>
      </c>
      <c r="E10" s="151" t="n">
        <v>0.2376237623762376</v>
      </c>
      <c r="F10" s="152" t="n">
        <v>13000551045.19</v>
      </c>
      <c r="G10" s="152" t="n">
        <v>54122205348.12</v>
      </c>
      <c r="H10" s="151" t="n">
        <v>0.2402073411748288</v>
      </c>
    </row>
    <row r="11">
      <c r="A11" s="105" t="inlineStr">
        <is>
          <t>Carteira 101</t>
        </is>
      </c>
      <c r="B11" s="105" t="inlineStr">
        <is>
          <t>grupo_comparacao</t>
        </is>
      </c>
      <c r="C11" s="105" t="n">
        <v>100</v>
      </c>
      <c r="D11" s="105" t="n">
        <v>101</v>
      </c>
      <c r="E11" s="153" t="n">
        <v>0.9900990099009901</v>
      </c>
      <c r="F11" s="154" t="n">
        <v>54122205348.12</v>
      </c>
      <c r="G11" s="154" t="n">
        <v>54122205348.12</v>
      </c>
      <c r="H11" s="153" t="n">
        <v>1</v>
      </c>
    </row>
    <row r="12">
      <c r="A12" s="106" t="inlineStr">
        <is>
          <t>Carteira 101</t>
        </is>
      </c>
      <c r="B12" s="106" t="inlineStr">
        <is>
          <t>preco_cota_unitario</t>
        </is>
      </c>
      <c r="C12" s="106" t="n">
        <v>85</v>
      </c>
      <c r="D12" s="106" t="n">
        <v>101</v>
      </c>
      <c r="E12" s="151" t="n">
        <v>0.8415841584158416</v>
      </c>
      <c r="F12" s="152" t="n">
        <v>48322020245.59</v>
      </c>
      <c r="G12" s="152" t="n">
        <v>54122205348.12</v>
      </c>
      <c r="H12" s="151" t="n">
        <v>0.8928316932907192</v>
      </c>
    </row>
    <row r="13">
      <c r="A13" s="105" t="inlineStr">
        <is>
          <t>Carteira 101</t>
        </is>
      </c>
      <c r="B13" s="105" t="inlineStr">
        <is>
          <t>preco_cota_classe_serie</t>
        </is>
      </c>
      <c r="C13" s="105" t="n">
        <v>69</v>
      </c>
      <c r="D13" s="105" t="n">
        <v>101</v>
      </c>
      <c r="E13" s="153" t="n">
        <v>0.6831683168316832</v>
      </c>
      <c r="F13" s="154" t="n">
        <v>36398452333.85999</v>
      </c>
      <c r="G13" s="154" t="n">
        <v>54122205348.12</v>
      </c>
      <c r="H13" s="153" t="n">
        <v>0.6725234513217104</v>
      </c>
    </row>
    <row r="14">
      <c r="A14" s="106" t="inlineStr">
        <is>
          <t>Carteira 101</t>
        </is>
      </c>
      <c r="B14" s="106" t="inlineStr">
        <is>
          <t>preco_cota_natureza</t>
        </is>
      </c>
      <c r="C14" s="106" t="n">
        <v>85</v>
      </c>
      <c r="D14" s="106" t="n">
        <v>101</v>
      </c>
      <c r="E14" s="151" t="n">
        <v>0.8415841584158416</v>
      </c>
      <c r="F14" s="152" t="n">
        <v>48322020245.59</v>
      </c>
      <c r="G14" s="152" t="n">
        <v>54122205348.12</v>
      </c>
      <c r="H14" s="151" t="n">
        <v>0.8928316932907192</v>
      </c>
    </row>
    <row r="15">
      <c r="A15" s="105" t="inlineStr">
        <is>
          <t>Carteira 101</t>
        </is>
      </c>
      <c r="B15" s="105" t="inlineStr">
        <is>
          <t>preco_cota_documento_data</t>
        </is>
      </c>
      <c r="C15" s="105" t="n">
        <v>85</v>
      </c>
      <c r="D15" s="105" t="n">
        <v>101</v>
      </c>
      <c r="E15" s="153" t="n">
        <v>0.8415841584158416</v>
      </c>
      <c r="F15" s="154" t="n">
        <v>48322020245.59</v>
      </c>
      <c r="G15" s="154" t="n">
        <v>54122205348.12</v>
      </c>
      <c r="H15" s="153" t="n">
        <v>0.8928316932907192</v>
      </c>
    </row>
    <row r="16">
      <c r="A16" s="106" t="inlineStr">
        <is>
          <t>Carteira 101</t>
        </is>
      </c>
      <c r="B16" s="106" t="inlineStr">
        <is>
          <t>preco_cota_documento_id</t>
        </is>
      </c>
      <c r="C16" s="106" t="n">
        <v>85</v>
      </c>
      <c r="D16" s="106" t="n">
        <v>101</v>
      </c>
      <c r="E16" s="151" t="n">
        <v>0.8415841584158416</v>
      </c>
      <c r="F16" s="152" t="n">
        <v>48322020245.59</v>
      </c>
      <c r="G16" s="152" t="n">
        <v>54122205348.12</v>
      </c>
      <c r="H16" s="151" t="n">
        <v>0.8928316932907192</v>
      </c>
    </row>
    <row r="17">
      <c r="A17" s="105" t="inlineStr">
        <is>
          <t>Carteira 101</t>
        </is>
      </c>
      <c r="B17" s="105" t="inlineStr">
        <is>
          <t>preco_cota_fonte</t>
        </is>
      </c>
      <c r="C17" s="105" t="n">
        <v>85</v>
      </c>
      <c r="D17" s="105" t="n">
        <v>101</v>
      </c>
      <c r="E17" s="153" t="n">
        <v>0.8415841584158416</v>
      </c>
      <c r="F17" s="154" t="n">
        <v>48322020245.59</v>
      </c>
      <c r="G17" s="154" t="n">
        <v>54122205348.12</v>
      </c>
      <c r="H17" s="153" t="n">
        <v>0.8928316932907192</v>
      </c>
    </row>
    <row r="18">
      <c r="A18" s="106" t="inlineStr">
        <is>
          <t>Carteira 101</t>
        </is>
      </c>
      <c r="B18" s="106" t="inlineStr">
        <is>
          <t>posicao_mercado</t>
        </is>
      </c>
      <c r="C18" s="106" t="n">
        <v>101</v>
      </c>
      <c r="D18" s="106" t="n">
        <v>101</v>
      </c>
      <c r="E18" s="151" t="n">
        <v>1</v>
      </c>
      <c r="F18" s="152" t="n">
        <v>54122205348.12</v>
      </c>
      <c r="G18" s="152" t="n">
        <v>54122205348.12</v>
      </c>
      <c r="H18" s="151" t="n">
        <v>1</v>
      </c>
    </row>
    <row r="19">
      <c r="A19" s="105" t="inlineStr">
        <is>
          <t>Carteira 101</t>
        </is>
      </c>
      <c r="B19" s="105" t="inlineStr">
        <is>
          <t>excesso_vs_mercado</t>
        </is>
      </c>
      <c r="C19" s="105" t="n">
        <v>32</v>
      </c>
      <c r="D19" s="105" t="n">
        <v>101</v>
      </c>
      <c r="E19" s="153" t="n">
        <v>0.3168316831683168</v>
      </c>
      <c r="F19" s="154" t="n">
        <v>23271383594.33</v>
      </c>
      <c r="G19" s="154" t="n">
        <v>54122205348.12</v>
      </c>
      <c r="H19" s="153" t="n">
        <v>0.4299784800830989</v>
      </c>
    </row>
    <row r="20">
      <c r="A20" s="106" t="inlineStr">
        <is>
          <t>Carteira 101</t>
        </is>
      </c>
      <c r="B20" s="106" t="inlineStr">
        <is>
          <t>n_comparaveis_categoria</t>
        </is>
      </c>
      <c r="C20" s="106" t="n">
        <v>100</v>
      </c>
      <c r="D20" s="106" t="n">
        <v>101</v>
      </c>
      <c r="E20" s="151" t="n">
        <v>0.9900990099009901</v>
      </c>
      <c r="F20" s="152" t="n">
        <v>54122205348.12</v>
      </c>
      <c r="G20" s="152" t="n">
        <v>54122205348.12</v>
      </c>
      <c r="H20" s="151" t="n">
        <v>1</v>
      </c>
    </row>
    <row r="21">
      <c r="A21" s="105" t="inlineStr">
        <is>
          <t>Carteira 101</t>
        </is>
      </c>
      <c r="B21" s="105" t="inlineStr">
        <is>
          <t>benchmark_confiavel</t>
        </is>
      </c>
      <c r="C21" s="105" t="n">
        <v>101</v>
      </c>
      <c r="D21" s="105" t="n">
        <v>101</v>
      </c>
      <c r="E21" s="153" t="n">
        <v>1</v>
      </c>
      <c r="F21" s="154" t="n">
        <v>54122205348.12</v>
      </c>
      <c r="G21" s="154" t="n">
        <v>54122205348.12</v>
      </c>
      <c r="H21" s="153" t="n">
        <v>1</v>
      </c>
    </row>
    <row r="22">
      <c r="A22" s="106" t="inlineStr">
        <is>
          <t>Carteira 101</t>
        </is>
      </c>
      <c r="B22" s="106" t="inlineStr">
        <is>
          <t>cedente_originador_literal</t>
        </is>
      </c>
      <c r="C22" s="106" t="n">
        <v>85</v>
      </c>
      <c r="D22" s="106" t="n">
        <v>101</v>
      </c>
      <c r="E22" s="151" t="n">
        <v>0.8415841584158416</v>
      </c>
      <c r="F22" s="152" t="n">
        <v>42786378487.53</v>
      </c>
      <c r="G22" s="152" t="n">
        <v>54122205348.12</v>
      </c>
      <c r="H22" s="151" t="n">
        <v>0.790551275808576</v>
      </c>
    </row>
    <row r="23">
      <c r="A23" s="105" t="inlineStr">
        <is>
          <t>Carteira 101</t>
        </is>
      </c>
      <c r="B23" s="105" t="inlineStr">
        <is>
          <t>originador</t>
        </is>
      </c>
      <c r="C23" s="105" t="n">
        <v>14</v>
      </c>
      <c r="D23" s="105" t="n">
        <v>101</v>
      </c>
      <c r="E23" s="153" t="n">
        <v>0.1386138613861386</v>
      </c>
      <c r="F23" s="154" t="n">
        <v>12731283712.43</v>
      </c>
      <c r="G23" s="154" t="n">
        <v>54122205348.12</v>
      </c>
      <c r="H23" s="153" t="n">
        <v>0.2352321682115682</v>
      </c>
    </row>
    <row r="24">
      <c r="A24" s="106" t="inlineStr">
        <is>
          <t>Carteira 101</t>
        </is>
      </c>
      <c r="B24" s="106" t="inlineStr">
        <is>
          <t>cedente</t>
        </is>
      </c>
      <c r="C24" s="106" t="n">
        <v>93</v>
      </c>
      <c r="D24" s="106" t="n">
        <v>101</v>
      </c>
      <c r="E24" s="151" t="n">
        <v>0.9207920792079208</v>
      </c>
      <c r="F24" s="152" t="n">
        <v>48186161854.10999</v>
      </c>
      <c r="G24" s="152" t="n">
        <v>54122205348.12</v>
      </c>
      <c r="H24" s="151" t="n">
        <v>0.8903214779252118</v>
      </c>
    </row>
    <row r="25">
      <c r="A25" s="105" t="inlineStr">
        <is>
          <t>Carteira 101</t>
        </is>
      </c>
      <c r="B25" s="105" t="inlineStr">
        <is>
          <t>sacado_devedor</t>
        </is>
      </c>
      <c r="C25" s="105" t="n">
        <v>37</v>
      </c>
      <c r="D25" s="105" t="n">
        <v>101</v>
      </c>
      <c r="E25" s="153" t="n">
        <v>0.3663366336633663</v>
      </c>
      <c r="F25" s="154" t="n">
        <v>17959750690.13</v>
      </c>
      <c r="G25" s="154" t="n">
        <v>54122205348.12</v>
      </c>
      <c r="H25" s="153" t="n">
        <v>0.3318370080193684</v>
      </c>
    </row>
    <row r="26">
      <c r="A26" s="106" t="inlineStr">
        <is>
          <t>Carteira 101</t>
        </is>
      </c>
      <c r="B26" s="106" t="inlineStr">
        <is>
          <t>tipo_recebivel_literal</t>
        </is>
      </c>
      <c r="C26" s="106" t="n">
        <v>67</v>
      </c>
      <c r="D26" s="106" t="n">
        <v>101</v>
      </c>
      <c r="E26" s="151" t="n">
        <v>0.6633663366336634</v>
      </c>
      <c r="F26" s="152" t="n">
        <v>38796523635.64999</v>
      </c>
      <c r="G26" s="152" t="n">
        <v>54122205348.12</v>
      </c>
      <c r="H26" s="151" t="n">
        <v>0.7168319063516809</v>
      </c>
    </row>
    <row r="27">
      <c r="A27" s="105" t="inlineStr">
        <is>
          <t>Carteira 101</t>
        </is>
      </c>
      <c r="B27" s="105" t="inlineStr">
        <is>
          <t>fonte_partes_recebivel</t>
        </is>
      </c>
      <c r="C27" s="105" t="n">
        <v>95</v>
      </c>
      <c r="D27" s="105" t="n">
        <v>101</v>
      </c>
      <c r="E27" s="153" t="n">
        <v>0.9405940594059405</v>
      </c>
      <c r="F27" s="154" t="n">
        <v>48330435401.1</v>
      </c>
      <c r="G27" s="154" t="n">
        <v>54122205348.12</v>
      </c>
      <c r="H27" s="153" t="n">
        <v>0.8929871776331602</v>
      </c>
    </row>
    <row r="28">
      <c r="A28" s="106" t="inlineStr">
        <is>
          <t>Flagships</t>
        </is>
      </c>
      <c r="B28" s="106" t="inlineStr">
        <is>
          <t>nome_oficial_cvm</t>
        </is>
      </c>
      <c r="C28" s="106" t="n">
        <v>47</v>
      </c>
      <c r="D28" s="106" t="n">
        <v>47</v>
      </c>
      <c r="E28" s="151" t="n">
        <v>1</v>
      </c>
      <c r="F28" s="152" t="n">
        <v>107850412362.25</v>
      </c>
      <c r="G28" s="152" t="n">
        <v>107850412362.25</v>
      </c>
      <c r="H28" s="151" t="n">
        <v>1</v>
      </c>
    </row>
    <row r="29">
      <c r="A29" s="105" t="inlineStr">
        <is>
          <t>Flagships</t>
        </is>
      </c>
      <c r="B29" s="105" t="inlineStr">
        <is>
          <t>pl_atual_brl</t>
        </is>
      </c>
      <c r="C29" s="105" t="n">
        <v>47</v>
      </c>
      <c r="D29" s="105" t="n">
        <v>47</v>
      </c>
      <c r="E29" s="153" t="n">
        <v>1</v>
      </c>
      <c r="F29" s="154" t="n">
        <v>107850412362.25</v>
      </c>
      <c r="G29" s="154" t="n">
        <v>107850412362.25</v>
      </c>
      <c r="H29" s="153" t="n">
        <v>1</v>
      </c>
    </row>
    <row r="30">
      <c r="A30" s="106" t="inlineStr">
        <is>
          <t>Flagships</t>
        </is>
      </c>
      <c r="B30" s="106" t="inlineStr">
        <is>
          <t>sub_pl_atual</t>
        </is>
      </c>
      <c r="C30" s="106" t="n">
        <v>45</v>
      </c>
      <c r="D30" s="106" t="n">
        <v>47</v>
      </c>
      <c r="E30" s="151" t="n">
        <v>0.9574468085106383</v>
      </c>
      <c r="F30" s="152" t="n">
        <v>98550453511.37001</v>
      </c>
      <c r="G30" s="152" t="n">
        <v>107850412362.25</v>
      </c>
      <c r="H30" s="151" t="n">
        <v>0.9137698350225762</v>
      </c>
    </row>
    <row r="31">
      <c r="A31" s="105" t="inlineStr">
        <is>
          <t>Flagships</t>
        </is>
      </c>
      <c r="B31" s="105" t="inlineStr">
        <is>
          <t>indice_minimo_junior</t>
        </is>
      </c>
      <c r="C31" s="105" t="n">
        <v>11</v>
      </c>
      <c r="D31" s="105" t="n">
        <v>47</v>
      </c>
      <c r="E31" s="153" t="n">
        <v>0.2340425531914894</v>
      </c>
      <c r="F31" s="154" t="n">
        <v>17291577673.75</v>
      </c>
      <c r="G31" s="154" t="n">
        <v>107850412362.25</v>
      </c>
      <c r="H31" s="153" t="n">
        <v>0.1603292680576011</v>
      </c>
    </row>
    <row r="32">
      <c r="A32" s="106" t="inlineStr">
        <is>
          <t>Flagships</t>
        </is>
      </c>
      <c r="B32" s="106" t="inlineStr">
        <is>
          <t>indice_minimo_estrutural</t>
        </is>
      </c>
      <c r="C32" s="106" t="n">
        <v>11</v>
      </c>
      <c r="D32" s="106" t="n">
        <v>47</v>
      </c>
      <c r="E32" s="151" t="n">
        <v>0.2340425531914894</v>
      </c>
      <c r="F32" s="152" t="n">
        <v>17291577673.75</v>
      </c>
      <c r="G32" s="152" t="n">
        <v>107850412362.25</v>
      </c>
      <c r="H32" s="151" t="n">
        <v>0.1603292680576011</v>
      </c>
    </row>
    <row r="33">
      <c r="A33" s="105" t="inlineStr">
        <is>
          <t>Flagships</t>
        </is>
      </c>
      <c r="B33" s="105" t="inlineStr">
        <is>
          <t>folga_pp</t>
        </is>
      </c>
      <c r="C33" s="105" t="n">
        <v>4</v>
      </c>
      <c r="D33" s="105" t="n">
        <v>47</v>
      </c>
      <c r="E33" s="153" t="n">
        <v>0.0851063829787234</v>
      </c>
      <c r="F33" s="154" t="n">
        <v>3922385487.69</v>
      </c>
      <c r="G33" s="154" t="n">
        <v>107850412362.25</v>
      </c>
      <c r="H33" s="153" t="n">
        <v>0.03636875744633611</v>
      </c>
    </row>
    <row r="34">
      <c r="A34" s="106" t="inlineStr">
        <is>
          <t>Flagships</t>
        </is>
      </c>
      <c r="B34" s="106" t="inlineStr">
        <is>
          <t>grupo_comparacao</t>
        </is>
      </c>
      <c r="C34" s="106" t="n">
        <v>47</v>
      </c>
      <c r="D34" s="106" t="n">
        <v>47</v>
      </c>
      <c r="E34" s="151" t="n">
        <v>1</v>
      </c>
      <c r="F34" s="152" t="n">
        <v>107850412362.25</v>
      </c>
      <c r="G34" s="152" t="n">
        <v>107850412362.25</v>
      </c>
      <c r="H34" s="151" t="n">
        <v>1</v>
      </c>
    </row>
    <row r="35">
      <c r="A35" s="105" t="inlineStr">
        <is>
          <t>Flagships</t>
        </is>
      </c>
      <c r="B35" s="105" t="inlineStr">
        <is>
          <t>preco_cota_unitario</t>
        </is>
      </c>
      <c r="C35" s="105" t="n">
        <v>12</v>
      </c>
      <c r="D35" s="105" t="n">
        <v>47</v>
      </c>
      <c r="E35" s="153" t="n">
        <v>0.2553191489361702</v>
      </c>
      <c r="F35" s="154" t="n">
        <v>25331387490.34</v>
      </c>
      <c r="G35" s="154" t="n">
        <v>107850412362.25</v>
      </c>
      <c r="H35" s="153" t="n">
        <v>0.2348752029362341</v>
      </c>
    </row>
    <row r="36">
      <c r="A36" s="106" t="inlineStr">
        <is>
          <t>Flagships</t>
        </is>
      </c>
      <c r="B36" s="106" t="inlineStr">
        <is>
          <t>preco_cota_classe_serie</t>
        </is>
      </c>
      <c r="C36" s="106" t="n">
        <v>12</v>
      </c>
      <c r="D36" s="106" t="n">
        <v>47</v>
      </c>
      <c r="E36" s="151" t="n">
        <v>0.2553191489361702</v>
      </c>
      <c r="F36" s="152" t="n">
        <v>25331387490.34</v>
      </c>
      <c r="G36" s="152" t="n">
        <v>107850412362.25</v>
      </c>
      <c r="H36" s="151" t="n">
        <v>0.2348752029362341</v>
      </c>
    </row>
    <row r="37">
      <c r="A37" s="105" t="inlineStr">
        <is>
          <t>Flagships</t>
        </is>
      </c>
      <c r="B37" s="105" t="inlineStr">
        <is>
          <t>preco_cota_natureza</t>
        </is>
      </c>
      <c r="C37" s="105" t="n">
        <v>12</v>
      </c>
      <c r="D37" s="105" t="n">
        <v>47</v>
      </c>
      <c r="E37" s="153" t="n">
        <v>0.2553191489361702</v>
      </c>
      <c r="F37" s="154" t="n">
        <v>25331387490.34</v>
      </c>
      <c r="G37" s="154" t="n">
        <v>107850412362.25</v>
      </c>
      <c r="H37" s="153" t="n">
        <v>0.2348752029362341</v>
      </c>
    </row>
    <row r="38">
      <c r="A38" s="106" t="inlineStr">
        <is>
          <t>Flagships</t>
        </is>
      </c>
      <c r="B38" s="106" t="inlineStr">
        <is>
          <t>preco_cota_documento_data</t>
        </is>
      </c>
      <c r="C38" s="106" t="n">
        <v>0</v>
      </c>
      <c r="D38" s="106" t="n">
        <v>47</v>
      </c>
      <c r="E38" s="151" t="n">
        <v>0</v>
      </c>
      <c r="F38" s="152" t="n">
        <v>0</v>
      </c>
      <c r="G38" s="152" t="n">
        <v>107850412362.25</v>
      </c>
      <c r="H38" s="151" t="n">
        <v>0</v>
      </c>
    </row>
    <row r="39">
      <c r="A39" s="105" t="inlineStr">
        <is>
          <t>Flagships</t>
        </is>
      </c>
      <c r="B39" s="105" t="inlineStr">
        <is>
          <t>preco_cota_documento_id</t>
        </is>
      </c>
      <c r="C39" s="105" t="n">
        <v>12</v>
      </c>
      <c r="D39" s="105" t="n">
        <v>47</v>
      </c>
      <c r="E39" s="153" t="n">
        <v>0.2553191489361702</v>
      </c>
      <c r="F39" s="154" t="n">
        <v>25331387490.34</v>
      </c>
      <c r="G39" s="154" t="n">
        <v>107850412362.25</v>
      </c>
      <c r="H39" s="153" t="n">
        <v>0.2348752029362341</v>
      </c>
    </row>
    <row r="40">
      <c r="A40" s="106" t="inlineStr">
        <is>
          <t>Flagships</t>
        </is>
      </c>
      <c r="B40" s="106" t="inlineStr">
        <is>
          <t>preco_cota_fonte</t>
        </is>
      </c>
      <c r="C40" s="106" t="n">
        <v>12</v>
      </c>
      <c r="D40" s="106" t="n">
        <v>47</v>
      </c>
      <c r="E40" s="151" t="n">
        <v>0.2553191489361702</v>
      </c>
      <c r="F40" s="152" t="n">
        <v>25331387490.34</v>
      </c>
      <c r="G40" s="152" t="n">
        <v>107850412362.25</v>
      </c>
      <c r="H40" s="151" t="n">
        <v>0.2348752029362341</v>
      </c>
    </row>
    <row r="41">
      <c r="A41" s="105" t="inlineStr">
        <is>
          <t>Flagships</t>
        </is>
      </c>
      <c r="B41" s="105" t="inlineStr">
        <is>
          <t>posicao_mercado</t>
        </is>
      </c>
      <c r="C41" s="105" t="n">
        <v>0</v>
      </c>
      <c r="D41" s="105" t="n">
        <v>47</v>
      </c>
      <c r="E41" s="153" t="n">
        <v>0</v>
      </c>
      <c r="F41" s="154" t="n">
        <v>0</v>
      </c>
      <c r="G41" s="154" t="n">
        <v>107850412362.25</v>
      </c>
      <c r="H41" s="153" t="n">
        <v>0</v>
      </c>
    </row>
    <row r="42">
      <c r="A42" s="106" t="inlineStr">
        <is>
          <t>Flagships</t>
        </is>
      </c>
      <c r="B42" s="106" t="inlineStr">
        <is>
          <t>excesso_vs_mercado</t>
        </is>
      </c>
      <c r="C42" s="106" t="n">
        <v>0</v>
      </c>
      <c r="D42" s="106" t="n">
        <v>47</v>
      </c>
      <c r="E42" s="151" t="n">
        <v>0</v>
      </c>
      <c r="F42" s="152" t="n">
        <v>0</v>
      </c>
      <c r="G42" s="152" t="n">
        <v>107850412362.25</v>
      </c>
      <c r="H42" s="151" t="n">
        <v>0</v>
      </c>
    </row>
    <row r="43">
      <c r="A43" s="105" t="inlineStr">
        <is>
          <t>Flagships</t>
        </is>
      </c>
      <c r="B43" s="105" t="inlineStr">
        <is>
          <t>n_comparaveis_categoria</t>
        </is>
      </c>
      <c r="C43" s="105" t="n">
        <v>0</v>
      </c>
      <c r="D43" s="105" t="n">
        <v>47</v>
      </c>
      <c r="E43" s="153" t="n">
        <v>0</v>
      </c>
      <c r="F43" s="154" t="n">
        <v>0</v>
      </c>
      <c r="G43" s="154" t="n">
        <v>107850412362.25</v>
      </c>
      <c r="H43" s="153" t="n">
        <v>0</v>
      </c>
    </row>
    <row r="44">
      <c r="A44" s="106" t="inlineStr">
        <is>
          <t>Flagships</t>
        </is>
      </c>
      <c r="B44" s="106" t="inlineStr">
        <is>
          <t>benchmark_confiavel</t>
        </is>
      </c>
      <c r="C44" s="106" t="n">
        <v>0</v>
      </c>
      <c r="D44" s="106" t="n">
        <v>47</v>
      </c>
      <c r="E44" s="151" t="n">
        <v>0</v>
      </c>
      <c r="F44" s="152" t="n">
        <v>0</v>
      </c>
      <c r="G44" s="152" t="n">
        <v>107850412362.25</v>
      </c>
      <c r="H44" s="151" t="n">
        <v>0</v>
      </c>
    </row>
    <row r="45">
      <c r="A45" s="105" t="inlineStr">
        <is>
          <t>Flagships</t>
        </is>
      </c>
      <c r="B45" s="105" t="inlineStr">
        <is>
          <t>cedente_originador_literal</t>
        </is>
      </c>
      <c r="C45" s="105" t="n">
        <v>8</v>
      </c>
      <c r="D45" s="105" t="n">
        <v>47</v>
      </c>
      <c r="E45" s="153" t="n">
        <v>0.1702127659574468</v>
      </c>
      <c r="F45" s="154" t="n">
        <v>67740426372.61</v>
      </c>
      <c r="G45" s="154" t="n">
        <v>107850412362.25</v>
      </c>
      <c r="H45" s="153" t="n">
        <v>0.6280961276724856</v>
      </c>
    </row>
    <row r="46">
      <c r="A46" s="106" t="inlineStr">
        <is>
          <t>Flagships</t>
        </is>
      </c>
      <c r="B46" s="106" t="inlineStr">
        <is>
          <t>originador</t>
        </is>
      </c>
      <c r="C46" s="106" t="n">
        <v>7</v>
      </c>
      <c r="D46" s="106" t="n">
        <v>47</v>
      </c>
      <c r="E46" s="151" t="n">
        <v>0.148936170212766</v>
      </c>
      <c r="F46" s="152" t="n">
        <v>67075023458.50999</v>
      </c>
      <c r="G46" s="152" t="n">
        <v>107850412362.25</v>
      </c>
      <c r="H46" s="151" t="n">
        <v>0.6219264441309424</v>
      </c>
    </row>
    <row r="47">
      <c r="A47" s="105" t="inlineStr">
        <is>
          <t>Flagships</t>
        </is>
      </c>
      <c r="B47" s="105" t="inlineStr">
        <is>
          <t>cedente</t>
        </is>
      </c>
      <c r="C47" s="105" t="n">
        <v>3</v>
      </c>
      <c r="D47" s="105" t="n">
        <v>47</v>
      </c>
      <c r="E47" s="153" t="n">
        <v>0.06382978723404255</v>
      </c>
      <c r="F47" s="154" t="n">
        <v>10481595144.19</v>
      </c>
      <c r="G47" s="154" t="n">
        <v>107850412362.25</v>
      </c>
      <c r="H47" s="153" t="n">
        <v>0.09718641695113987</v>
      </c>
    </row>
    <row r="48">
      <c r="A48" s="106" t="inlineStr">
        <is>
          <t>Flagships</t>
        </is>
      </c>
      <c r="B48" s="106" t="inlineStr">
        <is>
          <t>sacado_devedor</t>
        </is>
      </c>
      <c r="C48" s="106" t="n">
        <v>0</v>
      </c>
      <c r="D48" s="106" t="n">
        <v>47</v>
      </c>
      <c r="E48" s="151" t="n">
        <v>0</v>
      </c>
      <c r="F48" s="152" t="n">
        <v>0</v>
      </c>
      <c r="G48" s="152" t="n">
        <v>107850412362.25</v>
      </c>
      <c r="H48" s="151" t="n">
        <v>0</v>
      </c>
    </row>
    <row r="49">
      <c r="A49" s="105" t="inlineStr">
        <is>
          <t>Flagships</t>
        </is>
      </c>
      <c r="B49" s="105" t="inlineStr">
        <is>
          <t>tipo_recebivel_literal</t>
        </is>
      </c>
      <c r="C49" s="105" t="n">
        <v>2</v>
      </c>
      <c r="D49" s="105" t="n">
        <v>47</v>
      </c>
      <c r="E49" s="153" t="n">
        <v>0.0425531914893617</v>
      </c>
      <c r="F49" s="154" t="n">
        <v>9816192230.09</v>
      </c>
      <c r="G49" s="154" t="n">
        <v>107850412362.25</v>
      </c>
      <c r="H49" s="153" t="n">
        <v>0.09101673340959687</v>
      </c>
    </row>
    <row r="50">
      <c r="A50" s="106" t="inlineStr">
        <is>
          <t>Flagships</t>
        </is>
      </c>
      <c r="B50" s="106" t="inlineStr">
        <is>
          <t>fonte_partes_recebivel</t>
        </is>
      </c>
      <c r="C50" s="106" t="n">
        <v>8</v>
      </c>
      <c r="D50" s="106" t="n">
        <v>47</v>
      </c>
      <c r="E50" s="151" t="n">
        <v>0.1702127659574468</v>
      </c>
      <c r="F50" s="152" t="n">
        <v>67740426372.61</v>
      </c>
      <c r="G50" s="152" t="n">
        <v>107850412362.25</v>
      </c>
      <c r="H50" s="151" t="n">
        <v>0.6280961276724856</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estrutura_incomparavel</t>
        </is>
      </c>
      <c r="E68" s="121" t="inlineStr">
        <is>
          <t>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sub_pl_atual_ausente</t>
        </is>
      </c>
      <c r="E69" s="121" t="inlineStr">
        <is>
          <t>Sub/PL atual; 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sub_pl_atual_ausente</t>
        </is>
      </c>
      <c r="E91" s="121" t="inlineStr">
        <is>
          <t>Sub/PL atual; 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estrutura_incomparavel</t>
        </is>
      </c>
      <c r="E145" s="121" t="inlineStr">
        <is>
          <t>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completo_para_folga</t>
        </is>
      </c>
      <c r="E148" s="121" t="inlineStr">
        <is>
          <t>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preço unitário da cota;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preço unitário da cota;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sub_pl_atual_ausente</t>
        </is>
      </c>
      <c r="E183" s="121" t="inlineStr">
        <is>
          <t>Sub/PL atual; mínimo estrutural comparável;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sub_pl_atual_ausente</t>
        </is>
      </c>
      <c r="E184" s="121" t="inlineStr">
        <is>
          <t>Sub/PL atual; 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preço unitário da cota;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pane xSplit="2" ySplit="4" topLeftCell="C5" activePane="bottomRight" state="frozen"/>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pane xSplit="4" ySplit="4" topLeftCell="E5" activePane="bottomRight" state="frozen"/>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cnpj_informado</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cnpj_informado</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cnpj_informado</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cnpj_informado</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cnpj_informado</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cnpj_informado</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cnpj_informado</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cnpj_informado</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cnpj_informado</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cnpj_informado</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cnpj_informado</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cnpj_informado</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cnpj_informado</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cnpj_informado</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cnpj_informado</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cnpj_informado</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cnpj_informado</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cnpj_informado</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cnpj_informado</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cnpj_informado</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cnpj_informado</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cnpj_informado</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cnpj_informado</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cnpj_informado</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cnpj_informado</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cnpj_informado</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cnpj_informado</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cnpj_informado</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cnpj_informado</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cnpj_informado</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cnpj_informado</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cnpj_informado</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cnpj_informado</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cnpj_informado</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cnpj_informado</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cnpj_informado</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cnpj_informado</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cnpj_informado</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cnpj_informado</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cnpj_informado</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cnpj_informado</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cnpj_informado</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cnpj_informado</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cnpj_informado</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cnpj_informado</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cnpj_informado</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cnpj_informado</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cnpj_informado</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cnpj_informado</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cnpj_informado</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cnpj_informado</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cnpj_informado</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cnpj_informado</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cnpj_informado</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cnpj_informado</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cnpj_informado</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cnpj_informado</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cnpj_informado</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cnpj_informado</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cnpj_informado</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cnpj_informado</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cnpj_informado</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cnpj_informado</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cnpj_informado</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cnpj_informado</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cnpj_informado</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cnpj_informado</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cnpj_informado</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cnpj_informado</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cnpj_informado</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cnpj_informado</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cnpj_informado</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cnpj_informado</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cnpj_informado</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cnpj_informado</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cnpj_informado</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cnpj_informado</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cnpj_informado</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cnpj_informado</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cnpj_informado</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cnpj_informado</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cnpj_informado</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cnpj_informado</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cnpj_informado</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cnpj_informado</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cnpj_informado</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cnpj_informado</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cnpj_informado</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cnpj_informado</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cnpj_informado</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cnpj_informado</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cnpj_informado</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cnpj_informado</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n">
        <v>63953619000130</v>
      </c>
      <c r="C98" s="74" t="inlineStr">
        <is>
          <t>cnpj_informado</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CNPJ fora das duas coortes</t>
        </is>
      </c>
    </row>
    <row r="99" ht="36" customHeight="1">
      <c r="A99" s="160" t="inlineStr">
        <is>
          <t>52242420</t>
        </is>
      </c>
      <c r="B99" s="161" t="n">
        <v>52242420000188</v>
      </c>
      <c r="C99" s="75" t="inlineStr">
        <is>
          <t>cnpj_informado</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CNPJ fora das duas coortes</t>
        </is>
      </c>
    </row>
    <row r="100" ht="36" customHeight="1">
      <c r="A100" s="158" t="inlineStr">
        <is>
          <t>26286939</t>
        </is>
      </c>
      <c r="B100" s="159" t="n">
        <v>26286939000158</v>
      </c>
      <c r="C100" s="74" t="inlineStr">
        <is>
          <t>cnpj_informado</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n">
        <v>50906397000153</v>
      </c>
      <c r="C101" s="75" t="inlineStr">
        <is>
          <t>cnpj_informado</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CNPJ fora das duas coortes</t>
        </is>
      </c>
    </row>
    <row r="102" ht="36" customHeight="1">
      <c r="A102" s="158" t="inlineStr">
        <is>
          <t>42922136</t>
        </is>
      </c>
      <c r="B102" s="159" t="n">
        <v>42922136000107</v>
      </c>
      <c r="C102" s="74" t="inlineStr">
        <is>
          <t>cnpj_informado</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CNPJ fora das duas coortes</t>
        </is>
      </c>
    </row>
    <row r="103" ht="36" customHeight="1">
      <c r="A103" s="160" t="inlineStr">
        <is>
          <t>32527650</t>
        </is>
      </c>
      <c r="B103" s="161" t="n">
        <v>32527650000186</v>
      </c>
      <c r="C103" s="75" t="inlineStr">
        <is>
          <t>cnpj_informado</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CNPJ fora das duas coortes</t>
        </is>
      </c>
    </row>
    <row r="104" ht="36" customHeight="1">
      <c r="A104" s="158" t="inlineStr">
        <is>
          <t>61285603</t>
        </is>
      </c>
      <c r="B104" s="159" t="n">
        <v>61285603000171</v>
      </c>
      <c r="C104" s="74" t="inlineStr">
        <is>
          <t>cnpj_informado</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CNPJ fora das duas coortes</t>
        </is>
      </c>
    </row>
    <row r="105" ht="36" customHeight="1">
      <c r="A105" s="160" t="inlineStr">
        <is>
          <t>21126275</t>
        </is>
      </c>
      <c r="B105" s="161" t="n">
        <v>21126275000146</v>
      </c>
      <c r="C105" s="75" t="inlineStr">
        <is>
          <t>cnpj_informado</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CNPJ fora das duas coortes</t>
        </is>
      </c>
    </row>
    <row r="106" ht="36" customHeight="1">
      <c r="A106" s="158" t="inlineStr">
        <is>
          <t>54979779</t>
        </is>
      </c>
      <c r="B106" s="159" t="n">
        <v>54979779000168</v>
      </c>
      <c r="C106" s="74" t="inlineStr">
        <is>
          <t>cnpj_informado</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n">
        <v>12817329000129</v>
      </c>
      <c r="C107" s="75" t="inlineStr">
        <is>
          <t>cnpj_informado</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CNPJ fora das duas coortes</t>
        </is>
      </c>
    </row>
    <row r="108" ht="36" customHeight="1">
      <c r="A108" s="158" t="inlineStr">
        <is>
          <t>60356171</t>
        </is>
      </c>
      <c r="B108" s="159" t="n">
        <v>60356171000180</v>
      </c>
      <c r="C108" s="74" t="inlineStr">
        <is>
          <t>cnpj_informado</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pane xSplit="3" ySplit="4" topLeftCell="D5" activePane="bottomRight" state="frozen"/>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pane xSplit="4" ySplit="4" topLeftCell="E5" activePane="bottomRight" state="frozen"/>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pane xSplit="4" ySplit="4" topLeftCell="E5" activePane="bottomRight" state="frozen"/>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pane xSplit="2" ySplit="5" topLeftCell="C6" activePane="bottomRight" state="frozen"/>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pane xSplit="2" ySplit="4" topLeftCell="C5" activePane="bottomRight" state="frozen"/>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comerciais de produtos Cantu Store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2026-10-08T20:42:15Z</dcterms:created>
  <dcterms:modified xmlns:dcterms="http://purl.org/dc/terms/" xmlns:xsi="http://www.w3.org/2001/XMLSchema-instance" xsi:type="dcterms:W3CDTF">2026-10-08T20:42:15Z</dcterms:modified>
</cp:coreProperties>
</file>